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SERUNIDOSSIS02\Direccion Tecnica\1.3. PQRS\1. 2026\"/>
    </mc:Choice>
  </mc:AlternateContent>
  <xr:revisionPtr revIDLastSave="0" documentId="13_ncr:1_{90FE7686-4282-49A6-A43C-EB44CC76823C}" xr6:coauthVersionLast="47" xr6:coauthVersionMax="47" xr10:uidLastSave="{00000000-0000-0000-0000-000000000000}"/>
  <bookViews>
    <workbookView xWindow="-120" yWindow="-120" windowWidth="20730" windowHeight="11160" tabRatio="459" activeTab="3" xr2:uid="{00000000-000D-0000-FFFF-FFFF00000000}"/>
  </bookViews>
  <sheets>
    <sheet name="CLIENTES" sheetId="1" r:id="rId1"/>
    <sheet name="ATENCION " sheetId="15" r:id="rId2"/>
    <sheet name="ANALISIS" sheetId="16" r:id="rId3"/>
    <sheet name="LISTADO MAESTRO" sheetId="4" r:id="rId4"/>
    <sheet name="OTROS" sheetId="6" r:id="rId5"/>
    <sheet name="RESPONSABLE " sheetId="5" r:id="rId6"/>
  </sheets>
  <externalReferences>
    <externalReference r:id="rId7"/>
    <externalReference r:id="rId8"/>
    <externalReference r:id="rId9"/>
    <externalReference r:id="rId10"/>
  </externalReferences>
  <definedNames>
    <definedName name="_xlnm._FilterDatabase" localSheetId="0" hidden="1">CLIENTES!$A$1:$B$242</definedName>
    <definedName name="_xlnm._FilterDatabase" localSheetId="3" hidden="1">'LISTADO MAESTRO'!$A$4:$AM$133</definedName>
    <definedName name="_xlnm._FilterDatabase" localSheetId="5" hidden="1">'RESPONSABLE '!$A$1:$B$28</definedName>
    <definedName name="afsfasfad" localSheetId="2">'[1]Coleta de Dados'!#REF!</definedName>
    <definedName name="afsfasfad" localSheetId="1">'[2]Coleta de Dados'!#REF!</definedName>
    <definedName name="afsfasfad">'[2]Coleta de Dados'!#REF!</definedName>
    <definedName name="_xlnm.Print_Area" localSheetId="2">ANALISIS!$A$1:$K$46</definedName>
    <definedName name="_xlnm.Print_Area" localSheetId="1">'ATENCION '!$B$1:$M$52</definedName>
    <definedName name="Cabine15" localSheetId="2">'[1]Coleta de Dados'!$BF$7:$BF$1129</definedName>
    <definedName name="Cabine15">'[2]Coleta de Dados'!$BF$7:$BF$1129</definedName>
    <definedName name="Cabine32" localSheetId="2">'[1]Coleta de Dados'!$BL$7:$BL$1129</definedName>
    <definedName name="Cabine32">'[2]Coleta de Dados'!$BL$7:$BL$1129</definedName>
    <definedName name="Cabine85" localSheetId="2">'[1]Coleta de Dados'!$BG$7:$BG$1129</definedName>
    <definedName name="Cabine85">'[2]Coleta de Dados'!$BG$7:$BG$1129</definedName>
    <definedName name="CentrosdeCustos" localSheetId="2">[1]Consulta!$A$2:$E$30</definedName>
    <definedName name="CentrosdeCustos">[2]Consulta!$A$2:$E$30</definedName>
    <definedName name="Compressores" localSheetId="2">'[1]Coleta de Dados'!$BR$7:$BR$1129</definedName>
    <definedName name="Compressores">'[2]Coleta de Dados'!$BR$7:$BR$1129</definedName>
    <definedName name="Dados" localSheetId="2">'[1]Coleta de Dados'!$C$7:$Y$1129</definedName>
    <definedName name="Dados">'[2]Coleta de Dados'!$C$7:$Y$1129</definedName>
    <definedName name="DataTérmino" localSheetId="2">'[1]Coleta de Dados'!$W$7:$W$1129</definedName>
    <definedName name="DataTérmino">'[2]Coleta de Dados'!$W$7:$W$1129</definedName>
    <definedName name="DimecoConectores" localSheetId="2">'[1]Coleta de Dados'!$BV$7:$BV$1129</definedName>
    <definedName name="DimecoConectores">'[2]Coleta de Dados'!$BV$7:$BV$1129</definedName>
    <definedName name="DimecoTravesanos" localSheetId="2">'[1]Coleta de Dados'!$BI$7:$BI$1129</definedName>
    <definedName name="DimecoTravesanos">'[2]Coleta de Dados'!$BI$7:$BI$1129</definedName>
    <definedName name="DobradeiraSorg" localSheetId="2">'[1]Coleta de Dados'!$BU$7:$BU$1129</definedName>
    <definedName name="DobradeiraSorg">'[2]Coleta de Dados'!$BU$7:$BU$1129</definedName>
    <definedName name="Emissão" localSheetId="2">'[1]Coleta de Dados'!$AD$1:$AD$65536</definedName>
    <definedName name="Emissão">'[2]Coleta de Dados'!$AD$1:$AD$65536</definedName>
    <definedName name="Empilhadeiraelet" localSheetId="2">'[1]Coleta de Dados'!$CC$7:$CC$1129</definedName>
    <definedName name="Empilhadeiraelet">'[2]Coleta de Dados'!$CC$7:$CC$1129</definedName>
    <definedName name="Entradas" localSheetId="2">'[1]Coleta de Dados'!$F$7:$F$1129</definedName>
    <definedName name="Entradas">'[2]Coleta de Dados'!$F$7:$F$1129</definedName>
    <definedName name="Equipamentos" localSheetId="2">'[1]Coleta de Dados'!$H$7:$H$1129</definedName>
    <definedName name="Equipamentos">'[2]Coleta de Dados'!$H$7:$H$1129</definedName>
    <definedName name="Esmerilhadeira" localSheetId="2">'[1]Coleta de Dados'!$CD$7:$CD$1129</definedName>
    <definedName name="Esmerilhadeira">'[2]Coleta de Dados'!$CD$7:$CD$1129</definedName>
    <definedName name="FagorLargueros" localSheetId="2">'[1]Coleta de Dados'!$BM$7:$BM$1129</definedName>
    <definedName name="FagorLargueros">'[2]Coleta de Dados'!$BM$7:$BM$1129</definedName>
    <definedName name="FagorMontantes" localSheetId="2">'[1]Coleta de Dados'!$BJ$7:$BJ$1129</definedName>
    <definedName name="FagorMontantes">'[2]Coleta de Dados'!$BJ$7:$BJ$1129</definedName>
    <definedName name="Fresadora" localSheetId="2">'[1]Coleta de Dados'!$BT$7:$BT$1129</definedName>
    <definedName name="Fresadora">'[2]Coleta de Dados'!$BT$7:$BT$1129</definedName>
    <definedName name="FuradeiraColuna" localSheetId="2">'[1]Coleta de Dados'!$BS$7:$BS$1129</definedName>
    <definedName name="FuradeiraColuna">'[2]Coleta de Dados'!$BS$7:$BS$1129</definedName>
    <definedName name="Gasparini" localSheetId="2">'[1]Coleta de Dados'!$BN$7:$BN$1129</definedName>
    <definedName name="Gasparini">'[2]Coleta de Dados'!$BN$7:$BN$1129</definedName>
    <definedName name="GuilhotinaSorg" localSheetId="2">'[1]Coleta de Dados'!$BK$7:$BK$1129</definedName>
    <definedName name="GuilhotinaSorg">'[2]Coleta de Dados'!$BK$7:$BK$1129</definedName>
    <definedName name="imp" localSheetId="2">'[1]Coleta de Dados'!#REF!</definedName>
    <definedName name="imp" localSheetId="1">'[2]Coleta de Dados'!#REF!</definedName>
    <definedName name="imp">'[2]Coleta de Dados'!#REF!</definedName>
    <definedName name="Impressora" localSheetId="2">'[1]Coleta de Dados'!#REF!</definedName>
    <definedName name="Impressora" localSheetId="1">'[2]Coleta de Dados'!#REF!</definedName>
    <definedName name="Impressora">'[2]Coleta de Dados'!#REF!</definedName>
    <definedName name="LUIS" localSheetId="2">'[1]Coleta de Dados'!#REF!</definedName>
    <definedName name="LUIS">'[2]Coleta de Dados'!#REF!</definedName>
    <definedName name="MáqEmbalar" localSheetId="2">'[1]Coleta de Dados'!$CA$7:$CA$1129</definedName>
    <definedName name="MáqEmbalar">'[2]Coleta de Dados'!$CA$7:$CA$1129</definedName>
    <definedName name="Mês" localSheetId="2">'[1]Coleta de Dados'!$AB$7:$AB$1129</definedName>
    <definedName name="Mês">'[2]Coleta de Dados'!$AB$7:$AB$1129</definedName>
    <definedName name="MêsI" localSheetId="2">'[1]Coleta de Dados'!$AB$7:$AB$1129</definedName>
    <definedName name="MêsI">'[2]Coleta de Dados'!$AB$7:$AB$1129</definedName>
    <definedName name="MêsT" localSheetId="2">'[1]Coleta de Dados'!$AC$7:$AC$1129</definedName>
    <definedName name="MêsT">'[2]Coleta de Dados'!$AC$7:$AC$1129</definedName>
    <definedName name="PrensaJundiaí" localSheetId="2">'[1]Coleta de Dados'!$BO$7:$BO$1129</definedName>
    <definedName name="PrensaJundiaí">'[2]Coleta de Dados'!$BO$7:$BO$1129</definedName>
    <definedName name="Retífica" localSheetId="2">'[1]Coleta de Dados'!$BY$7:$BY$1129</definedName>
    <definedName name="Retífica">'[2]Coleta de Dados'!$BY$7:$BY$1129</definedName>
    <definedName name="RobôAuto" localSheetId="2">'[1]Coleta de Dados'!$BX$7:$BX$1129</definedName>
    <definedName name="RobôAuto">'[2]Coleta de Dados'!$BX$7:$BX$1129</definedName>
    <definedName name="RobôManual" localSheetId="2">'[1]Coleta de Dados'!$BP$7:$BP$1129</definedName>
    <definedName name="RobôManual">'[2]Coleta de Dados'!$BP$7:$BP$1129</definedName>
    <definedName name="Saídas" localSheetId="2">'[1]Coleta de Dados'!$V$7:$V$1129</definedName>
    <definedName name="Saídas">'[2]Coleta de Dados'!$V$7:$V$1129</definedName>
    <definedName name="Serra_Elétrica_Circular" localSheetId="2">'[1]Coleta de Dados'!$CB$7:$CB$1129</definedName>
    <definedName name="Serra_Elétrica_Circular">'[2]Coleta de Dados'!$CB$7:$CB$1129</definedName>
    <definedName name="SerraFita" localSheetId="2">'[1]Coleta de Dados'!$BZ$7:$BZ$1129</definedName>
    <definedName name="SerraFita">'[2]Coleta de Dados'!$BZ$7:$BZ$1129</definedName>
    <definedName name="SoldaMIG" localSheetId="2">'[1]Coleta de Dados'!$BH$7:$BH$1129</definedName>
    <definedName name="SoldaMIG">'[2]Coleta de Dados'!$BH$7:$BH$1129</definedName>
    <definedName name="Torno" localSheetId="2">'[1]Coleta de Dados'!$BQ$7:$BQ$1129</definedName>
    <definedName name="Torno">'[2]Coleta de Dados'!$BQ$7:$BQ$1129</definedName>
    <definedName name="TotalManut" localSheetId="2">'[1]Coleta de Dados'!$Y$7:$Y$1129</definedName>
    <definedName name="TotalManut">'[2]Coleta de Dados'!$Y$7:$Y$1129</definedName>
    <definedName name="TotalParada" localSheetId="2">'[1]Coleta de Dados'!$X$7:$X$1129</definedName>
    <definedName name="TotalParada">'[2]Coleta de Dados'!$X$7:$X$1129</definedName>
    <definedName name="Urgente" localSheetId="2">'[1]Coleta de Dados'!$L$7:$L$1129</definedName>
    <definedName name="Urgente">'[2]Coleta de Dados'!$L$7:$L$1129</definedName>
    <definedName name="Z_6B998466_73A3_49B0_90A4_8357F5811908_.wvu.Cols" localSheetId="1">'ATENCION '!$N:$N</definedName>
    <definedName name="Z_6B998466_73A3_49B0_90A4_8357F5811908_.wvu.PrintArea" localSheetId="1">'ATENCION '!$B$1:$M$52</definedName>
    <definedName name="Z_6B998466_73A3_49B0_90A4_8357F5811908_.wvu.Rows" localSheetId="1">'ATENCION '!$43:$44</definedName>
    <definedName name="Z_CCFA1E90_53A4_4356_91C1_949E68A601D1_.wvu.Cols" localSheetId="1">'ATENCION '!$N:$N</definedName>
    <definedName name="Z_CCFA1E90_53A4_4356_91C1_949E68A601D1_.wvu.PrintArea" localSheetId="1">'ATENCION '!$B$1:$M$52</definedName>
    <definedName name="Z_CCFA1E90_53A4_4356_91C1_949E68A601D1_.wvu.Rows" localSheetId="1">'ATENCION '!$43:$44</definedName>
    <definedName name="Zikeli" localSheetId="2">'[1]Coleta de Dados'!$BW$7:$BW$1129</definedName>
    <definedName name="Zikeli">'[2]Coleta de Dados'!$BW$7:$BW$1129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38" i="4" l="1"/>
  <c r="A11" i="16"/>
  <c r="B26" i="16"/>
  <c r="B20" i="16"/>
  <c r="J6" i="16"/>
  <c r="G6" i="16"/>
  <c r="D6" i="16"/>
  <c r="I138" i="4"/>
  <c r="T138" i="4" l="1"/>
  <c r="B138" i="4"/>
  <c r="C138" i="4"/>
  <c r="E138" i="4"/>
  <c r="F138" i="4"/>
  <c r="G138" i="4"/>
  <c r="H138" i="4"/>
  <c r="L138" i="4"/>
  <c r="W138" i="4"/>
  <c r="V138" i="4"/>
  <c r="U138" i="4"/>
  <c r="G46" i="15"/>
  <c r="M138" i="4"/>
</calcChain>
</file>

<file path=xl/sharedStrings.xml><?xml version="1.0" encoding="utf-8"?>
<sst xmlns="http://schemas.openxmlformats.org/spreadsheetml/2006/main" count="3152" uniqueCount="938">
  <si>
    <t>CLIENTE</t>
  </si>
  <si>
    <t>INSTITUCIÓN</t>
  </si>
  <si>
    <t>AUDIFARMA</t>
  </si>
  <si>
    <t xml:space="preserve">ANDREA PERILLA </t>
  </si>
  <si>
    <t>SUB RED SUR</t>
  </si>
  <si>
    <t xml:space="preserve">TUNAL </t>
  </si>
  <si>
    <t xml:space="preserve">MEISEN </t>
  </si>
  <si>
    <t>VISTA HERMOSA</t>
  </si>
  <si>
    <t>BAXTER</t>
  </si>
  <si>
    <t>SUB RED SUR OCCIDENTE</t>
  </si>
  <si>
    <t>KENNEDY</t>
  </si>
  <si>
    <t>BIO VIE S.A.S</t>
  </si>
  <si>
    <t>NORTE</t>
  </si>
  <si>
    <t xml:space="preserve">SUBA </t>
  </si>
  <si>
    <t>ENGATIVA</t>
  </si>
  <si>
    <t>SIMON BOLIVAR</t>
  </si>
  <si>
    <t>BOSTON MEDICAL</t>
  </si>
  <si>
    <t>CENTRO ORIENTE</t>
  </si>
  <si>
    <t>SANTA CLARA</t>
  </si>
  <si>
    <t>SAN BLAS</t>
  </si>
  <si>
    <t xml:space="preserve">MATERNO SUR </t>
  </si>
  <si>
    <t>VICTORIA</t>
  </si>
  <si>
    <t>BRAVO PAEZ</t>
  </si>
  <si>
    <t>FUNDACIÓN CARDIOINFANTIL INSTITUTO DE CARDIOLOGÍA</t>
  </si>
  <si>
    <t xml:space="preserve">BOSTON MEDICAL </t>
  </si>
  <si>
    <t>CAMINO UNIVERSITARIO DISTRITAL ADELITA DE CHAR</t>
  </si>
  <si>
    <t>CENTRO ONCOLOGICO DEL CARIBE  COC</t>
  </si>
  <si>
    <t>CAF SAN PEDRO MEDELLIN</t>
  </si>
  <si>
    <t>CENTRO CARDIOVASCULAR COLOMBIANO S.A.S.</t>
  </si>
  <si>
    <t>CALLE 26</t>
  </si>
  <si>
    <t>CENTRO DE EXPERTOS PARA LA ATENCION INTEGRAL IPS SAS</t>
  </si>
  <si>
    <t>CENTURY FARMA SAS</t>
  </si>
  <si>
    <t>CHRISTUS SINERGIA</t>
  </si>
  <si>
    <t xml:space="preserve">CEPAIN </t>
  </si>
  <si>
    <t>CECIMIN</t>
  </si>
  <si>
    <t>CEDI TENJO</t>
  </si>
  <si>
    <t>CLINICA  PORTOAZUL</t>
  </si>
  <si>
    <t>CLINICA AVIDANTI</t>
  </si>
  <si>
    <t>CENTRO MEDICO IMBANACO</t>
  </si>
  <si>
    <t>CLINICA CHICAMOCHA S.A</t>
  </si>
  <si>
    <t>CENTRO NACIONAL DE ONCOLOGIA</t>
  </si>
  <si>
    <t>Clínica Comfamiliar</t>
  </si>
  <si>
    <t>CENTURY FARMA</t>
  </si>
  <si>
    <t>CLÍNICA DE MARLY JORGE CAVELIER GAVIRIA</t>
  </si>
  <si>
    <t>CEPAIN IPS</t>
  </si>
  <si>
    <t>CLINICA DE MARLY S.A.</t>
  </si>
  <si>
    <t>CLINICA AMIGA</t>
  </si>
  <si>
    <t>CLINICA DEL OCCIDENTE S.A.</t>
  </si>
  <si>
    <t>CLINICA ATENAS</t>
  </si>
  <si>
    <t>CLINICA DEL TOLIMA</t>
  </si>
  <si>
    <t>CLINICA DESA</t>
  </si>
  <si>
    <t>CLINICA BARRAQUER</t>
  </si>
  <si>
    <t>CLINICA EL LAGO</t>
  </si>
  <si>
    <t>CLINICA CENTENARIO</t>
  </si>
  <si>
    <t>CLINICA EL PRADO</t>
  </si>
  <si>
    <t>CLINICA CHICAMOCHA</t>
  </si>
  <si>
    <t>CLINICA INTERNACIONAL LA MISERICORDIA. OINSAMED</t>
  </si>
  <si>
    <t>CLINICA COLINA</t>
  </si>
  <si>
    <t>CLINICA MAGDALENA SAS</t>
  </si>
  <si>
    <t xml:space="preserve">CLINICA MARIANGEL </t>
  </si>
  <si>
    <t xml:space="preserve">CLINICA DE LA MUJER </t>
  </si>
  <si>
    <t>CLINICA MATERNO INFANTIL DE SAN LUIS</t>
  </si>
  <si>
    <t>CLÍNICA DE LA PRESENTACIÓN</t>
  </si>
  <si>
    <t>CLINICA NUEVA</t>
  </si>
  <si>
    <t>CLINICA DE MARLY BOGOTA</t>
  </si>
  <si>
    <t>CLINICA PARTENON LTDA</t>
  </si>
  <si>
    <t>CLINICA DE MARLY CHIA</t>
  </si>
  <si>
    <t>CLINICA REY DAVID</t>
  </si>
  <si>
    <t>CLINICA DE OCCIDENTE</t>
  </si>
  <si>
    <t>CLINICA SAGRADO CORAZON</t>
  </si>
  <si>
    <t>CLINICA SAN FRANCISCO</t>
  </si>
  <si>
    <t>CLINICA DEL CARMEN</t>
  </si>
  <si>
    <t>CLINICA SAN JUAN DE DIOS LA CEJA </t>
  </si>
  <si>
    <t>CLINICA AVANTRI</t>
  </si>
  <si>
    <t>CLINICA SOMA</t>
  </si>
  <si>
    <t>CLINICA UNIVERSIDAD DE LA SABANA</t>
  </si>
  <si>
    <t>Clínica de Fracturas</t>
  </si>
  <si>
    <t>CLINICA ESENSA</t>
  </si>
  <si>
    <t>CLINICA VICTORIANA</t>
  </si>
  <si>
    <t>CLINICA ESIMED IBAGUE</t>
  </si>
  <si>
    <t>Clínica San Rafael de Popayán</t>
  </si>
  <si>
    <t>CLINICA ESIMED TUNJA</t>
  </si>
  <si>
    <t>CONGREGACION DE DOMINICAS DE SANTA CATALINA DE SENA</t>
  </si>
  <si>
    <t>CORPAUL</t>
  </si>
  <si>
    <t xml:space="preserve">CORPAUL </t>
  </si>
  <si>
    <t>CLINICA FOSCAL</t>
  </si>
  <si>
    <t xml:space="preserve">Cooemssanar I.P.S. Ltda. </t>
  </si>
  <si>
    <t>CLINICA FUNDADORES</t>
  </si>
  <si>
    <t>COOPERATIVA DE HOSPITALES DE ANTIOQUIA COHAN</t>
  </si>
  <si>
    <t>CLINICA INTERNACIONAL LA MISERICORDIA OINSAMED</t>
  </si>
  <si>
    <t>COOPERATIVA DE HOSPITALES DE VILLAVICENCIO COHAN</t>
  </si>
  <si>
    <t>CLINICA JULIO ENRIQUE MEDRANO</t>
  </si>
  <si>
    <t>CORPORACION HOSPITALARIA JUAN CIUDAD</t>
  </si>
  <si>
    <t>CLINICA LLANOS</t>
  </si>
  <si>
    <t>CRUZ ROJA COLOMBIANA SECCIONAL CUNDINAMARCA Y BOGOTA D.C.</t>
  </si>
  <si>
    <t>CLINICA MAGDALENA</t>
  </si>
  <si>
    <t>DISTRIBUIDORA COLOMBIANA DE MEDICAMENTOS S.A.S.-DISCOLMEDICA S.A.S</t>
  </si>
  <si>
    <t>CLINICA MARIANGEL</t>
  </si>
  <si>
    <t>DROGUERIAS Y FARMACIAS CRUZ VERDE SAS</t>
  </si>
  <si>
    <t>CLINICA MATERNO INFANTIL</t>
  </si>
  <si>
    <t>E. S .E. HOSPITAL NUESTRA SEÑORA DEL CARMEN DEL COLEGIO</t>
  </si>
  <si>
    <t>CLINICA MEDICAL</t>
  </si>
  <si>
    <t>E.S.E. Hospital Departamental Universitario del Quindío San Juan de Dios</t>
  </si>
  <si>
    <t>CLINICA NORTE</t>
  </si>
  <si>
    <t>ESTUDIO E INVERSIONES MEDICAS S.A. ESIMED S.A.</t>
  </si>
  <si>
    <t>EVOLUCIA</t>
  </si>
  <si>
    <t>CLINICA PARTENON</t>
  </si>
  <si>
    <t>FARMALOGICA</t>
  </si>
  <si>
    <t>CLINICA PORTOAZUL</t>
  </si>
  <si>
    <t>FRESENIUS MEDICAL CARE COLOMBIA S.A.</t>
  </si>
  <si>
    <t>FUND CLINICA INFANTIL CLUB NOEL</t>
  </si>
  <si>
    <t>FUNDACIÓN CAMPBELL</t>
  </si>
  <si>
    <t>FUNDACIÓN HOSPITAL INFANTIL NAPOLEÓN FRANCO PAREJA – LA CASA DEL NIÑO</t>
  </si>
  <si>
    <t>CLINICA SAN LUIS</t>
  </si>
  <si>
    <t>FUNDACION HOSPITAL SAN CARLOS</t>
  </si>
  <si>
    <t xml:space="preserve">FUNDACION SAN VICENTE </t>
  </si>
  <si>
    <t>CLINICA TEQUENDAMA</t>
  </si>
  <si>
    <t>FUNDACION SANTA FE</t>
  </si>
  <si>
    <t>CLINICA UNIVERSITARIA BOLIVARIANA</t>
  </si>
  <si>
    <t>FUNDACION VALLE DE LILI</t>
  </si>
  <si>
    <t xml:space="preserve">CLINICA UNIVERSITARIA COLOMBIA </t>
  </si>
  <si>
    <t>HEALTH &amp; LIFE IPS S A S</t>
  </si>
  <si>
    <t>HEMATONCOLOGOS</t>
  </si>
  <si>
    <t>CLINICA UNIVERSITARIA DE LA SABANA</t>
  </si>
  <si>
    <t>HERMANAS DE LA CARIDAD DOMINICAS DE LA PRESENTACION DE LA SANTISIMA VIRGEN – CLÍNICA DE LA PRESENTACIÓN</t>
  </si>
  <si>
    <t>COHAN</t>
  </si>
  <si>
    <t>LA E.S.E. HOSPITAL MENTAL DE ANTIOQUIA MARÍA UPEGUI – HOMO</t>
  </si>
  <si>
    <t xml:space="preserve">COOEMSSANAR I.P.S LTDA.- UNIDAD RENAL </t>
  </si>
  <si>
    <t>Hospital Francisco de Paula Santander E.S.E</t>
  </si>
  <si>
    <t>HOSPITAL MILITAR</t>
  </si>
  <si>
    <t xml:space="preserve">CORPORACION CLINICA UNIVERSIDAD COPERATIVA DE COLOMBIA (CLINICA UCC) </t>
  </si>
  <si>
    <t>HOSPITAL DE GRANADA</t>
  </si>
  <si>
    <t>HOSPITAL FEDERICO LLERAS ACOSTA DE IBAGUE TOLIMA ESE</t>
  </si>
  <si>
    <t xml:space="preserve"> HOSPITAL MARCO FIDEL SUAREZ DE BELLO</t>
  </si>
  <si>
    <t>DUMIAN GIRARDOT</t>
  </si>
  <si>
    <t>HOSPITAL MARIA AUXILIADORA EMPRESA SOCIAL DEL ESTADO DEL MUNICIPIO DE MOSQUERA</t>
  </si>
  <si>
    <t>E.S.E.  HOMO</t>
  </si>
  <si>
    <t>HOSPITAL SAN RAFAEL DE CAQUEZA</t>
  </si>
  <si>
    <t>HOSPITAL SAN VICENTE DE PAUL GARZON HUILA</t>
  </si>
  <si>
    <t>HOSPITAL SANTA CLARA</t>
  </si>
  <si>
    <t>HOSPITAL SERENA DEL MAR</t>
  </si>
  <si>
    <t>FARMA QX</t>
  </si>
  <si>
    <t>HOSPITAL SIMON BOLIVAR</t>
  </si>
  <si>
    <t>HOSPITAL UNIVERSITARIO CLINICA SAN RAFAEL</t>
  </si>
  <si>
    <t>FUNACION SAN VICENTE</t>
  </si>
  <si>
    <t>HOSPITAL UNIVERSITARIO DE LA SAMARITANA E.S.E.</t>
  </si>
  <si>
    <t>HOSPITAL UNIVERSITARIO DE SANTANDER</t>
  </si>
  <si>
    <t>FUND HOSPITAL INFANTIL NAPOLEON FRANCO PAREJA</t>
  </si>
  <si>
    <t>HOSPITAL UNIVERSITARIO DEL VALLE EVARISTO GARCIA</t>
  </si>
  <si>
    <t>FUND SHAIO</t>
  </si>
  <si>
    <t>HOSPITAL UNIVERSITARIO SAN JORGE PEREIRA</t>
  </si>
  <si>
    <t>INSTITUTO DEL CORAZON DE BUCARAMANGA S.A</t>
  </si>
  <si>
    <t>INSTITUTO DE TRASPLANTE DE MEDULA OSEA</t>
  </si>
  <si>
    <t>FUNDACION HOSPITAL SAN CARLOS BOGOTA</t>
  </si>
  <si>
    <t>INVERSIONES LUCEDMARB SA</t>
  </si>
  <si>
    <t>MAGILAB S.A.S</t>
  </si>
  <si>
    <t>MACROMEDICOS SAS</t>
  </si>
  <si>
    <t>GRUPO BOSTON MEDICAL</t>
  </si>
  <si>
    <t xml:space="preserve">MEDERI HOSPITAL UNIVERSITARIO MAYOR </t>
  </si>
  <si>
    <t>MEDIASISTENCIA</t>
  </si>
  <si>
    <t>MEDICARTE</t>
  </si>
  <si>
    <t>HOSPITAL  MEISSEN</t>
  </si>
  <si>
    <t>MEDICADIZ S.A.S</t>
  </si>
  <si>
    <t>MEDICAL PRO&amp;NFO S.A.S</t>
  </si>
  <si>
    <t>HOSPITAL DE SAN JOSE</t>
  </si>
  <si>
    <t>MEDICOS ASOCIADOS SA</t>
  </si>
  <si>
    <t>HOSPITAL DE SUBA</t>
  </si>
  <si>
    <t>MI RED</t>
  </si>
  <si>
    <t xml:space="preserve">HOSPITAL DE TUNJUELITO </t>
  </si>
  <si>
    <t>NATIONAL CLINICS CENTENARIO S.A.S.</t>
  </si>
  <si>
    <t>HOSPITAL DEPARTAMENTAL DE VILLAVICENCIO</t>
  </si>
  <si>
    <t>NUMIX</t>
  </si>
  <si>
    <t>HOSPITAL ENGATIVA</t>
  </si>
  <si>
    <t>NUTRIESTETICA</t>
  </si>
  <si>
    <t>HOSPITAL FEDERICO LLERAS ACOSTA DE IBAGUE TOLIMA</t>
  </si>
  <si>
    <t>ONCOLOGIA DUMIAN CLINICA MARIANGE</t>
  </si>
  <si>
    <t>HOSPITAL JORGE ELIECER GAITAN</t>
  </si>
  <si>
    <t>OREDEN HOSPITALARIA DE SAN JUAN DE DIOS BOGOTA</t>
  </si>
  <si>
    <t>HOSPITAL KENNEDY</t>
  </si>
  <si>
    <t>ONCO-ORIENTE</t>
  </si>
  <si>
    <t>HOSPITAL LA VICTORIA</t>
  </si>
  <si>
    <t>PERILLA MORENO LILIANA ANDREA</t>
  </si>
  <si>
    <t>HOSPITAL MANUELA BELTRAN</t>
  </si>
  <si>
    <t>PROCARDIO SERVICIOS MEDICOS INTEGRALES SAS</t>
  </si>
  <si>
    <t>HOSPITAL MENTAL DE ANTIOQUIA</t>
  </si>
  <si>
    <t>PROMOSALUD IPS SEDE HOSPITALARIA CLINICA EL PRADO</t>
  </si>
  <si>
    <t>PROVIDA IPS</t>
  </si>
  <si>
    <t>HOSPITAL SAMARITANA</t>
  </si>
  <si>
    <t>RADIOTERAPIA ONCOLOGIA MARLY S A</t>
  </si>
  <si>
    <t>HOSPITAL SAN BLAS</t>
  </si>
  <si>
    <t>RED VITAL DEL VALLE</t>
  </si>
  <si>
    <t>HOSPITAL SAN RAFAEL DE ITAGUI</t>
  </si>
  <si>
    <t>RM SUMINISTROS UT</t>
  </si>
  <si>
    <t>HOSPITAL SAN VICENTE DE PAUL DE CALDAS</t>
  </si>
  <si>
    <t>RIESGO DE FRACTURA S.A - CAYRE</t>
  </si>
  <si>
    <t>SALUD EN CASA MEDICOS</t>
  </si>
  <si>
    <t>SAVIA SALUD EPS</t>
  </si>
  <si>
    <t>SERVICIOS MEDICOS  MS LTDA</t>
  </si>
  <si>
    <t>SERVICIOS MEDICOS INTEGRALES DE SALUD SAS</t>
  </si>
  <si>
    <t>HOSPITAL TUNAL</t>
  </si>
  <si>
    <t>SOCIEDAD CLINICA CASANARE LTDA</t>
  </si>
  <si>
    <t>HOSPITAL U SAN RAFAEL BOGOTA</t>
  </si>
  <si>
    <t>SUBRED INTEGRADA DE SERVICIOS DE SALUD CENTRO ORIENTE E.S.E</t>
  </si>
  <si>
    <t>HOSPITAL UNIVERSITARIO SAN JORGE DE PEREIRA</t>
  </si>
  <si>
    <t>SUBRED INTEGRADA DE SERVICIOS DE SALUD NORTE E.S.E</t>
  </si>
  <si>
    <t>HOSPITAL UNIVERSITARIO SANTANDER</t>
  </si>
  <si>
    <t>SUBRED INTEGRADA DE SERVICIOS DE SALUD SUR E.S.E.</t>
  </si>
  <si>
    <t>SUBRED INTEGRADA DE SERVICIOS DE SALUD SUROCCIDENTE E.S.E.</t>
  </si>
  <si>
    <t>INSTITUTO MATERNO INFANTIL</t>
  </si>
  <si>
    <t xml:space="preserve">SYD COLOMBIA </t>
  </si>
  <si>
    <t xml:space="preserve">INSTITUTO NACIONAL DE CANCEROLOGIA </t>
  </si>
  <si>
    <t>UNIDAD DE ORIENTACION Y ASISTENCIA MATERNA</t>
  </si>
  <si>
    <t>IVAN DUQUE</t>
  </si>
  <si>
    <t>UNIDHOS IPS</t>
  </si>
  <si>
    <t>LA CASA DEL NIÑO</t>
  </si>
  <si>
    <t>UNION TEMPORAL RED VITAL</t>
  </si>
  <si>
    <t>LIGA CONTRA EL CANCER DE RISARALDA</t>
  </si>
  <si>
    <t>UNION TEMPORAL SERVISALUD SAN JOSE</t>
  </si>
  <si>
    <t xml:space="preserve">UNIVERSIDAD PONTIFICIA BOLIVARIANA </t>
  </si>
  <si>
    <t>MACROMEDICOS</t>
  </si>
  <si>
    <t xml:space="preserve">VALLESALUD </t>
  </si>
  <si>
    <t>MARIO GAITAN YANGUAS</t>
  </si>
  <si>
    <t>MARLY RADIOTERAPIA</t>
  </si>
  <si>
    <t>LIGA CONTRA EL CÁNCER RISARALDA</t>
  </si>
  <si>
    <t>MEDERI HOSPITAL UNIVERSITARIO MAYOR</t>
  </si>
  <si>
    <t>MEDEX</t>
  </si>
  <si>
    <t>MEDICARTES</t>
  </si>
  <si>
    <t>MEDICADIZ</t>
  </si>
  <si>
    <t>MEDICOL</t>
  </si>
  <si>
    <t>ONCOLOGIA DUMIAN CLINICA MARIANGEL</t>
  </si>
  <si>
    <t>PROCARDIO</t>
  </si>
  <si>
    <t>REINA SOFIA</t>
  </si>
  <si>
    <t>RTS  AGENCIA HUV</t>
  </si>
  <si>
    <t>RTS  SANTA CLARA</t>
  </si>
  <si>
    <t>RTS AGENCIA PALMIRA</t>
  </si>
  <si>
    <t>RTS AGENCIA SANTA CLARA</t>
  </si>
  <si>
    <t>RTS AGENCIA SUCURSAL POPAYAN</t>
  </si>
  <si>
    <t>RTS BARRANQUILLA</t>
  </si>
  <si>
    <t>RTS CARDIOINFANTIL</t>
  </si>
  <si>
    <t>RTS CARTAGUENA</t>
  </si>
  <si>
    <t>RTS CLINICA CHIA</t>
  </si>
  <si>
    <t>RTS HUV</t>
  </si>
  <si>
    <t>RTS MEDELLIN</t>
  </si>
  <si>
    <t>RTS PEREIRA</t>
  </si>
  <si>
    <t>RTS SERVICIO DE TERAPIA RENAL</t>
  </si>
  <si>
    <t xml:space="preserve">RTS SINCELEJO </t>
  </si>
  <si>
    <t>RTS SUC APARTADO</t>
  </si>
  <si>
    <t>RTS SUC BUGA</t>
  </si>
  <si>
    <t>RTS SUC CALDAS</t>
  </si>
  <si>
    <t>RTS SUC CUCUTA</t>
  </si>
  <si>
    <t>RTS SUC. BARRANQUILLA</t>
  </si>
  <si>
    <t>RTS SUC. SANDIEGO</t>
  </si>
  <si>
    <t>SAD BOGOTA</t>
  </si>
  <si>
    <t>SAD CEPAIN SOGAMOSO Y TUNJA</t>
  </si>
  <si>
    <t>SALUDTREC SAS</t>
  </si>
  <si>
    <t>SAN RAFAEL DE CAQUEZA</t>
  </si>
  <si>
    <t>UMHS MATERNO INFANTIL</t>
  </si>
  <si>
    <t>UNIDAD MEDICA ONCOLIFE</t>
  </si>
  <si>
    <t>Unidad Renal</t>
  </si>
  <si>
    <t>UNION TEMPORAL RED VIRTAL</t>
  </si>
  <si>
    <t>VALLE SALUD</t>
  </si>
  <si>
    <t>VIDAMEICA IPS</t>
  </si>
  <si>
    <t>Pagina 1 de 1</t>
  </si>
  <si>
    <t>ATENCIÓN Y SEGUIMIENTO DE PQRS</t>
  </si>
  <si>
    <t>DATOS DE RECEPCIÓN DE PQRS</t>
  </si>
  <si>
    <t>Fecha PQRS:</t>
  </si>
  <si>
    <t>Regional:</t>
  </si>
  <si>
    <t>CUNDINAMARCA</t>
  </si>
  <si>
    <t>Solicitud N°:</t>
  </si>
  <si>
    <t>Hora de recepción</t>
  </si>
  <si>
    <t>Medio de la queja</t>
  </si>
  <si>
    <t>IMAIL</t>
  </si>
  <si>
    <t>Carta, E-mail, Telefono, Web, Personal</t>
  </si>
  <si>
    <t>Nombre del receptor de la PQRS</t>
  </si>
  <si>
    <t>SERVICIO AL CLIENTE</t>
  </si>
  <si>
    <t>DATOS DEL SOLICITANTE</t>
  </si>
  <si>
    <t>INSTITUCION</t>
  </si>
  <si>
    <t>CIUDAD</t>
  </si>
  <si>
    <t>NOMBRE Y CARGO DEL SOLICITANTE</t>
  </si>
  <si>
    <t>TELEFONO</t>
  </si>
  <si>
    <t>TIPO DE SOLICITUD</t>
  </si>
  <si>
    <t>QUEJA</t>
  </si>
  <si>
    <t>Sugerencia,  Pregunta, Queja,  Reclamo ,  Felicitación</t>
  </si>
  <si>
    <t xml:space="preserve">PROCESO RELACIONADO </t>
  </si>
  <si>
    <t>,</t>
  </si>
  <si>
    <t>Tecnica</t>
  </si>
  <si>
    <t>DIFERENCIA EN INVENTARIO EN CUSTODIA</t>
  </si>
  <si>
    <t>ESTERILES</t>
  </si>
  <si>
    <t>Servicio</t>
  </si>
  <si>
    <t>X</t>
  </si>
  <si>
    <t>TIPIFICACION</t>
  </si>
  <si>
    <t>Línea</t>
  </si>
  <si>
    <t>(NPT, Estériles, Oncología, No Esteriles, Magistral)</t>
  </si>
  <si>
    <t>DESCRIPCIÓN DE LA SOLICITUD</t>
  </si>
  <si>
    <t>Describa la situación citando hechos y datos ( Lote, Fecha, ID), teniendo en cuenta las siguientes preguntas: Qué? Quién? Dónde? Cuándo?</t>
  </si>
  <si>
    <t>FECHA</t>
  </si>
  <si>
    <t>RESPONSABLE</t>
  </si>
  <si>
    <t>OBSERVACIONES</t>
  </si>
  <si>
    <t>Acuse de recibo de la queja al reclamante</t>
  </si>
  <si>
    <t>Evaluación e investigación de la queja</t>
  </si>
  <si>
    <t>Solución de la queja</t>
  </si>
  <si>
    <t>Información al reclamante</t>
  </si>
  <si>
    <t>Verificación de las acciones</t>
  </si>
  <si>
    <t>La respuesta fue satisfactoria            si                                        no</t>
  </si>
  <si>
    <t>Cierre de la queja</t>
  </si>
  <si>
    <t>ANÁLISIS E INVESTIGACIÓN DE PQRS</t>
  </si>
  <si>
    <t>(dd/mm/aa)</t>
  </si>
  <si>
    <t xml:space="preserve"> </t>
  </si>
  <si>
    <t>INVESTIGACION</t>
  </si>
  <si>
    <t>Cliente / Institución</t>
  </si>
  <si>
    <t>Área o Proceso Involucrado en la investigación de la PQRS</t>
  </si>
  <si>
    <t>PRODUCCIÓN Y DIRECCIÓN TÉCNICA</t>
  </si>
  <si>
    <t>Responsable de la Investigación</t>
  </si>
  <si>
    <t>FRANCISCO  ALVAREZ</t>
  </si>
  <si>
    <t>Cargo</t>
  </si>
  <si>
    <t>CLASIFICACIÓN DE LA QUEJA</t>
  </si>
  <si>
    <t>IMPORTANTE</t>
  </si>
  <si>
    <t xml:space="preserve">TÉCNICA : </t>
  </si>
  <si>
    <t xml:space="preserve">Critico,   Mayor , Menor </t>
  </si>
  <si>
    <t xml:space="preserve"> POR SERVICIO: </t>
  </si>
  <si>
    <t>Imprescindible,  Importante,  Normal</t>
  </si>
  <si>
    <t>Causa del problema</t>
  </si>
  <si>
    <t>Que acción se va a realizar</t>
  </si>
  <si>
    <t>Quién será el responsable</t>
  </si>
  <si>
    <t>Fecha de Implementación</t>
  </si>
  <si>
    <t>FECHA ENTREGA FORMATO</t>
  </si>
  <si>
    <t>VoBo Calidad</t>
  </si>
  <si>
    <t>Pagina 1 de 2</t>
  </si>
  <si>
    <t>LISTADO MAESTRO DE PQRS (BASE DIGITAL NACIONAL)</t>
  </si>
  <si>
    <t>DATOS ENTREGADOS POR EL SOLICITANTE</t>
  </si>
  <si>
    <t>CLASIFICACIÓN INTERNA</t>
  </si>
  <si>
    <t>SEGUIMIENTO</t>
  </si>
  <si>
    <t>DATOS DEL CLIENTE</t>
  </si>
  <si>
    <t>CODIGO</t>
  </si>
  <si>
    <t>FECHA DE RECEPCIÓN</t>
  </si>
  <si>
    <t>MES</t>
  </si>
  <si>
    <t>REGIONAL</t>
  </si>
  <si>
    <t>LÍNEA</t>
  </si>
  <si>
    <t>DESCRIPCIÓN</t>
  </si>
  <si>
    <t>TIPIFICACIÓN</t>
  </si>
  <si>
    <t>PROCEDE</t>
  </si>
  <si>
    <t>CLASIFICACIÓN</t>
  </si>
  <si>
    <t>PROCESO</t>
  </si>
  <si>
    <t>FECHA ENTREGA LÍDER</t>
  </si>
  <si>
    <t>FECHA RESPUESTA FINAL</t>
  </si>
  <si>
    <t>ESTATUS 1
RESPUESTA</t>
  </si>
  <si>
    <t>FECHA VERIFICACIÓN ACCIONES</t>
  </si>
  <si>
    <t>ESTATUS 2 ACCIONES</t>
  </si>
  <si>
    <t>SOLICITUD RECIBIDA POR</t>
  </si>
  <si>
    <t>NOMBRE CONTACTO</t>
  </si>
  <si>
    <t>TELÉFONO</t>
  </si>
  <si>
    <t xml:space="preserve">CORREO ELECTRÓNICO E IMÁGENES </t>
  </si>
  <si>
    <t>ADJUNTOS</t>
  </si>
  <si>
    <t>INVESTIGADAS</t>
  </si>
  <si>
    <t>MARLY CUNDINAMARCA</t>
  </si>
  <si>
    <t>NPT</t>
  </si>
  <si>
    <t>ERROR DE INTERPRETACIÓN</t>
  </si>
  <si>
    <t>SI</t>
  </si>
  <si>
    <t>ABIERTA</t>
  </si>
  <si>
    <t>NO</t>
  </si>
  <si>
    <t>COSTA</t>
  </si>
  <si>
    <t>ONCOLOGÍA</t>
  </si>
  <si>
    <t>ENTREGA FUERA DEL ACUERDO DE SERVICIO</t>
  </si>
  <si>
    <t>MARTINEZ GRANADOS MARIA VICTORIA</t>
  </si>
  <si>
    <t>ERROR DE EMPAQUE</t>
  </si>
  <si>
    <t>OCCIDENTE</t>
  </si>
  <si>
    <t>PRODUCTO NO CONFORME</t>
  </si>
  <si>
    <t>SANTANDER</t>
  </si>
  <si>
    <t>ERROR EN ETIQUETA/CODIFICADO</t>
  </si>
  <si>
    <t>INCUMPLIMIENTO ACTIVIDADES O COMPROMISOS</t>
  </si>
  <si>
    <t>ERROR DE EMBALAJE</t>
  </si>
  <si>
    <t>CUNDINAMARCA SOLIDOS</t>
  </si>
  <si>
    <t>SOLIDOS</t>
  </si>
  <si>
    <t>DORIA NARVÁEZ  REYES ENRIQUE</t>
  </si>
  <si>
    <t>MAGISTRAL NO ESTERILES</t>
  </si>
  <si>
    <t>LLANOS</t>
  </si>
  <si>
    <t>DOSIS ANTICIPADA</t>
  </si>
  <si>
    <t>ERROR ALMACENAMIENTO/TRANSPORTE DE MEDICAMENTOS E INSUMOS</t>
  </si>
  <si>
    <t>OPERACIONES Y LOGÍSTICA</t>
  </si>
  <si>
    <t>HENRY GUEVARA  BOHORQUEZ</t>
  </si>
  <si>
    <t>TODAS</t>
  </si>
  <si>
    <t>ERROR DE RE EMPAQUE</t>
  </si>
  <si>
    <t>ANTIOQUIA</t>
  </si>
  <si>
    <t>GRANADA ESTRADA HERMES JAMES</t>
  </si>
  <si>
    <t>ANGELA MARCELA PARRA ESPITIA</t>
  </si>
  <si>
    <t>RUBER VALECILLOS</t>
  </si>
  <si>
    <t>SOLICITUD DEL CLIENTE</t>
  </si>
  <si>
    <t>COMERCIAL</t>
  </si>
  <si>
    <t>NATHALY TRIANA CABALLERO</t>
  </si>
  <si>
    <t>EJE CAFETERO</t>
  </si>
  <si>
    <t>ORTIZ CUADRO MARIA LUISA</t>
  </si>
  <si>
    <t>REPORTE DE FARMACOVIGILANCIA</t>
  </si>
  <si>
    <t>CUNDINAMARCA MAGISTRALES</t>
  </si>
  <si>
    <t>CARGO</t>
  </si>
  <si>
    <t>ANDREA HERRERA</t>
  </si>
  <si>
    <t>DIRECTORA  NACIONAL ADMINISTRATIVA</t>
  </si>
  <si>
    <t>CARMONA RIOS FRANCISCO JULIAN</t>
  </si>
  <si>
    <t>DIRECTOR DE CALIDAD REGIONAL  ANTIOQUIA</t>
  </si>
  <si>
    <t>ESTEFANIA MARTINEZ MARTINEZ</t>
  </si>
  <si>
    <t>DIRECTOR  DE CALIDAD REGIONAL  COSTA</t>
  </si>
  <si>
    <t>COORDINADOR PRODUCCION PLANTA SOLIDOS NO ESTERILES BOGOTA</t>
  </si>
  <si>
    <t>DIANA M MUÑOZ M</t>
  </si>
  <si>
    <t>DIRECTOR DE ASEGURAMIENTO DE CALIDAD NACIONAL</t>
  </si>
  <si>
    <t>FLOR DE LIZ PINEDA</t>
  </si>
  <si>
    <t>ANALISTA DE GESTION DE CALIDAD NACIONAL</t>
  </si>
  <si>
    <t>CHIRINOS MAESTRE MARY YOHELIN</t>
  </si>
  <si>
    <t>DIRECTOR TECNICO  REGIONAL ANTIOQUIA</t>
  </si>
  <si>
    <t xml:space="preserve">JEFE NACIONAL DE INVENTARIOS </t>
  </si>
  <si>
    <t>DIRECTOR DE CALIDAD REGIONAL OCCIDENTE</t>
  </si>
  <si>
    <t>COORDINADORA DE LOGISTICA</t>
  </si>
  <si>
    <t>DIRECTOR TECNICO REGIONAL CUND. MARLY</t>
  </si>
  <si>
    <t>DIRECTOR TECNICO REGIONAL COSTA</t>
  </si>
  <si>
    <t>DIRECTOR TECNICO  REGIONAL OCCIDENTE</t>
  </si>
  <si>
    <t>COORDINADORA COMERCIAL Y CARTERA NACIONAL</t>
  </si>
  <si>
    <t>DIRECTOR DE CALIDAD REGIONALA EJE CAFETERO</t>
  </si>
  <si>
    <t>OSCAR JAVIER  ALVAREZ</t>
  </si>
  <si>
    <t xml:space="preserve">DIRECTOR NACIONAL DE OPERACIONES </t>
  </si>
  <si>
    <t>RICO GIL LEIDY BIBIANA</t>
  </si>
  <si>
    <t>DIRECTOR TECNICO  REGIONAL EJE CAFETERO</t>
  </si>
  <si>
    <t>DIRECTOR CALIDAD REGIONAL SANTANDER</t>
  </si>
  <si>
    <t>DIRECTOR TECNICO HOMIL</t>
  </si>
  <si>
    <t>LINEA</t>
  </si>
  <si>
    <t>CALSIFICACION</t>
  </si>
  <si>
    <t>MEDIO EN QUE ENVIA LA QUEJA</t>
  </si>
  <si>
    <t>PROCESOS RELACIONADO</t>
  </si>
  <si>
    <t>ADMINISTRATIVO</t>
  </si>
  <si>
    <t>CRITICO</t>
  </si>
  <si>
    <t>FELICITACION</t>
  </si>
  <si>
    <t>GERENCIA GENERAL</t>
  </si>
  <si>
    <t>CARTA</t>
  </si>
  <si>
    <t>SERVICIO</t>
  </si>
  <si>
    <t xml:space="preserve">MAYOR </t>
  </si>
  <si>
    <t>PREGUNTA</t>
  </si>
  <si>
    <t>NO CONFORMIDAD ENTRE LO SOLICITADO Y LO ENTREGADO</t>
  </si>
  <si>
    <t>TECNICA</t>
  </si>
  <si>
    <t>MENOR</t>
  </si>
  <si>
    <t>OTRO</t>
  </si>
  <si>
    <t>IMPRESINDIBLE</t>
  </si>
  <si>
    <t>RECLAMO</t>
  </si>
  <si>
    <t>PERSONAL</t>
  </si>
  <si>
    <t>SUGERENCIA</t>
  </si>
  <si>
    <t>ADMINISTRATIVA Y FINANCIERA</t>
  </si>
  <si>
    <t>NORMAL</t>
  </si>
  <si>
    <t xml:space="preserve">TALENTO HUMANO </t>
  </si>
  <si>
    <t>WEB</t>
  </si>
  <si>
    <t>SEGURIDAD Y SALUD EN EL TRABAJO</t>
  </si>
  <si>
    <t>ASEGURAMIENTO DE CALIDAD</t>
  </si>
  <si>
    <t>ERROR EN DESPACHO</t>
  </si>
  <si>
    <t>SOLICITUD DE RESULTADOS MICROBIOLÓGICOS</t>
  </si>
  <si>
    <t>ENERO</t>
  </si>
  <si>
    <t>CLINICA PINARES</t>
  </si>
  <si>
    <t>MAGISTRALES DE COLOMBIA</t>
  </si>
  <si>
    <t>FEBRERO</t>
  </si>
  <si>
    <t>MARZO</t>
  </si>
  <si>
    <t>CLINICA DEL META</t>
  </si>
  <si>
    <t>TATIANA RICO</t>
  </si>
  <si>
    <t>IVAN PEREIRA</t>
  </si>
  <si>
    <t xml:space="preserve">LUIS CAMILO QUIROGA </t>
  </si>
  <si>
    <t>DIRECTOR TECNICO REGIONAL SANTANDER</t>
  </si>
  <si>
    <t>STEWARD DE COLOMBIA</t>
  </si>
  <si>
    <t xml:space="preserve">LEIDY MAYURY TORRES TRUJILLO </t>
  </si>
  <si>
    <t>INSTITUTO ONCOLÓGICO DEL GRUPO OSPEDALE. INOOS</t>
  </si>
  <si>
    <t>UNIANDES</t>
  </si>
  <si>
    <t>CORREO ELECTRONICO</t>
  </si>
  <si>
    <t>FEMSALUD</t>
  </si>
  <si>
    <t>CLINICA BAHIA</t>
  </si>
  <si>
    <t xml:space="preserve">CLINICA BAHIA </t>
  </si>
  <si>
    <t>CLINICA DE CHIA ZENTRIA</t>
  </si>
  <si>
    <t>CLINICA LOS NEVADOS</t>
  </si>
  <si>
    <t>HOSPITAL UNIVERSITARIO SAN IGNACIO</t>
  </si>
  <si>
    <t>ANDRES DAVID PACHECO ESPINO</t>
  </si>
  <si>
    <t>RESPONSABLE SANITARIO DE BODEGAS</t>
  </si>
  <si>
    <t xml:space="preserve">LOGISTICA </t>
  </si>
  <si>
    <t>BLITZ CELTA</t>
  </si>
  <si>
    <t xml:space="preserve">BLITZ OCCIDENTE </t>
  </si>
  <si>
    <t>LOGISTICA (BLITZ)</t>
  </si>
  <si>
    <t>BLITZ TOCANCIPA</t>
  </si>
  <si>
    <t>BLITZ ADMINISTRATIVA</t>
  </si>
  <si>
    <t xml:space="preserve">DISCOLMEDICA </t>
  </si>
  <si>
    <t>MAYOR</t>
  </si>
  <si>
    <t>HOSPITAL SAN RAFAEL DE FACATATIVA</t>
  </si>
  <si>
    <t>E.S.E HOSPITAL UNIVERSITARIO DE LA SAMARITANA -
HOSPITAL REGIONAL DE ZIPAQUIRA</t>
  </si>
  <si>
    <t>Teléfono: (601) 5946161 Ext. 3007</t>
  </si>
  <si>
    <t>DIRECTOR DE TECNICO REGIONA LLANOS</t>
  </si>
  <si>
    <t>DIRECTOR  DE CALIDAD REGIONAL MARLY</t>
  </si>
  <si>
    <t>INVERSIONES ALIANZA EYM SAS</t>
  </si>
  <si>
    <t>CUNDINAMARCA VETERINARIA</t>
  </si>
  <si>
    <t>N/R</t>
  </si>
  <si>
    <t>CLINICA SAN RAFAEL DE PEREIRA</t>
  </si>
  <si>
    <t>SAN RAFAEL DE PEREIRA</t>
  </si>
  <si>
    <t>LA CARDIO</t>
  </si>
  <si>
    <t>57 1 6532000 Ext. 7331</t>
  </si>
  <si>
    <t>quimicoadj.farmacia@marlyjcg.com.co</t>
  </si>
  <si>
    <t>ZENTRIA AVIDANTI</t>
  </si>
  <si>
    <t>Clínica Avidanti Ciudad Verde</t>
  </si>
  <si>
    <t>rordenespro20211123@gmail.com</t>
  </si>
  <si>
    <t xml:space="preserve">ANGIOGRAFIA DE COLOMBIA </t>
  </si>
  <si>
    <t>VANTIVE</t>
  </si>
  <si>
    <t xml:space="preserve">DIRECTOR TECNICO NACIONAL </t>
  </si>
  <si>
    <t xml:space="preserve">VERONICA LUCIA ROJAS RAMIREZ </t>
  </si>
  <si>
    <t xml:space="preserve">DIRECTOR CALIDAD REGIONAL CUNDINAMARCA </t>
  </si>
  <si>
    <t>ANGIE KATHERINE ORTIZ RIOS</t>
  </si>
  <si>
    <t>DIRECTOR CALIDAD  REGIONAL LLANOS</t>
  </si>
  <si>
    <t>KATY KARINA ORTEGA ACEVEDO</t>
  </si>
  <si>
    <t>MARTIN DURANGO</t>
  </si>
  <si>
    <t xml:space="preserve">DIRECTOR TECNICO REGIONAL CUNDINAMARCA </t>
  </si>
  <si>
    <t>quimicofarmaceutico.csrp@stewardcolombia.org</t>
  </si>
  <si>
    <t>DII</t>
  </si>
  <si>
    <t>VidaNova IPS</t>
  </si>
  <si>
    <t>VALENTINA MARTÍNEZ MOTTA Química Farmacéutica</t>
  </si>
  <si>
    <t>cytinoco@husiorgco.onmicrosoft.com</t>
  </si>
  <si>
    <t>MARIA DEL MAR PERAFAN</t>
  </si>
  <si>
    <t xml:space="preserve">HEMATOLOGÍA Y ONCOLOGÍA DEL ORIENTE S.A.S      </t>
  </si>
  <si>
    <t>CLINICA PRIMAVERA LLANOS</t>
  </si>
  <si>
    <t xml:space="preserve">CLINICA PRIMAVERA LLANOS </t>
  </si>
  <si>
    <t xml:space="preserve">NUEVA CLINICA EL BARZAL SAS      </t>
  </si>
  <si>
    <t>CÓDIGO: AC-FR-056-04</t>
  </si>
  <si>
    <t>CÓDIGO:                                                  AC-FR-054-04</t>
  </si>
  <si>
    <t>CÓDIGO:                                                AC-FR-055-04</t>
  </si>
  <si>
    <t>x</t>
  </si>
  <si>
    <t>ANGIOGRAFÍA DE COLOMBIA S.A.</t>
  </si>
  <si>
    <t>CLINICA SANTA SOFIA</t>
  </si>
  <si>
    <t xml:space="preserve">CLINICA SANTA SOFIA </t>
  </si>
  <si>
    <t>HOSPITAL INFANTIL UNIVERSITARIO SAN JOSE</t>
  </si>
  <si>
    <t>HOSPTAL  REGIONAL DE MONIQUIRA</t>
  </si>
  <si>
    <t>HOSPITAL REGIONAL DE MONIQUIRA</t>
  </si>
  <si>
    <t>RECUPERAR</t>
  </si>
  <si>
    <t>REMED MEDICAL SERVICE</t>
  </si>
  <si>
    <t>Yuri Alberto Echeverri Pineda  Químico Farmacéutico Asistencial</t>
  </si>
  <si>
    <t>E-MAIL</t>
  </si>
  <si>
    <t>CAJA DE COMPENSACION FAMILIAR DE CALDAS</t>
  </si>
  <si>
    <t>Clinica San Marcel</t>
  </si>
  <si>
    <t>quimicofarmaceutico2.cpr@christus.co</t>
  </si>
  <si>
    <t>SERVIMOS CAUCA</t>
  </si>
  <si>
    <t>FARMART</t>
  </si>
  <si>
    <t>SOCIEDAD DE CIRUGIA DE BOGOTA HOSPITAL DE SAN JOSE</t>
  </si>
  <si>
    <t>FUNDACION ABOOD SHAIO</t>
  </si>
  <si>
    <t>HOSPITAL SIMON BOLIVAR SUBRED NORTE</t>
  </si>
  <si>
    <t>FUNDACION HOSPITAL INFANTIL UNIVERSITARIO DE SAN JOSE</t>
  </si>
  <si>
    <t>H. SANTA CLARA SUBRED CENTRO ORIENTE</t>
  </si>
  <si>
    <t>HOSPITAL ENGATIVA SUBRED NORTE</t>
  </si>
  <si>
    <t>HOSPITAL UNIVERSITARIO DE LA SAMARITANA E.S.E. (Zipaquira)</t>
  </si>
  <si>
    <t>HOSPITAL MEISSEN -SUBRED SUR</t>
  </si>
  <si>
    <t>CLÍNICA NUEVA EL LAGO S.A.S</t>
  </si>
  <si>
    <t>HOSPITAL SUBA SUBRED NORTE</t>
  </si>
  <si>
    <t>H. LA VICTORIA SUBRED CENTRO ORIENTE</t>
  </si>
  <si>
    <t>DIACOR SOACHA ZONA FRANCA S A S</t>
  </si>
  <si>
    <t>MAGISTRAL DE COLOMBIA SAS</t>
  </si>
  <si>
    <t>UMHES MATERNO INFANTIL SUBRED CENTRO ORIENTE</t>
  </si>
  <si>
    <t>VIDAMEDICAL BOGOTA IPS SAS</t>
  </si>
  <si>
    <t>HACES INVERSIONES Y SERVICIOS S.A.S.</t>
  </si>
  <si>
    <t>MESSER COLOMBIA S.A.</t>
  </si>
  <si>
    <t>CLINICA CHIA S A S</t>
  </si>
  <si>
    <t>HOSPITAL EL TUNAL -SUBRED SUR</t>
  </si>
  <si>
    <t>CLÍNICA CENTENARIO S.A.S</t>
  </si>
  <si>
    <t>HOSPITAL MILITAR CENTRAL</t>
  </si>
  <si>
    <t>INSTITUTO NACIONAL DE CANCEROLOGIA DROGUERIAS Y FARMACIAS CRUZ VERDE SAS BOGOTA</t>
  </si>
  <si>
    <t>UNIDOSSIS S.A.S.</t>
  </si>
  <si>
    <t>FARMALOGICA SA</t>
  </si>
  <si>
    <t>CLINICA SANTA MONICA DE BOGOTA S A S</t>
  </si>
  <si>
    <t>KERALTY  DROGUERIAS Y FARMACIAS CRUZ VERDE SAS BOGOTA</t>
  </si>
  <si>
    <t>HOSPITAL CHAPINERO SUBRED NORTE</t>
  </si>
  <si>
    <t>VANTIVE S.A.S.</t>
  </si>
  <si>
    <t>MEDICARTE  DROGUERIAS Y FARMACIAS CRUZ VERDE SAS BOGOTA</t>
  </si>
  <si>
    <t>UMHES SAN BLAS SUBRED CENTRO ORIENTE</t>
  </si>
  <si>
    <t>IPS CECIMIN  DROGUERIAS Y FARMACIAS CRUZ VERDE SAS BOGOTA</t>
  </si>
  <si>
    <t>INFECTOLOGOS CLINICOS DE COLOMBIA SAS</t>
  </si>
  <si>
    <t>m</t>
  </si>
  <si>
    <t>CLINICA PRIMERA DE MAYO  BARRANQUILLA</t>
  </si>
  <si>
    <t>COLSUBSIDIO</t>
  </si>
  <si>
    <t>EMPRESA SOCIAL DEL ESTADO  SANTIAGO DE TUNJA</t>
  </si>
  <si>
    <t xml:space="preserve">Buenos dias. 
Con el presente documento quiero notificar que para el día 06/01/2026 no se ha recibido NINGUNA UNIDAD de Hidromorfona JP de la orden de producción enviada desde el martes 30/12/2025 y confirmada por ustedes el mismo día, según comunicación de ustedes se recibiría la orden el día 03/01/2026 no se brindo información oportuna sobre el retraso ni se respondió a las inquietudes expresadas, la inoportunidad de entrega genera dificultades para el cubrimiento de las necesidades de la IPS aumento el riesgo de acontecimiento de sucesos de seguridad,
Esta situación también genera dificultades para la generación de la orden de producción de la semana del producto mencionado al cruzarse los requerimientos, teniendo en cuenta esto la orden será enviada el día 08/01/2026 con solicitud de llegada máximo el SÁBADO 10/01/2026
Dado lo anterior, se le solicita atentamente a Unidossis que se cumpla con los tiempos estipulados para no generar traumatismos en la operación de la IPS. </t>
  </si>
  <si>
    <t>María Saavedra, Químico Farmacéutico</t>
  </si>
  <si>
    <t>3538000                                 Ext. 468-422</t>
  </si>
  <si>
    <t>Buen día.
Espero se encuentren muy bien.
Nos permitimos informar que el 05 de enero de 2026 se ingresaron durante la mañana las solicitudes de stocks, ajustes individualizados por pacientes y TPN. Posteriormente, en horas de la tarde, se nos comunicó que dichas solicitudes no habían sido consideradas debido a un atraso en la planta de producción.
Esta situación obligó a que las modificaciones y preparaciones de dosis fueran realizadas directamente en las unidades de enfermería, alterando el flujo habitual de trabajo y generando un impacto en la organización del servicio farmacéutico.
Adjunto a este correo el formato de PQR’s en el que se detalla la situación mencionada previamente. Agradecemos de antemano la atención prestada y solicitamos amablemente que se establezca un plan de acción que permita corregir y prevenir este tipo de inconvenientes en el futuro, garantizando así la eficiencia del trabajo conjunto.
Quedo atenta a su respuesta.
Muchas gracias.</t>
  </si>
  <si>
    <t>001</t>
  </si>
  <si>
    <t xml:space="preserve">Cordial saludo Unidossis,  Se verifican los movimientos y se identifican las siguientes observaciones: Las unidades sobrantes de Heparinas (54 Nabuco y 52 en HUSI) corresponden a aprovechamientos tal como se verifico telefónicamente y por correo electrónico, por ende, se realizan los respectivos aprovechamientos internamente. Se identifican las siguientes novedades respecto a los movimientos de Bicarbonato:
Solicitud Material Producción     Fecha movimiento    Código producto   Descripción producto                                                                                                                       salida
                                                           25/12/2025                      4057014               BICARBONATO DE SODIO 8,4% 10mEq/10ml SOL. INY. AMP IV 04057014                       12
                                                             26/12/2025                     4057014               BICARBONATO DE SODIO 8,4% 10mEq/10ml SOL. INY. AMP IV 04057014                      1
Para el día (25/12/2025) se debían gastar (12) viales correspondientes a la preparación de 60 DUs de Bicarbonato de sodio (Se adjunta OP), sin embargo, el día (26/12/2025) se identifica la salida de (1) unidad, la cual no corresponde con ninguna preparación. 
Por favor solicitamos amablemente indicar a que corresponde esta unidad faltante de Bicarbonato de sodio, y si aplica, la respectiva nota crédito. 
Quedo atento a cualquier inquietud.  
Cordialmente,
</t>
  </si>
  <si>
    <t>DIANA PADILLA BARRAZA</t>
  </si>
  <si>
    <t xml:space="preserve">Cordial saludo. Lo siguiente es para informar, que en el pedido enviado se recibió una producción de Solidos con la descripción de la razón social equivocada, por lo cual se solicita a ustedes verificar la información suministrada y hacer las correcciones pertinentes en futuras envíos de productos. Adjunto los datos correctos: Nombre: Clínica San Rafael alta complejidad
Nit: 91089614-3 Direccion: calle 12 #27-100 Vía Clemente Salazar - Sabanalarga Atlántico 
</t>
  </si>
  <si>
    <t>Cel. 3105252900 Tel. (095)8784012</t>
  </si>
  <si>
    <t>serviciofarmaceutico@csr.com.co</t>
  </si>
  <si>
    <t xml:space="preserve">Buenos días. Por medio del presente informo que el día 26/12/2025 se solicitó la preparación para la paciente MARIA MARTINA MATEUS VARGAS del medicamento TOCILIZUMAB  360 mg (ACTEMRA), quien tenía administración el día 27/12/2025. Estos medicamentos se enviaron el día viernes 26/12/2025 a Unidossis. El día 26/12/2025 a las 8:49pm se envía correo por parte de la jefe de sala de infusión, donde se reporta la cancelación de la paciente en mención.
El día de ayer 07/01/2026 se envía orden de preparación donde se relaciona la paciente SANDRA PATRICIA CASTRO TRUJILLO y entendiendo que se tenían los viales del medicamento de la paciente cancelada el 26/12/2025, no se enviaron los viales del medicamento.
El día de ayer informa Unidossis que no cuentan con los medicamentos en custodia, ya que, a pesar de la notificación de la cancelación, el medicamento fue preparado, sin embargo, no se recibió ninguna notificación al respecto, tampoco el medicamento fue enviado en físico; teniendo en cuenta que ya pasaron varios días desde el suceso. La estabilidad del medicamento diluido es de 24 horas entre 2-8°C.
Esperamos una pronta respuesta sobre este caso y el respectivo plan de mejora, teniendo en cuenta que el día de hoy tuvimos que cancelar a la paciente que estaba programada, lo cual afecta la prestación de nuestros servicios en salud.  </t>
  </si>
  <si>
    <t>quimico1.scar@vidamedicalips.com.co</t>
  </si>
  <si>
    <t xml:space="preserve">JUAN EDUARDO BOULLY </t>
  </si>
  <si>
    <t>Cordial saludo
Por medio del presente realizo reporte defecto de calidad sobre la preparación de la paciente Maritza Baicue Acido zoledronico 4mg, el cual se solicito en dilución de 100mL SSN 0,9%, sin embargo al verificar la preparación recepcionada se evidencia Acido Zoledrónico 4mg en 500mL SSN 0,9%.  Realizo reporte con el fin de que se realice la debida verificación del caso, ya que a pesar de que en esta ocasión no afecta la administración del medicamento, puede que este error ocurra en casos futuros donde el volumen de dilución de la preparación de quimioterapia si requiera con exactitud el volumen solicitado. </t>
  </si>
  <si>
    <t xml:space="preserve">Jimmy Alejandro Calderon Rodriguez  QF - farmacovigilancia </t>
  </si>
  <si>
    <t xml:space="preserve">Buenas tardes, cordial saludo 
  Envió novedad presentada con la no entrega oportuna del medicamento Itraconazol tableta x 100 mg para el mes de diciembre del 2025, lo que genero que familiar de paciente interpusiera ante la EPS sanitas una queja . </t>
  </si>
  <si>
    <t>Farmacovigilancia@fhsc.org.co</t>
  </si>
  <si>
    <t xml:space="preserve">Buen día, Cordial saludo, mediante la presente comunico la novedad presentada el jueves 8 de enero en relación a la orden de producción enviada: 
Se solicitaron 12 dosis de metilprednisolona 40 mg y en la recepción técnica entregan 2 dosis con etiqueta errónea, la etiqueta tenía lidocaína como medicamento.
Muchas gracias, quedo atenta a sus comentarios
Cordialmente,
</t>
  </si>
  <si>
    <t>EMSSANAR  EPS</t>
  </si>
  <si>
    <t>Buen día, 
Se informa que se encontró una novedad durante la recepción técnica del siguiente documento. Se evidenció que el medicamento ALOPURINOL 300MG TABLETA (UNIDOSIS) | ASPEN| ZYLOPRIM  presentó un mal etiquetado, ya que el producto llegó con una concentración  de 30 mg, lo cual no corresponde a lo solicitado.
NOTA: se solicita amablemente urgente la corrección.</t>
  </si>
  <si>
    <t>ANDREA CHANTRE</t>
  </si>
  <si>
    <t>auxmedicamentoshuv@farmartips.com</t>
  </si>
  <si>
    <t>Buenos días.  Cordial saludo,
El presente correo tiene como finalidad validar la razón por la cual aún no hemos recibido una orden de producción que fue enviada el pasado 23 de diciembre de 2025, teniendo en cuenta que el tiempo establecido para la adecuación de reempaque en dosis unitaria de medicamentos en forma farmacéutica sólida es de aproximadamente 8 días. A la fecha, este plazo se encuentra ampliamente superado, configurándose un incumplimiento en los tiempos acordados.
Esta situación ha generado una afectación directa a los pacientes de la clínica, ya que actualmente existen pacientes activos que se encuentran en tratamiento con algunos de los medicamentos incluidos en dicha orden, los cuales han debido ser suspendidos temporalmente debido al retraso presentado. Desde el proceso de Farmacovigilancia, este escenario representa un riesgo para la continuidad terapéutica y la seguridad del paciente, por lo cual resulta prioritario contar con una pronta solución.
Agradecemos nos puedan informar de manera inmediata el estado actual de la orden, la causa del incumplimiento y la fecha estimada de entrega, con el fin de tomar las acciones correspondientes y mitigar el impacto generado.
No siendo más por el momento, agradezco de antemano la atención prestada y quedo atenta a sus comentarios.</t>
  </si>
  <si>
    <t>SANEHIA NAHOMI MENDOZAQUINTANA</t>
  </si>
  <si>
    <t>601 8617777</t>
  </si>
  <si>
    <t>claudia.ramos2@clinicaunisabana.edu.co</t>
  </si>
  <si>
    <t>A través de este oficio notifico que, de acuerdo al contrato sostenido entre la clínica DESA S.A.S, clínica Rafel Uribe Uribe y la empresa UNIDOSSIS S.A.S, Nº 206004 relacionado con el suministro de bienes y servicios donde se realiza la elaboración de Nutriciones parenterales-NPT y la preparación de mezclas estériles de medicamentos, notifico que se ha evidenciado incumplimiento en la entrega de las preparaciones que se mencionan con anterioridad relacionado con los siguientes hechos: 
En la clínica DESA: El día 20 de Diciembre 2025, 8:26am, se realiza solicitud de varias NPT para los días 20 y 21, el día 21 se observa que las NPT llegaron a la clínica DESA después de las 8pm generando inoportunidad en la administración de las nutriciones. Remisionadas con el número 471246 y 470908. 
En la clínica DESA: El día 27 de Diciembre 2025, hora: 8:50am, se realiza solicitud de varias NPT para los días, 27 y 28, el día 27 y 28 se observa que las NPT llegaron a la clínica DESA después de las 6pm y 7pm generando inoportunidad en la administración de las nutriciones. Remisionadas con el número 472702 y 473006. 
En la clínica DESA: El día 27 de Diciembre 2025, hora: 8:39am, se realiza solicitud de la mezcla estéril del medicamento Cefazolina 1 g y no se elaboraron para el día que se realizó la solicitud, fueron despachadas un día después. Remisionadas con el número 472911 
En la clínica DESA: El día 05 de Enero 2026, 9:44 am, se realiza solicitud de varias NPT para ser entregadas el mismo día, se observa que las NPT llegaron a la clínica DESA a las 6:42pm, generando inoportunidad en la administración de las nutriciones. Remisionadas con el número 474882  En la clínica Nueva Rafael Uribe: El día 05 de Enero 20 
realiza solicitud de las mezclas estériles de los medicamentos Cefazolina 2g, Piperacilina y Tazobactam 4.5g, Ampicilina y Sulbactam 3 g, Piperacilina y Tazobactam 13.5g y no fueron preparadas. 
Desde la dirección técnica del servicio farmacéutico de la clínica DESA y como interventor es muy importante hacer seguimiento al cumplimiento del contrato, luego de tener estas observaciones con respecto a las inoportunidades que se vienen presentado con la empresa UNIDOSSIS S.A.S, yo, como veedor del cumplimiento, notifico para su conocimiento, información que será trasmitida al área jurídica</t>
  </si>
  <si>
    <t>Yeison Jacob Moreno Murillo Químico Farmacéutico. Director técnico</t>
  </si>
  <si>
    <t>Tel.: 3814161 Ext. 102  - 117</t>
  </si>
  <si>
    <t>yeison.moreno@clinicadesa.com.co</t>
  </si>
  <si>
    <t>Buenas tardes equipo Unidossis, reciban un cordial saludo, 
Confirmo el recibo de la respuesta a los retrasos presentados en el último trimestre del 2025, sin embargo, para dar cierre efectivo de las solicitudes del 2025 aún tenemos pendiente los siguientes casos:
FECHA
RESPONSABLE
DESCRIPCION
14/10/2025
YURI ECHEVERRI
DU Heparia con pivote roto  (pendiente respuesta con el reporte al proeedor)
7/12/2025
ERIKA ROMERO
Du piperacilina con las etiquetas cruzadas, no corresponde el volumen de la jeringa con el declarado en la etiqueta (pendiente respuesta con acciones de mejora)
15/12/2025
YURI ECHEVERRI
OP de 50 DU de succinilcolina, llegan 49 (pendiente respuesta con acciones de mejora y emisión de nota crédito por la unidad faltante)
26/12/2025
YURI ECHEVERRI
OP de 50 DU de succinilcolina, programada para entrega el 24/12/2025, llega el 25/12/2025 y solo llegan 49 unidades  (pendiente respuesta con acciones de mejora y emisión de nota crédito por la unidad faltante)
Solicitamos amablemente la colaboración con la revisión de los fallos de calidad.</t>
  </si>
  <si>
    <t>Claudia Tinoco Rairán Química Farmacéutica de Aseguramiento de la Calidad</t>
  </si>
  <si>
    <t>Teléfono: 57 (1) 5946161 Ext. 1066</t>
  </si>
  <si>
    <t>cytinoco@husi.org.co</t>
  </si>
  <si>
    <t>Cordial saludo 
Se reitera la solicitud, teniendo en cuenta que a la fecha no ha sido posible legalizar los recursos girados bajo modalidad de anticipo que a la fecha ascienden a $4.886.100. Por otra parte, se ha intentado establecer una comunicación telefónica con el propósito de conocer el estado de los recursos a las siguientes líneas telefónicas 601-244-40-02 y 3168788032 sin éxito.
Cliente
Razón social
Nro. docto. cruce
Fecha docto cruce
Total COP
Notas
900281394      
UNIDOSSIS S.A.S
AN-00055676
30/09/2025
4.886.100,00
ANTC. 55676 PTE. LUCIA CASTRO RC. 1108341703 INFUSION DE ALIMENTACION PARENTERAL - OR
En caso de presentarse alguna novedad relacionada con la radicación, se solicita informar por este medio con el fin de programar una mesa de trabajo que permita brindar acompañamiento y capacitación por parte del equipo de radicación, en el proceso de cargue de facturas y soportes a través de la plataforma RISPLINK.
En caso de que el servicio no haya sido prestado, se solicita el reintegro de los recursos correspondientes, los cuales deberán ser consignados en la cuenta bancaria adjunta.
Agradezco la atención prestada</t>
  </si>
  <si>
    <t>STEPHANNY CALPA Legalización Anticipos Salud</t>
  </si>
  <si>
    <t>legalizacionanticipossalud@emssanareps.co</t>
  </si>
  <si>
    <t>MANUEL GASCA</t>
  </si>
  <si>
    <t>Director comercial Zona Occidente</t>
  </si>
  <si>
    <t>Asunto: Queja terminación NPT
Buenos días.
Se adjunta documento de queja con relación al asunto. 
Sin otro particular, gracias por la atención.
Cordial saludo,
Juana Vargas 
Químico Farmacéutico
Servicio Farmacéutico
Sociedad de Cirugía de Bogotá
Hospital de San José
3538000 Ext. 468-422</t>
  </si>
  <si>
    <t>Juana Vargas  Químico Farmacéutico</t>
  </si>
  <si>
    <t>3538000 Ext. 468-422</t>
  </si>
  <si>
    <t>Buen día,
Espero se encuentren muy bien.
Por medio del presente, me permito radicar una PQR debido al retraso en la entrega de las adecuaciones y ajustes de medicamentos estériles y nutriciones parenterales solicitadas en horas de la mañana del día de hoy.
Adjunto a este correo la PQR correspondiente, así como un fragmento del contrato en el cual se establecen los horarios de entrega. De acuerdo con lo allí estipulado, se evidencia un incumplimiento en la prestación del servicio en la fecha mencionada.
Agradecemos su pronta respuesta y las acciones que consideren pertinentes, con el fin de fortalecer los procesos y garantizar el bienestar y la seguridad de los pacientes.
Muchas gracias.</t>
  </si>
  <si>
    <t>YESICA ALEJANDRA GOEZ</t>
  </si>
  <si>
    <t>SIES SALUD</t>
  </si>
  <si>
    <t>David José Ortega Redondo Profesional Asistencial Químico Farmacéutico</t>
  </si>
  <si>
    <t>(7) 6970001 - 319 2729798</t>
  </si>
  <si>
    <t>dortegar@siessalud.com.co</t>
  </si>
  <si>
    <t>Buenos días, Señores Unidosis: 
Por medio de la presente queremos informar el error identificado en las cédulas de todos los pacientes con preparaciones de oncología correspondientes al día 05 de enero de 2026. Si bien el incidente no generó consecuencias graves, sí representó un riesgo potencial para la seguridad de los pacientes, motivo por el cual consideramos importante revisarlo con ustedes.
Con el fin de fortalecer los procesos y garantizar la confiabilidad de la información, solicitamos nos compartan:
Las acciones de mejora que se implementarán para evitar que este tipo de situaciones se repitan.
Los ajustes o controles adicionales que consideren pertinentes para reforzar la seguridad en la preparación y validación de datos de los pacientes.
Agradecemos su atención y el compromiso con la mejora continua, así como la disposición para trabajar conjuntamente en la prevención de futuros inconvenientes.
Atentamente,</t>
  </si>
  <si>
    <t>CERRADA</t>
  </si>
  <si>
    <t>Se recibe el día 22 de diciembre en turno de la noche cafeína en unidosis solicitada 20 mg. Llega medicamento con etiqueta marcada de 20 mg, pero se observa solo 0.1 CC. la dosis corresponde a 1 CC.
# LOTE 07213R53786
Revisando la orden de produccion enviada a unidosis el día 22 de diciembre a las 15;57:34, la dosis es de 20 MG de cafeina a nombre de NICOLAS CAMPO LOZANO con registro 3053764 
Favor enviar respuesta de lo acontecido
Cordial saludo</t>
  </si>
  <si>
    <t>quimico.farmaceutico@clinicasanluis.com.co&gt;</t>
  </si>
  <si>
    <t>206/21/2026</t>
  </si>
  <si>
    <t>Buenas tardes
La presente es para informar que en el dia de hoy llegaron de parte de ustedes 3 unidosis de Piperacilina+tazobactam de 4,5 g sin el empaque externo correspondiente al paciente Jose Gomez Altamar, debido a que no cumplió con la recepción técnica se devuelve las preparaciones.
Adjunto foto</t>
  </si>
  <si>
    <t>JANELLY OTERO MEDRANO  Químico farmacéutico</t>
  </si>
  <si>
    <t xml:space="preserve"> 3112640 ext 1010</t>
  </si>
  <si>
    <t>produccioncm@lmci.com.co</t>
  </si>
  <si>
    <t xml:space="preserve">Buenas tardes Francisco, te remito las fotos de la novedad de reempaque detectada el día de hoy.
Cordialmente,
</t>
  </si>
  <si>
    <t>Teléfono: 57 (1) 5946161 Ext. 1045</t>
  </si>
  <si>
    <t xml:space="preserve">Viviana Andrea Pinzón García QF Esp.Jefe de Servicio Farmacéutico </t>
  </si>
  <si>
    <t>vapinzon@husi.org.co</t>
  </si>
  <si>
    <t>Cordial saludo Unidossis,
El presente correo es para reportar las siguientes novedades/inconvenientes respecto a la entrega de la OP de Heparinas.
Las DUs de Heparina debían llegar para el día (20/01/2026), sin embargo, llegaron hasta el día (22/01/2026) en horas de la tarde. Esto conlleva a la entrega NO oportuna de los medicamentos a los pacientes.
Dicho lo anterior se solicita:
Acciones de mejora a implementar para minimizar este tipo de inconvenientes.
Reunión con el fin de esclarecer nuevamente los acuerdos de servicio, para que resulten favorables para ambas partes.
Quedo atento a cualquier inquietud.  
Cordialmente,</t>
  </si>
  <si>
    <t>Yuri Alberto Echeverri Pineda Químico Farmacéutico Asistencial</t>
  </si>
  <si>
    <t>yaecheverri@husi.org.co</t>
  </si>
  <si>
    <t>Por medio del presente me permito reportar una inconformidad relacionada con la llegada de las quimioterapias y PME del sábado 24 de enero de 2026. Los medicamentos llegaron a la clínica a las 6:20 p.m. para su entrega.
Cabe resaltar que el correo con la orden de producción de las quimioterapias se envió a Unidossis a las 8:06 a.m. No obstante, las preparaciones llegaron a las 6:20 p.m., a pesar de que inicialmente la química Samantha había informado que estarían llegan a la clínica a las 2:00 p.m.
A las 3:00 p.m., la química Samantha se comunicó con la regente Karen Carabalí para preguntar si era posible realizar la entrega a las 5:00 p.m., a lo cual se le indicó que no, dado que los pacientes ya debían estar recibiendo su tratamiento. Posteriormente, a las 5:00 p.m. Se realizó otra llamada, en la cual la química Samantha informó que las preparaciones estaban próximas a llegar. Sin embargo, estas solo fueron entregadas a las 6:20 p.m. 
Adicionalmente, se presentó un error en la preparación para el paciente Janer Arley Gómez Flores, a quien se le envió preparar citarabina 500 mg (cantidad 2) en dosis de 225 mg en un volumen de 100 ml. Sin embargo, al momento de la entrega en la clínica se recibió únicamente 1 preparación, razón por la cual el domingo se envió a preparar el faltante para que el paciente pudiera completar su tratamiento.  adjunto imagen de la orden de preparación del dia sabado 24/01 /2026 donde se evidencia que se envió a preparar cantidad 2 citarabina 500mg  
Este retraso ocasionó afectaciones en el tratamiento de 8 pacientes con tratamiento de quimioterapia, así como en los pacientes de las PME, considerando que algunos tenían dosis programadas a las 6:00 p.m.</t>
  </si>
  <si>
    <t>Karen Carabali Abonia  Regente de Farmacia</t>
  </si>
  <si>
    <t xml:space="preserve">Tel: 602 485 44 04 Ext.: 1128	</t>
  </si>
  <si>
    <t>central.mezclas@fciclubnoel.com</t>
  </si>
  <si>
    <t xml:space="preserve">Cordial saludo 
El presente con el fin de reportar queja en cuanto al retraso en entrega de las dosis unitarias de estériles del día 23 de enero las cuales se recibieron a las 18:39 (horario pactado 17:00). 
Agradezco la atención prestada y quedo atenta a comentarios. 
</t>
  </si>
  <si>
    <t>Luisa Ovalle Químico Farmacéutico Asistencial</t>
  </si>
  <si>
    <t>luovalle@husi.org.co</t>
  </si>
  <si>
    <t>Buen día, 
Mediante el presente reporto, el día sábado recibimos la orden de producción 479522 correspondiente a 100 JP de hidromorfona lote: RC2664494, y al realizar la inspección de calidad, se evidencia una jeringa con particulas en la parte superior y color oxido.
Solicitamos una revisión de lo ocurrido. Asimismo, agradecemos nos informen las medidas correctivas que se implementarán para evitar que estos errores se repitan.
Además, requerimos que se nos indique cómo se realizará la reposición de la unidad afectada.</t>
  </si>
  <si>
    <t>MARIA ALEJANDRA CAMPOS ACOSTA</t>
  </si>
  <si>
    <t>maria.campos2@clinicaunisabana.edu.co</t>
  </si>
  <si>
    <t>CLINICA ZENTRIA LA MILAGROSA SAS</t>
  </si>
  <si>
    <t>Buen día, cordial saludo.
El día de ayer se mandó la solicitud de preparación de medicamento Oncológico, a las 2:59pm (adjunto evidencia).                                                                                                                                                                                                             A las 9 de la mañana de hoy se recibe la llamada de que no fue preparado porque el correo fue recibido muy tarde; a pesar de que expresaron que se podía mandar el día de hoy lo antes posible, no se puede recibir en horas de la tarde debido a que la programación de los pacientes y la enfermera jefe ya se encontraba establecida.
Ante estas eventualidades agradezco se genere un plan de acción.
Recomendamos contestar el recibido de los correos, así mismo notificar si no se va a poder preparar sea porque se mandó tarde o porque se recibió tarde, esto para poder coordinar con el servicio de Quimioterapia y con los pacientes.
Quedo atenta, gracias.</t>
  </si>
  <si>
    <t>ANDREA ARDILA PINEDA</t>
  </si>
  <si>
    <t>andrea.ardila@zentria.com.co</t>
  </si>
  <si>
    <t xml:space="preserve">"Buen día, 
Por medio de la presente es para informar que el día 26/01/2026 se recibió una nutrición sin el peso correspondiente de la paciente H/HAREN ESTEFANIA JIMENEZ SILVA,  es importante resaltar que las nutriciones deben venir con el peso  ya que es nuestra forma de darle seguimiento y validar que se encuentre en los rangos de aceptación. Se realizó la verificación de los volumenes de la nutrición y correspondian, sin embargo, es necesario que todas las nutriciones vengan con el peso. Agradecemos su colaboración para que esta situción no se vuelva a presentar. 
Se adjunta evidencia fotografica. "														</t>
  </si>
  <si>
    <t xml:space="preserve">Juana Camila Vargas Yasser - Química Farmacéutica 							</t>
  </si>
  <si>
    <t>3538000  Ext. 468</t>
  </si>
  <si>
    <t>Cordial saludo,
Por medio del presente, nos permitimos solicitar muy respetuosamente que cualquier inconveniente relacionado con la producción y/o transportación de las Nutriciones Parenterales Totales (NPT) sea notificado de manera inmediata, en la medida de lo posible.
Lo anterior se fundamenta en que nuestra Unidad de Cuidados Intensivos Neonatal cuenta actualmente con pacientes hospitalizados a la espera de este soporte nutricional, el cual resulta crítico para su manejo clínico. Si bien comprendemos que UNIDOSSIS se encuentra ubicado en la ciudad de Barranquilla y nuestra institución en Maicao, La Guajira, y que la distancia representa un factor relevante en los tiempos de entrega, se hace indispensable contar con una comunicación oportuna que nos permita tomar medidas clínicas y administrativas preventivas.
De manera puntual, informamos que actualmente contamos con tres pacientes en espera de la NPT, correspondiente a la orden de despacho No. 4456675, la cual fue recibida en nuestra institución a las 10:35 a.m. del día de hoy, situación que genera un impacto directo en la continuidad del tratamiento de los pacientes neonatales.
Adicionalmente, agradecemos nos sea suministrado un medio que permita realizar la trazabilidad completa del pedido, de tal forma que podamos conocer de manera oportuna el estado del mismo (producción, despacho y transporte) y así tomar las medidas asistenciales necesarias para garantizar la seguridad del paciente y la continuidad del tratamiento.
Agradecemos de antemano su colaboración y disposición para fortalecer los canales de comunicación.
Quedamos atentos a cualquier información adicional.</t>
  </si>
  <si>
    <t>☎️ Teléfono: (605) 7256500 Ext. 1005</t>
  </si>
  <si>
    <t xml:space="preserve">VALENTINA MENDOZA GALEANO Directora Técnica del Servicio Farmacéutico ALDAIR DE LA CRUZ PERTUZ Químico Farmacéutico Asistencial </t>
  </si>
  <si>
    <t xml:space="preserve"> farmacia@clinicamaicao.com </t>
  </si>
  <si>
    <t>CLINICA MAICA NUESTRA</t>
  </si>
  <si>
    <t>CLINICA MAICAO NUESTRA</t>
  </si>
  <si>
    <t xml:space="preserve">Cordial saludo 
El presente con el fin de reportar queja en cuanto al retraso en entrega de las dosis unitarias de estériles del día 27 de enero las cuales se recibieron a las 18:27 (horario pactado 17:00). Adjunto envío documento.
Agradezco la atención prestada y quedo atenta a comentarios. 
Cordialmente
</t>
  </si>
  <si>
    <t>31/*01/2026</t>
  </si>
  <si>
    <t>Buen día
Cordial saludo
Por medio de la presente solicito la colaboración para realizar recolección y cambio en físico de 50 unidosis de HEPARINA SODICA 3000UI/5ML con la REMISION 476375  ya que se evidencia que la solicitud fue emitida y grabada por HEPARINA SODICA 5000UI .</t>
  </si>
  <si>
    <t>Celular: 3154947751</t>
  </si>
  <si>
    <t xml:space="preserve">  Email: carlos.vergara@vantive.com
</t>
  </si>
  <si>
    <t xml:space="preserve"> Carlos Alberto Vergara Vergara   Sr Analista de Inventarios RCS – Procurement</t>
  </si>
  <si>
    <t>Buen día, 
Mediante el presente reporto, el día de ayer miercoles 28/01/2026 recibimos la orden de producción 480543 correspondiente a 100 JP de hidromorfona lote: RC2675942, y al realizar la inspección de calidad, se evidencia una jeringa sin etiqueta interna y una sin identificación ni interna ni externa.
Solicitamos una revisión de lo ocurrido. Asimismo, agradecemos nos informen las medidas correctivas que se implementarán para evitar que estos errores se repitan.
Además, requerimos que se nos indique cómo se realizará la reposición de la unidad afectada.</t>
  </si>
  <si>
    <t>Los medicamentos se enviarán esta misma tarde.  Tener en cuenta que la Ketamina es un medicamento de control especial, por lo que se requiere reposición lo más pronto posible. Del mismo modo, se solicita el reempaque de la tableteria con la información legible (en el reempaque también van medicamentos controlados como Hidromorfona 2,5 mg tableta).                                                                                                                                                                                                          ASUNTO: Reclamo técnico 20-26 KETAMINA 10MG/ML JERINGA PRELLENA X 5ML LOTE RC2645962
"Jeringa la cual se encuentra dentro de la bolsa sellada y al abrir
la bolsa se encuentra jeringa solo con 3CC de ketamina y protector de punta de jeringa roto"
ASUNTO:  Reclamo técnico 21-26 JP HEPARINA 5000 UNDX 1ML
 "Se decide administrar heparina, se pincha el paciente y se visualiza que no hay medicamento; vale la pena resaltar que estaba sellada la bolsa de Unidossis."</t>
  </si>
  <si>
    <t>Oscar Alfonso Vargas Bautista Químico(a) Farmacéutico(a)</t>
  </si>
  <si>
    <t>PBX (601) 593 8210</t>
  </si>
  <si>
    <t>alfonso.vargas@shaio.org</t>
  </si>
  <si>
    <t xml:space="preserve">ASUNTO: Reclamo técnico 22-26 TraZODona 50 mg CAP
"No se evidencia medicamento dentro del reempaque ni información del medicamento; se saca del paquete de la bolsa de trazodona, se evidencia reempaque sellado."
ASUNTO: Reclamo técnico 23-26 CALCITRIOL 0,25MCG TAB
“Se evidencian 2 unidades de Calcitriol en 1 mismo reempaque"
ASUNTO: Reclamo técnico 24-26 ELTROMBOPAG X 50MG TABLETA REC
"Información del medicamento ilegible"
ASUNTO: Reclamo técnico 34-26 HIDROMORFONA 2,5MG TAB
"información no legible del reempaque"
ASUNTO: Reclamo técnico 430-25 ACETAMINOFEN 500 MG TAB
"Información ilegible, código de barras borrado"
</t>
  </si>
  <si>
    <t>ASUNTO: MEDICAMENTO SIN EMPAQUE EXTERNO
 Reciba un cordial saludo.     
 Por medio de la presente nos dirigimos a ustedes con el fin de dar respuesta a la queja interpuesta, con número de radicado 150126-1 MEDICAMENTO SIN EMPAQUE EXTERNO, no sin antes agradecerles por la realización de estos reportes ya que contribuye con nuestros procesos de mejora continua, y nos impulsa a seguir trabajando para mantener la satisfacción del cliente.</t>
  </si>
  <si>
    <t xml:space="preserve">ISIS MADALÉN MONTENEGRO QUINTERO Coordinador Logístico </t>
  </si>
  <si>
    <t>Fijo: 3112640 Ext: 1011 Móvil: 350-6007491</t>
  </si>
  <si>
    <t>coor.farmacia@lmci.com.co</t>
  </si>
  <si>
    <t>Buenos días, Saludos cordiales. 
De acuerdo con lo conversado vía telefónica, me permito informar el producto no conforme detectado durante el proceso de recepción Tecnica de los preparados del día 28/01/2026, el cual 1 unidad presentó salida de líquido (fuga), motivo por el cual no pudo ser dispensado al servicio de UCI, lo cual nos genera un faltante en el invetario del servicio farmaceutico. 
Detalle del producto: 
Medicamento: Vancomicina
Concentración / Volumen: 1 g / 250 mL
Lote interno: RB2680179
Cantidad: 1 unidad
Se adjunta formato institucional de medicamentos averiados y registro fotográfico de la novedad. 
Agradecemos tener en cuenta que, al momento de la facturación del día 28/01/2026, no incluir esta unidosis y se solicita la reposición en inventario de las 2 ampollas correspondientes a la preparación.</t>
  </si>
  <si>
    <t>controlgasesmedicinales@clinicabahia.com</t>
  </si>
  <si>
    <t>Brenda Morales Tinoco Quimico Farmaceutico.</t>
  </si>
  <si>
    <t xml:space="preserve">  </t>
  </si>
  <si>
    <t xml:space="preserve">Jimmy Alejandro Calderon Rodriguez  QF - FHSC </t>
  </si>
  <si>
    <t xml:space="preserve">Buenas tardes, cordial saludo  
Me permito informar que actualmente se ha venido identificando novedades con los medicamentos que llegan reempacados a la institución fundación hospital san Carlos. 
Las novedades están relacionadas principalmente con el empaque, como se muestra en las imágenes adjuntas // Se están entregando medicamentos que no cuentan con la ranura de separación,  generando que al momento de la dispensación se rompa todo el empaque  lo cual lleva a que el medicamento quede suelto y  sin ningún tipo de  identificación.  Medicamento sin ranura para la separación 
Esta novedad técnica esta generando que se realicen reprocesos [ dado que se tiene que utilizar una persona de manera diaria para que realice el respectivo corte o separación </t>
  </si>
  <si>
    <t>farmacovigilancia@fhsc.org.co</t>
  </si>
  <si>
    <t>Buen día,  Informo las novedades encontradas mientras se realizaba el proceso de recepción de unidosis: 
Código Interno  Descripción   Lote    Fecha Vencimiento  Stock   Observacion 
39598   GABAPENTIN 300MG TABLETA (UNIDOSIS) | LEGRAND | KAPTIN B02505 2027-07-30 1 averia 
43507 QUETIAPINA 25MG TABLETA (UNIDOSIS) | HETERO LABS LIMITED| TIQUEPIN| TQD241102 2027-10-30 10 sobrante 
44074 SILDENAFIL 50MG TABLETA (UNIDOSIS) | GENFAR | F01689E 2027-07-30 212 error en lote 
50265 ACETAMINOFEN + CODEINA 325MG + 30MG TABLETA (UNIDOSIS) | NOVAMED | APRIX 2511004637
2027-11-30 16 pendiente por entrega 
El medicamento que se indica como sobrante se evidencio que el paquete indicaba 50 unidades pero fisicamente llegaron 60 unidades. 
En el caso del medicamento ACETAMINOFEN + CODEINA 325MG + 30MG TABLETA (UNIDOSIS) | NOVAMED | APRIX,  se enviaron a reempaque un total de 200 unidades.
No obstante, al momento de realizar el proceso de recepción de unidosis y la revisión del documento de reempaque, se evidencia que fueron remisionadas y entregadas únicamente 184 unidades, presentándose un faltante de 16 unidades, las cuales se encuentran pendientes de envío por parte de ustedes.
Adicionalmente, se solicita su amable colaboración respecto a la unidad de empaque, dado que se evidenció que algunos paquetes indicaban contener 50 unidades, información que no correspondía con el contenido real.</t>
  </si>
  <si>
    <t>ANDREA CHANTRE AUX FARMACIA</t>
  </si>
  <si>
    <t>Buen día, 
Espero se encuentren muy bien.
El día de ayer, 02/02/2026, se evidenció un retraso aproximado de una hora, el cual no fue informado oportunamente, tal como se establece en el contrato. Debido a esta falta de notificación, no fue posible alertar a los diferentes servicios sobre la tardanza en la entrega de las adecuaciones.
Es importante dar estricto cumplimiento a los horarios de llegada, ya que este tipo de retrasos puede generar afectaciones en la administración de medicamentos y comprometer la seguridad del paciente.
Adicionalmente, durante la mañana se realizó la solicitud de algunas adecuaciones requeridas por pacientes, las cuales no fueron entregadas dentro de las adecuaciones recepcionadas el día de ayer.
Agradecemos se tomen las medidas necesarias para evitar la recurrencia de estas situaciones y se dé cumplimiento a lo establecido.
Quedamos atentos a sus comentarios.</t>
  </si>
  <si>
    <t>YESICA ALEJANDRA GOEZ PUENTES</t>
  </si>
  <si>
    <t>El día de hoy se nos presenta la siguiente novedad.
Al recibir los dos preparados de la Quimioterapia Intratecal, la compañera Regente Maria Eugenia refiere que vienen marcados con el mismo nombre del paciente ( Janer Arley  Gomez) motivo por el cual se hace devolución del preparado para realizar los determinados ajustes.
Se recibe de nuevo el preparado al validar por parte de la Regente Maria Eugenia viene con el cambio en la rotulación  de la etiqueta externa del paciente (Rene Andrés Angulo), sin embargo en el servicio de Infusiones al destapar la bolsa observan que la rotulación de la jeringa también presenta fallas en la rotulación (ver archivo anexo), motivo por el cual por seguridad no se puede administrar al paciente.
Dado lo anterior solicito el favor de tan amable realizar un plan de acción para evitar que nos vuelva a suceder estos sucesos que arriesgan la seguridad de nuestros pacientes.</t>
  </si>
  <si>
    <t>Lina Maria Muñoz Fernandez  Química Farmacéutica de Oncología</t>
  </si>
  <si>
    <t>qf.oncologico@fciclubnoel.com</t>
  </si>
  <si>
    <t xml:space="preserve">Manuela González Lanzas  Jefe técnico SDMDU HUSJ </t>
  </si>
  <si>
    <t>director.unidosis@husj.gov.co</t>
  </si>
  <si>
    <t xml:space="preserve">"Se interpone una queja dado que el día 05/02/2026 se envía solicitud para preparación de lotes de medicamentos de control especial indicando que se requiere preparar de manera urgente. Sin embargo, al día de hoy 12/02/2026, no se han recibido las adecuaciones ni se generó respuesta al correo de solicitud.  
Es importante tener en cuenta que no se están enviando a preparar lotes de antibióticos, por lo cual debería agilizarse el proceso con las demás solicitudes. 
Adjunto evidencia del correo con la solicitud. "											
											</t>
  </si>
  <si>
    <t xml:space="preserve">Neyla Quintana Ariza - Química Farmacéutica						</t>
  </si>
  <si>
    <t xml:space="preserve">328 23 00 Extensión - 2814						</t>
  </si>
  <si>
    <t>mailto:neyla.quintana@stewardcolombia.org</t>
  </si>
  <si>
    <t xml:space="preserve">"El día 10 de febrero se solicita la preparación de un lote de 80 unidades de oxicodona de 3 mg en donde se solicita que las etiquetas contengan la información correcta sobre el medicamento.
Al ser recepcionadas el día 11/02/2026 con el número de despacho 484664, lote RM26121754 Y FV. 10/03/2026; se evidencia que la etiqueta del medicamento cuenta con el código incorrecto para el medicamento (CÓD. 78363).
Cabe aclarar que durante la orden de producción se hizo una previa revisión y en esta misma se solicitó con el código 78369.
Tras esto se procede a revisar los lotes anteriores si se ha presentado el mismo problema por lo cual se identifica que la producción de la semana del 27/01/2026 con numero de pedido 480781 y lote del medicamento RM2678241, igualmente presento el código incorrecto.
Agradecemos su colaboración en la revisión de esta situación.
"						</t>
  </si>
  <si>
    <t xml:space="preserve">DANIELA GASCA - QUIMICA FARMACEUTICA			</t>
  </si>
  <si>
    <t xml:space="preserve">3436600 EXT 2502			</t>
  </si>
  <si>
    <t xml:space="preserve">esteriles.farmacia@clinicademarly.com.co			</t>
  </si>
  <si>
    <t xml:space="preserve">Cordial saludo 
El presente con el fin de reportar queja en cuanto al retraso en entrega de las dosis unitarias de estériles del día 10 de febrero las cuales se recibieron a las 18:25 (horario pactado 17:00). Adjunto envío documento.
Agradezco la atención prestada y quedo atenta a comentarios. 
Quedo atenta a cualquier inquietud.  </t>
  </si>
  <si>
    <t xml:space="preserve">
Teléfono: (601) 5946161 Ext. 3007</t>
  </si>
  <si>
    <t>Cordial saludo,
Por medio de la presente nos permitimos notificar una desviación de calidad evidenciada en el proceso de reempaque del medicamento Metadona 10 mg, lote 250502-09, con fecha de vencimiento 05/2027.
Se verificaron las recepciones técnicas del empaque primario desde el momento de su ingreso al Servicio Farmacéutico el día 10 de noviembre de 2025. Las unidades fueron revisadas una a una tanto por el auxiliar de farmacia como por el regente de farmacia, dejando constancia de conformidad en cantidad y condiciones físicas.
Posteriormente, el medicamento fue enviado al área de adecuación con su respectiva orden de producción el día 15/11/2025, donde se realizó nuevamente la verificación física de las unidades y la validación de los datos remitidos para el proceso de reempaque.
El día 28/11/2025 se recibió el medicamento debidamente sellado, confirmando con el regente de farmacia la revisión del empaque de las unidades provenientes de la central de mezclas.
No obstante, debido a la rotación de inventario, el día de ayer, al momento de alistar los medicamentos de control especial para entrega al personal del turno, se evidenció que una de las unidades se encontraba completamente sellada, sin signos de manipulación ni fuga, pero sin contener la tableta en su interior.
Dado que se trata de un medicamento de control especial, esta situación constituye una desviación grave dentro de los procesos de aseguramiento de calidad establecidos en la central de mezclas.
Por lo anterior, solicitamos de manera prioritaria su análisis técnico y respuesta formal frente a esta desviación, incluyendo el concepto de calidad correspondiente y el plan de acción a implementar. Esta información se requiere con carácter urgente, considerando la próxima visita del Fondo Nacional de Estupefacientes a las instalaciones de la clínica, con el fin de soportar adecuadamente este faltante, el cual no fue reportado previamente por la central de mezclas.
Adjunto soportes
Agradecemos su pronta atención y quedamos atentos a su respuesta formal.
Atentamente,</t>
  </si>
  <si>
    <t>SNEHIA MENDOZA</t>
  </si>
  <si>
    <t>sanehia.mendoza@clinicaunisabana.edu.co</t>
  </si>
  <si>
    <t>SURAMERICANA IPS SERVICIOS SALUD</t>
  </si>
  <si>
    <t>William Ospina Cifuentes
Aux Farmacia Salud en casa</t>
  </si>
  <si>
    <t>wospinac@sura.com.co</t>
  </si>
  <si>
    <t>Buena tarde.
Señores unidosis reporto la novedad de bomba elastomerica de CEFEPIME 3000 MG el cual salió auxiliar enfermera el día de hoy para su administración en domicilio, pero esta presenta fuga de líquido o se trasvaso completamente.  Recordar que es evento adverso para el paciente esperamos pronta respuesta .</t>
  </si>
  <si>
    <t>CLINICA JUAN N CORPAS</t>
  </si>
  <si>
    <t>John Edwin Fajardo R.
Q.F. Servicio Farmacéutico
CJNC</t>
  </si>
  <si>
    <t>quimico_farmaceutico@clinicajuanncorpas.com</t>
  </si>
  <si>
    <t xml:space="preserve">LOTE 25B232 ACETAMINOFEN DE 500  ID 0130001393 SEGÚN IMAGEN FOTOGRAFICA VIENE SIN UNA TABLETA </t>
  </si>
  <si>
    <t>Buenas tardes.
Envió evidencia donde se encuentra mal rotulado carvedilol de 12,5 mg por carvedilol de 25 mg .
Agradecemos su colaboración con la verificación y correcta liberación de los productos ya que esto puede generar errores de medicación y complicaciones mayores.</t>
  </si>
  <si>
    <t>JAIME AGUILAR RODRIGUEZ</t>
  </si>
  <si>
    <t>regente.bodega@stewardcolombia.org</t>
  </si>
  <si>
    <t>El día de hoy se nos presenta la siguiente novedad.
Al recibir los dos preparados de la Quimioterapia Intratecal, la compañera Regente Maria Eugenia refiere que vienen marcados con el mismo nombre del paciente ( Janer Arley  Gomez) motivo por el cual se hace devolución del preparado para realizar los determinados ajustes.
Se recibe de nuevo el preparado al validar por parte de la Regente Maria Eugenia viene con el cambio en la rotulación  de la etiqueta externa del paciente (Rene Andrés Angulo), sin embargo en el servicio de Infusiones al destapar la bolsa observan que la rotulación de la jeringa también presenta fallas en la rotulación (ver archivo anexo), motivo por el cual por seguridad no se puede administrar al paciente.
Dado lo anterior solicito el favor de tan amable realizar un plan de acción para evitar que nos vuelva a suceder estos sucesos que arriesgan la seguridad de nuestros pacientes.
-</t>
  </si>
  <si>
    <t>Andrea Liliana Tolosa Riveros	 Jefe de Servicio Farmacéutico</t>
  </si>
  <si>
    <t xml:space="preserve">Tel: 602 485 44 04 Ext.: 1189	</t>
  </si>
  <si>
    <t>ervicio.farmaceutico@fciclubnoel.com</t>
  </si>
  <si>
    <t>farmacia@ncbsas.com</t>
  </si>
  <si>
    <t>Karen Gutierrez Valderrama Quimica Farmaceutica</t>
  </si>
  <si>
    <t>Tel: 6726521  Ext. 1235</t>
  </si>
  <si>
    <t>Estimados,
Reciban un cordial saludo.
Por medio del presente, nos permitimos manifestar nuestra inconformidad respecto a los tiempos de notificación relacionados con la no disponibilidad de insumos utilizados en la preparación de nutriciones parenterales.
De manera reiterada hemos recibido notificaciones con un margen de apenas 24 horas informando que ya no cuentan con determinado insumo. Esta situación nos obliga a realizar ajustes inmediatos en la prescripción por parte del profesional de nutrición, lo que a su vez genera reprocesos internos, sobrecarga operativa y posibles retrasos en la atención de los pacientes.
Consideramos que este tipo de avisos con tan poca antelación impacta de manera directa la planeación asistencial y los procesos clínicos de nuestra institución. Por tal motivo, presentamos formalmente esta inconformidad, la cual ha sido manifestada también por la Dirección Asistencial, y solicitamos se revisen y fortalezcan los mecanismos de comunicación y anticipación frente a posibles desabastecimientos.
Agradecemos su atención a la presente y quedamos atentos a sus comentarios y a las acciones de mejora que puedan implementarse para evitar que esta situación continúe presentándose.
Cordialmente,</t>
  </si>
  <si>
    <t>Cordial saludo señores Unidosis,
Por medio del presente nos permitimos informar las novedades identificadas en las últimas semanas relacionadas con las entregas de adecuaciones de medicamentos de control especial, así como el impacto que estas están generando en la operación del Servicio Farmacéutico y en la atención segura de los pacientes de la Fundación Hospital San Carlos.
De acuerdo con el seguimiento realizado por el referente de farmacovigilancia institucional a la Orden de Producción OP 23-01-2026, se evidencian las siguientes situaciones:
No se está cumpliendo con la entrega del 100% de las adecuaciones solicitadas.
Transcurridos veinte (20) días desde el envío de la orden, aún se encuentran pendientes adecuaciones por entregar.
La no disponibilidad oportuna de estas preparaciones ha generado afectaciones directas en:
Oportunidad en la administración de medicamentos a los pacientes, comprometiendo la continuidad terapéutica.
Reprocesos operativos, debido a la necesidad de coordinar modificaciones de formulación con el equipo médico.
Sobrecarga administrativa y asistencial, generando insatisfacción en el equipo clínico y aumento de tiempos no productivos.
Adicionalmente, esta situación está generando riesgos clínicos y operativos relevantes, entre ellos:
Desperdicio de medicamento y pérdida de remanentes al no contar con dosis ajustadas.
Mayor riesgo de errores de medicación al requerir manipulaciones o fraccionamientos no previstos.
Incremento del riesgo de pérdida o desvío de medicamentos de control especial al no disponer de presentaciones adecuadas en dosis unitaria.
Riesgo de eventos adversos asociados a ajustes improvisados de dosis.
Impacto financiero por aumento del gasto institucional y baja eficiencia en el uso de recursos.
Riesgo normativo por incumplimiento de lineamientos del INVIMA y del Fondo Nacional de Estupefacientes en cuanto a adecuación, trazabilidad y entrega en condiciones que garanticen seguridad y control.
En el marco del Sistema de Gestión de Calidad y del Programa de Seguridad del Paciente, esta situación constituye una alerta operacional relevante, al tratarse de medicamentos de control especial cuyo manejo exige oportunidad, trazabilidad y estricta adherencia normativa.
A la fecha de este correo se han enviado dos (2) quejas formales del día 28-11-2025 y 08-01-2026 en formato AC-FR-054-04 ATENCION Y SEGUIMIENTO DE PQRS definido por unidosis para la presentación de las mismas, sin tener una respuesta a la fecha.
En ese orden de ideas y teniendo en cuenta la gravedad de lo expuesto, solicitamos de manera formal:
Dar respuesta a las quejas presentadas y adjuntas en este correo.
Informe de las causas del incumplimiento en la OP 23-01-2026.
Cronograma claro y definitivo de entrega de las adecuaciones pendientes.
Plan de acción inmediato que garantice la no repetición de esta situación en futuras órdenes de producción.
Agradecemos su pronta respuesta y las acciones correctivas correspondientes, teniendo en cuenta el impacto asistencial y normativo que esta situación está generando.</t>
  </si>
  <si>
    <t>JUAN CARLOS CORONEL DUARTE</t>
  </si>
  <si>
    <t>jcoronel@fhsc.org.co</t>
  </si>
  <si>
    <t>AVIDANTE BUS HOSPITAL DEL NORTE</t>
  </si>
  <si>
    <t>CARLOS JOSE IRARTE ROSA</t>
  </si>
  <si>
    <t>carlos.iriarte@zentria.com.co</t>
  </si>
  <si>
    <t>Buenos días,
Por medio del presente informo novedad relacionada con el pedido recibido de Unidossis el pasado 19/01/2026, bajo la orden N° 4115N. En dicho pedido se solicitó el reempaque de Amlodipino 5 mg, lote F02254A, fecha de vencimiento 09/2027, por un total de 1.800 unidades.
El día de hoy, al momento de realizar la dispensación, se identificaron 2 unidades del producto cuyo empaque se encuentra totalmente sellado, pero vacío, sin tabletas en su interior (adjunto evidencia fotográfica).
Solicito por favor se escale el caso a Unidossis para documentar la novedad, con el fin de gestionar la respectiva respuesta y proceder con la baja de estas unidades en nuestro sistema de información.
Quedo atenta a las indicaciones y al soporte correspondiente para cerrar el caso.
Muchas gracias.</t>
  </si>
  <si>
    <t xml:space="preserve">"Buenos dias. 
Con el presente documento quiero notificar que para el 15/025/2026 se terminaron las NPT de los  pacientes Maria Elena Sanchez Herrera a las 16:30hrs  y Yeisonn Jair Acuña Rodriguez  a las 17:00hrs, aproximadamente 1:30h antes de lo esperado ya que se inicia la administración a las 19:00hrs , se realiza verificación a la programación de la bomba encontrando coincidencia entre lo indicado y lo programado, no es claro el motivo detrás de la terminación anticipada del producto, esta situación se ha presentado previamente y de forma reiterativa.
Esta situación aumenta el riesgo en la prestación de servicios de salud al no garantizar el tiempo de administración, adicionalmente, esta situación preocupa al generar dudas sobre la composición del producto terminado que pueden afectar el aporte nutricional diario al no alcanzar la meta calórica propuesta, los servicios expresan preocupación frente a este hecho pues deben tomar medidas ante la terminación anticipada del producto.
Dado lo anterior, se le solicita atentamente a Unidossis realice un informe aclarando lo sucedido y un plan de mejora con el fin de evitar que se repitan estas situaciones anteriormente descritas."														</t>
  </si>
  <si>
    <t>Juana Vargas , Químico Farmacéutico</t>
  </si>
  <si>
    <t xml:space="preserve">3538000  Ext. 468	</t>
  </si>
  <si>
    <t>Buen día,
Durante el proceso de recepción técnica de la tabletería enviada para reempaque, se identificaron averías en medicamentos de alto costo y, en el caso de los medicamentos que no son de alto costo, un número de unidades superior al porcentaje permitido por cada referencia reempacada; las averías corresponden a las OP de tabletería enviadas después de la última solicitud de nota crédito (01-12-2025).  Por lo anterior, solicito amablemente la emisión de la nota crédito correspondientes a los siguientes ítems:
Medicamentos no alto costo (número de unidades superior al porcentaje permitido por cada orden de producción):

Código
Descripción
Unidades
 Vr unitario 
17014345
TAMSULOSINA 0.4MG CAP LIB MOD
23
 $                    295
17400821
ACETAMINOFEN 500 MG TAB
42
 $                      40
17400102
ACETILSALICILICO ACIDO 100MG TAB
17
 $                1.033
17003153
CICLOSPORINA 25MG CAP
2
 $                2.101
17016420
CLOPIDOGREL 75MG TAB
12
 $                    118
17340381
DIMENHIDRINATO 50MG TAB
3
 $                    680
17280587
FENITOINA 100MG CAP
1
 $                    495
17902149
CAPTOPRIL 25MG TAB
1
 $                      69
17004713
ESomeprazol 20 mg TAB
7
 $                      90
17011698
LEVETIRACETAM 500MG TAB
2
 $                1.463
17002551
NIFEdipino 30 mg TAB LIB PROGR
5
 $                    217
17012671
VALSARTAN TAB RECUBIERTA 80MG
19
 $                    700
17666785
NIMODIPINO 30MG TAB
3
 $                    160
17006189
PREGABALINA 75MG CAPSULA DURA
3
 $                    898
17350463
SUCRALFATE 1G TAB
4
 $                    450
17016311
QUETIAPINA 25MG TABLETA RECUBIERTA
1
 $                    128
17191446
prednisoLONA 5 mg TAB
1
 $                      47
17646464
LEVOTIROXINA 50MCG TAB
6
 $                      39
17008762
ATORVASTATINA 40MG TAB
1
$                      112
Medicamentos alto costo:

Código
Descripción
Unidades
 Vr unitario 
17013440
SILDENAFILO CITRATO 20MG TAB
7
 $              18.000
17013734
DAPAGLIFLOZINA 10MG COMPRIMIDO RECUBIERTO
2
 $                4.900
17180787
MICOFENOLATO MOFETILO 500MG TAB
1
 $                6.863
17005403
TACROLIMUS 1MG CAP LIBERACION PROLONGADA
2
 $                6.150
17310244
CICLOSPORINA 50MG CAP
1
 $                4.055
17213407
SACUBITRILO/VALSARTAN 24.3MG+25.7MG (50MG) TAB RECUBIERTA
3
 $                4.226
17008296
MICOFENOLATO SODICO 360MG TAB
1
 $                5.200
17213421
SACUBITRILO/VA</t>
  </si>
  <si>
    <t>FUNDACION CLINICA INFANTIL CLUB NOEL</t>
  </si>
  <si>
    <t>LORENA CASTILLO - QUIMICA FARMACEUTICA</t>
  </si>
  <si>
    <t>3538000 Ext. 468</t>
  </si>
  <si>
    <t>mailto:centraldemezclas@hospitaldesanjose.org.co</t>
  </si>
  <si>
    <t>El día martes 17 de Febrero a las 11:40am se envió la solicitud de orden de producción de oncologicos jornada mañana URGENTE 2, la cual contenia 2 (dos) quimioterapias, que debian llegar a las 2:10pm; Sin embargo la quimioterapia llega a las 4:00pm, es decir, con un retraso de 1 hora y 50 minutos, incumpliendo el acuerdo de servicios por parte de ustedes. Por este inconveniente presentado el Hospital San José en el servicio de HEMATOLOGIA HOSPITALIZACIÓN se incumplió con el horario de aplicación de los medicamentos, afectando a nuestros pacientes; solicito pronta respuesta aclarando lo sucedido y evaluar que medidas adicionales o planes de mejora se pueden implementar para evitar este tipo de inconvenientes.</t>
  </si>
  <si>
    <t xml:space="preserve">"El día viernes 20 de febrero de 2026 se envia orden de producción de Cisplatino para el paciente CAMILO ANDRES GONZALEZ SUAREZ, dosis 49 mg, diluida en SSN 0,9% de 250 mL para volumen final de 299 mL. Sobre las 9 de la mañana se notifica que se preparó la mezcla accidentalmente con la DAD 5% de 500 mL que se entregó para la preparación de otro medicamento.
 Al revisar el inserto del medicamento indica ""No diluir Cisplatino solo en DAD 5%"", y al revisar literatura se indica que el cisplatino debe diluirse en soluciones con una concentración de cloruro de al menos 0,45%, de otro modo el medicamento se degrada. No se hace claridad en literatura del tiempo de estabilidad en DAD 5% unicamente, por lo que es necesario desechar la mezcla y preparar una nueva con un nuevo vial de cisplatino, y de esta manera entregar a tiempo el medicamento al paciente. 
Se solicita la revisión el caso, envío de análisis causa-raiz y la devolución del medicamento e insumos."						 </t>
  </si>
  <si>
    <t xml:space="preserve">DANIELA GASCA PARRADO                                   JULIANA ROJAS CASTAÑEDA
Química Farmacéutica - UEB                                     Química Farmacéutica - UNAL </t>
  </si>
  <si>
    <t>601-3436600 - Ext. 2502</t>
  </si>
  <si>
    <t>esteriles.farmacia@clinicademarly.com.co</t>
  </si>
  <si>
    <t xml:space="preserve">Buenos días,
Por medio del presente informo inconsistencias identificadas en dosis unitarias recibidas el día fin de semana:
Se recibió una jeringa rotulada como CAFEÍNA, contenida en un empaque secundario cuyo rótulo corresponde a CEFEPIME, evidenciando discordancia entre el medicamento preparado y el empaque externo.
En otra unidad se identificó que ni el nombre del paciente ni la dosis consignada en la jeringa coinciden con la información registrada en el empaque secundario, constituyendo una inconsistencia crítica.
Estas situaciones representan un riesgo significativo para la seguridad del paciente y podrían derivar en un evento adverso si no se detectan oportunamente antes de la administración.
Solicito de manera prioritaria la revisión del proceso de preparación, rotulado y verificación final antes del despacho, así como el envío de un plan de mejora con acciones correctivas y preventivas, orientado a evitar la recurrencia de este tipo de eventos.
Quedo atenta a su pronta respuesta.
Cordialmente,
</t>
  </si>
  <si>
    <t>Manuela González Lanzas  Jefe técnico SDMDU HUSJ</t>
  </si>
  <si>
    <t xml:space="preserve">
3105474457</t>
  </si>
  <si>
    <t xml:space="preserve">
director.unidosis@husj.gov.co</t>
  </si>
  <si>
    <t>El día viernes 20 de Febrero se envio la solicitud de orden de producción de oncologia urgente - Jornada Tarde, en esta orden de producción se encontraban dos mezclas de Rituximab (100mg en 100ml SSN y 600mg en 600ml SSN respectivamente) de la paciente MARTHA CATALINA ZULUAGA MAYAdel servicio de hematologia hospitalización; Sin embargo al realizar la recepción técnica de las mezclas oncologicas la Regente de Farmacia de la farmacia central del Hospital evidencia que las mezcla oncologica vienen con las etiquetas primarias y secudandarias incorrectas, es decir, la bolsa de 100ml de SSN tiene la etiqueta pegada de Rituximab 600mg en 600ml SSN y la bolsa de SSN de 1000ml tiene pegada la etiqueta de Rituximab 100mg en 100ml SSN; ademas esta ultima bolsa que en realidad contiene Rituximab 600mg (1 vial 100mg/10ml SOL INY y 1 vial 500mg/50ml SOL INY) en 600ml se viene regando y parte del contenido de la misma se encuentra en la bolsa trasparente del empaque primario y en la bolsa azul del empaque secundario.                                                                                                                                                              Se procede a rechazar las mezclas y devolver las misma con el trasportador a UNIDOSSIS SAS, de igual manera se informa a QF Martin del área de interpretación lo ocurrido para que procedan con la preparación de una nueva mezcla, el cambio de las etiquetas respectivamente y el envio Urgente de las mismas a la Sociedad de Cirugia de Bogotá Hospital de San José. Por este inconveniente presentado el Hospital San José en el servicio de HEMATOLOGIA HOSPITALIZACION se incumplió con el horario de aplicación del medicamento, afectando a nuestra paciente; Adicionalmente requerimos reposición prioritaria en nuestro inventario de los viales faltantes de Rituximab (1 vial 100mg/10ml SOL INY y 1 vial 500mg/50ml SOL INY) de laboratorios Abbott.  Quedamos atentos a su pronta respuesta y esperamos que situaciones como estas no se vuelvan a presentar. (Se adjunta a correo electronico imagen donde se puede evidenciar lo descrito anteriormente)</t>
  </si>
  <si>
    <t>centraldemezclas@hospitaldesanjose.org.co</t>
  </si>
  <si>
    <t xml:space="preserve">Buen día, 
Mediante el presente reporto, el día de ayer recibimos la orden de producción 486838 correspondiente a 200 JP de hidromorfona lote: RC26146217, y al realizar la inspección de calidad, se evidencia un empaque con doble jeringa.
Solicitamos una revisión de lo ocurrido. Asimismo, agradecemos nos informen las medidas correctivas que se implementarán para evitar que estos errores se repitan.
Además, quedo atenta para saber como proceder con la unidad, si nos suministraran el empaque secundario o si se realiza destrucción de la misma </t>
  </si>
  <si>
    <t>elizeth.castiblanco@clinicaunisabana.edu.co</t>
  </si>
  <si>
    <t xml:space="preserve">ALEJANDRA CAMPOS ACOSTA </t>
  </si>
  <si>
    <t>Buen día,
Me permito informar acerca de la entrega inoportuna de la orden de magistrales-estériles y NPT del día 28/02/2026 de la Fundación Clínica Shaio.
Los correos con las OP fueron enviados a las 12:04 y 11:48 AM, respectivamente. Según nuestro acuerdo de servicio la entrega debió realizarse máximo a las 17:00, no obstante, la entrega se realizó a las 18:20 poniendo en riesgo la oportunidad de entrega a los pacientes en los servicios. 
Además, por parte de producción no se realizo aviso a ninguno de los químicos farmacéuticos de la Fundación informando alguna novedad que retrasará la salida de las OP.
Agradezco su atención, quedo atenta a respuesta con plan de mejora correspondiente.</t>
  </si>
  <si>
    <t>Yulieth Katerine Pedraza Amaya Quimico(a) Farmaceutico(a)</t>
  </si>
  <si>
    <t>yulieth.pedraza@shaio.org</t>
  </si>
  <si>
    <t xml:space="preserve">Cordial saludo Unidossis,
El presente correo es para reportar las siguientes novedades/inconvenientes respecto a la entrega de la OP de Heparinas.
Las DUs de Heparina debían llegar para el día (27/02/2026), sin embargo, a la fecha y hora (02/03/2026) no han llegado, informando desde unidossis que estaban apenas en proceso de despacho. Esto conlleva a la entrega NO oportuna de los medicamentos a los pacientes.
Dicho lo anterior se solicita:
Acciones de mejora a implementar para minimizar este tipo de inconvenientes, ya que afectan la atención y dispensación oportuna de los medicamentos.
Reunión con el fin de esclarecer nuevamente los acuerdos de servicio, para que resulten favorables para ambas partes.
Quedo atento a cualquier inquietud.  
Cordialmente,
</t>
  </si>
  <si>
    <t xml:space="preserve">
Por medio del presente me permito informar que, en el marco de las actividades rutinarias de control y seguimiento, durante la ejecución del inventario cíclico realizado en la fecha de ayer (22/01/2026), se evidenció un cruce de tres (3) viales correspondientes a dos medicamentos que actualmente se encuentran bajo su custodia, los cuales se relacionan a continuación:
• Ifosfamida 1 g
• Ifosfamida 2 g
Dicha novedad fue identificada al momento de la verificación de los registros del sistema, motivo por el cual se procede a realizar el presente informe con el objetivo de dejar constancia formal del hallazgo, asegurar la trazabilidad del proceso, y dar cumplimiento a los lineamientos establecidos para el manejo, control y custodia de medicamentos.
Es importante resaltar que este registro se efectúa como parte de las acciones preventivas y correctivas orientadas a mantener la integridad del inventario, garantizar la correcta gestión de los medicamentos y facilitar el análisis correspondiente para la toma de decisiones que se consideren necesarias.
Quedo atenta a cualquier observación, aclaración, validación o instrucción adicional que estime pertinente respecto a este procedimiento, así como a las acciones que deban implementarse para su adecuada gestión y cierre</t>
  </si>
  <si>
    <t>Aura Janeth Mosquera H. Regente de Farmacia</t>
  </si>
  <si>
    <t xml:space="preserve"> 602 485 44 04 Ext.: 1128</t>
  </si>
  <si>
    <t>Buenos días,
se presenta novedad en la recepción técnica de 40 unidades de Solución de premediación (SSN 0,9% + KCl 10mEq + MgSO4 1g) Bolsa x 1000mL las cuales llegan en paquetes de a 5 unidades, estas bolsas deben llegar en empaque individual para conservar esterilidad hasta el momento de entrega a enfermería, re realizara devolución de 30 unidades para su reacondicionamiento, quedo atento
anexo fotografías.
Agradezco la atención prestada.
Cordialmente;</t>
  </si>
  <si>
    <t>Cesar Augusto Cortes Moncada  Químico farmacéutico</t>
  </si>
  <si>
    <t>Teléfono: 5946161 ext. 4252 – 1410 - 3312</t>
  </si>
  <si>
    <t>cacortes@husi.org.co</t>
  </si>
  <si>
    <t>Buenos días, cordila saludo 
El presente es para notificar error en proceso de reempaque por parte del tercero UNIDOSSIS en el código interno del medicamento se hace devolución de los mismos para su respectivo reproceso.
Los medicamentos se requieren de forma prioritaria. Anexo tabla de los medicamentos y sus cantidades.</t>
  </si>
  <si>
    <t>Se realiza reporte por calidad teniendo en cuenta que día de hoy se realizó la recepción de 2 preparaciones de Paclitaxel correspondiente a las pacientes Gloria Pacho y Lorenza Ulcue, evidenciando que las preparaciones cuentan con extensiones Cyto-set, en lugar de equipo fotoprotector como se solicitó el día de ayer.</t>
  </si>
  <si>
    <t>602 835 3810</t>
  </si>
  <si>
    <t>serviciofarmaceutico.cirugiacsrp@stewardcolombia.org</t>
  </si>
  <si>
    <t xml:space="preserve">"El pasado 28/01/2026 se recibe los medicamento de reempaque de una orden de tableteria por parte de la sede Puente Aranda, la cual presenta retrasos en su entrega y un error en la etiqueta para el medicamento MONTELUKAST 5 MG TABLETA MASTICABLE con el código 82275. Este error consta de la presentacion del medicamento en donde todas las 30 unidades 
indican dosis de 25 mg, pero en el despacho entregado por parte de Unidossis indica que la presentación es correcta 5 mg. 
Cabe aclarar que la ORDEN DE DESPACHO es 0208O, para el medicamento en reempaque entregado.
Por favor revisar el caso. "						</t>
  </si>
  <si>
    <t>DANIELA GASCA - QUÍMICA FARMACÉUTICA</t>
  </si>
  <si>
    <t xml:space="preserve">Buenas tardes.
Por medio del presente correo queremos notificar el incumplimiento del acuerdo de servicio en relación con la hora de entrega, así como la falta de comunicación clara y oportuna respecto a la entrega de las unidosis y nutriciones parenterales correspondientes al día 03-03-2026.
Inicialmente, desde el área de interpretación se nos informó que se presentaba un inconveniente con la OP de estériles (unidosis), por lo cual se realizaría un primer envío con las nutriciones y los magistrales. Considerando que la OP de estériles representa la menor proporción frente al total de la OP de magistrales, nutriciones y estériles, se autorizó la entrega parcial con el fin de no afectar la mayoría de las pacientes. Esta comunicación se recibió aproximadamente a las 3:50 p.m.
Posteriormente se realiza un plan de contingencia con el personal asistencial de los servicios que requerían las unidosis de la OP estériles, esta situación ocasiona reprocesos internos, ya que, con el propósito de garantizar la administración oportuna de las dosis a los pacientes, el servicio farmacéutico de la clínica debe comunicarse de manera inmediata con las áreas de cuidados intensivos y hospitalización para sincronizar los tiempos de atención.
Posteriormente, hacia las 5:30 p.m., nos comunicamos nuevamente para verificar el estado del envío, momento en el cual se nos informó que no se había realizado la entrega parcial. En consecuencia, el despacho fue aplazado hasta la finalización de la OP de unidosis estériles, lo que generó un retraso adicional. Adicionalmente, el plan de contingencia mencionado anteriormente no fue efectivo por el no envío del despacho parcial.
Finalmente, la OP llegó sobre las 06:15 PM, incumpliendo el acuerdo de servicio (adjunto correo en que se notifica el incumplimiento del acuerdo de servicio del día 28-02-2026, sin respuesta alguna). 
Por otro lado en horas de la mañana se presento la novedad en que no se entregaron las 300 heparinas que se habrían solicitado en modo maquila (solo llegaron 100 unidades); junto con las nutriciones llegó el restante, generando otro reporoceso, ya que para ello se tienen horarios destinados en la entrega de la maquila. Adicionalmente, en horas de la tarde mandaron las remisiones (remisiones que no se habían enviado en horas de la mañana por problemas en el sistema de ustedes) y se relacionaron de forma incorrecta las cantidades de heparina y la remisión de morfina no llegó.
Agradecemos se revisen los hechos ocurridos y se tomen las medidas necesarias para evitar que situaciones similares se presenten nuevamente, además de tener claridad en la información que se maneja y una respuesta a esta queja, ya que se han presentado quejas sin respuesta o solución alguna. 
 </t>
  </si>
  <si>
    <t>(601) 593 8210</t>
  </si>
  <si>
    <t>Claudia Tinoco Rairán  Química Farmacéutica de Aseguramiento de la Calidad</t>
  </si>
  <si>
    <t>Buenos días equipo Unidossis, reciban un cordial saludo, 
Por medio del presente correo, solicito amablemente a colaboración con el envío e las respuestas de las PQRS que se encuentran abiertas a la fecha y que corresponden a casos reportados en el 2025:

FECHA
RESPONSABLE
DESCRIPCION
14/10/2025
YURI ECHEVERRI
DU Heparia con pivote roto
7/12/2025
ERIKA ROMERO
Du piperacilina con las etiquetas cruzadas, no corresponde el volumen de la jeringa con el declarado en la etiqueta
15/12/2025
YURI ECHEVERRI
OP de 50 DU de succinilcolina, llegan 49
26/12/2025
YURI ECHEVERRI
OP de 50 DU de succinilcolina, programada para entrega el 24/12/2025, llega el 25/12/2025 y solo llegan 49 unidades
Por favor enviar la información lo más pronto posible ya que debemos enviar el informe de gestión de la central de mezclas del 2025 a la dirección general del hospital y es lo único que tenemos pendiente.</t>
  </si>
  <si>
    <t>Cordial saludo
El presente correo es para realizar el reporte de la presencia de burbujas en las preparaciones oncológicas, específicamente para las preparaciones de Paclitaxel que vienen en frasco, esta eventualidad genera problemas al momento de pasar el medicamento por el equipo bomba, ya que no permite la administración del mismo. 
Solicito amablemente  de su colaboración con la verificación del caso, con la finalidad de validar si es posible realizar un plan de mejora por parte de la central de mezclas para evitar la reincidencia de este tipo de situaciones.</t>
  </si>
  <si>
    <t>602 8353810</t>
  </si>
  <si>
    <t xml:space="preserve">Cordial saludo 
El presente con el fin de reportar queja en cuanto al retraso en entrega de las dosis unitarias de estériles del día 4 de marzo las cuales se recibieron a las 18:15 (horario pactado 17:00). Adjunto envío documento.
Quedo atenta a cualquier inquietud.  </t>
  </si>
  <si>
    <t>SANTIAGO AHUMADA</t>
  </si>
  <si>
    <t>A quien corresponda,
Por medio de la presente deseo presentar una queja formal respecto al retraso en la entrega de las dosis anticipadas del medicamento HEPARINA 3000 UI - 475 unidades que se solicitaron con la debida anticipación (24 FEBRERO 2026) para el Hospital Simón Bolívar.
Según lo acordado, estas dosis debían ser entregadas en la fecha establecida (Máximo 48 h después de la solicitud, 27 Febrero 2026); sin embargo, hasta el momento no se ha cumplido con dicha entrega completa, entregan 175 unidades el día 3/3/2026 y no se ha brindado una explicación clara sobre el motivo del retraso. Esta situación está generando inconvenientes en la continuidad del tratamiento y en la correcta planificación del suministro de medicamentos.
Adicionalmente, las unidades llegadas a nuestro servicio farmacéutico datan con fecha de preparación del 1/3/2026, lo cual indica que tardan 48 horas en despachar después de preparadas, lo que disminuye la vida útil dentro del servicio, intensificando la posible pérdida por fecha de vencimiento. 
Solicito respetuosamente que se revise con urgencia este caso, se informe el estado actual de la entrega y se adopten las medidas necesarias para evitar que este tipo de situaciones se repitan en el futuro.</t>
  </si>
  <si>
    <t>qfasistencialsimon@gmail.com</t>
  </si>
  <si>
    <t>QUIMICO FARMACEUTICO ASISTENCIAL</t>
  </si>
  <si>
    <t xml:space="preserve">Buenos días,
Por medio del presente correo me permito informar un error identificado y reportado al servicio farmacéutico el día de hoy, 2 de febrero de 2026, relacionado con el proceso de unidosis de Insulinas.
Aunque en el empaque de una insulina se encontraba rotulada la dosis de insulina glargina 6 UI, al revisar el contenido antes de su administración, se evidenció que la jeringa incluida correspondía a una jeringa de 10 UI.  El error fue detectado de manera oportuna previo a la administración del medicamento, momento en el cual el personal asistencial informó inmediatamente la situación al servicio farmacéutico, evitando así un posible error de medicación. Posteriormente, se realizó la verificación del insumo correcto y el ajuste correspondiente para garantizar la seguridad del paciente.
Agradezco y solicito respetuosamente que, por favor, se realice una revisión del proceso, con el fin de identificar oportunidades de mejora y prevenir la ocurrencia de errores similares en el futuro, fortaleciendo así la seguridad del paciente. Quedo atenta a las indicaciones y acciones que consideren pertinentes.
Adjunto evidencia. 
Buena tarde.
A continuación adjunto respuesta de los reportes de PQRS realizados por su parte en las fechas 11/02/26,20/02/26,02/03/26, 04/03/2026, a las cuáles no se les había dado respuesta, ya que se decidió unir todas las quejas con el fin de hacer un solo análisis de causas y emitir una sola respuesta en general, teniendo en cuenta que las novedades se presentaron básicamente en el mismo proceso de Calidad ( Empaque, liberación de producto terminado y liberación de etiquetas) por situaciones del personal responsable.
Agradecemos sus reportes oportunos de novedades, desviaciones o no conformidades que se presenten en los procesos, teniendo en cuenta que debemos trabajar en equipo y de la mano cliente/proveedor, para mantener una mejora continua de los procesos, garantizando con ello la seguridad de los pacientes, por medio de productos finales conformes con todos los requisitos y atributos de calidad solicitados por el cliente y exigidos por la normativa vigente.
Quedamos atentos a cualquier duda o solicitud adicional.
</t>
  </si>
  <si>
    <t>Buenos días, espero que se encuentre muy bien.
Por medio de la presente me permito realizar un reporte de tecnovigilancia relacionado con el dispositivo médico BOLSA EVA NUTRICION PARENTERAL 3000 ML, lote 580335H21. Al instalar la nutrición parenteral, se observa una fuga constante por una de las vías, la cual se encontraba cerrada a nivel de la pinza azul. Se realizan intentos para corregir la fuga; sin embargo, no es posible debido a que la pérdida es abundante. En consecuencia, se procede al retiro de la nutrición, generando una afectación en el paciente.
Ante esta situación, se realiza el presente reporte con el fin de contribuir a las acciones de mejora correspondientes y se solicita la reposición del dispositivo.
Muchas gracias por su apoyo.</t>
  </si>
  <si>
    <t>HOSPITAL ALMA MATER</t>
  </si>
  <si>
    <t>valentina.rodriguezr@almamater.hospital</t>
  </si>
  <si>
    <t>VALENTINA RODRIGUIEZ QUIMICO FARMACEUTICO</t>
  </si>
  <si>
    <t>Señores
UNIDOSSIS SAS
notificaciones@unidossis.com.co
Asunto: Notificación formal de desviación de calidad – Medicamento de control 
especial Metadona 10 mg, lote 250502-09.
Cordial saludo,
Por medio de la presente, y en ejercicio de las funciones de seguimiento y control 
de los procesos asociados al manejo de medicamentos de control especial, nos 
permitimos informar una desviación de calidad evidenciada durante las 
actividades de alistamiento y dispensación del medicamento Metadona 10 mg, 
correspondiente al lote 250502-09, con fecha de vencimiento 05/2027.
De acuerdo con la revisión de la trazabilidad del proceso, se verificaron las 
recepciones técnicas del empaque primario desde el momento de su ingreso al 
Servicio Farmacéutico el día 10 de noviembre de 2025. En dicha oportunidad, 
las unidades fueron revisadas individualmente tanto por el auxiliar de farmacia 
como por el regente de farmacia, dejando constancia de conformidad respecto 
a la cantidad recibida y las condiciones físicas del producto.
Posteriormente, el medicamento fue remitido al área de adecuación con su 
correspondiente orden de producción el día 15 de noviembre de 2025, donde se 
efectuó nuevamente la verificación física de las unidades y la validación de la 
información requerida para el proceso de reempaque.
Así mismo, el día 28 de noviembre de 2025 se recibió el medicamento 
debidamente sellado.
No obstante lo anterior, y como resultado de la rotación del inventario, el día 11
de febrero de 2026, al momento de realizar el alistamiento de medicamentos de 
control especial para su entrega al personal del turno, se evidenció que una de 
las unidades se encontraba completamente sellada, sin signos aparentes de 
manipulación ni fuga, pero sin contener la tableta en su interior.
Teniendo en cuenta que se trata de un medicamento sometido a control especial, 
la situación descrita constituye una desviación relevante dentro de los procesos 
de aseguramiento de calidad y control, por lo cual resulta necesario adelantar el 
análisis técnico correspondiente que permita determinar las causas del evento 
reportado</t>
  </si>
  <si>
    <t>GIOVANNI VALENCIA PINZÓN  Subdirector Administrativo y Logístico. Clínica Universidad de La Saban</t>
  </si>
  <si>
    <t>contratos@clinicaunisabana.edu.co</t>
  </si>
  <si>
    <t>María Saavedra Químico Farmacéutico</t>
  </si>
  <si>
    <t xml:space="preserve">"Buenos dias. 
Con el presente documento quiero notificar que para el día 09/03/2026 se ha recibido MENOS DE LA MITAD de Hidromorfona JP de la orden de producción enviada desde el martes 04/03/2026 no se brindo información oportuna sobre el retraso ni se respondió a las inquietudes expresadas, la inoportunidad de entrega genera dificultades para el cubrimiento de las necesidades de la IPS aumento el riesgo de acontecimiento de sucesos de seguridad,
Esta situación también genera dificultades para la generación de la orden de producción de la semana del producto mencionado al cruzarse los requerimientos, la situación ha sido repetitiva y se ha presentado con todos los productos a adecuar en dosis estándar,
Dado lo anterior, se le solicita atentamente a Unidossis que se cumpla con los tiempos estipulados para no generar traumatismos en la operación de la IPS. "	"Buenos dias. 
Con el presente documento quiero notificar que para los días 07 y 08/03/2026 se presentaron retrasos en la hora de llegada de las nutriciones parenterales y anrtibióticos, ya que de acuerdo con el contrato de servicios estas preparaciones deben entregarse al hospital como máximo 17:30 y se ha superado dicha hora, (llegada a las 20:00 y 16:30), esto ha generado gran molestia en los servicios puesto que la llegada tardía de las nutriciones ocasiona que la entrega interna en el hospital se retrase, adicionalmente no se garantiza soporte nutricional ni cubrimiento de requerimiento calórico a pacientes con necesidades especiales y se generan variaciones en los horarios de administración de antibióticos en pediatría auemntando el riesgo de fallos terapéuticos.  
Se realizó el seguimiento al envío oportuno de las ordenes evidenciando que se cumple con el envío antes de las 13:00, se recibió notificación de recibido y no se notificó de inconvenientes de transporte.
Se realiza llamada telefónica en donde informan un aumento en el volumen de pedidos pero esta información sólo es aportada después del incumplimiento, es necesario revisar el proceso y de ser necesario ajustar los horarios para evitar los riesgos asociados al inicio atemporal de las nutriciones y adecuaciones.
Dado lo anterior, se le solicita atentamente a Unidossis que se cumpla con los tiempos estipulados según el acuerdo contractual descrito en el anexo técnico operativo para no generar traumatismos en la operación de la IPS o que se realicen ajuste al proceso. "																											</t>
  </si>
  <si>
    <t xml:space="preserve">Jenny Paola Angarita Gil Química Farmacéutica Asistencial </t>
  </si>
  <si>
    <t xml:space="preserve">Teléfono: (601) 5946161 Ext. 3007 </t>
  </si>
  <si>
    <t>jpangarita@husi.org.co</t>
  </si>
  <si>
    <t xml:space="preserve">Cordial Saludo Unidossis,
El presente es para reportar novedad con la hora de entrega de NPT Adulto:
Fecha de la novedad: 07/03/2026
El día 07/03/2026 se envió solicitud de 6 preparaciones de NPT a las 11:13, sin embargo, estas llegaron a las 18:30 al hospital. Solicitamos amablemente su colaboración indicando lo ocurrido, puesto que, por protocolos del HUSI estas preparaciones deben estar disponibles para el paciente antes de las 18:00 para dar cumplimiento al tratamiento.
Envía adjunto documento de registro
Dicho esto se solicita:
Implementar acciones de mejora que permitan minimizar este tipo de inconvenientes, mejorando así la oportunidad en los tiempos de entrega de las preparaciones.    Cordial saludo 
El presente con el fin de reportar queja en cuanto al retraso en entrega de las dosis unitarias de estériles del día 7 de marzo las cuales se recibieron a las 18:30 (horario pactado 17:00). Adjunto envío documento.
Quedo atenta a cualquier inquietud.  </t>
  </si>
  <si>
    <t>ATENCION INTEGRAL EN CASA</t>
  </si>
  <si>
    <t>Reciban un cordial saludo
Reporto queja por el envío del producto de alimentación del paciente del asunto, el cual ha presentado constantemente  retrasos importantes en la entrega, y en otras oportunidades dejando el paciente sin alimentación (3 de febrero).
La falta de oportunidad en la entrega del producto ha dificultado los tiempos de administración y ha impactado en la logística interna del personal de salud y administrativo que atiende el paciente en domicilio.
Este incumplimiento ha favorecido en parte las hospitalizaciones del paciente por descompensación de su medio interno.
Igualmente el destino donde se debería trasladar la alimentación queda a 15 minutos de palmira.
Solicito su especial apoyo para solucionar de fondo las dificultades presentadas con el transporte la cual no ha generado incremento en los costos operativos y en la seguridad de nuestro paciente.
Quedo atento, mil gracias</t>
  </si>
  <si>
    <t>Carlos Emilio Rangel Hernandez Auditoría</t>
  </si>
  <si>
    <t xml:space="preserve">
PBX: 6016651379 Ext 908</t>
  </si>
  <si>
    <t>auditoria@atencionintegralencasa.com.co</t>
  </si>
  <si>
    <t>Buen día:
La presente es para reportar un nuevo error de etiquetado y de preparación correspondiente a la unidosis solicitada el día 10/03/2026 para el paciente Jose Francisco Muñoz.
Según la orden de producción enviada, el medicamento debía ser preparado a una concentración de 30 mg/mL para una dosis total de 1500 mg, lo que corresponde a un volumen final de 50 mL.
No obstante, al momento de recibir el diluido se evidenció que la preparación estaba claramente realizada en un volumen aproximado de 100 mL. Esto se pudo verificar debido a que la solución salina utilizada correspondía a una presentación de este volumen y, adicionalmente, mediante verificación por peso se evidenció que el contenido era superior a 50 mL.
A pesar de lo anterior, la etiqueta del preparado indicaba que el volumen final correspondía a 50 mL. Adjunto evidencias correspondientes: Con este evento se completa la segunda novedad presentada con el servicio en tan solo una semana desde el inicio de operaciones. Hasta el momento no hemos recibido una respuesta de fondo frente a las situaciones previamente reportadas.
Agradecemos realizar la revisión correspondiente, identificar la causa de estos eventos y remitir las acciones correctivas y preventivas que se implementarán para evitar que este tipo de situaciones se repitan.
Quedamos atentos a su respuesta.</t>
  </si>
  <si>
    <t>FARALLONES</t>
  </si>
  <si>
    <t>LAURA MARCELA RODRIGUEZ</t>
  </si>
  <si>
    <t>laura.rodriguez@christus.co</t>
  </si>
  <si>
    <t>Buenos días equipo Unidossis, reciban un cordial saludo,
Por medio del presente, me permito enviar el consolidado de las PQRS que se han enviado en lo que va del 2026, solicito amablemente la colaboración con el envío de las respuestas a las revisiones de estos casos: 

FECHA
PQRS
Cantidad
6/1/2026
Faltante de 1 amp bicarbonato, el 25/12/2025 se debían gastar 12 viales para la preparación de 60 DUs, el día 26/12/2025 se identifica la salida de 1 unidad
1
23/1/2026
Las DUs de Heparina debían llegar para el día (20/01/2026), sin embargo, llegaron hasta el día (22/01/2026) en horas de la tarde. Esto conlleva a la entrega NO oportuna de los medicamentos a los pacientes.
165
26/1/2026
Llegada tarde DU antibióticos 18:39 el 23/01/2026
26
26/1/2026
Se informo desde Unidossis que las DUs tenían un ligero retraso y que llegaban en horas de la tarde del viernes (23/01/2026), 50 bicarbonato, heparina 325, propofol 56
431
22/1/2026
Se encontraron unidades de a. ursodesoxicolico identificadas como bisoprolol
43
28/1/2026
Llegada tarde de du estériles a las 18:27 
10
12/2/2026
Retraso de entrega de DU estériles del 10 de febrero a las 18:25
10
2/3/2026
Se recibieron 40 mezclas de hidratación sin empaque, las bolsas venian en una bolsa grande con 5 unidades cuando el empaque debe ser individual
40
2/3/2026
DU anticipadas de bicarbonato, heparina y propofol que debían llegar el 27/02/2026 y a la fencah no han llegado
93
2/3/2026
Se encontró que la op de 18730 unidades de reempaque, todas las unidades tenían el código interno del HUSI errado
18730</t>
  </si>
  <si>
    <t>Claudia Tinoco RairánQuímica Farmacéutica de Aseguramiento de la Calidad</t>
  </si>
  <si>
    <t xml:space="preserve">    Buenos días.
Cordial saludo,
Por medio del presente, envío  reclamo técnico de calidad ,  debido a que, durante el proceso de recepción / dispensación, se evidenció que un empaque secundario de  la tableta clonidina 150mcg se encontraba sin el medicamento en su interior.
Al momento de la verificación, el empaque secundario se encontraba cerrado y en condiciones físicas aparentemente normales; no obstante, al proceder con su apertura se evidenció la ausencia del medicamento en su interior. Quedo atenta a la reposición del producto, la emisión de la respectiva nota crédito y el envío del plan de acción correspondiente.
Quedo atenta a sus comentarios.</t>
  </si>
  <si>
    <t>CLAUDIA PATRICIA RAMOS</t>
  </si>
  <si>
    <t>Buenas tardes, cordial saludo 
De manera respetuosa informo la siguiente novedad identificada durante la recepción de preparaciones magistrales provenientes de la central de mezclas tercerizada:
El día sábado, al momento de la verificación de las preparaciones recibidas, se evidenció un cruce de etiquetas entre dos preparaciones antibióticas correspondientes a diferentes pacientes, lo cual representa un riesgo potencial para la seguridad del paciente y genera impacto en los costos institucionales debido a la necesidad de reprocesar o reemplazar las preparaciones.
Los casos identificados son los siguientes:
Paciente: JOSE DAMARIO JIMENEZ
Medicamento solicitado en orden de producción: Piperacilina + Sulbactam
Medicamento recibido: Ampicilina + Sulbactam
Paciente: JOSE FRANCISCO MUÑOZ LOPEZ
Medicamento solicitado en orden de producción: Ampicilina + Sulbactam
Medicamento recibido: Piperacilina + Sulbactam
Adjunto evidencia fotográfica y OP</t>
  </si>
  <si>
    <t>EILIN PATRICIA BOHORUEZ  QUIMICA FARMACEUTICA</t>
  </si>
  <si>
    <t>eilin.bohorquez@christus.co</t>
  </si>
  <si>
    <t xml:space="preserve">Cordial saludo 
El presente con el fin de reportar queja en cuanto al retraso en entrega de las dosis unitarias de estériles del día 11 de marzo las cuales se recibieron a las 19:53 (horario pactado 17:00). Adjunto envío documento.
Quedo atenta a cualquier inquietud.  
Cordialmente
</t>
  </si>
  <si>
    <t xml:space="preserve">Buen día a todos.  Francisco como te comenté el día de ayer, las heparinas jeringas prellenadas que llegaron a las clínicas renales, llegaron con información incorrecta en la etiqueta en lo relacionado a sus condiciones de almacenamiento por tal motivo con el fin de evitar tener que realizar devolución del producto de todas las unidades renales, agradezco el día de hoy me envíen carta aclaratoria sobre las condiciones correctas de almacenamiento y haciendo claridad que no requieren un empaque que proteja de la luz, para así mismo socializar con las clínicas renales y evitar el reproceso de devolución para re- etiquetado.
Inclusive en la ficha técnica también aparece el error de almacenamiento.
</t>
  </si>
  <si>
    <t xml:space="preserve">Cordial saludo 
El presente con el fin de reportar queja en cuanto al retraso en entrega de las dosis unitarias de estériles del día 12 de marzo las cuales se recibieron a las 18:23 (horario pactado 17:00). Adjunto envío documento.
Quedo atenta a cualquier inquietud.  </t>
  </si>
  <si>
    <t xml:space="preserve">Luisa Ovalle  Químico Farmacéutico Asistencial </t>
  </si>
  <si>
    <t>PALMA REAL</t>
  </si>
  <si>
    <t>Espero se encuentren muy bien. 
Me permito remitir formato de PQR adjunto, relacionado con los tiempos de entrega de las producciones correspondientes a los días viernes 13 y sábado 14 de marzo del 2026, para su conocimiento, revisión y gestión correspondiente.
Agradecemos su apoyo en la verificación de la situación descrita y en la implementación de las acciones que permitan garantizar el cumplimiento de los tiempos de entrega establecidos.
Quedamos atentos a sus comentarios y a la información que consideren pertinente frente al caso.
Cordialmente,</t>
  </si>
  <si>
    <t>ANDREA KATERINE CAICEDO DIAS</t>
  </si>
  <si>
    <t>quimicofarmaceutico1.cpr@christus.co</t>
  </si>
  <si>
    <t>El día 17 de octubre fueron enviadas a sus instalaciones 50 unidades de Fentanilo 250 mcg/5 mL (Blaskov). Posteriormente, debido a que no se contaba con información sobre la estabilidad del medicamento en sus bases de datos, se realizó la consulta directamente con el laboratorio fabricante, quien informó que el producto presenta baja estabilidad, motivo por el cual se solicitó la devolución de las ampollas.
Al momento de recibir el producto, se evidenció un faltante de 5 ampollas. Tras realizar la consulta correspondiente, se nos informó que 3 de estas unidades no habían sido localizadas. Teniendo en cuenta lo anterior solicitamos de manera atenta la devolución a la mayor brevedad posible de las unidades faltantes. En caso de confirmarse la pérdida de dichas ampollas, agradecemos remitir los soportes del reporte realizado ante los entes de control correspondientes, así como la documentación relacionada con el proceso administrativo y legal que esta situación implica, teniendo en cuenta que se trata de un medicamento de control especial bajo su custodia contractual.</t>
  </si>
  <si>
    <t xml:space="preserve">Cordial saludo 
El presente con el fin de reportar queja en cuanto al retraso en entrega de las dosis unitarias de estériles del día 14 de marzo (hora de envío OP 12:23) y fueron recibidas a las 19:26 (horario pactado 17:00). Adjunto envío documento.
Agradezco la atención prestada al presente y quedo atenta. </t>
  </si>
  <si>
    <t xml:space="preserve">Luisa Ovalle Químico Farmacéutico Asistencial </t>
  </si>
  <si>
    <t>Buenos días,
Por medio del presente informo que se identificó un error en la estabilidad registrada en las etiquetas de las mezclas oncológicas del paciente JOSTIN ALEJANDRO MOSQUERA, correspondiente a las preparaciones realizadas el viernes 13 y lunes 16 de marzo de 2026.
En dichas etiquetas se indica una estabilidad de 6 horas para la Citarabina 500 mg solución inyectable , cuando la estabilidad correcta para estas preparaciones corresponde a 24 horas.
Esta situación representa un problema dentro del proceso, ya que puede afectar la programación, dispensación y manejo adecuado de las mezclas oncológicas, generando reprocesos y posibles inconsistencias en la información utilizada por el equipo.
Adjunto a este correo las fotografías como evidencia del error identificado.
Agradezco realizar la revisión correspondiente y solicito amablemente establecer un plan de mejora que permita prevenir que este tipo de situaciones vuelva a presentarse.
Quedo atenta a sus comentarios</t>
  </si>
  <si>
    <t>Buenas noches,
Durante la recepción técnica realizada el día de hoy se identificó una inconsistencia en el etiquetado de un preparado magistral, en la cual el nombre del medicamento consignado en la etiqueta exterior no correspondía al contenido real del preparado.
La situación fue detectada debido a que se evidenció la ausencia de un magistral esperado y la duplicidad de una unidosis correspondiente a otro paciente. Al proceder a la apertura de las bolsas se encontró que:
La etiqueta exterior correspondía a amiodarona del paciente O. Gai Pedraza.
Sin embargo, en el interior se encontraba una jeringa etiquetada como furosemida correspondiente al paciente Gael Dariel Sabogal.
Este evento representa un riesgo significativo para la seguridad del paciente, ya que se estaban intercambiando unidosis entre pacientes diferentes y con características clínicas distintas, específicamente entre:
Paciente adulto: Amiodarona 200 mg
Paciente pediátrico: Furosemida 4 mg
Una situación de este tipo podría derivar en la administración de un medicamento incorrecto, en una dosis no indicada y a un paciente equivocado, con posibles consecuencias clínicas graves.
Por lo anterior, solicitamos amablemente la revisión del caso y la implementación de un plan de mejora, con el fin de fortalecer los controles en los procesos de preparación, rotulación y verificación de magistrales, evitando así la recurrencia de este tipo de incidentes.
Muchas gracias.</t>
  </si>
  <si>
    <t xml:space="preserve">Cordial saludo 
El presente con el fin de reportar queja en cuanto al retraso en entrega de 16 dosis unitarias de estériles del día 16 de marzo (hora de envío OP 12:28) y fueron recibidas a las 17:47 (horario pactado 17:00). Adjunto envío documento.
Agradezco la atención prestada al presente y quedo atenta. 
Atentamente   Cordial saludo 
El presente con el fin de reportar queja en cuanto al retraso en entrega de 5 NPT pediátricas del servicio de extensión hospitalaria del día 16 de marzo (hora de envío OP 08:55) y fueron recibidas a las 17:45 (horario pactado 15:00). Adjunto envío documento.
Agradezco la atención prestada al presente y quedo atenta. </t>
  </si>
  <si>
    <t>dacaicedo@husi.org.co</t>
  </si>
  <si>
    <t xml:space="preserve">Buendía,
Informo que, enla recepción dela unidosis correspondiente al mes de marzo, documento
#04300, seevidenció que el medicamento DEXAMETASONA 4MG TABLETA (UNIDOSIS) 1
COLOMPACK I MYECORT 1 un idad llegó con  un c abello en la parte del sellado del empaque.
</t>
  </si>
  <si>
    <t>ANDREA CHANTRE CORDINADORA</t>
  </si>
  <si>
    <t>auxcontable1@farmartips.com</t>
  </si>
  <si>
    <t xml:space="preserve">Cordial saludo 
El presente con el fin de reportar queja en cuanto a entrega incompleta de las dosis unitarias de propofol de 150mg/15mL  (OP generada el 13 de marzo a las 15:33 por 68 DU ) el día de ayer 17 marzo fueron recibidas sólo 18DU a las 7:55. Adjunto envío documento. .
</t>
  </si>
  <si>
    <t>ANGIE PIRQUIVE</t>
  </si>
  <si>
    <t xml:space="preserve">Buen día,
De manera atenta me permito informar que, durante la recepción de la orden de producción correspondiente al mes de marzo, se evidenciaron las siguientes novedades y averías adicionales a las reportadas previamente por el proveedor en el documento No. 0432O:
Medicamento LOTE VTO Cantidad  novedad
CALCITRIOL 0.50MCG CAPSULA  COLMED 1578216 30-09-2027 1 AVERIA
CARBONATO DE CALCIO 600MG TABLETA | SIEGFRIED 17010925 30-09-2028  1 AVERIA
ACIDO ASCORBICO 500MG TABLETA | ECAR | VITAMINA C F080423 30-08-2027  1 AVERIA  
AMLODIPINO 10MG TABLETA | GENFAR | F02152D 30-09-2028 2 1 AVERIA 1 EMPAQUE VACIO, NO CONTIENE TABLETA
CARVEDILOL 12.5MG TABLETA | GENFAR  115527 30-09-2027  2 1 EMPAQUE VACIO, NO CONTIENE TABLETA. 1 EMPAQUE CON 2 TABLETAS.
CARVEDILOL 6.25MG TABLETA | GENFAR 104717 30-08-2027 12 1 AVERIA 11 FALTANTES, NO SE RECIBIERON FISICAMENTE.
DAPAGLIFLOZINA 10MG TABLETA | ASTRA ZENECA | FORXIGA YH0168 28-02-2028 1 AVERIA
PREGABALINA 75MG TABLETA | ECAR F100056 30-10-2027 4 AVERIAS 
QUETIAPINA 25MG TABLETA | HETERO LABS LIMITED| TIQUEPIN FD251406 28-02-2028 2 AVERIA
RISPERIDONA 1MG TABLETA | LA SANTE | ZYRISP GA0702A 30-07-2027 1 AVERIA
VALSARTAN 80MG TABLETA | GARMISCH | VALSAPREX S18576 30-10-2027 15 14 AVERIAS 1 EMPAQUE VACIO, NO CONTIENE TABLETA.
VITAMINA D3 1000UI CAPSULA | COLMED | CAPSULA BLANDA 1577737 30-09-2027 1 AVERIA </t>
  </si>
  <si>
    <t>Buen día,  Espero se encuentren bien. 
De manera atenta me permito remitir formato de PQR adjunto, correspondiente al reclamo por fuga en preparaciones de Clindamicina asociadas a dosis anticipadas, presentadas los días 13 y 16 de marzo de 2026. Así mismo, se adjuntan los soportes correspondientes para su revisión. 
Agradecemos su gestión frente a la situación presentada y quedamos atentos a sus comentarios y acciones derivadas del caso. 
Cordialmente,</t>
  </si>
  <si>
    <t>ANDREA KATHERINE CAICEDO</t>
  </si>
  <si>
    <t>Cordial saludo 
El presente con el fin de reportar queja en cuanto a condiciones de transporte de nutriciones parenterales del servicio de pediatría del 13 de marzo de 2026 (OP generada el 13 de marzo a las 10:02 por 5 nutriciones ) con registro de temperatura de 15.6°C. Adjunto envío documento.
Agradezco la atención prestada.</t>
  </si>
  <si>
    <t xml:space="preserve">Cordial saludo El presente con el fin de reportar queja en cuanto a condiciones de transporte y horario de entrega de nutriciones parenterales del servicio de extensión hospitalaria del 13 de marzo de 2026 (OP generada el 13 de marzo a las 08:22 por 6 nutriciones) con registro de temperatura de 15.6°C y horario de entrega 16:45 (horario pactado 15:00) . Adjunto envío documento.
Agradezco la atención prestada.
</t>
  </si>
  <si>
    <t>Asunto: Devolución y reposición de preparación de nutrición parenteral  – Neonato-paciente hija de Karen Cerón Dussán, con identificación M-00035789
Estimados,
Por medio del presente me permito informar que se envió a preparación la orden de producción de nutrición parenteral para el neonato, paciente hija de Karen Cerón Dussán, con identificación M-00035789, con un volumen de fórmula por día de 144 cc más 30 ml de purga, para un volumen final de 174 cc.
Durante la recepción técnica de la preparación inicial, se evidenció que el volumen total entregado fue de 204 ml, mientras que el volumen solicitado correspondía a 174 ml, por lo cual se procedió a la devolución de la misma.
Agradezco el apoyo del equipo de producción, quienes realizaron una nueva preparación conforme a la orden establecida, la cual fue recibida correctamente y cumple con el volumen solicitado.
El presente correo se emite con el fin de dejar trazabilidad del evento y la respectiva gestión realizada.
Se adjunta registro fotográfico como soporte de la verificación realizada durante la recepción técnica</t>
  </si>
  <si>
    <t>Esteban Rodriguez Químico Farmacéutico HOCEN</t>
  </si>
  <si>
    <t>qf4farmacia13302001@eticos.com</t>
  </si>
  <si>
    <t>Cordial saludo 
El presente con el fin de reportar queja en cuanto a condiciones de transporte de las DU de insulina cristalina 100 UI/mL del 13 de marzo de 2026 (OP generada el 13 de marzo a las 12:28 por 10 DU) con registro de temperatura de 16.2°C. Adjunto envío documento.
Quedo atenta a cualquier inquietud.  
Cordialmente</t>
  </si>
  <si>
    <t>HOCEN</t>
  </si>
  <si>
    <t>ETICOS</t>
  </si>
  <si>
    <t>Cordial Saludo,
Por medio de la presente me permito adjuntar el formato PQR, donde se da a conocer  el retraso presentado en la entrega de adecuaciones del día 18/03/2026.
Agradezco una respuesta oportuna para evitar la recurrencia de esta situación, y quedamos atentas a las acciones correspondientes al caso.
Muchas gracias</t>
  </si>
  <si>
    <t>quimicofarmaceutico3.cpr@christus.co</t>
  </si>
  <si>
    <t>ESTEFANIA MONTENEGRO QUIMICO FARMACEUTICO</t>
  </si>
  <si>
    <t>Brenda Morales Quimico Farmaceutico</t>
  </si>
  <si>
    <t xml:space="preserve">Buenas dias Sres. UNIDOSIS S.A,S cordial saludo.  En el proceso de recepción técnica correspondiente a la orden generada el día 18/03/2026, se realizaron las siguientes solicitudes: 
Cefazolina 0.400 g , Habitacion 316A  Cefazolina 0.400 g , Habitacion 316B  Cefazolina 0.600 g ,  Habitacion 317A 
Durante la verificación de los productos recibidos, se evidenciaron las siguientes novedades: 
Se recibió la totalidad de las dosis en presentación de 2 g, las cuales no corresponden a lo solicitado. Total 9 Unidades. 
Adicionalmente, se evidenció la fuga de una unidosis de tramadol correspondiente a la habitación 207B. 
La presente situación se notifica debido al riesgo que representa para la seguridad del paciente, considerando que la no concordancia entre lo solicitado y lo entregado constituye una falla en el proceso. Especialmente en el contexto de dosis pediátricas, pudo haber ocasionado la generación de eventos adversos.   
Por lo anterior, se notifica con el fin de prevenir la recurrencia de este tipo de situaciones.  
image.png </t>
  </si>
  <si>
    <t>Oscar Alfonso Vargas Bautista  Químico(a) Farmacéutico(a)</t>
  </si>
  <si>
    <t>Buenas tardes,  Por medio de la presente se realiza la notificación formal de un nuevo evento de calidad ocurrido en el servicio de UCI Pediátrica, relacionado con una de las unidosis recibidas el día 17-03-2026.
Como se evidencia en la fotografía adjunta, se recibieron jeringas de Meropenem con una dosis de 800 mg. En la etiqueta se indica un volumen de 16 mL, correspondiente al medicamento sin diluir; sin embargo, también se señala un volumen final de 40 mL para alcanzar una concentración de 20 mg/mL. Esto evidencia una inconsistencia significativa, ya que existe una diferencia de 24 mL respecto al volumen esperado.
En este sentido, es importante considerar que el medicamento probablemente se encontraba más concentrado de lo indicado (sin la dilución correspondiente), lo cual representa un riesgo potencial.
Por lo anterior, solicitamos amablemente la formulación de un plan de mejora desde el área de calidad, teniendo en cuenta que este tipo de defecto es claramente detectable dentro de dicho proceso.
Adicionalmente, solicitamos la emisión de la correspondiente nota crédito por los viales de Meropenem, dado que el medicamento no fue administrado al paciente y fue necesario reponerlo para su adecuada preparación en el servicio.
017006401 MEROPENEM 500MG POLVO PARA INY .......... $ 20.500.......3 Unidades</t>
  </si>
  <si>
    <t>juan.orejuela@christus.co</t>
  </si>
  <si>
    <t>JUAN SEBASTIAN ORJUELA DUQUE</t>
  </si>
  <si>
    <t>Buenas tardes,
Agradezco su colaboración con la revisión correspondiente, ya que lo enviado para adecuación el día 18 de marzo desde la Clínica Farallones fue recibido a las 6:12 p.m., afectando así la continuidad del tratamiento de los pacientes y generando múltiples reportes de Seguridad del Paciente. Cabe resaltar que este acta ya es reiterativo.
Adjunto el acta de recepción como soporte de la hora de entrega.
Quedo atento(a) a sus comentarios y a las acciones que se puedan implementar para evitar este tipo de situaciones en el futuro.</t>
  </si>
  <si>
    <t>Cordial saludo,
Por medio de la presente, nos permitimos informar una novedad identificada durante el proceso de recepción del medicamento folinato el día 11 de marzo 2026 como preparación adicional.
Durante el seguimiento realizado a lo largo de una semana, se evidenció una variación en la colorimetría entre los diferentes lotes recibidos. Específicamente, el lote en cuestión relacionado RC26216082 presenta una tonalidad amarillo oscuro, lo cual difiere de lo descrito en la ficha técnica, donde se indica que la solución debe ser de color amarillo claro.
Adicionalmente, se observó que los lotes recibidos posteriormente presentan una coloración amarillo claro, acorde con lo establecido en la ficha técnica, lo que resalta aún más la diferencia con el lote que presenta la novedad.
Con el fin de documentar esta situación, se realizó el respectivo registro fotográfico y seguimiento, el cual se adjunta como evidencia para su revisión.
Agradeceríamos su amable validación y observación frente a esta novedad, con el objetivo de determinar si la variación identificada se encuentra dentro de los parámetros de calidad aceptables o si requiere alguna acción adicional.
Quedamos atentos a sus comentarios y orientaciones al respecto.</t>
  </si>
  <si>
    <t>Andrés Gómez Restrepo  Químico Farmacéutico HOCEN</t>
  </si>
  <si>
    <t>INCUMPLIMIENTO DE A</t>
  </si>
  <si>
    <t>INCUMPLIMIENTO DE ACTIVIDADES O COMPROMISOS</t>
  </si>
  <si>
    <t>Buenas tardes: Por la presente me permito notificar el incumplimiento en la entrega de medicamentos reempacados a nuestra institución. 
El pasado 10 de marzo se enviaron a reempacar 6.732 unidades de medicamentos, los cuales se esperaba recibir el viernes 20 de marzo. Sin embargo, no llegaron. El viernes en la tarde le escribí por WhatsApp al coordinador de sólidos para comunicarle que se necesitaban urgente dos medicamentos (Amiodarona y Rifaximina). El me indica que los pueden entregar el sábado antes del mediodía. 
El sábado no llegaron los medicamentos antes del mediodía, sobre las 5:00 pm llamó al area de despachos y me indican que no ha sido posible enviarlos por falta de ruta o mensajero.  Procedo a llamar al coordinador quien no me responde y luego a Francisco para solucionar esta situación. Finalmente, envían un motorizado quien entrega los dos medicamentos sobre las 7:00 PM. 
Considero que falta comunicación oportuna para informar novedades en la producción que afecten el cumplimiento de los acuerdos de servicios. Adicional, el sábado no avisaron que no tenían personal disponible para la entrega y quizás se hubiera gestionado un mensajero de la Fundación que recogiera los medicamentos. 
Agradezco el análisis del caso y la mejora al proceso para el cumplimiento de los acuerdos de servicios.
Quedo atenta.</t>
  </si>
  <si>
    <t>Yanneth Hernandez Hurtado Coordinadora Central de Mezclas</t>
  </si>
  <si>
    <t xml:space="preserve">
Conmutador (+571) 6672727 Ext. 11509</t>
  </si>
  <si>
    <t>yhernandezh@lacardio.org</t>
  </si>
  <si>
    <t xml:space="preserve">Cordial saludo  El presente con el fin de reportar queja en cuanto al retraso en entrega de 19 dosis unitarias de estériles el día 19 de marzo (hora de envío OP 11:57) y fueron recibidas a las 18:10 (horario pactado 15:00). Adjunto envío documento. Agradezco la atención prestada.  Atentamente 
</t>
  </si>
  <si>
    <t>Buenos días,  Agradezco su colaboración dado que actualmente los tiempos de entrega de reempaque no se están cumpliendo lo que repercute de manera negativa en la operación de la farmacia.
De acuerdo al anexo operativo, la entrega del reempaque se realizaría en 8 días calendario después del envío, sin embargo la realidad es que esta tardando más de 20 días y por más que se intenta comunicación por teléfono o correo no se recibe respuesta alguna sobre estado de entrega. 
Agradezco por favor validar los tiempos de entrega y ajustarse a lo acordado y firmado dado que actualmente tengo problemas de abastecimiento para dispensación a los pacientes. 
Quedo atenta a saber fecha de entrega del reempaque enviado en las fechas:</t>
  </si>
  <si>
    <t>Dairys María Duran Navarro Química Farmacéutica</t>
  </si>
  <si>
    <t>6014897000 Ext. 3007- 3008</t>
  </si>
  <si>
    <t>dairys.duran@clinicadelcountry.com</t>
  </si>
  <si>
    <t>COUNTRY</t>
  </si>
  <si>
    <t>Buen día, estimado proveedor:   
Las únicas cuentas de correo de donde usted recibirá las órdenes de compra o de trabajo son: elizethcaos@clinicaunisabana.edu.co y nelly.contreras@clinicaunisabana.edu.co; verifique que el nombre y dominio de la cuenta se encuentre bien escrito y evite ser objeto de fraude. 
Solicito de su amable colaboración con la revisión del siguiente reporte de farmacovigilancia que me hacen llegar desde el servicio farmacéutico. 
CODIGO PRODUCTO ORDEN DE PRODUCCIÓN  CANTIDAD  LOTE  FECHA DE VMTO  REGISTRO INVIMA EVENTO
MEN02AA030751 JP HIDROMORFONA  CLORHIDRATO SLN INY 0,4 MG/4 ML 493226 1 RC26215589 11/04/2026 2020M-0010831-R1  se evidencia una jeringa con un llenado inferior al correspondiente 
@Sanehia Nahomi Mendoza Quintana, agradezco tener en cuenta esta unidad en el momento de la facturación de unidossis,</t>
  </si>
  <si>
    <t>ELIZETH ANDREA CASTIBLANCO OSPINA</t>
  </si>
  <si>
    <t>enromero@husi.org.co</t>
  </si>
  <si>
    <t>Erika Natalia Romero Molina Química Farmacéutica Asistencial</t>
  </si>
  <si>
    <t xml:space="preserve">Cordial saludo equipo de Unidossis,     El presente tiene como fin informar la situación presentada el día sábado 21 de marzo del presente año, durante la recepción técnica de las nutriciones parenterales de hospitalización se identificó por parte de la regente a cargo del proceso que las nutriciones de extensión de hospitalaria correspondientes a los pacientes: SANTIAGO SANCHEZ GARCÍA Documento: 1032515791 cama: EH92 y SALVADOR MASMELA Documento:1030291126 cama: EH95, llegaron con el equipo purgado. Ante la necesidad del servicio se autoriza la entrega de las dos nutriciones. Sin embargo, se recuerda que, dentro de los acuerdos, se encuentra establecido que las nutriciones se deben entregar a la institución sin la purga del equipo. 
Se solicita amablemente la colaboración en la revisión de este caso, con el fin de identificar la causa raíz y las acciones de mejora que se podrían implementar al respecto. </t>
  </si>
  <si>
    <t xml:space="preserve">Cordial saludo equipo de Unidossis, 
El presente tiene como fin informar la situación presentada el día sábado 21 de marzo del presente año, durante la recepción técnica de las nutriciones parenterales de hospitalización se identificó por parte de la regente a cargo del proceso que la nutrición del paciente ALAN JERÓNIMO CUPITRA LÓPEZ documento: 1023997730, llegó con equipo bomba en lugar de equipo fotoprotector, según requerimientos de la orden de producción.  
Posteriormente, se informa a la Central de mezclas de Unidossis de la situación y se realiza la devolución de la nutrición para el respectivo cambio del equipo. La nutrición con el equipo fotoprotector llega a la institución el mismo día del evento en horas de la noche.  
Se solicita amablemente la colaboración en la revisión de este caso, con el fin de identificar la causa raíz y las acciones de mejora que se podrían implementar al respecto. </t>
  </si>
  <si>
    <t>Cordial saludo El presente con el fin de reportar novedad presentada el día de hoy 24 de marzo en cuanto a dosis unitarias de propofol de 100mg/10ml (100Du) y de 150mg/15ml (120Du) las cuales fueron solicitadas el viernes 20 de marzo (hora de envío OP 16:25) y fueron recibidas hoy a las 16:05. Adicionalmente, las DUs tiene fecha de producción del 22 de marzo de 2026 con lo que perdemos 2 días de vida útil.    Adjunto envío registro fotográfico y orden de despacho.   Agradezco la atención prestada, quedo atenta a comentarios.</t>
  </si>
  <si>
    <t>Buenos días:  En la recepción técnica realizada a los medicamentos recibidos ayer sobre la 16:14 falta el medicamento: 
Esta es la orden enviada el 10/03/2026, el sábado entregaron un parcial de Amiodarona (360 unidades) y Rifaximina (602 unidades) pero no enviaron el Bisoprolol. 
Ayer entregaron: Agradezco saber qué sucedió con este medicamento.</t>
  </si>
  <si>
    <t>Conmutador (+571) 6672727 Ext. 11509</t>
  </si>
  <si>
    <t>De manera atenta, solicitamos su apoyo con el procedimiento actual de  transporte de medicamentos de cadena de frío desde la central de mezclas, 
con el fin de validar su adherencia a los lineamientos institucionales y a las  condiciones requeridas para la adecuada conservación de estos productos. 
Lo anterior, en el marco del seguimiento a acciones de mejora derivadas de  eventos identificados, por lo cual es importante revisar aspectos como 
condiciones de temperatura, tiempos de traslado, trazabilidad y controles  implementados durante el proceso.</t>
  </si>
  <si>
    <t>Andrea Valentina Puello Marriaga Q.F. Farmacovigilancia</t>
  </si>
  <si>
    <t>quimicofarmaceutico@hosusana.gov.c</t>
  </si>
  <si>
    <t>Hospital Susana López de Valencia</t>
  </si>
  <si>
    <t xml:space="preserve">Cordial saludo 
Dando alcance a correo anterior, me permito informar que se recibieron entregas posteriores por 28Dus y una última por 21 Dus (quedando pendiente de esta entrega 1DU) para completar las 68Dus, por lo que se realizó contacto telefónico con el área de interpretación en donde confirmaron que por error no se procesaron 22DU sino 21DU
Teniendo en cuenta lo anterior, se solicita su respuesta ante la Du faltante de esta orden de producción </t>
  </si>
  <si>
    <t>Buen dia por medio del presente me permito notificar la no conformidad con relación a la preparación de la nutrición parenteral del dia 24/03/2026 de la paciente EMILY SOFIA CASTRO ORTIZ  la cual los volúmenes formulados no coinciden en la etiqueta ya que se omitieron los volúmenes de preparación en los cuales se tiene en cuenta la purga asociada al equipo de infusión. Evidencia de esto se adjunta fotografía de la etiqueta del medicamento y la solicitud de preparación.</t>
  </si>
  <si>
    <t>N/r</t>
  </si>
  <si>
    <t>Buen día, señores Unidossis.  El presente es para notificar la devolución del producto  Rosuvastatina 20mg Tableta recubierta por error en el lote de la etiqueta. Quedo atento a sus comentarios.</t>
  </si>
  <si>
    <t>JHON ALEXANDER JIMENEZ</t>
  </si>
  <si>
    <t>jajimenezv@husi.org.co</t>
  </si>
  <si>
    <t>Buenos días
Cordial saludo
Por medio de la presente, me permito presentar una queja formal debido al incumplimiento en la entrega de nutrición parenteral programada.
El día 27/03/2026, estaba prevista la entrega de Nutrición parenteral, correspondiente a la paciente Lucy Zamudio Alfonso cc 1077142654. sin embrago dicha entrega no fue realizada, lo cual representa un riego significativo para la salud de la paciente, dado que este tratamiento es de carácter esencial y continuo, se adjunta correo de solicitud de orden de producción del 27/03/2026</t>
  </si>
  <si>
    <t>Yuliana Perez</t>
  </si>
  <si>
    <t>regentes@clinicanuevaellago.com</t>
  </si>
  <si>
    <t>Cordial saludo  Estimados   Agradeciendo de antemano la ayuda valiosa que nos prestan en beneficio de nuestros pacientes, por otro lado archivo adjunto comparto una solicitud en definición del tiempo de estabilidad que está confundiendo al personal asistencial de los servicios de internación y ambulatorio; sabemos que es importante contar con ustedes para mejorar  cada día más nuestros procesos en conjunto.  En archivo anexo se comparten las imágenes que nos envían.  
Mil gracias por la ayuda y ajuste al respecto;</t>
  </si>
  <si>
    <t>Lina María Muñoz F  Quimica Farmacéutica</t>
  </si>
  <si>
    <t>Neyla Quintana Ariza - Química Farmacéutica</t>
  </si>
  <si>
    <t>328 23 00 Extensión - 2814</t>
  </si>
  <si>
    <t>neyla.quintana@stewardcolombia.org</t>
  </si>
  <si>
    <t xml:space="preserve">"Me permito manifestar una queja por el constante incumplimiento en el horario de entrega de las nutriciones parenterales a lo largo del mes de marzo. Como se evidencia en la tabla adjunta, en múltiples ocasiones las entregas se están realizando fuera del horario acordado (18:00h, máximo 20:00h cuando se presenten novedades), lo cual impacta de manera directa la oportunidad en la administración de los tratamientos y por consiguiente en los pacientes, así como la organización de los procesos asistenciales dentro de la Institución. 
Agradezco se realice la revisión correspondiente, se identifiquen las causas de esta situación y se implementen las acciones correctivas que garanticen el cumplimiento de los tiempos establecidos, evitando así afectaciones en la atención de los pacientes. "											
											</t>
  </si>
  <si>
    <t xml:space="preserve">Cordial saludo, Por medio del presente me permito notificar la no conformidad con relación a la preparación de la nutrición parenteral del día 28/03/2026 del paciente LIAM ANDRES FERIA CANTERO, en la cual los requerimientos solicitados no coinciden con los formulados. Se logró verificar que la interpretación impresa en la etiqueta correspondía al día jueves 26 de marzo; por lo cual se procedió a la devolución de la misma y se solicitó a la QF Angela Parra la preparación nuevamente de la nutrición para dicho paciente. Esta situación afecta directamente la administración oportuna de la nutrición y no se está logrando entregar a tiempo a cada servicio.      Como evidencia se adjunta fotografía de la etiqueta del medicamento y la solicitud de preparación.
Solicito amablemente dar respuesta a la no conformidad, con un plan de acción para mitigar los errores.  </t>
  </si>
  <si>
    <t>Aura Janeth mosquera H.	  Regente de Farmacia</t>
  </si>
  <si>
    <t>Tel: 602 485 44 04 Ext.: 1128</t>
  </si>
  <si>
    <t>central.mezclas@fciclubnoel.co</t>
  </si>
  <si>
    <t>Cordial saludo, 
Por medio del presente me permito notificar la no conformidad con relación a la preparación de la nutrición parenteral del día 28/03/2026 del paciente LIAM ANDRES FERIA CANTERO, en la cual los requerimientos solicitados no coinciden con los formulados. Se logró verificar que la interpretación impresa en la etiqueta correspondía al día jueves 26 de marzo; por lo cual se procedió a la devolución de la misma y se solicitó a la QF Angela Parra la preparación nuevamente de la nutrición para dicho paciente. Esta situación afecta directamente la administración oportuna de la nutrición y no se está logrando entregar a tiempo a cada servicio.Como evidencia se adjunta fotografía de la etiqueta del medicamento y la solicitud de preparación.
Solicito amablemente dar respuesta a la no conformidad, con un plan de acción para mitigar los errores.  </t>
  </si>
  <si>
    <t>Buenos días: Hoy se identifica error en la información del reempaque de Enalapril, el cual se lo entregaron en nuestras instalaciones el sábado 28/03/2026 sobre las 5:00 pm. Su presentación es de 5mg y llegó reempacado como de 50mg: El reempaque de este medicamento se va a reprocesar en nuestras instalaciones dado que se necesita con prioridad. 
Agradezco realizar las mejoras al proceso para disminuir su incidencia.</t>
  </si>
  <si>
    <t>Buenos días,
Por medio del presente documento informo que durante los días 27, 28 y 29 de marzo de 2026, las nutriciones parenterales presentaron retrasos en su entrega al hospital. Dichas nutriciones llegaron entre las 19:00 y las 19:30, lo que representa un retraso aproximado de 2 horas y 30 minutos.
Este incumplimiento genera inconvenientes en los servicios, especialmente considerando que la programación y la duración de las NPT es de 24 horas, dejando un lapso de 2 horas y 30 minutos en el cual los pacientes no reciben la terapia, afectando así la continuidad y el horario establecido para su tratamiento.
Adicionalmente, es importante resaltar que está alineado y parametrizado que las nutriciones deben llegar a las 17:00, por lo cual el personal relacionado también se ve afectado por estos retrasos.
Agradecemos su colaboración y solicitamos una pronta respuesta, en la cual se propongan y establezcan soluciones que permitan garantizar el cumplimiento de los tiempos de entrega.</t>
  </si>
  <si>
    <t>yannetha@icloud.com</t>
  </si>
  <si>
    <t>MARTIN DURRANGO</t>
  </si>
  <si>
    <t xml:space="preserve">Juana Vargas
Químico Farmacéutico
</t>
  </si>
  <si>
    <t>Cordial saludo Por medio del presente me permito notificar la no conformidad relacionada con la preparación de la nutrición parenteral del día 27/03/2026 correspondiente a la paciente EMILY SOFÍA CASTRO ORTIZ. Se evidenció que los volúmenes totales formulados no coinciden con los registrados en la etiqueta, así como tampoco el volumen diario formulado.
El volumen indicado fue de (1130 – 1150), teniendo en cuenta la purga asociada al equipo de infusión, mientras que los preparados recibidos fueron de (1150 – 1170).
Como evidencia, se adjunta fotografía de la etiqueta del medicamento y la solicitud de preparación.
Solicito amablemente dar respuesta a esta no conformidad, indicando un plan de acción que permita mitigar los errores y garantizar la calidad y oportunidad en la entrega.</t>
  </si>
  <si>
    <t>Aura Janeth Mosquera H.	 Regente de Farmacia</t>
  </si>
  <si>
    <t xml:space="preserve">		Tel: 602 485 44 04 Ext.: 1128</t>
  </si>
  <si>
    <t>Cordial saludo, Por medio de la presente deseo manifestar mi inconformidad respecto al servicio prestado por el área de unidosis, debido a reiteradas situaciones relacionadas con la falta de comunicación directa con el equipo de nutrición. En diversas ocasiones se han presentado inconvenientes en el cumplimiento oportuno de las nutriciones parenterales, así como retrasos y novedades que no han sido comunicadas de manera adecuada ni oportuna al personal de nutrición. Esta situación genera desinformación y dificulta la toma de decisiones rápidas que permitan garantizar la continuidad y seguridad en la atención de los pacientes.Por lo anterior, se recalca la importancia de fortalecer los canales de comunicación entre el servicio de unidosis y el equipo de nutrición, asegurando que cualquier novedad, retraso o eventualidad sea transmitida de manera inmediata a los profesionales responsables. De esta forma se podrán gestionar soluciones oportunas y evitar situaciones que afecten la calidad del servicio y la adecuada atención de los pacientes.Agradezco su atención y quedo atenta a las acciones que puedan implementarse para mejorar estos procesos de comunicación y coordinación entre los servicios</t>
  </si>
  <si>
    <t>Tel: 311 382 76 11
Tel: 321 216 7596</t>
  </si>
  <si>
    <t>Ana María Castro Benites Nutricionista Dietista, Angela María Sánchez Montoya
Nutricionista Dietista</t>
  </si>
  <si>
    <t>na.castro@clinicadesa.com.co</t>
  </si>
  <si>
    <t>Buen día, Cordial saludo, mediante la presente comunico la novedad presentada el lunes 30 de marzo del  2026 en relación a la orden de producción enviada: 
Se solicitaron 25 dosis de Metilprednisolona 40 mg y en la recepción técnica entregan lote con 6 jeringas con etiqueta interna de medicamento incorrecto.
Se envía novedad mediante grupo de Whatsapp solicitando reposición de unidades faltantes.  Adjunto evidencia fotográfica: image.pngMuchas gracias, quedo atenta a sus comentarios.Feliz día.
--</t>
  </si>
  <si>
    <t xml:space="preserve">VALENTINA MARTÍNEZ MOTTA Química Farmacéutica
</t>
  </si>
  <si>
    <t xml:space="preserve">
57 1 6532000 Ext. 7331</t>
  </si>
  <si>
    <t xml:space="preserve">
quimicoadj.farmacia@marlyjcg.com.co</t>
  </si>
  <si>
    <t>KARN GINET GUTIERREZ</t>
  </si>
  <si>
    <t>QuimicoFCO@clinicaprimavera.com</t>
  </si>
  <si>
    <t xml:space="preserve">FARMACOVIGILANCIA </t>
  </si>
  <si>
    <t>Cordial saludo,
De manera atenta me permito informar la novedad reportada por el área de oncología, relacionada con preparaciones oncológicas elaboradas con el medicamento Paclitaxel, correspondientes a las pacientes Nancy Salazar y Sindy Rojas, las cuales presentan goteo y/o fuga en sus sistemas de infusión.
Esta situación representa riesgos importantes, entre ellos:
Riesgo para la seguridad del paciente, debido a posible alteración de la dosis prescrita.
Exposición ocupacional del personal de salud a medicamentos citotóxicos.
Contaminación del área y del entorno, con implicaciones en bioseguridad.
Pérdida del producto
Teniendo en cuenta lo anterior, se solicita de manera prioritaria realizar la investigación correspondiente, identificar la causa raíz de esta novedad y emitir una respuesta formal con las acciones correctivas y preventivas a implementar.
Se adjuntan evidencias fotográficas y soportes del caso para su respectivo análisis.
Quedo atenta a su pronta respuesta y a las indicaciones adicionales que se consideren pertinentes.   Soluciones salinas:
INVIMA: 2020M-0002010R2 FRESENIUS
Lote: GECK0302
Fecha de vencimiento: 10/3/2027
Productos terminados (PT):
Lotes: NANCY----RL2622764/01/04/2026
SINDY------RL26282769/01/04/2026
Adicionalmente, se adjunta la información correspondiente al medicamento preparado en dichas soluciones:
PACLITAXEL 100 mg / 16.7 mL solución inyectable
INVIMA: VENUS/2017M-0011811-R1
Lote: X5BPA042B
Fecha de vencimiento: 31/01/2027
Es importante mencionar que la información previamente solicitada también reposa en sus registros.
Así mismo, se tendrá en cuenta la indicación respecto a la inclusión en copia de los correos a los contactos mencionados, así como el envío al buzón de PQRS cuando aplique, con el fin de dar cumplimiento a los lineamientos establecidos.</t>
  </si>
  <si>
    <t>YA SE ENTREGARON TODAS LAS RESPUESTAS DE 2025</t>
  </si>
  <si>
    <t>Luisa Ovalle  Químico Farmacéutico Asistencial</t>
  </si>
  <si>
    <t>Cordial saludo 
El presente con el fin de reportar novedad en cuanto al retraso en entrega de 24 dosis unitarias de estériles el día 04 de abril (hora de envío OP 11:29) con hora de recepción 17:45 (horario pactado 17:00). Adjunto envío OP y orden de despacho.500503</t>
  </si>
  <si>
    <t>Estefanía Montenegro Mora - Químico Farmaceutico</t>
  </si>
  <si>
    <t>2855147 ext. 24487</t>
  </si>
  <si>
    <t>quimi  cofarmaceutico3.cpr@christus .co</t>
  </si>
  <si>
    <t>por medio de la presente me permito notificar que las adecuaciones del dia 31/03/2026 no llegaron a 
la institución dentro del tiempo estimado de entrega, el cual está stablecido hasta las 17:00 p.m. 
Según el registro, la entrega se realizó a las 18:15 p.m ., evidenciando un incumplimiento de lo 
establecido.
gradezco la atención prestada y quedo atenta a las acciones que se puedan tomar para evitar que 
esta situación se   repita .</t>
  </si>
  <si>
    <t xml:space="preserve">Buenos días,  Me permito reportar queja sobre error en preparación de medicamento detectada en proceso de recepción técnica:  Fecha: 31/03/2026 
Novedad: Se envía OP con solicitud de CEFEPIME paciente - HIJO(A) DE DIANA CAROLINA GARZON SANCHEZ - 10324247464 
Dosis: 35mg  Frecuencia: 12h  Se recibe en la clínica CEFTRIAXONA: anexo imagen  Se rechaza producto y se solicita preparación correcta, la cual llega horas más tarde.
</t>
  </si>
  <si>
    <t>CLINICA DEL CONTRY</t>
  </si>
  <si>
    <t>Telefono: 3102225893</t>
  </si>
  <si>
    <t>sofi.viafara@messer-co.com</t>
  </si>
  <si>
    <t xml:space="preserve">Cordial saludo, Pongo a su conocimiento novedades presentadas durante los días festivos con la nutrición parenteral del paciente Lukas restrepo.
El jueves 02 de abril, la entrega de la nutrición se tardó más de lo esperado motivo por el cual me comunique con ustedes para validar novedad; se me informo que, al momento de llegar el domiciliario al domicilio del paciente evidencio el derrame de esta. Por lo cual había regresado a planta para volver a elaborarla y entregarla. 
El viernes 03 de abril, la nutrición llego al domicilio sin novedad aparente, pero al momento de conectarla al paciente se evidencia derrame y ruptura de esta. Por ende, esta nutrición no se le pudo administrar al paciente. Motivo por el cual, se tuvo que realizar solicitud el sábado para el paciente para compensarle al paciente ya que; (el no maneja nutrición parenteral sábados ni domingos) 
El sábado 04 de abril. La nutrición fue a entregarla en el domicilio y al momento de la entrega, en presencia del domiciliario se evidencio nuevamente el derrame de esta. Por lo que, el domiciliario se tuvo que devolver a planta para el nuevo procesamiento de esta. En este momento, el químico se comunica conmigo para validar la posibilidad de utilizar otro equipo de otra marca por si la novedad correspondía a nuestros equipos a lo que le informe que si. Pero no tuve en cuenta que, la bomba de infusión del paciente podría no empatar con ese equipo. Aun así, esta vez la nutrición llego bien y se administro sin la bomba. 
Teniendo en cuenta estas novedades planteadas agradezco su validación y confirmación de análisis de posibles causas de estas novedades (ruptura y derrame) con la nutrición del paciente. Ya que, el paciente maneja un volumen muy similar al del paciente John said sabogal y se utilizan los mismo equipos fotosensibles marca Fresenius para ambos y la novedad no se ha presentado con John said.
</t>
  </si>
  <si>
    <t xml:space="preserve">Cordial saludo  El presente con el fin de reportar queja en cuanto al retraso en entrega de 19 dosis unitarias de estériles el día 26 de marzo (hora de envío OP 12:28) y fueron recibidas a las 19:55 (horario pactado 17:00). Adjunto envío documento. Agradezco la atención prestada.  Atentamente 
</t>
  </si>
  <si>
    <t>ITEM</t>
  </si>
  <si>
    <t xml:space="preserve">
Fecha de la Solicitud: Abril 9/2026  Clínica Renal: RTS SAN FERNANDO   Área: SERVICIO FARMACEUTICO  Usuario: VANTIVE  Proveedor:UNIDOSIS  Número de la orden de compra: SIN REGISTRO  Número de la remisión/acta/nota de entrega/factura: 4625339 Fecha de Emisión de la remisión/acta/nota de entrega/factura:06/04/2026  Código de Material (JDE): H004701UD03  Descripción JDE del material: HEPARINA J.PRE 5ML   Tipo de Reclamo:Factura sin numero de orden de compra  Descripción del Reclamo: Medicamento recibido el dia de hoy 9 Abril . Al realizar la recepción técnica se evidencia factura sin codigo de orden de compra. 
Anexos – Fotografías o documentos soporte (.pdf .jgp .doc .xls ……): Adjunto factura.   Acción requerida por parte del proveedor: correccion de factura con toda la informacion requerida para poder dar ingreso de manera prioritaria debido a que por ser una preparacion tiene fecha de vencimiento corta Mayo 6 2026 </t>
  </si>
  <si>
    <t>Email: carmen.obando@vantive.com</t>
  </si>
  <si>
    <t>Buenas tardes  De manera atenta me permito informar que el día de hoy para la paciente Raquel Elena Segura Miranda se mando a preparar una sola dosis de oseltamivir: 
Sin embargo al recibir las dosis se reciben 2 dosis.  Como es de su conocimiento el oseltamivir es un medicamento de manejo exclusivo de la Secretaría de Salud, entidad a la que se le debe reportar todos los movimientos con dicho medicamento, por lo que no es posible justificar la dosis adicional.  Por lo que solicito su colaboración con la reposición del medicamento empleado.</t>
  </si>
  <si>
    <t>maria.palomino@shaio.org</t>
  </si>
  <si>
    <t>VILLAVICENCIO</t>
  </si>
  <si>
    <t>Buen día, quisiera por medio de este correo reportar atrasos en la entrega de medicamentos de quimioterapia de los pacientes agendados para el día 08/04/2026, los cuales fueron citados 8 am y confirmados de manera oportuna, sin embargo siendo las 11+15 am no han sido entregada la OP, lo cual genera atrasos en los tratamientos de los pacientes, adicionalmente todos han manifestado inconformidad por lo sucedido.</t>
  </si>
  <si>
    <t>KAREN GINETH GUTIEREZ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</si>
</sst>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m/yyyy"/>
    <numFmt numFmtId="165" formatCode="000"/>
    <numFmt numFmtId="166" formatCode="dd/mm/yy"/>
    <numFmt numFmtId="167" formatCode="dd\-mm\-yy"/>
  </numFmts>
  <fonts count="49" x14ac:knownFonts="1">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Arial"/>
      <family val="2"/>
    </font>
    <font>
      <sz val="11"/>
      <color theme="1"/>
      <name val="Arial"/>
      <family val="2"/>
    </font>
    <font>
      <sz val="11"/>
      <color theme="1"/>
      <name val="Calibri"/>
      <family val="2"/>
    </font>
    <font>
      <sz val="11"/>
      <color rgb="FF222222"/>
      <name val="Arial"/>
      <family val="2"/>
    </font>
    <font>
      <sz val="11"/>
      <color rgb="FF000000"/>
      <name val="Arial"/>
      <family val="2"/>
    </font>
    <font>
      <sz val="12"/>
      <color theme="1"/>
      <name val="Arial"/>
      <family val="2"/>
    </font>
    <font>
      <b/>
      <sz val="12"/>
      <color theme="1"/>
      <name val="Arial"/>
      <family val="2"/>
    </font>
    <font>
      <sz val="11"/>
      <name val="Arial"/>
      <family val="2"/>
    </font>
    <font>
      <b/>
      <sz val="12"/>
      <color rgb="FF000000"/>
      <name val="Arial"/>
      <family val="2"/>
    </font>
    <font>
      <sz val="12"/>
      <color rgb="FF000000"/>
      <name val="Arial"/>
      <family val="2"/>
    </font>
    <font>
      <sz val="12"/>
      <color rgb="FF222222"/>
      <name val="Arial"/>
      <family val="2"/>
    </font>
    <font>
      <sz val="12"/>
      <color rgb="FF1F497D"/>
      <name val="Arial"/>
      <family val="2"/>
    </font>
    <font>
      <b/>
      <sz val="12"/>
      <color rgb="FF1F497D"/>
      <name val="Arial"/>
      <family val="2"/>
    </font>
    <font>
      <b/>
      <i/>
      <sz val="12"/>
      <color rgb="FF17365D"/>
      <name val="Arial"/>
      <family val="2"/>
    </font>
    <font>
      <sz val="10"/>
      <color theme="1"/>
      <name val="Arial"/>
      <family val="2"/>
    </font>
    <font>
      <sz val="9"/>
      <color theme="1"/>
      <name val="Century Gothic"/>
      <family val="2"/>
    </font>
    <font>
      <b/>
      <sz val="9"/>
      <color theme="1"/>
      <name val="Century Gothic"/>
      <family val="2"/>
    </font>
    <font>
      <b/>
      <sz val="9"/>
      <color rgb="FF000000"/>
      <name val="Century Gothic"/>
      <family val="2"/>
    </font>
    <font>
      <u/>
      <sz val="9"/>
      <color theme="1"/>
      <name val="Century Gothic"/>
      <family val="2"/>
    </font>
    <font>
      <u/>
      <sz val="9"/>
      <color theme="10"/>
      <name val="Century Gothic"/>
      <family val="2"/>
    </font>
    <font>
      <u/>
      <sz val="9"/>
      <color theme="1"/>
      <name val="Century Gothic"/>
      <family val="2"/>
    </font>
    <font>
      <sz val="9"/>
      <color rgb="FF002060"/>
      <name val="Century Gothic"/>
      <family val="2"/>
    </font>
    <font>
      <sz val="9"/>
      <color rgb="FF000000"/>
      <name val="Century Gothic"/>
      <family val="2"/>
    </font>
    <font>
      <u/>
      <sz val="9"/>
      <color theme="1"/>
      <name val="Century Gothic"/>
      <family val="2"/>
    </font>
    <font>
      <u/>
      <sz val="9"/>
      <color theme="10"/>
      <name val="Century Gothic"/>
      <family val="2"/>
    </font>
    <font>
      <u/>
      <sz val="9"/>
      <color theme="10"/>
      <name val="Century Gothic"/>
      <family val="2"/>
    </font>
    <font>
      <b/>
      <sz val="9"/>
      <color theme="0"/>
      <name val="Century Gothic"/>
      <family val="2"/>
    </font>
    <font>
      <sz val="9"/>
      <color theme="10"/>
      <name val="Century Gothic"/>
      <family val="2"/>
    </font>
    <font>
      <b/>
      <sz val="10"/>
      <color theme="1"/>
      <name val="Arial"/>
      <family val="2"/>
    </font>
    <font>
      <b/>
      <sz val="10"/>
      <color rgb="FFFF0000"/>
      <name val="Arial"/>
      <family val="2"/>
    </font>
    <font>
      <b/>
      <sz val="10"/>
      <color rgb="FF00B0F0"/>
      <name val="Arial"/>
      <family val="2"/>
    </font>
    <font>
      <sz val="9"/>
      <color theme="1"/>
      <name val="Calibri"/>
      <family val="2"/>
    </font>
    <font>
      <sz val="9"/>
      <color rgb="FF000000"/>
      <name val="Arial"/>
      <family val="2"/>
    </font>
    <font>
      <u/>
      <sz val="11"/>
      <color theme="1"/>
      <name val="Arial"/>
      <family val="2"/>
    </font>
    <font>
      <u/>
      <sz val="11"/>
      <color theme="10"/>
      <name val="Arial"/>
      <family val="2"/>
      <scheme val="minor"/>
    </font>
    <font>
      <sz val="10"/>
      <name val="Arial"/>
      <family val="2"/>
    </font>
    <font>
      <sz val="12"/>
      <color rgb="FF000000"/>
      <name val="Aptos"/>
      <family val="2"/>
    </font>
    <font>
      <sz val="11"/>
      <color theme="1"/>
      <name val="Arial"/>
      <family val="2"/>
      <scheme val="minor"/>
    </font>
    <font>
      <sz val="8"/>
      <name val="Arial"/>
      <family val="2"/>
      <scheme val="minor"/>
    </font>
    <font>
      <sz val="11"/>
      <color rgb="FFFF0000"/>
      <name val="Arial"/>
      <family val="2"/>
    </font>
    <font>
      <sz val="11"/>
      <color rgb="FFFF0000"/>
      <name val="Arial"/>
      <family val="2"/>
      <scheme val="minor"/>
    </font>
    <font>
      <sz val="11"/>
      <color theme="1" tint="4.9989318521683403E-2"/>
      <name val="Arial"/>
      <family val="2"/>
    </font>
    <font>
      <sz val="11"/>
      <color rgb="FF242424"/>
      <name val="Segoe UI"/>
      <family val="2"/>
    </font>
    <font>
      <sz val="10"/>
      <color rgb="FF000000"/>
      <name val="Arial"/>
      <family val="2"/>
      <scheme val="minor"/>
    </font>
    <font>
      <sz val="12"/>
      <color rgb="FF000000"/>
      <name val="Arial"/>
      <family val="2"/>
      <scheme val="minor"/>
    </font>
  </fonts>
  <fills count="17">
    <fill>
      <patternFill patternType="none"/>
    </fill>
    <fill>
      <patternFill patternType="gray125"/>
    </fill>
    <fill>
      <patternFill patternType="solid">
        <fgColor rgb="FFBFBFBF"/>
        <bgColor rgb="FFBFBFBF"/>
      </patternFill>
    </fill>
    <fill>
      <patternFill patternType="solid">
        <fgColor rgb="FFF2DBDB"/>
        <bgColor rgb="FFF2DBDB"/>
      </patternFill>
    </fill>
    <fill>
      <patternFill patternType="solid">
        <fgColor rgb="FFB8CCE4"/>
        <bgColor rgb="FFB8CCE4"/>
      </patternFill>
    </fill>
    <fill>
      <patternFill patternType="solid">
        <fgColor rgb="FFD6E3BC"/>
        <bgColor rgb="FFD6E3BC"/>
      </patternFill>
    </fill>
    <fill>
      <patternFill patternType="solid">
        <fgColor rgb="FFFFFFFF"/>
        <bgColor rgb="FFFFFFFF"/>
      </patternFill>
    </fill>
    <fill>
      <patternFill patternType="solid">
        <fgColor theme="0"/>
        <bgColor theme="0"/>
      </patternFill>
    </fill>
    <fill>
      <patternFill patternType="solid">
        <fgColor rgb="FFA5A5A5"/>
        <bgColor rgb="FFA5A5A5"/>
      </patternFill>
    </fill>
    <fill>
      <patternFill patternType="solid">
        <fgColor rgb="FFD8D8D8"/>
        <bgColor rgb="FFD8D8D8"/>
      </patternFill>
    </fill>
    <fill>
      <patternFill patternType="solid">
        <fgColor rgb="FFD99594"/>
        <bgColor rgb="FFD99594"/>
      </patternFill>
    </fill>
    <fill>
      <patternFill patternType="solid">
        <fgColor theme="5"/>
        <bgColor theme="5"/>
      </patternFill>
    </fill>
    <fill>
      <patternFill patternType="solid">
        <fgColor rgb="FFFFFF00"/>
        <bgColor rgb="FFFFFF00"/>
      </patternFill>
    </fill>
    <fill>
      <patternFill patternType="solid">
        <fgColor rgb="FF002060"/>
        <bgColor rgb="FF002060"/>
      </patternFill>
    </fill>
    <fill>
      <patternFill patternType="solid">
        <fgColor rgb="FF8DB3E2"/>
        <bgColor rgb="FF8DB3E2"/>
      </patternFill>
    </fill>
    <fill>
      <patternFill patternType="solid">
        <fgColor rgb="FFFFFF00"/>
        <bgColor indexed="64"/>
      </patternFill>
    </fill>
    <fill>
      <patternFill patternType="solid">
        <fgColor theme="0"/>
        <bgColor indexed="64"/>
      </patternFill>
    </fill>
  </fills>
  <borders count="5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right style="thin">
        <color rgb="FF000000"/>
      </right>
      <top/>
      <bottom/>
      <diagonal/>
    </border>
    <border>
      <left style="medium">
        <color rgb="FF000000"/>
      </left>
      <right/>
      <top/>
      <bottom/>
      <diagonal/>
    </border>
    <border>
      <left/>
      <right/>
      <top style="thin">
        <color rgb="FF000000"/>
      </top>
      <bottom/>
      <diagonal/>
    </border>
    <border>
      <left/>
      <right style="thin">
        <color rgb="FF000000"/>
      </right>
      <top style="thin">
        <color rgb="FF000000"/>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top style="thin">
        <color rgb="FF000000"/>
      </top>
      <bottom/>
      <diagonal/>
    </border>
    <border>
      <left/>
      <right style="medium">
        <color rgb="FF000000"/>
      </right>
      <top style="thin">
        <color rgb="FF000000"/>
      </top>
      <bottom/>
      <diagonal/>
    </border>
    <border>
      <left/>
      <right style="thin">
        <color rgb="FF000000"/>
      </right>
      <top/>
      <bottom style="thin">
        <color rgb="FF000000"/>
      </bottom>
      <diagonal/>
    </border>
    <border>
      <left style="thin">
        <color rgb="FF000000"/>
      </left>
      <right/>
      <top/>
      <bottom/>
      <diagonal/>
    </border>
    <border>
      <left style="medium">
        <color rgb="FF000000"/>
      </left>
      <right/>
      <top style="thin">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top style="medium">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top/>
      <bottom/>
      <diagonal/>
    </border>
    <border>
      <left/>
      <right style="medium">
        <color rgb="FF00000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rgb="FF000000"/>
      </bottom>
      <diagonal/>
    </border>
  </borders>
  <cellStyleXfs count="11">
    <xf numFmtId="0" fontId="0" fillId="0" borderId="0"/>
    <xf numFmtId="0" fontId="38" fillId="0" borderId="0" applyNumberFormat="0" applyFill="0" applyBorder="0" applyAlignment="0" applyProtection="0"/>
    <xf numFmtId="0" fontId="3" fillId="0" borderId="50"/>
    <xf numFmtId="0" fontId="2" fillId="0" borderId="50"/>
    <xf numFmtId="0" fontId="2" fillId="0" borderId="50"/>
    <xf numFmtId="9" fontId="2" fillId="0" borderId="50" applyFont="0" applyFill="0" applyBorder="0" applyAlignment="0" applyProtection="0"/>
    <xf numFmtId="0" fontId="39" fillId="0" borderId="50"/>
    <xf numFmtId="9" fontId="39" fillId="0" borderId="50" applyFont="0" applyFill="0" applyBorder="0" applyAlignment="0" applyProtection="0"/>
    <xf numFmtId="0" fontId="41" fillId="0" borderId="50"/>
    <xf numFmtId="0" fontId="38" fillId="0" borderId="50" applyNumberFormat="0" applyFill="0" applyBorder="0" applyAlignment="0" applyProtection="0"/>
    <xf numFmtId="0" fontId="1" fillId="0" borderId="50"/>
  </cellStyleXfs>
  <cellXfs count="405">
    <xf numFmtId="0" fontId="0" fillId="0" borderId="0" xfId="0"/>
    <xf numFmtId="0" fontId="4" fillId="2" borderId="1" xfId="0" applyFont="1" applyFill="1" applyBorder="1" applyAlignment="1">
      <alignment horizontal="center" vertical="center" wrapText="1"/>
    </xf>
    <xf numFmtId="0" fontId="5" fillId="0" borderId="2" xfId="0" applyFont="1" applyBorder="1"/>
    <xf numFmtId="0" fontId="5" fillId="0" borderId="1" xfId="0" applyFont="1" applyBorder="1" applyAlignment="1">
      <alignment horizontal="left" wrapText="1"/>
    </xf>
    <xf numFmtId="0" fontId="6" fillId="0" borderId="0" xfId="0" applyFont="1"/>
    <xf numFmtId="0" fontId="5" fillId="0" borderId="2" xfId="0" applyFont="1" applyBorder="1" applyAlignment="1">
      <alignment horizontal="left" wrapText="1"/>
    </xf>
    <xf numFmtId="0" fontId="7" fillId="0" borderId="2" xfId="0" applyFont="1" applyBorder="1"/>
    <xf numFmtId="0" fontId="5" fillId="0" borderId="2" xfId="0" applyFont="1" applyBorder="1" applyAlignment="1">
      <alignment vertical="center"/>
    </xf>
    <xf numFmtId="0" fontId="5" fillId="0" borderId="2" xfId="0" applyFont="1" applyBorder="1" applyAlignment="1">
      <alignment vertical="center" wrapText="1"/>
    </xf>
    <xf numFmtId="0" fontId="5" fillId="0" borderId="1" xfId="0" applyFont="1" applyBorder="1" applyAlignment="1">
      <alignment horizontal="left"/>
    </xf>
    <xf numFmtId="0" fontId="5" fillId="0" borderId="1" xfId="0" applyFont="1" applyBorder="1"/>
    <xf numFmtId="0" fontId="5" fillId="0" borderId="1" xfId="0" applyFont="1" applyBorder="1" applyAlignment="1">
      <alignment wrapText="1"/>
    </xf>
    <xf numFmtId="0" fontId="5" fillId="0" borderId="1" xfId="0" applyFont="1" applyBorder="1" applyAlignment="1">
      <alignment vertical="center"/>
    </xf>
    <xf numFmtId="0" fontId="5" fillId="0" borderId="3" xfId="0" applyFont="1" applyBorder="1" applyAlignment="1">
      <alignment horizontal="left" wrapText="1"/>
    </xf>
    <xf numFmtId="0" fontId="5" fillId="0" borderId="2" xfId="0" applyFont="1" applyBorder="1" applyAlignment="1">
      <alignment wrapText="1"/>
    </xf>
    <xf numFmtId="0" fontId="5" fillId="0" borderId="5" xfId="0" applyFont="1" applyBorder="1" applyAlignment="1">
      <alignment horizontal="left"/>
    </xf>
    <xf numFmtId="0" fontId="5" fillId="0" borderId="0" xfId="0" applyFont="1"/>
    <xf numFmtId="0" fontId="5" fillId="0" borderId="1" xfId="0" applyFont="1" applyBorder="1" applyAlignment="1">
      <alignment horizontal="left" vertical="center"/>
    </xf>
    <xf numFmtId="0" fontId="5" fillId="0" borderId="5" xfId="0" applyFont="1" applyBorder="1" applyAlignment="1">
      <alignment horizontal="left" wrapText="1"/>
    </xf>
    <xf numFmtId="0" fontId="8" fillId="0" borderId="1" xfId="0" applyFont="1" applyBorder="1" applyAlignment="1">
      <alignment horizontal="left"/>
    </xf>
    <xf numFmtId="0" fontId="5" fillId="0" borderId="0" xfId="0" applyFont="1" applyAlignment="1">
      <alignment horizontal="left"/>
    </xf>
    <xf numFmtId="164" fontId="19" fillId="0" borderId="21" xfId="0" applyNumberFormat="1" applyFont="1" applyBorder="1" applyAlignment="1">
      <alignment horizontal="center" wrapText="1"/>
    </xf>
    <xf numFmtId="164" fontId="19" fillId="0" borderId="21" xfId="0" applyNumberFormat="1" applyFont="1" applyBorder="1" applyAlignment="1">
      <alignment horizontal="center" vertical="top" wrapText="1"/>
    </xf>
    <xf numFmtId="164" fontId="19" fillId="0" borderId="33" xfId="0" applyNumberFormat="1" applyFont="1" applyBorder="1" applyAlignment="1">
      <alignment horizontal="center" wrapText="1"/>
    </xf>
    <xf numFmtId="0" fontId="19" fillId="0" borderId="0" xfId="0" applyFont="1"/>
    <xf numFmtId="0" fontId="19" fillId="0" borderId="0" xfId="0" applyFont="1" applyAlignment="1">
      <alignment vertical="center"/>
    </xf>
    <xf numFmtId="1" fontId="20" fillId="2" borderId="38" xfId="0" applyNumberFormat="1" applyFont="1" applyFill="1" applyBorder="1" applyAlignment="1">
      <alignment horizontal="center" vertical="center" wrapText="1"/>
    </xf>
    <xf numFmtId="164" fontId="20" fillId="2" borderId="38" xfId="0" applyNumberFormat="1" applyFont="1" applyFill="1" applyBorder="1" applyAlignment="1">
      <alignment horizontal="center" vertical="center" wrapText="1"/>
    </xf>
    <xf numFmtId="0" fontId="20" fillId="2" borderId="38" xfId="0" applyFont="1" applyFill="1" applyBorder="1" applyAlignment="1">
      <alignment horizontal="center" vertical="center" wrapText="1"/>
    </xf>
    <xf numFmtId="0" fontId="20" fillId="2" borderId="40" xfId="0" applyFont="1" applyFill="1" applyBorder="1" applyAlignment="1">
      <alignment horizontal="center" vertical="center" wrapText="1"/>
    </xf>
    <xf numFmtId="166" fontId="20" fillId="2" borderId="38" xfId="0" applyNumberFormat="1" applyFont="1" applyFill="1" applyBorder="1" applyAlignment="1">
      <alignment horizontal="center" vertical="center" wrapText="1"/>
    </xf>
    <xf numFmtId="0" fontId="21" fillId="11" borderId="38" xfId="0" applyFont="1" applyFill="1" applyBorder="1" applyAlignment="1">
      <alignment horizontal="center" vertical="center" wrapText="1"/>
    </xf>
    <xf numFmtId="0" fontId="20" fillId="11" borderId="38" xfId="0" applyFont="1" applyFill="1" applyBorder="1" applyAlignment="1">
      <alignment horizontal="center" vertical="center" wrapText="1"/>
    </xf>
    <xf numFmtId="0" fontId="20" fillId="12" borderId="38" xfId="0" applyFont="1" applyFill="1" applyBorder="1" applyAlignment="1">
      <alignment horizontal="center" vertical="center" wrapText="1"/>
    </xf>
    <xf numFmtId="0" fontId="20" fillId="0" borderId="1" xfId="0" applyFont="1" applyBorder="1" applyAlignment="1">
      <alignment horizontal="center" vertical="center"/>
    </xf>
    <xf numFmtId="164" fontId="19" fillId="0" borderId="1" xfId="0" applyNumberFormat="1" applyFont="1" applyBorder="1" applyAlignment="1">
      <alignment horizontal="center" vertical="center"/>
    </xf>
    <xf numFmtId="0" fontId="19" fillId="0" borderId="1" xfId="0" applyFont="1" applyBorder="1" applyAlignment="1">
      <alignment horizontal="center" vertical="center" wrapText="1"/>
    </xf>
    <xf numFmtId="0" fontId="19" fillId="0" borderId="1" xfId="0" applyFont="1" applyBorder="1"/>
    <xf numFmtId="0" fontId="19" fillId="0" borderId="1" xfId="0" applyFont="1" applyBorder="1" applyAlignment="1">
      <alignment wrapText="1"/>
    </xf>
    <xf numFmtId="0" fontId="23" fillId="0" borderId="1" xfId="0" applyFont="1" applyBorder="1" applyAlignment="1">
      <alignment horizontal="center" vertical="center" wrapText="1"/>
    </xf>
    <xf numFmtId="0" fontId="19" fillId="0" borderId="1" xfId="0" applyFont="1" applyBorder="1" applyAlignment="1">
      <alignment horizontal="center"/>
    </xf>
    <xf numFmtId="0" fontId="19" fillId="0" borderId="0" xfId="0" applyFont="1" applyAlignment="1">
      <alignment horizontal="center" vertical="center" wrapText="1"/>
    </xf>
    <xf numFmtId="0" fontId="19" fillId="0" borderId="7" xfId="0" applyFont="1" applyBorder="1" applyAlignment="1">
      <alignment horizontal="center" vertical="center" wrapText="1"/>
    </xf>
    <xf numFmtId="0" fontId="24" fillId="0" borderId="7" xfId="0" applyFont="1" applyBorder="1" applyAlignment="1">
      <alignment horizontal="center" vertical="center" wrapText="1"/>
    </xf>
    <xf numFmtId="164" fontId="19" fillId="0" borderId="1" xfId="0" applyNumberFormat="1" applyFont="1" applyBorder="1" applyAlignment="1">
      <alignment horizontal="center" vertical="center" wrapText="1"/>
    </xf>
    <xf numFmtId="0" fontId="19" fillId="0" borderId="34" xfId="0" applyFont="1" applyBorder="1" applyAlignment="1">
      <alignment horizontal="center" vertical="center" wrapText="1"/>
    </xf>
    <xf numFmtId="0" fontId="26" fillId="12" borderId="42" xfId="0" applyFont="1" applyFill="1" applyBorder="1"/>
    <xf numFmtId="165" fontId="20" fillId="0" borderId="5" xfId="0" applyNumberFormat="1" applyFont="1" applyBorder="1" applyAlignment="1">
      <alignment horizontal="center" vertical="center"/>
    </xf>
    <xf numFmtId="164" fontId="19" fillId="0" borderId="5" xfId="0" applyNumberFormat="1" applyFont="1" applyBorder="1" applyAlignment="1">
      <alignment horizontal="center" vertical="center"/>
    </xf>
    <xf numFmtId="0" fontId="19" fillId="0" borderId="5" xfId="0" applyFont="1" applyBorder="1" applyAlignment="1">
      <alignment horizontal="center" vertical="center" wrapText="1"/>
    </xf>
    <xf numFmtId="164" fontId="19" fillId="0" borderId="7" xfId="0" applyNumberFormat="1" applyFont="1" applyBorder="1" applyAlignment="1">
      <alignment vertical="top" wrapText="1"/>
    </xf>
    <xf numFmtId="164" fontId="19" fillId="0" borderId="7" xfId="0" applyNumberFormat="1" applyFont="1" applyBorder="1" applyAlignment="1">
      <alignment horizontal="center" vertical="center" wrapText="1"/>
    </xf>
    <xf numFmtId="3" fontId="27" fillId="0" borderId="7" xfId="0" applyNumberFormat="1" applyFont="1" applyBorder="1" applyAlignment="1">
      <alignment horizontal="center" vertical="center" wrapText="1"/>
    </xf>
    <xf numFmtId="0" fontId="28" fillId="0" borderId="33" xfId="0" applyFont="1" applyBorder="1" applyAlignment="1">
      <alignment horizontal="center" vertical="center" wrapText="1"/>
    </xf>
    <xf numFmtId="0" fontId="19" fillId="0" borderId="5" xfId="0" applyFont="1" applyBorder="1" applyAlignment="1">
      <alignment horizontal="center"/>
    </xf>
    <xf numFmtId="0" fontId="19" fillId="0" borderId="2" xfId="0" applyFont="1" applyBorder="1"/>
    <xf numFmtId="0" fontId="19" fillId="0" borderId="1" xfId="0" applyFont="1" applyBorder="1" applyAlignment="1">
      <alignment vertical="top"/>
    </xf>
    <xf numFmtId="0" fontId="19" fillId="0" borderId="14" xfId="0" applyFont="1" applyBorder="1"/>
    <xf numFmtId="0" fontId="26" fillId="0" borderId="1" xfId="0" applyFont="1" applyBorder="1"/>
    <xf numFmtId="0" fontId="19" fillId="0" borderId="5" xfId="0" applyFont="1" applyBorder="1" applyAlignment="1">
      <alignment horizontal="left" vertical="top" wrapText="1"/>
    </xf>
    <xf numFmtId="164" fontId="19" fillId="0" borderId="5" xfId="0" applyNumberFormat="1" applyFont="1" applyBorder="1" applyAlignment="1">
      <alignment horizontal="center" vertical="center" wrapText="1"/>
    </xf>
    <xf numFmtId="0" fontId="19" fillId="0" borderId="1" xfId="0" applyFont="1" applyBorder="1" applyAlignment="1">
      <alignment horizontal="left" vertical="top" wrapText="1"/>
    </xf>
    <xf numFmtId="0" fontId="26" fillId="0" borderId="0" xfId="0" applyFont="1"/>
    <xf numFmtId="0" fontId="20" fillId="0" borderId="0" xfId="0" applyFont="1" applyAlignment="1">
      <alignment horizontal="center" vertical="center"/>
    </xf>
    <xf numFmtId="164" fontId="19" fillId="0" borderId="0" xfId="0" applyNumberFormat="1" applyFont="1" applyAlignment="1">
      <alignment horizontal="center" vertical="center"/>
    </xf>
    <xf numFmtId="0" fontId="19" fillId="0" borderId="0" xfId="0" applyFont="1" applyAlignment="1">
      <alignment horizontal="left" vertical="top" wrapText="1"/>
    </xf>
    <xf numFmtId="164" fontId="19" fillId="0" borderId="0" xfId="0" applyNumberFormat="1" applyFont="1" applyAlignment="1">
      <alignment horizontal="center" vertical="center" wrapText="1"/>
    </xf>
    <xf numFmtId="0" fontId="29" fillId="0" borderId="0" xfId="0" applyFont="1" applyAlignment="1">
      <alignment horizontal="center" vertical="center" wrapText="1"/>
    </xf>
    <xf numFmtId="0" fontId="19" fillId="0" borderId="0" xfId="0" applyFont="1" applyAlignment="1">
      <alignment horizontal="center"/>
    </xf>
    <xf numFmtId="164" fontId="30" fillId="0" borderId="0" xfId="0" applyNumberFormat="1" applyFont="1" applyAlignment="1">
      <alignment horizontal="center" vertical="center" wrapText="1"/>
    </xf>
    <xf numFmtId="0" fontId="31" fillId="0" borderId="0" xfId="0" applyFont="1" applyAlignment="1">
      <alignment horizontal="center" vertical="center" wrapText="1"/>
    </xf>
    <xf numFmtId="0" fontId="32" fillId="14" borderId="38" xfId="0" applyFont="1" applyFill="1" applyBorder="1" applyAlignment="1">
      <alignment horizontal="center"/>
    </xf>
    <xf numFmtId="0" fontId="32" fillId="14" borderId="1" xfId="0" applyFont="1" applyFill="1" applyBorder="1" applyAlignment="1">
      <alignment horizontal="center"/>
    </xf>
    <xf numFmtId="0" fontId="5" fillId="0" borderId="5" xfId="0" applyFont="1" applyBorder="1"/>
    <xf numFmtId="0" fontId="6" fillId="0" borderId="1" xfId="0" applyFont="1" applyBorder="1"/>
    <xf numFmtId="0" fontId="33" fillId="14" borderId="38" xfId="0" applyFont="1" applyFill="1" applyBorder="1" applyAlignment="1">
      <alignment horizontal="center"/>
    </xf>
    <xf numFmtId="0" fontId="32" fillId="14" borderId="38" xfId="0" applyFont="1" applyFill="1" applyBorder="1" applyAlignment="1">
      <alignment horizontal="center" wrapText="1"/>
    </xf>
    <xf numFmtId="0" fontId="33" fillId="14" borderId="41" xfId="0" applyFont="1" applyFill="1" applyBorder="1" applyAlignment="1">
      <alignment horizontal="center"/>
    </xf>
    <xf numFmtId="0" fontId="34" fillId="12" borderId="41" xfId="0" applyFont="1" applyFill="1" applyBorder="1" applyAlignment="1">
      <alignment horizontal="center"/>
    </xf>
    <xf numFmtId="0" fontId="5" fillId="0" borderId="3" xfId="0" applyFont="1" applyBorder="1" applyAlignment="1">
      <alignment horizontal="left"/>
    </xf>
    <xf numFmtId="0" fontId="35" fillId="0" borderId="1" xfId="0" applyFont="1" applyBorder="1" applyAlignment="1">
      <alignment horizontal="center" vertical="center" wrapText="1"/>
    </xf>
    <xf numFmtId="0" fontId="36" fillId="0" borderId="29" xfId="0" applyFont="1" applyBorder="1" applyAlignment="1">
      <alignment vertical="center" wrapText="1"/>
    </xf>
    <xf numFmtId="0" fontId="36" fillId="0" borderId="30" xfId="0" applyFont="1" applyBorder="1" applyAlignment="1">
      <alignment vertical="center" wrapText="1"/>
    </xf>
    <xf numFmtId="0" fontId="5" fillId="0" borderId="7" xfId="0" applyFont="1" applyBorder="1" applyAlignment="1">
      <alignment horizontal="left"/>
    </xf>
    <xf numFmtId="0" fontId="5" fillId="0" borderId="1" xfId="0" applyFont="1" applyBorder="1" applyAlignment="1">
      <alignment horizontal="center" vertical="center" wrapText="1"/>
    </xf>
    <xf numFmtId="0" fontId="19" fillId="0" borderId="1" xfId="0" applyFont="1" applyBorder="1" applyAlignment="1">
      <alignment horizontal="left"/>
    </xf>
    <xf numFmtId="0" fontId="19" fillId="0" borderId="1" xfId="0" applyFont="1" applyBorder="1" applyAlignment="1">
      <alignment vertical="top" wrapText="1"/>
    </xf>
    <xf numFmtId="164" fontId="19" fillId="0" borderId="1" xfId="0" applyNumberFormat="1" applyFont="1" applyBorder="1"/>
    <xf numFmtId="0" fontId="22" fillId="0" borderId="1" xfId="0" applyFont="1" applyBorder="1" applyAlignment="1">
      <alignment horizontal="center" vertical="center" wrapText="1"/>
    </xf>
    <xf numFmtId="167" fontId="19" fillId="0" borderId="1" xfId="0" applyNumberFormat="1" applyFont="1" applyBorder="1"/>
    <xf numFmtId="0" fontId="20" fillId="0" borderId="3" xfId="0" applyFont="1" applyBorder="1" applyAlignment="1">
      <alignment horizontal="center" vertical="center"/>
    </xf>
    <xf numFmtId="0" fontId="20" fillId="0" borderId="38" xfId="0" applyFont="1" applyBorder="1" applyAlignment="1">
      <alignment horizontal="center" vertical="center"/>
    </xf>
    <xf numFmtId="164" fontId="19" fillId="0" borderId="3" xfId="0" applyNumberFormat="1" applyFont="1" applyBorder="1" applyAlignment="1">
      <alignment horizontal="center" vertical="center"/>
    </xf>
    <xf numFmtId="0" fontId="19" fillId="0" borderId="3" xfId="0" applyFont="1" applyBorder="1" applyAlignment="1">
      <alignment horizontal="center" vertical="center" wrapText="1"/>
    </xf>
    <xf numFmtId="0" fontId="19" fillId="0" borderId="3" xfId="0" applyFont="1" applyBorder="1" applyAlignment="1">
      <alignment vertical="top" wrapText="1"/>
    </xf>
    <xf numFmtId="0" fontId="19" fillId="0" borderId="3" xfId="0" applyFont="1" applyBorder="1"/>
    <xf numFmtId="0" fontId="19" fillId="0" borderId="3" xfId="0" applyFont="1" applyBorder="1" applyAlignment="1">
      <alignment wrapText="1"/>
    </xf>
    <xf numFmtId="0" fontId="19" fillId="0" borderId="3" xfId="0" applyFont="1" applyBorder="1" applyAlignment="1">
      <alignment horizontal="center"/>
    </xf>
    <xf numFmtId="0" fontId="20" fillId="0" borderId="41" xfId="0" applyFont="1" applyBorder="1" applyAlignment="1">
      <alignment horizontal="center" vertical="center"/>
    </xf>
    <xf numFmtId="164" fontId="19" fillId="0" borderId="7" xfId="0" applyNumberFormat="1" applyFont="1" applyBorder="1" applyAlignment="1">
      <alignment horizontal="center" vertical="center"/>
    </xf>
    <xf numFmtId="0" fontId="19" fillId="0" borderId="7" xfId="0" applyFont="1" applyBorder="1" applyAlignment="1">
      <alignment vertical="top" wrapText="1"/>
    </xf>
    <xf numFmtId="0" fontId="19" fillId="0" borderId="7" xfId="0" applyFont="1" applyBorder="1"/>
    <xf numFmtId="0" fontId="19" fillId="0" borderId="7" xfId="0" applyFont="1" applyBorder="1" applyAlignment="1">
      <alignment wrapText="1"/>
    </xf>
    <xf numFmtId="167" fontId="19" fillId="0" borderId="7" xfId="0" applyNumberFormat="1" applyFont="1" applyBorder="1"/>
    <xf numFmtId="0" fontId="19" fillId="0" borderId="7" xfId="0" applyFont="1" applyBorder="1" applyAlignment="1">
      <alignment horizontal="center"/>
    </xf>
    <xf numFmtId="0" fontId="20" fillId="0" borderId="7" xfId="0" applyFont="1" applyBorder="1" applyAlignment="1">
      <alignment horizontal="center" vertical="center"/>
    </xf>
    <xf numFmtId="164" fontId="19" fillId="0" borderId="1" xfId="0" applyNumberFormat="1" applyFont="1" applyBorder="1" applyAlignment="1">
      <alignment vertical="top" wrapText="1"/>
    </xf>
    <xf numFmtId="165" fontId="20" fillId="0" borderId="1" xfId="0" applyNumberFormat="1" applyFont="1" applyBorder="1" applyAlignment="1">
      <alignment horizontal="center" vertical="center"/>
    </xf>
    <xf numFmtId="0" fontId="19" fillId="0" borderId="14" xfId="0" applyFont="1" applyBorder="1" applyAlignment="1">
      <alignment horizontal="center" vertical="center" wrapText="1"/>
    </xf>
    <xf numFmtId="0" fontId="19" fillId="0" borderId="2" xfId="0" applyFont="1" applyBorder="1" applyAlignment="1">
      <alignment horizontal="center" vertical="center" wrapText="1"/>
    </xf>
    <xf numFmtId="0" fontId="22" fillId="0" borderId="3" xfId="0" applyFont="1" applyBorder="1" applyAlignment="1">
      <alignment horizontal="center" vertical="center" wrapText="1"/>
    </xf>
    <xf numFmtId="0" fontId="22" fillId="0" borderId="7" xfId="0" applyFont="1" applyBorder="1" applyAlignment="1">
      <alignment horizontal="center" vertical="center" wrapText="1"/>
    </xf>
    <xf numFmtId="3" fontId="22" fillId="0" borderId="1" xfId="0" applyNumberFormat="1" applyFont="1" applyBorder="1" applyAlignment="1">
      <alignment horizontal="center" vertical="center" wrapText="1"/>
    </xf>
    <xf numFmtId="0" fontId="37" fillId="0" borderId="1" xfId="0" applyFont="1" applyBorder="1" applyAlignment="1">
      <alignment horizontal="center" vertical="center" wrapText="1"/>
    </xf>
    <xf numFmtId="0" fontId="5" fillId="0" borderId="6" xfId="0" applyFont="1" applyBorder="1" applyAlignment="1">
      <alignment wrapText="1"/>
    </xf>
    <xf numFmtId="0" fontId="5" fillId="0" borderId="6" xfId="0" applyFont="1" applyBorder="1"/>
    <xf numFmtId="0" fontId="20" fillId="0" borderId="55" xfId="0" applyFont="1" applyBorder="1" applyAlignment="1">
      <alignment horizontal="center" vertical="center"/>
    </xf>
    <xf numFmtId="0" fontId="5" fillId="0" borderId="6" xfId="0" applyFont="1" applyBorder="1" applyAlignment="1">
      <alignment vertical="center"/>
    </xf>
    <xf numFmtId="0" fontId="7" fillId="0" borderId="6" xfId="0" applyFont="1" applyBorder="1"/>
    <xf numFmtId="0" fontId="0" fillId="0" borderId="0" xfId="0" applyAlignment="1">
      <alignment horizontal="center" vertical="center" wrapText="1"/>
    </xf>
    <xf numFmtId="0" fontId="5" fillId="0" borderId="41" xfId="0" applyFont="1" applyBorder="1" applyAlignment="1">
      <alignment horizontal="left"/>
    </xf>
    <xf numFmtId="1" fontId="5" fillId="0" borderId="1" xfId="0" applyNumberFormat="1" applyFont="1" applyBorder="1" applyAlignment="1">
      <alignment horizontal="left"/>
    </xf>
    <xf numFmtId="164" fontId="19" fillId="0" borderId="21" xfId="0" applyNumberFormat="1" applyFont="1" applyBorder="1" applyAlignment="1">
      <alignment horizontal="center" vertical="center" wrapText="1"/>
    </xf>
    <xf numFmtId="0" fontId="19" fillId="0" borderId="1" xfId="0" applyFont="1" applyBorder="1" applyAlignment="1">
      <alignment horizontal="center" vertical="center"/>
    </xf>
    <xf numFmtId="167" fontId="19" fillId="0" borderId="1" xfId="0" applyNumberFormat="1" applyFont="1" applyBorder="1" applyAlignment="1">
      <alignment horizontal="center" vertical="center"/>
    </xf>
    <xf numFmtId="0" fontId="19" fillId="0" borderId="3" xfId="0" applyFont="1" applyBorder="1" applyAlignment="1">
      <alignment horizontal="center" vertical="center"/>
    </xf>
    <xf numFmtId="15" fontId="19" fillId="0" borderId="3" xfId="0" applyNumberFormat="1" applyFont="1" applyBorder="1" applyAlignment="1">
      <alignment horizontal="center" vertical="center"/>
    </xf>
    <xf numFmtId="0" fontId="19" fillId="0" borderId="7" xfId="0" applyFont="1" applyBorder="1" applyAlignment="1">
      <alignment horizontal="center" vertical="center"/>
    </xf>
    <xf numFmtId="167" fontId="19" fillId="0" borderId="7" xfId="0" applyNumberFormat="1" applyFont="1" applyBorder="1" applyAlignment="1">
      <alignment horizontal="center" vertical="center"/>
    </xf>
    <xf numFmtId="167" fontId="19" fillId="0" borderId="3" xfId="0" applyNumberFormat="1" applyFont="1" applyBorder="1" applyAlignment="1">
      <alignment horizontal="center" vertical="center"/>
    </xf>
    <xf numFmtId="0" fontId="0" fillId="0" borderId="0" xfId="0" applyAlignment="1">
      <alignment horizontal="center" vertical="center"/>
    </xf>
    <xf numFmtId="0" fontId="9" fillId="0" borderId="50" xfId="8" applyFont="1"/>
    <xf numFmtId="0" fontId="41" fillId="0" borderId="50" xfId="8"/>
    <xf numFmtId="0" fontId="9" fillId="7" borderId="17" xfId="8" applyFont="1" applyFill="1" applyBorder="1" applyAlignment="1">
      <alignment vertical="center"/>
    </xf>
    <xf numFmtId="0" fontId="9" fillId="7" borderId="50" xfId="8" applyFont="1" applyFill="1" applyAlignment="1">
      <alignment vertical="center"/>
    </xf>
    <xf numFmtId="0" fontId="9" fillId="0" borderId="51" xfId="8" applyFont="1" applyBorder="1"/>
    <xf numFmtId="0" fontId="9" fillId="9" borderId="17" xfId="8" applyFont="1" applyFill="1" applyBorder="1" applyAlignment="1">
      <alignment vertical="center"/>
    </xf>
    <xf numFmtId="0" fontId="9" fillId="9" borderId="50" xfId="8" applyFont="1" applyFill="1" applyAlignment="1">
      <alignment vertical="center"/>
    </xf>
    <xf numFmtId="0" fontId="10" fillId="9" borderId="50" xfId="8" applyFont="1" applyFill="1" applyAlignment="1">
      <alignment horizontal="center" vertical="center"/>
    </xf>
    <xf numFmtId="0" fontId="9" fillId="9" borderId="51" xfId="8" applyFont="1" applyFill="1" applyBorder="1" applyAlignment="1">
      <alignment vertical="center"/>
    </xf>
    <xf numFmtId="0" fontId="10" fillId="9" borderId="17" xfId="8" applyFont="1" applyFill="1" applyBorder="1" applyAlignment="1">
      <alignment horizontal="right" vertical="center"/>
    </xf>
    <xf numFmtId="164" fontId="9" fillId="0" borderId="1" xfId="8" applyNumberFormat="1" applyFont="1" applyBorder="1" applyAlignment="1">
      <alignment horizontal="center" vertical="center"/>
    </xf>
    <xf numFmtId="0" fontId="10" fillId="9" borderId="50" xfId="8" applyFont="1" applyFill="1" applyAlignment="1">
      <alignment horizontal="right" vertical="center"/>
    </xf>
    <xf numFmtId="0" fontId="9" fillId="0" borderId="6" xfId="8" applyFont="1" applyBorder="1" applyAlignment="1">
      <alignment horizontal="center" vertical="center"/>
    </xf>
    <xf numFmtId="165" fontId="9" fillId="0" borderId="1" xfId="8" applyNumberFormat="1" applyFont="1" applyBorder="1" applyAlignment="1">
      <alignment horizontal="center" vertical="center" wrapText="1"/>
    </xf>
    <xf numFmtId="0" fontId="9" fillId="9" borderId="50" xfId="8" applyFont="1" applyFill="1" applyAlignment="1">
      <alignment horizontal="center" vertical="center"/>
    </xf>
    <xf numFmtId="20" fontId="9" fillId="0" borderId="1" xfId="8" applyNumberFormat="1" applyFont="1" applyBorder="1" applyAlignment="1">
      <alignment horizontal="center" vertical="center"/>
    </xf>
    <xf numFmtId="0" fontId="9" fillId="9" borderId="50" xfId="8" applyFont="1" applyFill="1" applyAlignment="1">
      <alignment horizontal="left" vertical="center"/>
    </xf>
    <xf numFmtId="0" fontId="9" fillId="9" borderId="17" xfId="8" applyFont="1" applyFill="1" applyBorder="1" applyAlignment="1">
      <alignment horizontal="center"/>
    </xf>
    <xf numFmtId="0" fontId="9" fillId="9" borderId="50" xfId="8" applyFont="1" applyFill="1" applyAlignment="1">
      <alignment horizontal="center"/>
    </xf>
    <xf numFmtId="0" fontId="10" fillId="9" borderId="17" xfId="8" applyFont="1" applyFill="1" applyBorder="1" applyAlignment="1">
      <alignment horizontal="center" vertical="center"/>
    </xf>
    <xf numFmtId="0" fontId="9" fillId="9" borderId="43" xfId="8" applyFont="1" applyFill="1" applyBorder="1" applyAlignment="1">
      <alignment horizontal="left"/>
    </xf>
    <xf numFmtId="0" fontId="9" fillId="9" borderId="44" xfId="8" applyFont="1" applyFill="1" applyBorder="1" applyAlignment="1">
      <alignment horizontal="left"/>
    </xf>
    <xf numFmtId="0" fontId="9" fillId="9" borderId="44" xfId="8" applyFont="1" applyFill="1" applyBorder="1" applyAlignment="1">
      <alignment horizontal="left" vertical="center"/>
    </xf>
    <xf numFmtId="0" fontId="9" fillId="9" borderId="44" xfId="8" applyFont="1" applyFill="1" applyBorder="1" applyAlignment="1">
      <alignment horizontal="center" vertical="center"/>
    </xf>
    <xf numFmtId="0" fontId="9" fillId="9" borderId="45" xfId="8" applyFont="1" applyFill="1" applyBorder="1" applyAlignment="1">
      <alignment horizontal="center" vertical="center"/>
    </xf>
    <xf numFmtId="0" fontId="9" fillId="7" borderId="50" xfId="8" applyFont="1" applyFill="1" applyAlignment="1">
      <alignment horizontal="center" vertical="center"/>
    </xf>
    <xf numFmtId="0" fontId="10" fillId="0" borderId="17" xfId="8" applyFont="1" applyBorder="1" applyAlignment="1">
      <alignment horizontal="center" vertical="center"/>
    </xf>
    <xf numFmtId="0" fontId="10" fillId="0" borderId="50" xfId="8" applyFont="1" applyAlignment="1">
      <alignment horizontal="center" vertical="center"/>
    </xf>
    <xf numFmtId="0" fontId="10" fillId="0" borderId="51" xfId="8" applyFont="1" applyBorder="1" applyAlignment="1">
      <alignment horizontal="center" vertical="center"/>
    </xf>
    <xf numFmtId="0" fontId="9" fillId="7" borderId="50" xfId="8" applyFont="1" applyFill="1"/>
    <xf numFmtId="0" fontId="10" fillId="7" borderId="17" xfId="8" applyFont="1" applyFill="1" applyBorder="1" applyAlignment="1">
      <alignment horizontal="center" vertical="center"/>
    </xf>
    <xf numFmtId="0" fontId="10" fillId="7" borderId="50" xfId="8" applyFont="1" applyFill="1" applyAlignment="1">
      <alignment horizontal="center" vertical="center"/>
    </xf>
    <xf numFmtId="0" fontId="10" fillId="7" borderId="50" xfId="8" applyFont="1" applyFill="1" applyAlignment="1">
      <alignment horizontal="left" vertical="center"/>
    </xf>
    <xf numFmtId="0" fontId="10" fillId="7" borderId="50" xfId="8" applyFont="1" applyFill="1" applyAlignment="1">
      <alignment vertical="center"/>
    </xf>
    <xf numFmtId="0" fontId="10" fillId="7" borderId="51" xfId="8" applyFont="1" applyFill="1" applyBorder="1" applyAlignment="1">
      <alignment vertical="center"/>
    </xf>
    <xf numFmtId="0" fontId="9" fillId="0" borderId="6" xfId="8" applyFont="1" applyBorder="1" applyAlignment="1">
      <alignment horizontal="center" vertical="center" wrapText="1"/>
    </xf>
    <xf numFmtId="49" fontId="10" fillId="7" borderId="50" xfId="8" applyNumberFormat="1" applyFont="1" applyFill="1" applyAlignment="1">
      <alignment vertical="center"/>
    </xf>
    <xf numFmtId="0" fontId="9" fillId="0" borderId="50" xfId="8" applyFont="1" applyAlignment="1">
      <alignment horizontal="center"/>
    </xf>
    <xf numFmtId="0" fontId="10" fillId="9" borderId="17" xfId="8" applyFont="1" applyFill="1" applyBorder="1" applyAlignment="1">
      <alignment vertical="center"/>
    </xf>
    <xf numFmtId="0" fontId="10" fillId="9" borderId="50" xfId="8" applyFont="1" applyFill="1" applyAlignment="1">
      <alignment vertical="center"/>
    </xf>
    <xf numFmtId="0" fontId="10" fillId="9" borderId="51" xfId="8" applyFont="1" applyFill="1" applyBorder="1" applyAlignment="1">
      <alignment vertical="center"/>
    </xf>
    <xf numFmtId="0" fontId="9" fillId="0" borderId="1" xfId="8" applyFont="1" applyBorder="1" applyAlignment="1">
      <alignment vertical="center"/>
    </xf>
    <xf numFmtId="0" fontId="9" fillId="9" borderId="34" xfId="8" applyFont="1" applyFill="1" applyBorder="1" applyAlignment="1">
      <alignment vertical="center"/>
    </xf>
    <xf numFmtId="0" fontId="9" fillId="9" borderId="17" xfId="8" applyFont="1" applyFill="1" applyBorder="1" applyAlignment="1">
      <alignment horizontal="right" vertical="center"/>
    </xf>
    <xf numFmtId="0" fontId="9" fillId="9" borderId="50" xfId="8" applyFont="1" applyFill="1" applyAlignment="1">
      <alignment vertical="top"/>
    </xf>
    <xf numFmtId="0" fontId="40" fillId="0" borderId="50" xfId="8" applyFont="1" applyAlignment="1">
      <alignment vertical="center" wrapText="1"/>
    </xf>
    <xf numFmtId="0" fontId="10" fillId="10" borderId="19" xfId="8" applyFont="1" applyFill="1" applyBorder="1" applyAlignment="1">
      <alignment horizontal="left" vertical="top" wrapText="1"/>
    </xf>
    <xf numFmtId="0" fontId="10" fillId="0" borderId="1" xfId="8" applyFont="1" applyBorder="1" applyAlignment="1">
      <alignment horizontal="center" vertical="center"/>
    </xf>
    <xf numFmtId="164" fontId="9" fillId="0" borderId="1" xfId="8" applyNumberFormat="1" applyFont="1" applyBorder="1" applyAlignment="1">
      <alignment vertical="center"/>
    </xf>
    <xf numFmtId="0" fontId="9" fillId="0" borderId="19" xfId="8" applyFont="1" applyBorder="1" applyAlignment="1">
      <alignment horizontal="center" vertical="center"/>
    </xf>
    <xf numFmtId="0" fontId="9" fillId="0" borderId="28" xfId="8" applyFont="1" applyBorder="1" applyAlignment="1">
      <alignment horizontal="center" vertical="center" wrapText="1"/>
    </xf>
    <xf numFmtId="0" fontId="9" fillId="0" borderId="15" xfId="8" applyFont="1" applyBorder="1" applyAlignment="1">
      <alignment horizontal="center" vertical="center" wrapText="1"/>
    </xf>
    <xf numFmtId="0" fontId="9" fillId="0" borderId="23" xfId="8" applyFont="1" applyBorder="1" applyAlignment="1">
      <alignment vertical="center"/>
    </xf>
    <xf numFmtId="0" fontId="9" fillId="0" borderId="24" xfId="8" applyFont="1" applyBorder="1" applyAlignment="1">
      <alignment horizontal="center" vertical="center"/>
    </xf>
    <xf numFmtId="0" fontId="9" fillId="0" borderId="25" xfId="8" applyFont="1" applyBorder="1" applyAlignment="1">
      <alignment horizontal="center" vertical="center"/>
    </xf>
    <xf numFmtId="0" fontId="9" fillId="0" borderId="24" xfId="8" applyFont="1" applyBorder="1" applyAlignment="1">
      <alignment horizontal="center" vertical="center" wrapText="1"/>
    </xf>
    <xf numFmtId="0" fontId="9" fillId="0" borderId="26" xfId="8" applyFont="1" applyBorder="1" applyAlignment="1">
      <alignment horizontal="center" vertical="center" wrapText="1"/>
    </xf>
    <xf numFmtId="0" fontId="9" fillId="0" borderId="27" xfId="8" applyFont="1" applyBorder="1" applyAlignment="1">
      <alignment horizontal="center" vertical="center" wrapText="1"/>
    </xf>
    <xf numFmtId="0" fontId="14" fillId="0" borderId="50" xfId="8" applyFont="1"/>
    <xf numFmtId="0" fontId="9" fillId="0" borderId="50" xfId="8" applyFont="1" applyAlignment="1">
      <alignment vertical="center"/>
    </xf>
    <xf numFmtId="0" fontId="9" fillId="0" borderId="50" xfId="8" applyFont="1" applyAlignment="1">
      <alignment horizontal="center" vertical="center"/>
    </xf>
    <xf numFmtId="0" fontId="9" fillId="0" borderId="50" xfId="8" applyFont="1" applyAlignment="1">
      <alignment horizontal="left" vertical="center" wrapText="1"/>
    </xf>
    <xf numFmtId="0" fontId="14" fillId="0" borderId="50" xfId="8" applyFont="1" applyAlignment="1">
      <alignment horizontal="left" vertical="center" wrapText="1"/>
    </xf>
    <xf numFmtId="0" fontId="14" fillId="0" borderId="50" xfId="8" applyFont="1" applyAlignment="1">
      <alignment vertical="center" wrapText="1"/>
    </xf>
    <xf numFmtId="0" fontId="19" fillId="0" borderId="56" xfId="0" applyFont="1" applyBorder="1" applyAlignment="1">
      <alignment horizontal="center" vertical="center" wrapText="1"/>
    </xf>
    <xf numFmtId="0" fontId="8" fillId="6" borderId="2" xfId="0" applyFont="1" applyFill="1" applyBorder="1"/>
    <xf numFmtId="0" fontId="5" fillId="0" borderId="4" xfId="0" applyFont="1" applyBorder="1" applyAlignment="1">
      <alignment wrapText="1"/>
    </xf>
    <xf numFmtId="0" fontId="5" fillId="0" borderId="38" xfId="0" applyFont="1" applyBorder="1" applyAlignment="1">
      <alignment horizontal="left" wrapText="1"/>
    </xf>
    <xf numFmtId="0" fontId="5" fillId="0" borderId="55" xfId="0" applyFont="1" applyBorder="1" applyAlignment="1">
      <alignment horizontal="left" wrapText="1"/>
    </xf>
    <xf numFmtId="0" fontId="5" fillId="0" borderId="55" xfId="0" applyFont="1" applyBorder="1" applyAlignment="1">
      <alignment horizontal="left"/>
    </xf>
    <xf numFmtId="0" fontId="5" fillId="15" borderId="55" xfId="0" applyFont="1" applyFill="1" applyBorder="1" applyAlignment="1">
      <alignment horizontal="left"/>
    </xf>
    <xf numFmtId="0" fontId="43" fillId="0" borderId="2" xfId="0" applyFont="1" applyBorder="1"/>
    <xf numFmtId="0" fontId="5" fillId="0" borderId="0" xfId="0" applyFont="1" applyAlignment="1">
      <alignment wrapText="1"/>
    </xf>
    <xf numFmtId="0" fontId="5" fillId="0" borderId="6" xfId="0" applyFont="1" applyBorder="1" applyAlignment="1">
      <alignment horizontal="left" wrapText="1"/>
    </xf>
    <xf numFmtId="0" fontId="43" fillId="0" borderId="2" xfId="0" applyFont="1" applyBorder="1" applyAlignment="1">
      <alignment horizontal="left" wrapText="1"/>
    </xf>
    <xf numFmtId="0" fontId="0" fillId="0" borderId="1" xfId="0" applyBorder="1"/>
    <xf numFmtId="0" fontId="6" fillId="4" borderId="0" xfId="0" applyFont="1" applyFill="1"/>
    <xf numFmtId="0" fontId="6" fillId="3" borderId="0" xfId="0" applyFont="1" applyFill="1"/>
    <xf numFmtId="0" fontId="6" fillId="5" borderId="0" xfId="0" applyFont="1" applyFill="1"/>
    <xf numFmtId="165" fontId="20" fillId="0" borderId="55" xfId="0" applyNumberFormat="1" applyFont="1" applyBorder="1" applyAlignment="1">
      <alignment horizontal="center" vertical="center"/>
    </xf>
    <xf numFmtId="0" fontId="0" fillId="15" borderId="0" xfId="0" applyFill="1" applyAlignment="1">
      <alignment vertical="center" wrapText="1"/>
    </xf>
    <xf numFmtId="0" fontId="5" fillId="0" borderId="50" xfId="0" applyFont="1" applyBorder="1"/>
    <xf numFmtId="0" fontId="45" fillId="0" borderId="2" xfId="0" applyFont="1" applyBorder="1"/>
    <xf numFmtId="0" fontId="45" fillId="0" borderId="2" xfId="0" applyFont="1" applyBorder="1" applyAlignment="1">
      <alignment wrapText="1"/>
    </xf>
    <xf numFmtId="0" fontId="5" fillId="16" borderId="0" xfId="0" applyFont="1" applyFill="1" applyAlignment="1">
      <alignment wrapText="1"/>
    </xf>
    <xf numFmtId="0" fontId="44" fillId="15" borderId="0" xfId="0" applyFont="1" applyFill="1" applyAlignment="1">
      <alignment vertical="center" wrapText="1"/>
    </xf>
    <xf numFmtId="0" fontId="20" fillId="2" borderId="39" xfId="0" applyFont="1" applyFill="1" applyBorder="1" applyAlignment="1">
      <alignment horizontal="center" vertical="center" wrapText="1"/>
    </xf>
    <xf numFmtId="0" fontId="20" fillId="2" borderId="18" xfId="0" applyFont="1" applyFill="1" applyBorder="1" applyAlignment="1">
      <alignment horizontal="center" vertical="top" wrapText="1"/>
    </xf>
    <xf numFmtId="0" fontId="20" fillId="2" borderId="55" xfId="0" applyFont="1" applyFill="1" applyBorder="1" applyAlignment="1">
      <alignment horizontal="center" vertical="center" wrapText="1"/>
    </xf>
    <xf numFmtId="164" fontId="19" fillId="0" borderId="55" xfId="0" applyNumberFormat="1" applyFont="1" applyBorder="1" applyAlignment="1">
      <alignment horizontal="center" vertical="center"/>
    </xf>
    <xf numFmtId="0" fontId="19" fillId="0" borderId="55" xfId="0" applyFont="1" applyBorder="1" applyAlignment="1">
      <alignment horizontal="center" vertical="center" wrapText="1"/>
    </xf>
    <xf numFmtId="0" fontId="0" fillId="0" borderId="55" xfId="0" applyBorder="1" applyAlignment="1">
      <alignment vertical="center" wrapText="1"/>
    </xf>
    <xf numFmtId="0" fontId="22" fillId="0" borderId="55" xfId="0" applyFont="1" applyBorder="1" applyAlignment="1">
      <alignment horizontal="center" vertical="center" wrapText="1"/>
    </xf>
    <xf numFmtId="0" fontId="19" fillId="0" borderId="55" xfId="0" applyFont="1" applyBorder="1" applyAlignment="1">
      <alignment horizontal="center"/>
    </xf>
    <xf numFmtId="0" fontId="19" fillId="0" borderId="38" xfId="0" applyFont="1" applyBorder="1" applyAlignment="1">
      <alignment horizontal="center" vertical="center" wrapText="1"/>
    </xf>
    <xf numFmtId="0" fontId="19" fillId="0" borderId="55" xfId="0" applyFont="1" applyBorder="1" applyAlignment="1">
      <alignment vertical="top" wrapText="1"/>
    </xf>
    <xf numFmtId="0" fontId="24" fillId="0" borderId="55" xfId="0" applyFont="1" applyBorder="1" applyAlignment="1">
      <alignment horizontal="center" vertical="center" wrapText="1"/>
    </xf>
    <xf numFmtId="3" fontId="27" fillId="0" borderId="55" xfId="0" applyNumberFormat="1" applyFont="1" applyBorder="1" applyAlignment="1">
      <alignment horizontal="center" vertical="center" wrapText="1"/>
    </xf>
    <xf numFmtId="0" fontId="28" fillId="0" borderId="55" xfId="0" applyFont="1" applyBorder="1" applyAlignment="1">
      <alignment horizontal="center" vertical="center" wrapText="1"/>
    </xf>
    <xf numFmtId="164" fontId="19" fillId="0" borderId="55" xfId="0" applyNumberFormat="1" applyFont="1" applyBorder="1" applyAlignment="1">
      <alignment vertical="top" wrapText="1"/>
    </xf>
    <xf numFmtId="164" fontId="19" fillId="0" borderId="55" xfId="0" applyNumberFormat="1" applyFont="1" applyBorder="1" applyAlignment="1">
      <alignment horizontal="center" vertical="center" wrapText="1"/>
    </xf>
    <xf numFmtId="164" fontId="19" fillId="0" borderId="38" xfId="0" applyNumberFormat="1" applyFont="1" applyBorder="1" applyAlignment="1">
      <alignment horizontal="center" vertical="center"/>
    </xf>
    <xf numFmtId="0" fontId="19" fillId="0" borderId="39" xfId="0" applyFont="1" applyBorder="1" applyAlignment="1">
      <alignment horizontal="center" vertical="center" wrapText="1"/>
    </xf>
    <xf numFmtId="0" fontId="19" fillId="0" borderId="40" xfId="0" applyFont="1" applyBorder="1" applyAlignment="1">
      <alignment vertical="top" wrapText="1"/>
    </xf>
    <xf numFmtId="0" fontId="19" fillId="0" borderId="38" xfId="0" applyFont="1" applyBorder="1" applyAlignment="1">
      <alignment horizontal="center" vertical="center"/>
    </xf>
    <xf numFmtId="0" fontId="19" fillId="0" borderId="38" xfId="0" applyFont="1" applyBorder="1"/>
    <xf numFmtId="0" fontId="19" fillId="0" borderId="38" xfId="0" applyFont="1" applyBorder="1" applyAlignment="1">
      <alignment wrapText="1"/>
    </xf>
    <xf numFmtId="0" fontId="22" fillId="0" borderId="38" xfId="0" applyFont="1" applyBorder="1" applyAlignment="1">
      <alignment horizontal="center" vertical="center" wrapText="1"/>
    </xf>
    <xf numFmtId="0" fontId="19" fillId="0" borderId="38" xfId="0" applyFont="1" applyBorder="1" applyAlignment="1">
      <alignment horizontal="center"/>
    </xf>
    <xf numFmtId="49" fontId="20" fillId="0" borderId="38" xfId="0" applyNumberFormat="1" applyFont="1" applyBorder="1" applyAlignment="1">
      <alignment horizontal="center" vertical="center"/>
    </xf>
    <xf numFmtId="0" fontId="46" fillId="0" borderId="0" xfId="0" applyFont="1"/>
    <xf numFmtId="0" fontId="10" fillId="7" borderId="50" xfId="8" applyFont="1" applyFill="1" applyAlignment="1">
      <alignment horizontal="left"/>
    </xf>
    <xf numFmtId="0" fontId="10" fillId="7" borderId="50" xfId="8" applyFont="1" applyFill="1" applyAlignment="1">
      <alignment horizontal="left" wrapText="1"/>
    </xf>
    <xf numFmtId="0" fontId="36" fillId="0" borderId="30" xfId="0" applyFont="1" applyBorder="1" applyAlignment="1">
      <alignment horizontal="center" vertical="center" wrapText="1"/>
    </xf>
    <xf numFmtId="0" fontId="9" fillId="0" borderId="50" xfId="10" applyFont="1"/>
    <xf numFmtId="0" fontId="5" fillId="0" borderId="50" xfId="10" applyFont="1"/>
    <xf numFmtId="0" fontId="1" fillId="0" borderId="50" xfId="10"/>
    <xf numFmtId="0" fontId="10" fillId="0" borderId="17" xfId="10" applyFont="1" applyBorder="1" applyAlignment="1">
      <alignment horizontal="center" vertical="center" wrapText="1"/>
    </xf>
    <xf numFmtId="0" fontId="10" fillId="0" borderId="50" xfId="10" applyFont="1" applyAlignment="1">
      <alignment horizontal="center" vertical="center" wrapText="1"/>
    </xf>
    <xf numFmtId="0" fontId="10" fillId="0" borderId="51" xfId="10" applyFont="1" applyBorder="1" applyAlignment="1">
      <alignment horizontal="center" vertical="center" wrapText="1"/>
    </xf>
    <xf numFmtId="0" fontId="9" fillId="9" borderId="17" xfId="10" applyFont="1" applyFill="1" applyBorder="1" applyAlignment="1">
      <alignment vertical="center"/>
    </xf>
    <xf numFmtId="0" fontId="9" fillId="9" borderId="50" xfId="10" applyFont="1" applyFill="1" applyAlignment="1">
      <alignment vertical="center"/>
    </xf>
    <xf numFmtId="0" fontId="10" fillId="9" borderId="50" xfId="10" applyFont="1" applyFill="1" applyAlignment="1">
      <alignment horizontal="center" vertical="center"/>
    </xf>
    <xf numFmtId="0" fontId="9" fillId="9" borderId="51" xfId="10" applyFont="1" applyFill="1" applyBorder="1" applyAlignment="1">
      <alignment vertical="center"/>
    </xf>
    <xf numFmtId="165" fontId="9" fillId="0" borderId="1" xfId="10" applyNumberFormat="1" applyFont="1" applyBorder="1" applyAlignment="1">
      <alignment horizontal="center" vertical="center" wrapText="1"/>
    </xf>
    <xf numFmtId="0" fontId="9" fillId="9" borderId="51" xfId="10" applyFont="1" applyFill="1" applyBorder="1" applyAlignment="1">
      <alignment horizontal="center" vertical="center"/>
    </xf>
    <xf numFmtId="0" fontId="9" fillId="9" borderId="50" xfId="10" applyFont="1" applyFill="1" applyAlignment="1">
      <alignment horizontal="center" vertical="center"/>
    </xf>
    <xf numFmtId="0" fontId="6" fillId="0" borderId="50" xfId="10" applyFont="1"/>
    <xf numFmtId="0" fontId="9" fillId="0" borderId="50" xfId="10" applyFont="1" applyAlignment="1">
      <alignment vertical="center"/>
    </xf>
    <xf numFmtId="0" fontId="6" fillId="0" borderId="50" xfId="10" applyFont="1" applyAlignment="1">
      <alignment vertical="center"/>
    </xf>
    <xf numFmtId="0" fontId="5" fillId="0" borderId="50" xfId="10" applyFont="1" applyAlignment="1">
      <alignment vertical="center"/>
    </xf>
    <xf numFmtId="0" fontId="10" fillId="0" borderId="17" xfId="10" applyFont="1" applyBorder="1" applyAlignment="1">
      <alignment horizontal="center" vertical="center"/>
    </xf>
    <xf numFmtId="0" fontId="10" fillId="0" borderId="50" xfId="10" applyFont="1" applyAlignment="1">
      <alignment horizontal="center" vertical="center"/>
    </xf>
    <xf numFmtId="0" fontId="10" fillId="0" borderId="51" xfId="10" applyFont="1" applyBorder="1" applyAlignment="1">
      <alignment horizontal="center" vertical="center"/>
    </xf>
    <xf numFmtId="0" fontId="10" fillId="0" borderId="50" xfId="10" applyFont="1" applyAlignment="1">
      <alignment horizontal="left" vertical="center"/>
    </xf>
    <xf numFmtId="0" fontId="10" fillId="7" borderId="17" xfId="10" applyFont="1" applyFill="1" applyBorder="1" applyAlignment="1">
      <alignment horizontal="center" vertical="center"/>
    </xf>
    <xf numFmtId="0" fontId="10" fillId="7" borderId="51" xfId="10" applyFont="1" applyFill="1" applyBorder="1" applyAlignment="1">
      <alignment horizontal="center" vertical="center"/>
    </xf>
    <xf numFmtId="0" fontId="9" fillId="7" borderId="17" xfId="10" applyFont="1" applyFill="1" applyBorder="1" applyAlignment="1">
      <alignment vertical="center"/>
    </xf>
    <xf numFmtId="0" fontId="10" fillId="7" borderId="50" xfId="10" applyFont="1" applyFill="1" applyAlignment="1">
      <alignment vertical="center"/>
    </xf>
    <xf numFmtId="0" fontId="9" fillId="7" borderId="51" xfId="10" applyFont="1" applyFill="1" applyBorder="1" applyAlignment="1">
      <alignment vertical="center"/>
    </xf>
    <xf numFmtId="0" fontId="10" fillId="7" borderId="50" xfId="10" applyFont="1" applyFill="1" applyAlignment="1">
      <alignment horizontal="left" vertical="center"/>
    </xf>
    <xf numFmtId="0" fontId="15" fillId="0" borderId="50" xfId="10" applyFont="1" applyAlignment="1">
      <alignment vertical="top" wrapText="1"/>
    </xf>
    <xf numFmtId="0" fontId="16" fillId="0" borderId="50" xfId="10" applyFont="1" applyAlignment="1">
      <alignment vertical="top" wrapText="1"/>
    </xf>
    <xf numFmtId="0" fontId="9" fillId="7" borderId="50" xfId="10" applyFont="1" applyFill="1" applyAlignment="1">
      <alignment vertical="center"/>
    </xf>
    <xf numFmtId="0" fontId="10" fillId="9" borderId="17" xfId="10" applyFont="1" applyFill="1" applyBorder="1" applyAlignment="1">
      <alignment horizontal="center" vertical="center"/>
    </xf>
    <xf numFmtId="0" fontId="10" fillId="0" borderId="29" xfId="10" applyFont="1" applyBorder="1" applyAlignment="1">
      <alignment horizontal="center" vertical="center"/>
    </xf>
    <xf numFmtId="0" fontId="10" fillId="9" borderId="50" xfId="10" applyFont="1" applyFill="1" applyAlignment="1">
      <alignment vertical="center"/>
    </xf>
    <xf numFmtId="0" fontId="10" fillId="9" borderId="50" xfId="10" applyFont="1" applyFill="1" applyAlignment="1">
      <alignment horizontal="left"/>
    </xf>
    <xf numFmtId="0" fontId="10" fillId="0" borderId="30" xfId="10" applyFont="1" applyBorder="1" applyAlignment="1">
      <alignment horizontal="center" vertical="center"/>
    </xf>
    <xf numFmtId="0" fontId="10" fillId="9" borderId="51" xfId="10" applyFont="1" applyFill="1" applyBorder="1" applyAlignment="1">
      <alignment vertical="center"/>
    </xf>
    <xf numFmtId="0" fontId="10" fillId="9" borderId="17" xfId="10" applyFont="1" applyFill="1" applyBorder="1" applyAlignment="1">
      <alignment vertical="center"/>
    </xf>
    <xf numFmtId="0" fontId="9" fillId="9" borderId="51" xfId="10" applyFont="1" applyFill="1" applyBorder="1" applyAlignment="1">
      <alignment horizontal="left" vertical="center"/>
    </xf>
    <xf numFmtId="0" fontId="9" fillId="0" borderId="50" xfId="10" applyFont="1" applyAlignment="1">
      <alignment horizontal="center"/>
    </xf>
    <xf numFmtId="0" fontId="9" fillId="0" borderId="50" xfId="10" applyFont="1" applyAlignment="1">
      <alignment horizontal="center" vertical="top"/>
    </xf>
    <xf numFmtId="0" fontId="9" fillId="0" borderId="17" xfId="10" applyFont="1" applyBorder="1" applyAlignment="1">
      <alignment vertical="center"/>
    </xf>
    <xf numFmtId="0" fontId="9" fillId="0" borderId="51" xfId="10" applyFont="1" applyBorder="1" applyAlignment="1">
      <alignment vertical="center"/>
    </xf>
    <xf numFmtId="164" fontId="9" fillId="0" borderId="6" xfId="10" applyNumberFormat="1" applyFont="1" applyBorder="1" applyAlignment="1">
      <alignment horizontal="center" vertical="center"/>
    </xf>
    <xf numFmtId="0" fontId="5" fillId="0" borderId="19" xfId="10" applyFont="1" applyBorder="1"/>
    <xf numFmtId="0" fontId="9" fillId="0" borderId="43" xfId="10" applyFont="1" applyBorder="1" applyAlignment="1">
      <alignment vertical="center"/>
    </xf>
    <xf numFmtId="0" fontId="9" fillId="0" borderId="44" xfId="10" applyFont="1" applyBorder="1" applyAlignment="1">
      <alignment vertical="center"/>
    </xf>
    <xf numFmtId="0" fontId="9" fillId="0" borderId="45" xfId="10" applyFont="1" applyBorder="1" applyAlignment="1">
      <alignment vertical="center"/>
    </xf>
    <xf numFmtId="0" fontId="0" fillId="0" borderId="0" xfId="0" applyAlignment="1">
      <alignment wrapText="1"/>
    </xf>
    <xf numFmtId="3" fontId="22" fillId="0" borderId="55" xfId="0" applyNumberFormat="1" applyFont="1" applyBorder="1" applyAlignment="1">
      <alignment horizontal="center" vertical="center" wrapText="1"/>
    </xf>
    <xf numFmtId="0" fontId="9" fillId="0" borderId="50" xfId="8" applyFont="1" applyAlignment="1">
      <alignment horizontal="center" wrapText="1"/>
    </xf>
    <xf numFmtId="0" fontId="9" fillId="0" borderId="12" xfId="8" applyFont="1" applyBorder="1" applyAlignment="1">
      <alignment vertical="center"/>
    </xf>
    <xf numFmtId="0" fontId="11" fillId="0" borderId="28" xfId="8" applyFont="1" applyBorder="1"/>
    <xf numFmtId="0" fontId="11" fillId="0" borderId="19" xfId="8" applyFont="1" applyBorder="1"/>
    <xf numFmtId="0" fontId="9" fillId="0" borderId="6" xfId="8" applyFont="1" applyBorder="1" applyAlignment="1">
      <alignment horizontal="center" vertical="center" wrapText="1"/>
    </xf>
    <xf numFmtId="0" fontId="11" fillId="0" borderId="15" xfId="8" applyFont="1" applyBorder="1"/>
    <xf numFmtId="0" fontId="10" fillId="8" borderId="12" xfId="0" applyFont="1" applyFill="1" applyBorder="1" applyAlignment="1">
      <alignment horizontal="center" vertical="center"/>
    </xf>
    <xf numFmtId="0" fontId="11" fillId="0" borderId="28" xfId="0" applyFont="1" applyBorder="1"/>
    <xf numFmtId="0" fontId="11" fillId="0" borderId="15" xfId="0" applyFont="1" applyBorder="1"/>
    <xf numFmtId="0" fontId="10" fillId="0" borderId="31" xfId="8" applyFont="1" applyBorder="1" applyAlignment="1">
      <alignment horizontal="center" vertical="center" wrapText="1"/>
    </xf>
    <xf numFmtId="0" fontId="11" fillId="0" borderId="18" xfId="8" applyFont="1" applyBorder="1"/>
    <xf numFmtId="0" fontId="11" fillId="0" borderId="32" xfId="8" applyFont="1" applyBorder="1"/>
    <xf numFmtId="0" fontId="10" fillId="0" borderId="6" xfId="8" applyFont="1" applyBorder="1" applyAlignment="1">
      <alignment horizontal="center" vertical="center"/>
    </xf>
    <xf numFmtId="0" fontId="47" fillId="0" borderId="18" xfId="0" applyFont="1" applyBorder="1" applyAlignment="1">
      <alignment horizontal="center" vertical="top" wrapText="1"/>
    </xf>
    <xf numFmtId="0" fontId="47" fillId="0" borderId="50" xfId="0" applyFont="1" applyBorder="1" applyAlignment="1">
      <alignment horizontal="center" vertical="top" wrapText="1"/>
    </xf>
    <xf numFmtId="0" fontId="47" fillId="0" borderId="21" xfId="0" applyFont="1" applyBorder="1" applyAlignment="1">
      <alignment horizontal="center" vertical="top" wrapText="1"/>
    </xf>
    <xf numFmtId="0" fontId="9" fillId="9" borderId="50" xfId="8" applyFont="1" applyFill="1" applyAlignment="1">
      <alignment horizontal="right" vertical="center"/>
    </xf>
    <xf numFmtId="0" fontId="11" fillId="0" borderId="50" xfId="8" applyFont="1"/>
    <xf numFmtId="0" fontId="10" fillId="8" borderId="12" xfId="8" applyFont="1" applyFill="1" applyBorder="1" applyAlignment="1">
      <alignment horizontal="center" vertical="center"/>
    </xf>
    <xf numFmtId="0" fontId="9" fillId="9" borderId="50" xfId="8" applyFont="1" applyFill="1" applyAlignment="1">
      <alignment horizontal="center" vertical="center"/>
    </xf>
    <xf numFmtId="0" fontId="11" fillId="0" borderId="51" xfId="8" applyFont="1" applyBorder="1"/>
    <xf numFmtId="0" fontId="9" fillId="0" borderId="6" xfId="8" applyFont="1" applyBorder="1" applyAlignment="1">
      <alignment horizontal="center" vertical="center"/>
    </xf>
    <xf numFmtId="0" fontId="10" fillId="9" borderId="18" xfId="8" applyFont="1" applyFill="1" applyBorder="1" applyAlignment="1">
      <alignment horizontal="center" vertical="center"/>
    </xf>
    <xf numFmtId="0" fontId="12" fillId="0" borderId="6" xfId="8" applyFont="1" applyBorder="1" applyAlignment="1">
      <alignment horizontal="center" vertical="center" wrapText="1"/>
    </xf>
    <xf numFmtId="0" fontId="13" fillId="0" borderId="6" xfId="8" applyFont="1" applyBorder="1" applyAlignment="1">
      <alignment horizontal="center" vertical="center"/>
    </xf>
    <xf numFmtId="0" fontId="10" fillId="9" borderId="50" xfId="8" applyFont="1" applyFill="1" applyAlignment="1">
      <alignment horizontal="center" vertical="top"/>
    </xf>
    <xf numFmtId="0" fontId="9" fillId="0" borderId="57" xfId="8" applyFont="1" applyBorder="1" applyAlignment="1">
      <alignment horizontal="center"/>
    </xf>
    <xf numFmtId="0" fontId="10" fillId="9" borderId="17" xfId="8" applyFont="1" applyFill="1" applyBorder="1" applyAlignment="1">
      <alignment horizontal="center" vertical="center"/>
    </xf>
    <xf numFmtId="0" fontId="9" fillId="7" borderId="6" xfId="8" applyFont="1" applyFill="1" applyBorder="1" applyAlignment="1">
      <alignment horizontal="center" vertical="center"/>
    </xf>
    <xf numFmtId="0" fontId="10" fillId="7" borderId="50" xfId="8" applyFont="1" applyFill="1" applyAlignment="1">
      <alignment horizontal="left" vertical="center"/>
    </xf>
    <xf numFmtId="0" fontId="9" fillId="0" borderId="52" xfId="8" applyFont="1" applyBorder="1" applyAlignment="1">
      <alignment horizontal="center" vertical="center" wrapText="1"/>
    </xf>
    <xf numFmtId="0" fontId="9" fillId="0" borderId="53" xfId="8" applyFont="1" applyBorder="1" applyAlignment="1">
      <alignment horizontal="center" vertical="center" wrapText="1"/>
    </xf>
    <xf numFmtId="0" fontId="9" fillId="0" borderId="54" xfId="8" applyFont="1" applyBorder="1" applyAlignment="1">
      <alignment horizontal="center" vertical="center" wrapText="1"/>
    </xf>
    <xf numFmtId="0" fontId="9" fillId="0" borderId="6" xfId="8" applyFont="1" applyBorder="1" applyAlignment="1">
      <alignment horizontal="center" wrapText="1"/>
    </xf>
    <xf numFmtId="0" fontId="11" fillId="0" borderId="28" xfId="8" applyFont="1" applyBorder="1" applyAlignment="1">
      <alignment horizontal="center"/>
    </xf>
    <xf numFmtId="0" fontId="11" fillId="0" borderId="19" xfId="8" applyFont="1" applyBorder="1" applyAlignment="1">
      <alignment horizontal="center"/>
    </xf>
    <xf numFmtId="0" fontId="48" fillId="0" borderId="55" xfId="0" applyFont="1" applyBorder="1" applyAlignment="1">
      <alignment horizontal="center" vertical="center" wrapText="1"/>
    </xf>
    <xf numFmtId="0" fontId="38" fillId="0" borderId="55" xfId="1" applyBorder="1" applyAlignment="1">
      <alignment horizontal="center" vertical="center" wrapText="1"/>
    </xf>
    <xf numFmtId="0" fontId="10" fillId="0" borderId="8" xfId="8" applyFont="1" applyBorder="1" applyAlignment="1">
      <alignment horizontal="center" vertical="center" wrapText="1"/>
    </xf>
    <xf numFmtId="0" fontId="11" fillId="0" borderId="47" xfId="8" applyFont="1" applyBorder="1"/>
    <xf numFmtId="0" fontId="11" fillId="0" borderId="9" xfId="8" applyFont="1" applyBorder="1"/>
    <xf numFmtId="0" fontId="9" fillId="0" borderId="10" xfId="8" applyFont="1" applyBorder="1" applyAlignment="1">
      <alignment horizontal="center" vertical="center"/>
    </xf>
    <xf numFmtId="0" fontId="11" fillId="0" borderId="11" xfId="8" applyFont="1" applyBorder="1"/>
    <xf numFmtId="0" fontId="10" fillId="0" borderId="12" xfId="8" applyFont="1" applyBorder="1" applyAlignment="1">
      <alignment horizontal="center" vertical="center" wrapText="1"/>
    </xf>
    <xf numFmtId="0" fontId="10" fillId="0" borderId="6" xfId="8" applyFont="1" applyBorder="1" applyAlignment="1">
      <alignment horizontal="center" vertical="center" wrapText="1"/>
    </xf>
    <xf numFmtId="0" fontId="10" fillId="9" borderId="17" xfId="8" applyFont="1" applyFill="1" applyBorder="1" applyAlignment="1">
      <alignment horizontal="right" vertical="center"/>
    </xf>
    <xf numFmtId="0" fontId="11" fillId="0" borderId="16" xfId="8" applyFont="1" applyBorder="1"/>
    <xf numFmtId="0" fontId="10" fillId="9" borderId="34" xfId="8" applyFont="1" applyFill="1" applyBorder="1" applyAlignment="1">
      <alignment horizontal="right" vertical="center"/>
    </xf>
    <xf numFmtId="0" fontId="10" fillId="9" borderId="17" xfId="8" applyFont="1" applyFill="1" applyBorder="1" applyAlignment="1">
      <alignment horizontal="right" vertical="center" wrapText="1"/>
    </xf>
    <xf numFmtId="0" fontId="10" fillId="9" borderId="34" xfId="8" applyFont="1" applyFill="1" applyBorder="1" applyAlignment="1">
      <alignment horizontal="right" vertical="center" wrapText="1"/>
    </xf>
    <xf numFmtId="0" fontId="9" fillId="9" borderId="50" xfId="8" applyFont="1" applyFill="1" applyAlignment="1">
      <alignment horizontal="left" vertical="center"/>
    </xf>
    <xf numFmtId="0" fontId="10" fillId="8" borderId="12" xfId="10" applyFont="1" applyFill="1" applyBorder="1" applyAlignment="1">
      <alignment horizontal="center" vertical="center"/>
    </xf>
    <xf numFmtId="0" fontId="11" fillId="0" borderId="28" xfId="10" applyFont="1" applyBorder="1"/>
    <xf numFmtId="0" fontId="11" fillId="0" borderId="15" xfId="10" applyFont="1" applyBorder="1"/>
    <xf numFmtId="0" fontId="10" fillId="0" borderId="8" xfId="10" applyFont="1" applyBorder="1" applyAlignment="1">
      <alignment horizontal="center" vertical="center" wrapText="1"/>
    </xf>
    <xf numFmtId="0" fontId="11" fillId="0" borderId="47" xfId="10" applyFont="1" applyBorder="1"/>
    <xf numFmtId="0" fontId="11" fillId="0" borderId="9" xfId="10" applyFont="1" applyBorder="1"/>
    <xf numFmtId="0" fontId="9" fillId="0" borderId="10" xfId="10" applyFont="1" applyBorder="1" applyAlignment="1">
      <alignment horizontal="center" vertical="center"/>
    </xf>
    <xf numFmtId="0" fontId="11" fillId="0" borderId="11" xfId="10" applyFont="1" applyBorder="1"/>
    <xf numFmtId="0" fontId="10" fillId="0" borderId="12" xfId="10" applyFont="1" applyBorder="1" applyAlignment="1">
      <alignment horizontal="center" vertical="center" wrapText="1"/>
    </xf>
    <xf numFmtId="0" fontId="11" fillId="0" borderId="19" xfId="10" applyFont="1" applyBorder="1"/>
    <xf numFmtId="0" fontId="10" fillId="0" borderId="6" xfId="10" applyFont="1" applyBorder="1" applyAlignment="1">
      <alignment horizontal="center" vertical="center" wrapText="1"/>
    </xf>
    <xf numFmtId="164" fontId="10" fillId="0" borderId="6" xfId="10" applyNumberFormat="1" applyFont="1" applyBorder="1" applyAlignment="1">
      <alignment horizontal="center" vertical="center"/>
    </xf>
    <xf numFmtId="0" fontId="9" fillId="7" borderId="6" xfId="10" applyFont="1" applyFill="1" applyBorder="1" applyAlignment="1">
      <alignment horizontal="center" vertical="center"/>
    </xf>
    <xf numFmtId="0" fontId="9" fillId="9" borderId="50" xfId="10" applyFont="1" applyFill="1" applyAlignment="1">
      <alignment horizontal="center" vertical="center"/>
    </xf>
    <xf numFmtId="0" fontId="11" fillId="0" borderId="50" xfId="10" applyFont="1"/>
    <xf numFmtId="0" fontId="10" fillId="0" borderId="31" xfId="10" applyFont="1" applyBorder="1" applyAlignment="1">
      <alignment horizontal="center" vertical="center" wrapText="1"/>
    </xf>
    <xf numFmtId="0" fontId="11" fillId="0" borderId="18" xfId="10" applyFont="1" applyBorder="1"/>
    <xf numFmtId="0" fontId="11" fillId="0" borderId="32" xfId="10" applyFont="1" applyBorder="1"/>
    <xf numFmtId="164" fontId="9" fillId="0" borderId="48" xfId="10" applyNumberFormat="1" applyFont="1" applyBorder="1" applyAlignment="1">
      <alignment horizontal="center" vertical="top" wrapText="1"/>
    </xf>
    <xf numFmtId="0" fontId="11" fillId="0" borderId="49" xfId="10" applyFont="1" applyBorder="1"/>
    <xf numFmtId="0" fontId="11" fillId="0" borderId="46" xfId="10" applyFont="1" applyBorder="1"/>
    <xf numFmtId="0" fontId="11" fillId="0" borderId="17" xfId="10" applyFont="1" applyBorder="1"/>
    <xf numFmtId="0" fontId="1" fillId="0" borderId="50" xfId="10"/>
    <xf numFmtId="0" fontId="11" fillId="0" borderId="51" xfId="10" applyFont="1" applyBorder="1"/>
    <xf numFmtId="0" fontId="11" fillId="0" borderId="43" xfId="10" applyFont="1" applyBorder="1"/>
    <xf numFmtId="0" fontId="11" fillId="0" borderId="44" xfId="10" applyFont="1" applyBorder="1"/>
    <xf numFmtId="0" fontId="11" fillId="0" borderId="45" xfId="10" applyFont="1" applyBorder="1"/>
    <xf numFmtId="0" fontId="10" fillId="0" borderId="8" xfId="10" applyFont="1" applyBorder="1" applyAlignment="1">
      <alignment horizontal="center" vertical="top" wrapText="1"/>
    </xf>
    <xf numFmtId="0" fontId="10" fillId="9" borderId="50" xfId="10" applyFont="1" applyFill="1" applyAlignment="1">
      <alignment horizontal="center"/>
    </xf>
    <xf numFmtId="0" fontId="10" fillId="7" borderId="6" xfId="10" applyFont="1" applyFill="1" applyBorder="1" applyAlignment="1">
      <alignment horizontal="center" vertical="center"/>
    </xf>
    <xf numFmtId="0" fontId="10" fillId="7" borderId="28" xfId="10" applyFont="1" applyFill="1" applyBorder="1" applyAlignment="1">
      <alignment horizontal="left" vertical="center"/>
    </xf>
    <xf numFmtId="0" fontId="10" fillId="9" borderId="17" xfId="10" applyFont="1" applyFill="1" applyBorder="1" applyAlignment="1">
      <alignment horizontal="center" vertical="center"/>
    </xf>
    <xf numFmtId="0" fontId="10" fillId="0" borderId="6" xfId="10" applyFont="1" applyBorder="1" applyAlignment="1">
      <alignment horizontal="center" vertical="center"/>
    </xf>
    <xf numFmtId="0" fontId="10" fillId="9" borderId="55" xfId="10" applyFont="1" applyFill="1" applyBorder="1" applyAlignment="1">
      <alignment horizontal="center" vertical="center" wrapText="1"/>
    </xf>
    <xf numFmtId="0" fontId="11" fillId="0" borderId="55" xfId="10" applyFont="1" applyBorder="1"/>
    <xf numFmtId="0" fontId="5" fillId="0" borderId="52" xfId="10" applyFont="1" applyBorder="1" applyAlignment="1">
      <alignment horizontal="center" vertical="top" wrapText="1"/>
    </xf>
    <xf numFmtId="0" fontId="5" fillId="0" borderId="53" xfId="10" applyFont="1" applyBorder="1" applyAlignment="1">
      <alignment horizontal="center" vertical="top" wrapText="1"/>
    </xf>
    <xf numFmtId="0" fontId="5" fillId="0" borderId="54" xfId="10" applyFont="1" applyBorder="1" applyAlignment="1">
      <alignment horizontal="center" vertical="top" wrapText="1"/>
    </xf>
    <xf numFmtId="0" fontId="5" fillId="0" borderId="55" xfId="10" applyFont="1" applyBorder="1" applyAlignment="1">
      <alignment horizontal="center" vertical="top" wrapText="1"/>
    </xf>
    <xf numFmtId="14" fontId="5" fillId="0" borderId="55" xfId="10" applyNumberFormat="1" applyFont="1" applyBorder="1" applyAlignment="1">
      <alignment horizontal="center" vertical="top" wrapText="1"/>
    </xf>
    <xf numFmtId="0" fontId="10" fillId="9" borderId="20" xfId="10" applyFont="1" applyFill="1" applyBorder="1" applyAlignment="1">
      <alignment horizontal="center" vertical="center"/>
    </xf>
    <xf numFmtId="0" fontId="11" fillId="0" borderId="21" xfId="10" applyFont="1" applyBorder="1"/>
    <xf numFmtId="0" fontId="11" fillId="0" borderId="22" xfId="10" applyFont="1" applyBorder="1"/>
    <xf numFmtId="0" fontId="17" fillId="0" borderId="35" xfId="10" applyFont="1" applyBorder="1" applyAlignment="1">
      <alignment horizontal="center" vertical="center" wrapText="1"/>
    </xf>
    <xf numFmtId="0" fontId="11" fillId="0" borderId="26" xfId="10" applyFont="1" applyBorder="1"/>
    <xf numFmtId="0" fontId="11" fillId="0" borderId="27" xfId="10" applyFont="1" applyBorder="1"/>
    <xf numFmtId="0" fontId="18" fillId="9" borderId="50" xfId="10" applyFont="1" applyFill="1" applyAlignment="1">
      <alignment horizontal="center" vertical="center"/>
    </xf>
    <xf numFmtId="0" fontId="9" fillId="0" borderId="36" xfId="10" applyFont="1" applyBorder="1" applyAlignment="1">
      <alignment horizontal="center" vertical="center"/>
    </xf>
    <xf numFmtId="0" fontId="11" fillId="0" borderId="37" xfId="10" applyFont="1" applyBorder="1"/>
    <xf numFmtId="0" fontId="25" fillId="13" borderId="4" xfId="0" applyFont="1" applyFill="1" applyBorder="1" applyAlignment="1">
      <alignment horizontal="center"/>
    </xf>
    <xf numFmtId="0" fontId="11" fillId="0" borderId="21" xfId="0" applyFont="1" applyBorder="1"/>
    <xf numFmtId="0" fontId="11" fillId="0" borderId="33" xfId="0" applyFont="1" applyBorder="1"/>
    <xf numFmtId="0" fontId="19" fillId="0" borderId="2" xfId="0" applyFont="1" applyBorder="1" applyAlignment="1">
      <alignment horizontal="center" vertical="center" wrapText="1"/>
    </xf>
    <xf numFmtId="0" fontId="11" fillId="0" borderId="13" xfId="0" applyFont="1" applyBorder="1"/>
    <xf numFmtId="0" fontId="11" fillId="0" borderId="14" xfId="0" applyFont="1" applyBorder="1"/>
    <xf numFmtId="166" fontId="20" fillId="0" borderId="2" xfId="0" applyNumberFormat="1" applyFont="1" applyBorder="1" applyAlignment="1">
      <alignment horizontal="center" vertical="center" wrapText="1"/>
    </xf>
    <xf numFmtId="0" fontId="11" fillId="0" borderId="18" xfId="0" applyFont="1" applyBorder="1"/>
    <xf numFmtId="0" fontId="20" fillId="0" borderId="2" xfId="0" applyFont="1" applyBorder="1" applyAlignment="1">
      <alignment horizontal="center" vertical="center" wrapText="1"/>
    </xf>
    <xf numFmtId="0" fontId="11" fillId="0" borderId="13" xfId="0" applyFont="1" applyBorder="1" applyAlignment="1">
      <alignment horizontal="center" vertical="center"/>
    </xf>
    <xf numFmtId="0" fontId="11" fillId="0" borderId="14" xfId="0" applyFont="1" applyBorder="1" applyAlignment="1">
      <alignment horizontal="center" vertical="center"/>
    </xf>
  </cellXfs>
  <cellStyles count="11">
    <cellStyle name="Hipervínculo" xfId="1" builtinId="8"/>
    <cellStyle name="Hipervínculo 2" xfId="9" xr:uid="{AEF309EA-600D-442E-AB49-090EA400E0F9}"/>
    <cellStyle name="Normal" xfId="0" builtinId="0"/>
    <cellStyle name="Normal 2" xfId="2" xr:uid="{03E731D7-B3AC-4042-B8D0-970FF6FF5110}"/>
    <cellStyle name="Normal 2 2" xfId="6" xr:uid="{5A89411D-A65A-4080-B5C7-E4EAF85E7074}"/>
    <cellStyle name="Normal 2 3" xfId="4" xr:uid="{1D92B16E-6D6B-4B7B-A16C-EC14AFFEB29D}"/>
    <cellStyle name="Normal 2 4" xfId="10" xr:uid="{F5B385DC-4363-4951-90D4-932498ABF88D}"/>
    <cellStyle name="Normal 3" xfId="3" xr:uid="{52A09BCA-795F-4583-86B3-9A6B3BAD8838}"/>
    <cellStyle name="Normal 4" xfId="8" xr:uid="{48086632-3BE4-468F-BD53-429DB19B750F}"/>
    <cellStyle name="Porcentaje 2" xfId="7" xr:uid="{2B151A32-C2CA-4D72-9D51-522CB8695971}"/>
    <cellStyle name="Porcentaje 3" xfId="5" xr:uid="{2685F6C5-6865-4EC8-B3B7-2C90B1493AF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g"/></Relationships>
</file>

<file path=xl/drawings/drawing1.xml><?xml version="1.0" encoding="utf-8"?>
<xdr:wsDr xmlns:xdr="http://schemas.openxmlformats.org/drawingml/2006/spreadsheetDrawing" xmlns:a="http://schemas.openxmlformats.org/drawingml/2006/main">
  <xdr:oneCellAnchor>
    <xdr:from>
      <xdr:col>4</xdr:col>
      <xdr:colOff>232488</xdr:colOff>
      <xdr:row>50</xdr:row>
      <xdr:rowOff>18855</xdr:rowOff>
    </xdr:from>
    <xdr:ext cx="371475" cy="247650"/>
    <xdr:sp macro="" textlink="">
      <xdr:nvSpPr>
        <xdr:cNvPr id="2" name="Shape 3">
          <a:extLst>
            <a:ext uri="{FF2B5EF4-FFF2-40B4-BE49-F238E27FC236}">
              <a16:creationId xmlns:a16="http://schemas.microsoft.com/office/drawing/2014/main" id="{00000000-0008-0000-0100-000002000000}"/>
            </a:ext>
          </a:extLst>
        </xdr:cNvPr>
        <xdr:cNvSpPr/>
      </xdr:nvSpPr>
      <xdr:spPr>
        <a:xfrm>
          <a:off x="3080269" y="19700615"/>
          <a:ext cx="371475" cy="247650"/>
        </a:xfrm>
        <a:prstGeom prst="rect">
          <a:avLst/>
        </a:prstGeom>
        <a:solidFill>
          <a:schemeClr val="lt1"/>
        </a:solidFill>
        <a:ln w="25400" cap="flat" cmpd="sng">
          <a:solidFill>
            <a:srgbClr val="395E89"/>
          </a:solidFill>
          <a:prstDash val="solid"/>
          <a:round/>
          <a:headEnd type="none" w="sm" len="sm"/>
          <a:tailEnd type="none" w="sm" len="sm"/>
        </a:ln>
      </xdr:spPr>
      <xdr:txBody>
        <a:bodyPr spcFirstLastPara="1" wrap="square" lIns="91425" tIns="45700" rIns="91425" bIns="45700" anchor="b"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5</xdr:col>
      <xdr:colOff>450980</xdr:colOff>
      <xdr:row>50</xdr:row>
      <xdr:rowOff>19050</xdr:rowOff>
    </xdr:from>
    <xdr:ext cx="409575" cy="266700"/>
    <xdr:sp macro="" textlink="">
      <xdr:nvSpPr>
        <xdr:cNvPr id="3" name="Shape 4">
          <a:extLst>
            <a:ext uri="{FF2B5EF4-FFF2-40B4-BE49-F238E27FC236}">
              <a16:creationId xmlns:a16="http://schemas.microsoft.com/office/drawing/2014/main" id="{00000000-0008-0000-0100-000003000000}"/>
            </a:ext>
          </a:extLst>
        </xdr:cNvPr>
        <xdr:cNvSpPr/>
      </xdr:nvSpPr>
      <xdr:spPr>
        <a:xfrm>
          <a:off x="4698352" y="19700810"/>
          <a:ext cx="409575" cy="266700"/>
        </a:xfrm>
        <a:prstGeom prst="rect">
          <a:avLst/>
        </a:prstGeom>
        <a:solidFill>
          <a:schemeClr val="lt1"/>
        </a:solidFill>
        <a:ln w="25400" cap="flat" cmpd="sng">
          <a:solidFill>
            <a:srgbClr val="395E89"/>
          </a:solidFill>
          <a:prstDash val="solid"/>
          <a:round/>
          <a:headEnd type="none" w="sm" len="sm"/>
          <a:tailEnd type="none" w="sm" len="sm"/>
        </a:ln>
      </xdr:spPr>
      <xdr:txBody>
        <a:bodyPr spcFirstLastPara="1" wrap="square" lIns="91425" tIns="45700" rIns="91425" bIns="45700" anchor="b" anchorCtr="0">
          <a:noAutofit/>
        </a:bodyPr>
        <a:lstStyle/>
        <a:p>
          <a:pPr marL="0" lvl="0" indent="0" algn="ctr" rtl="0">
            <a:spcBef>
              <a:spcPts val="0"/>
            </a:spcBef>
            <a:spcAft>
              <a:spcPts val="0"/>
            </a:spcAft>
            <a:buSzPts val="1100"/>
            <a:buFont typeface="Arial"/>
            <a:buNone/>
          </a:pPr>
          <a:endParaRPr sz="1100"/>
        </a:p>
      </xdr:txBody>
    </xdr:sp>
    <xdr:clientData fLocksWithSheet="0"/>
  </xdr:oneCellAnchor>
  <xdr:oneCellAnchor>
    <xdr:from>
      <xdr:col>5</xdr:col>
      <xdr:colOff>257175</xdr:colOff>
      <xdr:row>0</xdr:row>
      <xdr:rowOff>57149</xdr:rowOff>
    </xdr:from>
    <xdr:ext cx="1047750" cy="381001"/>
    <xdr:pic>
      <xdr:nvPicPr>
        <xdr:cNvPr id="4" name="image1.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1" cstate="print"/>
        <a:stretch>
          <a:fillRect/>
        </a:stretch>
      </xdr:blipFill>
      <xdr:spPr>
        <a:xfrm>
          <a:off x="4505325" y="57149"/>
          <a:ext cx="1047750" cy="381001"/>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266700</xdr:colOff>
      <xdr:row>0</xdr:row>
      <xdr:rowOff>114300</xdr:rowOff>
    </xdr:from>
    <xdr:ext cx="1047750" cy="314325"/>
    <xdr:pic>
      <xdr:nvPicPr>
        <xdr:cNvPr id="2" name="image1.png">
          <a:extLst>
            <a:ext uri="{FF2B5EF4-FFF2-40B4-BE49-F238E27FC236}">
              <a16:creationId xmlns:a16="http://schemas.microsoft.com/office/drawing/2014/main" id="{55D5D19E-40F5-4CF0-9872-52B24F28F3F4}"/>
            </a:ext>
          </a:extLst>
        </xdr:cNvPr>
        <xdr:cNvPicPr preferRelativeResize="0"/>
      </xdr:nvPicPr>
      <xdr:blipFill>
        <a:blip xmlns:r="http://schemas.openxmlformats.org/officeDocument/2006/relationships" r:embed="rId1" cstate="print"/>
        <a:stretch>
          <a:fillRect/>
        </a:stretch>
      </xdr:blipFill>
      <xdr:spPr>
        <a:xfrm>
          <a:off x="4819650" y="114300"/>
          <a:ext cx="1047750" cy="314325"/>
        </a:xfrm>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8</xdr:col>
      <xdr:colOff>152400</xdr:colOff>
      <xdr:row>4</xdr:row>
      <xdr:rowOff>0</xdr:rowOff>
    </xdr:from>
    <xdr:ext cx="3028950" cy="0"/>
    <xdr:pic>
      <xdr:nvPicPr>
        <xdr:cNvPr id="3" name="image2.jpg" descr="IMG_20210510_102408.jpg">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152400</xdr:colOff>
      <xdr:row>4</xdr:row>
      <xdr:rowOff>0</xdr:rowOff>
    </xdr:from>
    <xdr:ext cx="3028950" cy="0"/>
    <xdr:pic>
      <xdr:nvPicPr>
        <xdr:cNvPr id="4" name="image2.jpg" descr="IMG_20210510_102408.jpg">
          <a:extLst>
            <a:ext uri="{FF2B5EF4-FFF2-40B4-BE49-F238E27FC236}">
              <a16:creationId xmlns:a16="http://schemas.microsoft.com/office/drawing/2014/main" id="{00000000-0008-0000-0400-000004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152400</xdr:colOff>
      <xdr:row>4</xdr:row>
      <xdr:rowOff>0</xdr:rowOff>
    </xdr:from>
    <xdr:ext cx="3028950" cy="0"/>
    <xdr:pic>
      <xdr:nvPicPr>
        <xdr:cNvPr id="5" name="image2.jpg" descr="IMG_20210510_102408.jpg">
          <a:extLst>
            <a:ext uri="{FF2B5EF4-FFF2-40B4-BE49-F238E27FC236}">
              <a16:creationId xmlns:a16="http://schemas.microsoft.com/office/drawing/2014/main" id="{00000000-0008-0000-0400-000005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152400</xdr:colOff>
      <xdr:row>4</xdr:row>
      <xdr:rowOff>0</xdr:rowOff>
    </xdr:from>
    <xdr:ext cx="3028950" cy="0"/>
    <xdr:pic>
      <xdr:nvPicPr>
        <xdr:cNvPr id="6" name="image2.jpg" descr="IMG_20210510_102408.jpg">
          <a:extLst>
            <a:ext uri="{FF2B5EF4-FFF2-40B4-BE49-F238E27FC236}">
              <a16:creationId xmlns:a16="http://schemas.microsoft.com/office/drawing/2014/main" id="{00000000-0008-0000-0400-000006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152400</xdr:colOff>
      <xdr:row>4</xdr:row>
      <xdr:rowOff>0</xdr:rowOff>
    </xdr:from>
    <xdr:ext cx="3028950" cy="0"/>
    <xdr:pic>
      <xdr:nvPicPr>
        <xdr:cNvPr id="7" name="image2.jpg" descr="IMG_20210510_102408.jpg">
          <a:extLst>
            <a:ext uri="{FF2B5EF4-FFF2-40B4-BE49-F238E27FC236}">
              <a16:creationId xmlns:a16="http://schemas.microsoft.com/office/drawing/2014/main" id="{00000000-0008-0000-0400-000007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152400</xdr:colOff>
      <xdr:row>4</xdr:row>
      <xdr:rowOff>0</xdr:rowOff>
    </xdr:from>
    <xdr:ext cx="3028950" cy="0"/>
    <xdr:pic>
      <xdr:nvPicPr>
        <xdr:cNvPr id="8" name="image2.jpg" descr="IMG_20210510_102408.jpg">
          <a:extLst>
            <a:ext uri="{FF2B5EF4-FFF2-40B4-BE49-F238E27FC236}">
              <a16:creationId xmlns:a16="http://schemas.microsoft.com/office/drawing/2014/main" id="{00000000-0008-0000-0400-000008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152400</xdr:colOff>
      <xdr:row>4</xdr:row>
      <xdr:rowOff>0</xdr:rowOff>
    </xdr:from>
    <xdr:ext cx="3028950" cy="0"/>
    <xdr:pic>
      <xdr:nvPicPr>
        <xdr:cNvPr id="9" name="image2.jpg" descr="IMG_20210510_102408.jpg">
          <a:extLst>
            <a:ext uri="{FF2B5EF4-FFF2-40B4-BE49-F238E27FC236}">
              <a16:creationId xmlns:a16="http://schemas.microsoft.com/office/drawing/2014/main" id="{00000000-0008-0000-04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152400</xdr:colOff>
      <xdr:row>4</xdr:row>
      <xdr:rowOff>0</xdr:rowOff>
    </xdr:from>
    <xdr:ext cx="3028950" cy="0"/>
    <xdr:pic>
      <xdr:nvPicPr>
        <xdr:cNvPr id="10" name="image2.jpg" descr="IMG_20210510_102408.jpg">
          <a:extLst>
            <a:ext uri="{FF2B5EF4-FFF2-40B4-BE49-F238E27FC236}">
              <a16:creationId xmlns:a16="http://schemas.microsoft.com/office/drawing/2014/main" id="{00000000-0008-0000-04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152400</xdr:colOff>
      <xdr:row>136</xdr:row>
      <xdr:rowOff>152400</xdr:rowOff>
    </xdr:from>
    <xdr:ext cx="3028950" cy="0"/>
    <xdr:pic>
      <xdr:nvPicPr>
        <xdr:cNvPr id="11" name="image2.jpg" descr="IMG_20210510_102408.jpg">
          <a:extLst>
            <a:ext uri="{FF2B5EF4-FFF2-40B4-BE49-F238E27FC236}">
              <a16:creationId xmlns:a16="http://schemas.microsoft.com/office/drawing/2014/main" id="{00000000-0008-0000-0400-00000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0</xdr:row>
      <xdr:rowOff>0</xdr:rowOff>
    </xdr:from>
    <xdr:ext cx="0" cy="0"/>
    <xdr:pic>
      <xdr:nvPicPr>
        <xdr:cNvPr id="12" name="image2.jpg" descr="IMG_20210510_102408.jpg">
          <a:extLst>
            <a:ext uri="{FF2B5EF4-FFF2-40B4-BE49-F238E27FC236}">
              <a16:creationId xmlns:a16="http://schemas.microsoft.com/office/drawing/2014/main" id="{00000000-0008-0000-0400-00000C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0</xdr:row>
      <xdr:rowOff>0</xdr:rowOff>
    </xdr:from>
    <xdr:ext cx="0" cy="0"/>
    <xdr:pic>
      <xdr:nvPicPr>
        <xdr:cNvPr id="13" name="image2.jpg" descr="IMG_20210510_102408.jpg">
          <a:extLst>
            <a:ext uri="{FF2B5EF4-FFF2-40B4-BE49-F238E27FC236}">
              <a16:creationId xmlns:a16="http://schemas.microsoft.com/office/drawing/2014/main" id="{00000000-0008-0000-0400-00000D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0</xdr:row>
      <xdr:rowOff>0</xdr:rowOff>
    </xdr:from>
    <xdr:ext cx="0" cy="0"/>
    <xdr:pic>
      <xdr:nvPicPr>
        <xdr:cNvPr id="14" name="image2.jpg" descr="IMG_20210510_102408.jpg">
          <a:extLst>
            <a:ext uri="{FF2B5EF4-FFF2-40B4-BE49-F238E27FC236}">
              <a16:creationId xmlns:a16="http://schemas.microsoft.com/office/drawing/2014/main" id="{00000000-0008-0000-0400-00000E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0</xdr:row>
      <xdr:rowOff>0</xdr:rowOff>
    </xdr:from>
    <xdr:ext cx="0" cy="0"/>
    <xdr:pic>
      <xdr:nvPicPr>
        <xdr:cNvPr id="15" name="image2.jpg" descr="IMG_20210510_102408.jpg">
          <a:extLst>
            <a:ext uri="{FF2B5EF4-FFF2-40B4-BE49-F238E27FC236}">
              <a16:creationId xmlns:a16="http://schemas.microsoft.com/office/drawing/2014/main" id="{00000000-0008-0000-0400-00000F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0</xdr:row>
      <xdr:rowOff>0</xdr:rowOff>
    </xdr:from>
    <xdr:ext cx="0" cy="0"/>
    <xdr:pic>
      <xdr:nvPicPr>
        <xdr:cNvPr id="16" name="image2.jpg" descr="IMG_20210510_102408.jpg">
          <a:extLst>
            <a:ext uri="{FF2B5EF4-FFF2-40B4-BE49-F238E27FC236}">
              <a16:creationId xmlns:a16="http://schemas.microsoft.com/office/drawing/2014/main" id="{00000000-0008-0000-0400-000010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0</xdr:row>
      <xdr:rowOff>0</xdr:rowOff>
    </xdr:from>
    <xdr:ext cx="0" cy="0"/>
    <xdr:pic>
      <xdr:nvPicPr>
        <xdr:cNvPr id="17" name="image2.jpg" descr="IMG_20210510_102408.jpg">
          <a:extLst>
            <a:ext uri="{FF2B5EF4-FFF2-40B4-BE49-F238E27FC236}">
              <a16:creationId xmlns:a16="http://schemas.microsoft.com/office/drawing/2014/main" id="{00000000-0008-0000-0400-000011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0</xdr:row>
      <xdr:rowOff>0</xdr:rowOff>
    </xdr:from>
    <xdr:ext cx="0" cy="0"/>
    <xdr:pic>
      <xdr:nvPicPr>
        <xdr:cNvPr id="18" name="image2.jpg" descr="IMG_20210510_102408.jpg">
          <a:extLst>
            <a:ext uri="{FF2B5EF4-FFF2-40B4-BE49-F238E27FC236}">
              <a16:creationId xmlns:a16="http://schemas.microsoft.com/office/drawing/2014/main" id="{00000000-0008-0000-0400-00001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0</xdr:colOff>
      <xdr:row>0</xdr:row>
      <xdr:rowOff>0</xdr:rowOff>
    </xdr:from>
    <xdr:ext cx="0" cy="0"/>
    <xdr:pic>
      <xdr:nvPicPr>
        <xdr:cNvPr id="19" name="image2.jpg" descr="IMG_20210510_102408.jpg">
          <a:extLst>
            <a:ext uri="{FF2B5EF4-FFF2-40B4-BE49-F238E27FC236}">
              <a16:creationId xmlns:a16="http://schemas.microsoft.com/office/drawing/2014/main" id="{00000000-0008-0000-0400-000013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twoCellAnchor editAs="oneCell">
    <xdr:from>
      <xdr:col>0</xdr:col>
      <xdr:colOff>0</xdr:colOff>
      <xdr:row>0</xdr:row>
      <xdr:rowOff>0</xdr:rowOff>
    </xdr:from>
    <xdr:to>
      <xdr:col>0</xdr:col>
      <xdr:colOff>0</xdr:colOff>
      <xdr:row>1</xdr:row>
      <xdr:rowOff>222250</xdr:rowOff>
    </xdr:to>
    <xdr:pic>
      <xdr:nvPicPr>
        <xdr:cNvPr id="3073" name="image2.jpg" descr="IMG_20210510_102408.jpg">
          <a:extLst>
            <a:ext uri="{FF2B5EF4-FFF2-40B4-BE49-F238E27FC236}">
              <a16:creationId xmlns:a16="http://schemas.microsoft.com/office/drawing/2014/main" id="{00000000-0008-0000-0400-0000010C0000}"/>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0</xdr:colOff>
      <xdr:row>0</xdr:row>
      <xdr:rowOff>0</xdr:rowOff>
    </xdr:from>
    <xdr:to>
      <xdr:col>0</xdr:col>
      <xdr:colOff>0</xdr:colOff>
      <xdr:row>1</xdr:row>
      <xdr:rowOff>222250</xdr:rowOff>
    </xdr:to>
    <xdr:pic>
      <xdr:nvPicPr>
        <xdr:cNvPr id="3074" name="Picture 2">
          <a:extLst>
            <a:ext uri="{FF2B5EF4-FFF2-40B4-BE49-F238E27FC236}">
              <a16:creationId xmlns:a16="http://schemas.microsoft.com/office/drawing/2014/main" id="{00000000-0008-0000-0400-0000020C0000}"/>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0</xdr:colOff>
      <xdr:row>0</xdr:row>
      <xdr:rowOff>0</xdr:rowOff>
    </xdr:from>
    <xdr:to>
      <xdr:col>0</xdr:col>
      <xdr:colOff>0</xdr:colOff>
      <xdr:row>1</xdr:row>
      <xdr:rowOff>222250</xdr:rowOff>
    </xdr:to>
    <xdr:pic>
      <xdr:nvPicPr>
        <xdr:cNvPr id="2" name="image2.jpg" descr="IMG_20210510_102408.jpg">
          <a:extLst>
            <a:ext uri="{FF2B5EF4-FFF2-40B4-BE49-F238E27FC236}">
              <a16:creationId xmlns:a16="http://schemas.microsoft.com/office/drawing/2014/main" id="{00000000-0008-0000-0400-000002000000}"/>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0</xdr:colOff>
      <xdr:row>0</xdr:row>
      <xdr:rowOff>0</xdr:rowOff>
    </xdr:from>
    <xdr:to>
      <xdr:col>0</xdr:col>
      <xdr:colOff>0</xdr:colOff>
      <xdr:row>1</xdr:row>
      <xdr:rowOff>222250</xdr:rowOff>
    </xdr:to>
    <xdr:pic>
      <xdr:nvPicPr>
        <xdr:cNvPr id="20" name="image2.jpg" descr="IMG_20210510_102408.jpg">
          <a:extLst>
            <a:ext uri="{FF2B5EF4-FFF2-40B4-BE49-F238E27FC236}">
              <a16:creationId xmlns:a16="http://schemas.microsoft.com/office/drawing/2014/main" id="{00000000-0008-0000-0400-000014000000}"/>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0</xdr:colOff>
      <xdr:row>0</xdr:row>
      <xdr:rowOff>0</xdr:rowOff>
    </xdr:from>
    <xdr:to>
      <xdr:col>0</xdr:col>
      <xdr:colOff>0</xdr:colOff>
      <xdr:row>1</xdr:row>
      <xdr:rowOff>222250</xdr:rowOff>
    </xdr:to>
    <xdr:pic>
      <xdr:nvPicPr>
        <xdr:cNvPr id="21" name="Picture 2">
          <a:extLst>
            <a:ext uri="{FF2B5EF4-FFF2-40B4-BE49-F238E27FC236}">
              <a16:creationId xmlns:a16="http://schemas.microsoft.com/office/drawing/2014/main" id="{00000000-0008-0000-0400-000015000000}"/>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0</xdr:colOff>
      <xdr:row>0</xdr:row>
      <xdr:rowOff>0</xdr:rowOff>
    </xdr:from>
    <xdr:to>
      <xdr:col>0</xdr:col>
      <xdr:colOff>0</xdr:colOff>
      <xdr:row>1</xdr:row>
      <xdr:rowOff>222250</xdr:rowOff>
    </xdr:to>
    <xdr:pic>
      <xdr:nvPicPr>
        <xdr:cNvPr id="3075" name="Picture 3">
          <a:extLst>
            <a:ext uri="{FF2B5EF4-FFF2-40B4-BE49-F238E27FC236}">
              <a16:creationId xmlns:a16="http://schemas.microsoft.com/office/drawing/2014/main" id="{00000000-0008-0000-0400-0000030C0000}"/>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0</xdr:colOff>
      <xdr:row>0</xdr:row>
      <xdr:rowOff>0</xdr:rowOff>
    </xdr:from>
    <xdr:to>
      <xdr:col>0</xdr:col>
      <xdr:colOff>0</xdr:colOff>
      <xdr:row>1</xdr:row>
      <xdr:rowOff>222250</xdr:rowOff>
    </xdr:to>
    <xdr:pic>
      <xdr:nvPicPr>
        <xdr:cNvPr id="22" name="image2.jpg" descr="IMG_20210510_102408.jpg">
          <a:extLst>
            <a:ext uri="{FF2B5EF4-FFF2-40B4-BE49-F238E27FC236}">
              <a16:creationId xmlns:a16="http://schemas.microsoft.com/office/drawing/2014/main" id="{00000000-0008-0000-0400-000016000000}"/>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0</xdr:colOff>
      <xdr:row>0</xdr:row>
      <xdr:rowOff>0</xdr:rowOff>
    </xdr:from>
    <xdr:to>
      <xdr:col>0</xdr:col>
      <xdr:colOff>0</xdr:colOff>
      <xdr:row>0</xdr:row>
      <xdr:rowOff>0</xdr:rowOff>
    </xdr:to>
    <xdr:pic>
      <xdr:nvPicPr>
        <xdr:cNvPr id="3080" name="image2.jpg" descr="IMG_20210510_102408.jpg">
          <a:extLst>
            <a:ext uri="{FF2B5EF4-FFF2-40B4-BE49-F238E27FC236}">
              <a16:creationId xmlns:a16="http://schemas.microsoft.com/office/drawing/2014/main" id="{6CD03B74-C99C-3179-A562-4F19499B4C0C}"/>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0</xdr:colOff>
      <xdr:row>0</xdr:row>
      <xdr:rowOff>0</xdr:rowOff>
    </xdr:from>
    <xdr:to>
      <xdr:col>0</xdr:col>
      <xdr:colOff>0</xdr:colOff>
      <xdr:row>0</xdr:row>
      <xdr:rowOff>0</xdr:rowOff>
    </xdr:to>
    <xdr:pic>
      <xdr:nvPicPr>
        <xdr:cNvPr id="1025" name="image2.jpg" descr="IMG_20210510_102408.jpg">
          <a:extLst>
            <a:ext uri="{FF2B5EF4-FFF2-40B4-BE49-F238E27FC236}">
              <a16:creationId xmlns:a16="http://schemas.microsoft.com/office/drawing/2014/main" id="{50AE12B5-82C8-1311-4DA2-EF6269C49F0F}"/>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0</xdr:colOff>
      <xdr:row>0</xdr:row>
      <xdr:rowOff>0</xdr:rowOff>
    </xdr:from>
    <xdr:to>
      <xdr:col>0</xdr:col>
      <xdr:colOff>0</xdr:colOff>
      <xdr:row>0</xdr:row>
      <xdr:rowOff>0</xdr:rowOff>
    </xdr:to>
    <xdr:pic>
      <xdr:nvPicPr>
        <xdr:cNvPr id="23" name="image2.jpg" descr="IMG_20210510_102408.jpg">
          <a:extLst>
            <a:ext uri="{FF2B5EF4-FFF2-40B4-BE49-F238E27FC236}">
              <a16:creationId xmlns:a16="http://schemas.microsoft.com/office/drawing/2014/main" id="{7A707BFE-EAAC-9912-1604-43FD884EAC94}"/>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twoCellAnchor editAs="oneCell">
    <xdr:from>
      <xdr:col>0</xdr:col>
      <xdr:colOff>0</xdr:colOff>
      <xdr:row>0</xdr:row>
      <xdr:rowOff>0</xdr:rowOff>
    </xdr:from>
    <xdr:to>
      <xdr:col>0</xdr:col>
      <xdr:colOff>0</xdr:colOff>
      <xdr:row>0</xdr:row>
      <xdr:rowOff>0</xdr:rowOff>
    </xdr:to>
    <xdr:pic>
      <xdr:nvPicPr>
        <xdr:cNvPr id="24" name="image2.jpg" descr="IMG_20210510_102408.jpg">
          <a:extLst>
            <a:ext uri="{FF2B5EF4-FFF2-40B4-BE49-F238E27FC236}">
              <a16:creationId xmlns:a16="http://schemas.microsoft.com/office/drawing/2014/main" id="{EB895BA5-44BF-FAF4-594A-4E63F28C79F3}"/>
            </a:ext>
          </a:extLst>
        </xdr:cNvPr>
        <xdr:cNvPicPr preferRelativeResize="0">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0" cy="0"/>
        </a:xfrm>
        <a:prstGeom prst="rect">
          <a:avLst/>
        </a:prstGeom>
        <a:noFill/>
        <a:extLst>
          <a:ext uri="{909E8E84-426E-40DD-AFC4-6F175D3DCCD1}">
            <a14:hiddenFill xmlns:a14="http://schemas.microsoft.com/office/drawing/2010/main">
              <a:solidFill>
                <a:srgbClr val="FFFFFF"/>
              </a:solidFill>
            </a14:hiddenFill>
          </a:ext>
        </a:extLst>
      </xdr:spPr>
    </xdr:pic>
    <xdr:clientData fLock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0.44.11.2\Payak\users\Foro\Manuten&#231;&#227;o%20Qualidade\Controle%20de%20OS%20de%20Manuten&#231;&#227;o.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Payak/users/Foro/Manuten&#231;&#227;o%20Qualidade/Controle%20de%20OS%20de%20Manuten&#231;&#227;o.xls" TargetMode="External"/><Relationship Id="rId1" Type="http://schemas.openxmlformats.org/officeDocument/2006/relationships/externalLinkPath" Target="/Payak/users/Foro/Manuten&#231;&#227;o%20Qualidade/Controle%20de%20OS%20de%20Manuten&#231;&#227;o.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SERUNIDOSSIS02\Direccion%20Tecnica\1.3.%20PQRS\1.%202026\RADICADO\PQRS%20110-26.xlsx" TargetMode="External"/><Relationship Id="rId1" Type="http://schemas.openxmlformats.org/officeDocument/2006/relationships/externalLinkPath" Target="RADICADO/PQRS%20110-26.xlsx"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2024/ATENCION/PQRS%20138-24.xlsx" TargetMode="External"/><Relationship Id="rId2" Type="http://schemas.openxmlformats.org/officeDocument/2006/relationships/externalLinkPath" Target="file:///\\10.44.11.2\Direccion%20Tecnica\1.3.%20PQRS\2024\ATENCION\PQRS%20138-24.xlsx" TargetMode="External"/><Relationship Id="rId1" Type="http://schemas.openxmlformats.org/officeDocument/2006/relationships/externalLinkPath" Target="/1.3.%20PQRS/2024/ATENCION/PQRS%20138-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istórico de Manutenção"/>
      <sheetName val="Coleta de Dados"/>
      <sheetName val="Abril a Agosto"/>
      <sheetName val="Gráficos Abril a Agosto"/>
      <sheetName val="Setembro"/>
      <sheetName val="Gráficos (Setembro)"/>
      <sheetName val="Outubro"/>
      <sheetName val="Gráficos (Outubro)"/>
      <sheetName val="Total"/>
      <sheetName val="Gráficos (Total)"/>
      <sheetName val="Divulgação"/>
      <sheetName val="Consulta"/>
      <sheetName val="Consulta e Referência"/>
      <sheetName val="Filtragem"/>
      <sheetName val="Máquinas Mês a Mês"/>
      <sheetName val="Causas Raiz Mês a Mês"/>
      <sheetName val="gráfico"/>
    </sheetNames>
    <sheetDataSet>
      <sheetData sheetId="0"/>
      <sheetData sheetId="1">
        <row r="5">
          <cell r="AD5">
            <v>37712</v>
          </cell>
        </row>
        <row r="6">
          <cell r="AD6" t="str">
            <v>S/N</v>
          </cell>
        </row>
        <row r="7">
          <cell r="C7">
            <v>37712</v>
          </cell>
          <cell r="D7">
            <v>37718</v>
          </cell>
          <cell r="E7">
            <v>37718</v>
          </cell>
          <cell r="F7">
            <v>0.40625</v>
          </cell>
          <cell r="G7" t="str">
            <v>Guilhotina Sorg</v>
          </cell>
          <cell r="H7" t="str">
            <v>Falha no comando</v>
          </cell>
          <cell r="I7" t="str">
            <v>Corretiva</v>
          </cell>
          <cell r="J7" t="str">
            <v>Não</v>
          </cell>
          <cell r="K7" t="str">
            <v>Elétrica</v>
          </cell>
          <cell r="L7" t="str">
            <v>Ajuste / Regulagem</v>
          </cell>
          <cell r="M7" t="str">
            <v>Falha de Regulagem / Configuração / Dimensionamento</v>
          </cell>
          <cell r="N7">
            <v>37722</v>
          </cell>
          <cell r="O7">
            <v>0.41666666666666669</v>
          </cell>
          <cell r="P7">
            <v>37722</v>
          </cell>
          <cell r="Q7">
            <v>0.41666666666666669</v>
          </cell>
          <cell r="T7">
            <v>37722</v>
          </cell>
          <cell r="U7">
            <v>0.5</v>
          </cell>
          <cell r="V7">
            <v>37722</v>
          </cell>
          <cell r="W7">
            <v>0.5</v>
          </cell>
          <cell r="X7">
            <v>8.3333333333333315E-2</v>
          </cell>
          <cell r="Y7">
            <v>8.3333333333333315E-2</v>
          </cell>
          <cell r="AB7">
            <v>4</v>
          </cell>
          <cell r="AC7">
            <v>4</v>
          </cell>
          <cell r="AD7" t="str">
            <v>N</v>
          </cell>
          <cell r="BF7">
            <v>0</v>
          </cell>
          <cell r="BG7">
            <v>0</v>
          </cell>
          <cell r="BH7">
            <v>0</v>
          </cell>
          <cell r="BI7">
            <v>0</v>
          </cell>
          <cell r="BJ7">
            <v>0</v>
          </cell>
          <cell r="BK7">
            <v>0</v>
          </cell>
          <cell r="BL7">
            <v>0</v>
          </cell>
          <cell r="BM7">
            <v>4</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cell r="CD7">
            <v>0</v>
          </cell>
        </row>
        <row r="8">
          <cell r="C8">
            <v>37712</v>
          </cell>
          <cell r="D8">
            <v>37725</v>
          </cell>
          <cell r="E8">
            <v>37725</v>
          </cell>
          <cell r="F8">
            <v>0.47222222222222227</v>
          </cell>
          <cell r="G8" t="str">
            <v>Prensa Jundiaí</v>
          </cell>
          <cell r="H8" t="str">
            <v>Martelo travado</v>
          </cell>
          <cell r="I8" t="str">
            <v>Corretiva</v>
          </cell>
          <cell r="J8" t="str">
            <v>Sim</v>
          </cell>
          <cell r="K8" t="str">
            <v>Elétrica</v>
          </cell>
          <cell r="L8" t="str">
            <v>Destravamento dos Componentes</v>
          </cell>
          <cell r="M8" t="str">
            <v>Travamento de Componente</v>
          </cell>
          <cell r="N8">
            <v>37725</v>
          </cell>
          <cell r="O8">
            <v>0.47569444444444442</v>
          </cell>
          <cell r="P8">
            <v>37725</v>
          </cell>
          <cell r="Q8">
            <v>0.47569444444444442</v>
          </cell>
          <cell r="T8">
            <v>37725</v>
          </cell>
          <cell r="U8">
            <v>0.4861111111111111</v>
          </cell>
          <cell r="V8">
            <v>37725</v>
          </cell>
          <cell r="W8">
            <v>0.4861111111111111</v>
          </cell>
          <cell r="X8">
            <v>1.0416666666666685E-2</v>
          </cell>
          <cell r="Y8">
            <v>1.0416666665049812E-2</v>
          </cell>
          <cell r="AB8">
            <v>4</v>
          </cell>
          <cell r="AC8">
            <v>4</v>
          </cell>
          <cell r="AD8" t="str">
            <v>S</v>
          </cell>
          <cell r="BF8">
            <v>0</v>
          </cell>
          <cell r="BG8">
            <v>0</v>
          </cell>
          <cell r="BH8">
            <v>0</v>
          </cell>
          <cell r="BI8">
            <v>0</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4</v>
          </cell>
          <cell r="BZ8">
            <v>0</v>
          </cell>
          <cell r="CA8">
            <v>0</v>
          </cell>
          <cell r="CB8">
            <v>0</v>
          </cell>
          <cell r="CC8">
            <v>0</v>
          </cell>
          <cell r="CD8">
            <v>0</v>
          </cell>
        </row>
        <row r="9">
          <cell r="C9">
            <v>37712</v>
          </cell>
          <cell r="D9">
            <v>37728</v>
          </cell>
          <cell r="E9">
            <v>37727</v>
          </cell>
          <cell r="F9">
            <v>0.66666666666666663</v>
          </cell>
          <cell r="G9" t="str">
            <v>Guilhotina Sorg</v>
          </cell>
          <cell r="H9" t="str">
            <v>Suporte para chapas está solto;  fazer um stop p/ peças longas; mudar a localização da régua de esquadro</v>
          </cell>
          <cell r="I9" t="str">
            <v>Corretiva</v>
          </cell>
          <cell r="J9" t="str">
            <v>Não</v>
          </cell>
          <cell r="K9" t="str">
            <v>Mecânica</v>
          </cell>
          <cell r="L9" t="str">
            <v>Melhoria no Sistema de Fixação</v>
          </cell>
          <cell r="M9" t="str">
            <v>Melhoria Técnica</v>
          </cell>
          <cell r="N9">
            <v>37728</v>
          </cell>
          <cell r="O9">
            <v>0.53125</v>
          </cell>
          <cell r="P9">
            <v>37728</v>
          </cell>
          <cell r="Q9">
            <v>0.57291666666666663</v>
          </cell>
          <cell r="R9">
            <v>37729</v>
          </cell>
          <cell r="S9">
            <v>0.33333333333333331</v>
          </cell>
          <cell r="T9">
            <v>37729</v>
          </cell>
          <cell r="U9">
            <v>0.41666666666666669</v>
          </cell>
          <cell r="V9">
            <v>0</v>
          </cell>
          <cell r="W9">
            <v>0.125</v>
          </cell>
          <cell r="X9">
            <v>0.125</v>
          </cell>
          <cell r="Y9">
            <v>0.125</v>
          </cell>
          <cell r="AB9">
            <v>4</v>
          </cell>
          <cell r="AC9">
            <v>4</v>
          </cell>
          <cell r="AD9" t="str">
            <v>N</v>
          </cell>
          <cell r="BF9">
            <v>0</v>
          </cell>
          <cell r="BG9">
            <v>0</v>
          </cell>
          <cell r="BH9">
            <v>0</v>
          </cell>
          <cell r="BI9">
            <v>0</v>
          </cell>
          <cell r="BJ9">
            <v>0</v>
          </cell>
          <cell r="BK9">
            <v>0</v>
          </cell>
          <cell r="BL9">
            <v>0</v>
          </cell>
          <cell r="BM9">
            <v>4</v>
          </cell>
          <cell r="BN9">
            <v>0</v>
          </cell>
          <cell r="BO9">
            <v>0</v>
          </cell>
          <cell r="BP9">
            <v>0</v>
          </cell>
          <cell r="BQ9">
            <v>0</v>
          </cell>
          <cell r="BR9">
            <v>0</v>
          </cell>
          <cell r="BS9">
            <v>0</v>
          </cell>
          <cell r="BT9">
            <v>0</v>
          </cell>
          <cell r="BU9">
            <v>0</v>
          </cell>
          <cell r="BV9">
            <v>0</v>
          </cell>
          <cell r="BW9">
            <v>0</v>
          </cell>
          <cell r="BX9">
            <v>0</v>
          </cell>
          <cell r="BY9">
            <v>0</v>
          </cell>
          <cell r="BZ9">
            <v>0</v>
          </cell>
          <cell r="CA9">
            <v>0</v>
          </cell>
          <cell r="CB9">
            <v>0</v>
          </cell>
          <cell r="CC9">
            <v>0</v>
          </cell>
          <cell r="CD9">
            <v>0</v>
          </cell>
        </row>
        <row r="10">
          <cell r="C10">
            <v>37712</v>
          </cell>
          <cell r="D10">
            <v>37736</v>
          </cell>
          <cell r="E10">
            <v>37735</v>
          </cell>
          <cell r="F10">
            <v>0.75</v>
          </cell>
          <cell r="G10" t="str">
            <v>Guilhotina Sorg</v>
          </cell>
          <cell r="H10" t="str">
            <v>Defeito no Sistema Hidráulico</v>
          </cell>
          <cell r="I10" t="str">
            <v>Corretiva</v>
          </cell>
          <cell r="J10" t="str">
            <v>Sim</v>
          </cell>
          <cell r="K10" t="str">
            <v>Mecânica</v>
          </cell>
          <cell r="L10" t="str">
            <v>Regulagem no Sistema Hidráulico e Elétrico</v>
          </cell>
          <cell r="M10" t="str">
            <v>Falha de Regulagem / Configuração / Dimensionamento</v>
          </cell>
          <cell r="N10">
            <v>37735</v>
          </cell>
          <cell r="O10">
            <v>0.8125</v>
          </cell>
          <cell r="P10">
            <v>37735</v>
          </cell>
          <cell r="Q10">
            <v>0.83333333333333337</v>
          </cell>
          <cell r="R10">
            <v>37736</v>
          </cell>
          <cell r="S10">
            <v>0.33333333333333331</v>
          </cell>
          <cell r="T10">
            <v>37736</v>
          </cell>
          <cell r="U10">
            <v>0.41666666666666669</v>
          </cell>
          <cell r="V10">
            <v>6.25E-2</v>
          </cell>
          <cell r="W10">
            <v>0.16666666666666674</v>
          </cell>
          <cell r="X10">
            <v>0.10416666666666674</v>
          </cell>
          <cell r="Y10">
            <v>0.10416666666666674</v>
          </cell>
          <cell r="AB10">
            <v>4</v>
          </cell>
          <cell r="AC10">
            <v>4</v>
          </cell>
          <cell r="AD10" t="str">
            <v>S</v>
          </cell>
          <cell r="BF10">
            <v>0</v>
          </cell>
          <cell r="BG10">
            <v>0</v>
          </cell>
          <cell r="BH10">
            <v>0</v>
          </cell>
          <cell r="BI10">
            <v>0</v>
          </cell>
          <cell r="BJ10">
            <v>0</v>
          </cell>
          <cell r="BK10">
            <v>0</v>
          </cell>
          <cell r="BL10">
            <v>0</v>
          </cell>
          <cell r="BM10">
            <v>4</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row>
        <row r="11">
          <cell r="C11">
            <v>37712</v>
          </cell>
          <cell r="D11">
            <v>37763</v>
          </cell>
          <cell r="E11">
            <v>37761</v>
          </cell>
          <cell r="F11">
            <v>0.61805555555555558</v>
          </cell>
          <cell r="G11" t="str">
            <v>Dobradeira Sorg</v>
          </cell>
          <cell r="H11" t="str">
            <v>Capa de Proteção do Motor está solta</v>
          </cell>
          <cell r="I11" t="str">
            <v>Corretiva</v>
          </cell>
          <cell r="J11" t="str">
            <v>Não</v>
          </cell>
          <cell r="K11" t="str">
            <v>Mecânica</v>
          </cell>
          <cell r="L11" t="str">
            <v>Reparo</v>
          </cell>
          <cell r="M11" t="str">
            <v>Vibração</v>
          </cell>
          <cell r="N11">
            <v>37762</v>
          </cell>
          <cell r="O11">
            <v>0.375</v>
          </cell>
          <cell r="P11">
            <v>37762</v>
          </cell>
          <cell r="Q11">
            <v>0.375</v>
          </cell>
          <cell r="T11">
            <v>37762</v>
          </cell>
          <cell r="U11">
            <v>0.4375</v>
          </cell>
          <cell r="V11">
            <v>37762</v>
          </cell>
          <cell r="W11">
            <v>0.4375</v>
          </cell>
          <cell r="X11">
            <v>6.25E-2</v>
          </cell>
          <cell r="Y11">
            <v>6.25E-2</v>
          </cell>
          <cell r="AB11">
            <v>5</v>
          </cell>
          <cell r="AC11">
            <v>4</v>
          </cell>
          <cell r="AD11">
            <v>0</v>
          </cell>
          <cell r="BF11">
            <v>0</v>
          </cell>
          <cell r="BG11">
            <v>0</v>
          </cell>
          <cell r="BH11">
            <v>5</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row>
        <row r="12">
          <cell r="C12">
            <v>37712</v>
          </cell>
          <cell r="I12">
            <v>0</v>
          </cell>
          <cell r="N12">
            <v>0</v>
          </cell>
          <cell r="P12">
            <v>0</v>
          </cell>
          <cell r="T12">
            <v>0</v>
          </cell>
          <cell r="V12">
            <v>0</v>
          </cell>
          <cell r="W12">
            <v>0</v>
          </cell>
          <cell r="X12">
            <v>0</v>
          </cell>
          <cell r="Y12">
            <v>0</v>
          </cell>
          <cell r="AB12">
            <v>0</v>
          </cell>
          <cell r="AC12">
            <v>4</v>
          </cell>
          <cell r="AD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row>
        <row r="13">
          <cell r="C13">
            <v>37712</v>
          </cell>
          <cell r="D13">
            <v>37819</v>
          </cell>
          <cell r="E13">
            <v>37772</v>
          </cell>
          <cell r="F13">
            <v>0.58333333333333337</v>
          </cell>
          <cell r="G13" t="str">
            <v>Prensa Jundiaí</v>
          </cell>
          <cell r="H13" t="str">
            <v>Capa do fio do painel bimanual escapou</v>
          </cell>
          <cell r="I13" t="str">
            <v>Corretiva</v>
          </cell>
          <cell r="J13" t="str">
            <v>Não</v>
          </cell>
          <cell r="K13" t="str">
            <v>Elétrica</v>
          </cell>
          <cell r="L13" t="str">
            <v>Reparo</v>
          </cell>
          <cell r="M13" t="str">
            <v>Causa não especificada</v>
          </cell>
          <cell r="N13">
            <v>37774</v>
          </cell>
          <cell r="O13">
            <v>0.375</v>
          </cell>
          <cell r="P13">
            <v>37774</v>
          </cell>
          <cell r="Q13">
            <v>0.375</v>
          </cell>
          <cell r="T13">
            <v>37774</v>
          </cell>
          <cell r="U13">
            <v>0.39930555555555558</v>
          </cell>
          <cell r="V13">
            <v>37774</v>
          </cell>
          <cell r="W13">
            <v>0.39930555555555558</v>
          </cell>
          <cell r="X13">
            <v>2.4305555554747116E-2</v>
          </cell>
          <cell r="Y13">
            <v>2.4305555554747116E-2</v>
          </cell>
          <cell r="AB13">
            <v>6</v>
          </cell>
          <cell r="AC13">
            <v>4</v>
          </cell>
          <cell r="AD13">
            <v>0</v>
          </cell>
          <cell r="BF13">
            <v>0</v>
          </cell>
          <cell r="BG13">
            <v>0</v>
          </cell>
          <cell r="BH13">
            <v>0</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6</v>
          </cell>
          <cell r="BZ13">
            <v>0</v>
          </cell>
          <cell r="CA13">
            <v>0</v>
          </cell>
          <cell r="CB13">
            <v>0</v>
          </cell>
          <cell r="CC13">
            <v>0</v>
          </cell>
          <cell r="CD13">
            <v>0</v>
          </cell>
        </row>
        <row r="14">
          <cell r="C14">
            <v>37712</v>
          </cell>
          <cell r="D14">
            <v>37785</v>
          </cell>
          <cell r="E14">
            <v>37770</v>
          </cell>
          <cell r="F14">
            <v>0.72916666666666663</v>
          </cell>
          <cell r="G14" t="str">
            <v>Dobradeira Sorg</v>
          </cell>
          <cell r="H14" t="str">
            <v>Travamento dos movimentos</v>
          </cell>
          <cell r="I14" t="str">
            <v>Corretiva</v>
          </cell>
          <cell r="J14" t="str">
            <v>Sim</v>
          </cell>
          <cell r="K14" t="str">
            <v>Elétrica</v>
          </cell>
          <cell r="L14" t="str">
            <v>Substituição do(s) Componente(s)</v>
          </cell>
          <cell r="M14" t="str">
            <v>Desgaste / Fadiga</v>
          </cell>
          <cell r="N14">
            <v>37770</v>
          </cell>
          <cell r="O14">
            <v>0.72916666666666663</v>
          </cell>
          <cell r="P14">
            <v>37770</v>
          </cell>
          <cell r="Q14">
            <v>0.72916666666666663</v>
          </cell>
          <cell r="T14">
            <v>37771</v>
          </cell>
          <cell r="U14">
            <v>0.4375</v>
          </cell>
          <cell r="V14">
            <v>37771</v>
          </cell>
          <cell r="W14">
            <v>0.4375</v>
          </cell>
          <cell r="X14">
            <v>0.125</v>
          </cell>
          <cell r="Y14">
            <v>0.125</v>
          </cell>
          <cell r="AB14">
            <v>5</v>
          </cell>
          <cell r="AC14">
            <v>4</v>
          </cell>
          <cell r="AD14">
            <v>0</v>
          </cell>
          <cell r="BF14">
            <v>0</v>
          </cell>
          <cell r="BG14">
            <v>0</v>
          </cell>
          <cell r="BH14">
            <v>5</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row>
        <row r="15">
          <cell r="C15">
            <v>37712</v>
          </cell>
          <cell r="D15">
            <v>37803</v>
          </cell>
          <cell r="E15">
            <v>37777</v>
          </cell>
          <cell r="F15">
            <v>0.74305555555555547</v>
          </cell>
          <cell r="G15" t="str">
            <v>Guilhotina Sorg</v>
          </cell>
          <cell r="H15" t="str">
            <v>Máquina não referencia</v>
          </cell>
          <cell r="I15" t="str">
            <v>Corretiva</v>
          </cell>
          <cell r="J15" t="str">
            <v>Sim</v>
          </cell>
          <cell r="K15" t="str">
            <v>Elétrica</v>
          </cell>
          <cell r="L15" t="str">
            <v>Regulagem e Referência da Máquina</v>
          </cell>
          <cell r="M15" t="str">
            <v>Falha de Comando / Sistema</v>
          </cell>
          <cell r="N15">
            <v>37777</v>
          </cell>
          <cell r="O15">
            <v>0.74305555555555547</v>
          </cell>
          <cell r="P15">
            <v>37777</v>
          </cell>
          <cell r="Q15">
            <v>0.72916666666666663</v>
          </cell>
          <cell r="T15">
            <v>37777</v>
          </cell>
          <cell r="U15">
            <v>0.8125</v>
          </cell>
          <cell r="V15">
            <v>37777</v>
          </cell>
          <cell r="W15">
            <v>0.8125</v>
          </cell>
          <cell r="X15">
            <v>8.333333333333337E-2</v>
          </cell>
          <cell r="Y15">
            <v>8.333333333333337E-2</v>
          </cell>
          <cell r="AB15">
            <v>6</v>
          </cell>
          <cell r="AC15">
            <v>4</v>
          </cell>
          <cell r="AD15">
            <v>0</v>
          </cell>
          <cell r="BF15">
            <v>0</v>
          </cell>
          <cell r="BG15">
            <v>0</v>
          </cell>
          <cell r="BH15">
            <v>0</v>
          </cell>
          <cell r="BI15">
            <v>0</v>
          </cell>
          <cell r="BJ15">
            <v>0</v>
          </cell>
          <cell r="BK15">
            <v>0</v>
          </cell>
          <cell r="BL15">
            <v>0</v>
          </cell>
          <cell r="BM15">
            <v>6</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row>
        <row r="16">
          <cell r="C16">
            <v>37712</v>
          </cell>
          <cell r="D16">
            <v>37803</v>
          </cell>
          <cell r="E16">
            <v>37798</v>
          </cell>
          <cell r="F16">
            <v>0.5</v>
          </cell>
          <cell r="G16" t="str">
            <v>Guilhotina Sorg</v>
          </cell>
          <cell r="H16" t="str">
            <v>Vazamento no fluido Hidráulico</v>
          </cell>
          <cell r="I16" t="str">
            <v>Corretiva</v>
          </cell>
          <cell r="J16" t="str">
            <v>Sim</v>
          </cell>
          <cell r="K16" t="str">
            <v>Mecânica</v>
          </cell>
          <cell r="L16" t="str">
            <v>Retirado vazamento de óleo mediante reaperto</v>
          </cell>
          <cell r="M16" t="str">
            <v>Falha de Regulagem / Configuração / Dimensionamento</v>
          </cell>
          <cell r="N16">
            <v>37798</v>
          </cell>
          <cell r="O16">
            <v>0.5</v>
          </cell>
          <cell r="P16">
            <v>37798</v>
          </cell>
          <cell r="Q16">
            <v>0.5</v>
          </cell>
          <cell r="T16">
            <v>37798</v>
          </cell>
          <cell r="U16">
            <v>0.51388888888888895</v>
          </cell>
          <cell r="V16">
            <v>37798</v>
          </cell>
          <cell r="W16">
            <v>0.51388888888888895</v>
          </cell>
          <cell r="X16">
            <v>1.3888888888888951E-2</v>
          </cell>
          <cell r="Y16">
            <v>1.3888888890505768E-2</v>
          </cell>
          <cell r="AB16">
            <v>6</v>
          </cell>
          <cell r="AC16">
            <v>4</v>
          </cell>
          <cell r="AD16">
            <v>0</v>
          </cell>
          <cell r="BF16">
            <v>0</v>
          </cell>
          <cell r="BG16">
            <v>0</v>
          </cell>
          <cell r="BH16">
            <v>0</v>
          </cell>
          <cell r="BI16">
            <v>0</v>
          </cell>
          <cell r="BJ16">
            <v>0</v>
          </cell>
          <cell r="BK16">
            <v>0</v>
          </cell>
          <cell r="BL16">
            <v>0</v>
          </cell>
          <cell r="BM16">
            <v>6</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cell r="CC16">
            <v>0</v>
          </cell>
          <cell r="CD16">
            <v>0</v>
          </cell>
        </row>
        <row r="17">
          <cell r="C17">
            <v>37712</v>
          </cell>
          <cell r="D17">
            <v>37721</v>
          </cell>
          <cell r="E17">
            <v>37721</v>
          </cell>
          <cell r="F17">
            <v>0.42499999999999999</v>
          </cell>
          <cell r="G17" t="str">
            <v>Perfiladora Dimeco Travesaños</v>
          </cell>
          <cell r="H17" t="str">
            <v>Alimentador com Defeito</v>
          </cell>
          <cell r="I17" t="str">
            <v>Corretiva</v>
          </cell>
          <cell r="J17" t="str">
            <v>Sim</v>
          </cell>
          <cell r="K17" t="str">
            <v>Mecânica</v>
          </cell>
          <cell r="L17" t="str">
            <v>Regulagem do eixo do alimentador</v>
          </cell>
          <cell r="M17" t="str">
            <v>Desgaste / Fadiga</v>
          </cell>
          <cell r="N17">
            <v>37721</v>
          </cell>
          <cell r="O17">
            <v>0.42499999999999999</v>
          </cell>
          <cell r="P17">
            <v>37721</v>
          </cell>
          <cell r="Q17">
            <v>0.42499999999999999</v>
          </cell>
          <cell r="T17">
            <v>37721</v>
          </cell>
          <cell r="U17">
            <v>0.43402777777777773</v>
          </cell>
          <cell r="V17">
            <v>37721</v>
          </cell>
          <cell r="W17">
            <v>0.43402777777777773</v>
          </cell>
          <cell r="X17">
            <v>9.0277777777777457E-3</v>
          </cell>
          <cell r="Y17">
            <v>9.0277777810115478E-3</v>
          </cell>
          <cell r="AB17">
            <v>4</v>
          </cell>
          <cell r="AC17">
            <v>4</v>
          </cell>
          <cell r="AD17" t="str">
            <v>S</v>
          </cell>
          <cell r="BF17">
            <v>0</v>
          </cell>
          <cell r="BG17">
            <v>0</v>
          </cell>
          <cell r="BH17">
            <v>0</v>
          </cell>
          <cell r="BI17">
            <v>0</v>
          </cell>
          <cell r="BJ17">
            <v>0</v>
          </cell>
          <cell r="BK17">
            <v>0</v>
          </cell>
          <cell r="BL17">
            <v>0</v>
          </cell>
          <cell r="BM17">
            <v>0</v>
          </cell>
          <cell r="BN17">
            <v>0</v>
          </cell>
          <cell r="BO17">
            <v>0</v>
          </cell>
          <cell r="BP17">
            <v>0</v>
          </cell>
          <cell r="BQ17">
            <v>0</v>
          </cell>
          <cell r="BR17">
            <v>0</v>
          </cell>
          <cell r="BS17">
            <v>4</v>
          </cell>
          <cell r="BT17">
            <v>0</v>
          </cell>
          <cell r="BU17">
            <v>0</v>
          </cell>
          <cell r="BV17">
            <v>0</v>
          </cell>
          <cell r="BW17">
            <v>0</v>
          </cell>
          <cell r="BX17">
            <v>0</v>
          </cell>
          <cell r="BY17">
            <v>0</v>
          </cell>
          <cell r="BZ17">
            <v>0</v>
          </cell>
          <cell r="CA17">
            <v>0</v>
          </cell>
          <cell r="CB17">
            <v>0</v>
          </cell>
          <cell r="CC17">
            <v>0</v>
          </cell>
          <cell r="CD17">
            <v>0</v>
          </cell>
        </row>
        <row r="18">
          <cell r="C18">
            <v>37712</v>
          </cell>
          <cell r="D18">
            <v>37727</v>
          </cell>
          <cell r="E18">
            <v>37726</v>
          </cell>
          <cell r="F18">
            <v>0.41666666666666669</v>
          </cell>
          <cell r="G18" t="str">
            <v>Perfiladora Dimeco Travesaños</v>
          </cell>
          <cell r="H18" t="str">
            <v>Pistão do Encoder torto</v>
          </cell>
          <cell r="I18" t="str">
            <v>Corretiva</v>
          </cell>
          <cell r="J18" t="str">
            <v>Não</v>
          </cell>
          <cell r="K18" t="str">
            <v>Mecânica</v>
          </cell>
          <cell r="L18" t="str">
            <v>Substituição do(s) Componente(s)</v>
          </cell>
          <cell r="M18" t="str">
            <v>Falha Operacional</v>
          </cell>
          <cell r="N18">
            <v>37762</v>
          </cell>
          <cell r="O18">
            <v>0.60416666666666663</v>
          </cell>
          <cell r="P18">
            <v>37762</v>
          </cell>
          <cell r="Q18">
            <v>0.60416666666666663</v>
          </cell>
          <cell r="T18">
            <v>37762</v>
          </cell>
          <cell r="U18">
            <v>0.6875</v>
          </cell>
          <cell r="V18">
            <v>37762</v>
          </cell>
          <cell r="W18">
            <v>0.6875</v>
          </cell>
          <cell r="X18">
            <v>8.333333333333337E-2</v>
          </cell>
          <cell r="Y18">
            <v>8.333333333333337E-2</v>
          </cell>
          <cell r="AB18">
            <v>5</v>
          </cell>
          <cell r="AC18">
            <v>4</v>
          </cell>
          <cell r="AD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5</v>
          </cell>
          <cell r="BT18">
            <v>0</v>
          </cell>
          <cell r="BU18">
            <v>0</v>
          </cell>
          <cell r="BV18">
            <v>0</v>
          </cell>
          <cell r="BW18">
            <v>0</v>
          </cell>
          <cell r="BX18">
            <v>0</v>
          </cell>
          <cell r="BY18">
            <v>0</v>
          </cell>
          <cell r="BZ18">
            <v>0</v>
          </cell>
          <cell r="CA18">
            <v>0</v>
          </cell>
          <cell r="CB18">
            <v>0</v>
          </cell>
          <cell r="CC18">
            <v>0</v>
          </cell>
          <cell r="CD18">
            <v>0</v>
          </cell>
        </row>
        <row r="19">
          <cell r="C19">
            <v>37712</v>
          </cell>
          <cell r="D19">
            <v>37733</v>
          </cell>
          <cell r="E19">
            <v>37733</v>
          </cell>
          <cell r="F19">
            <v>0.34375</v>
          </cell>
          <cell r="G19" t="str">
            <v>Perfiladora Dimeco Travesaños</v>
          </cell>
          <cell r="H19" t="str">
            <v>Pino Guia Quebrado</v>
          </cell>
          <cell r="I19" t="str">
            <v>Corretiva</v>
          </cell>
          <cell r="J19" t="str">
            <v>Sim</v>
          </cell>
          <cell r="K19" t="str">
            <v>Mecânica</v>
          </cell>
          <cell r="L19" t="str">
            <v>O pino danificado foi substituído por um novo, confeccionado internamente (Ferramentaria)</v>
          </cell>
          <cell r="M19" t="str">
            <v>Defeito de Fabricação</v>
          </cell>
          <cell r="N19">
            <v>37733</v>
          </cell>
          <cell r="O19">
            <v>0.34375</v>
          </cell>
          <cell r="P19">
            <v>37733</v>
          </cell>
          <cell r="Q19">
            <v>0.34375</v>
          </cell>
          <cell r="T19">
            <v>37733</v>
          </cell>
          <cell r="U19">
            <v>0.375</v>
          </cell>
          <cell r="V19">
            <v>37733</v>
          </cell>
          <cell r="W19">
            <v>0.375</v>
          </cell>
          <cell r="X19">
            <v>3.125E-2</v>
          </cell>
          <cell r="Y19">
            <v>3.125E-2</v>
          </cell>
          <cell r="AB19">
            <v>4</v>
          </cell>
          <cell r="AC19">
            <v>4</v>
          </cell>
          <cell r="AD19" t="str">
            <v>S</v>
          </cell>
          <cell r="BF19">
            <v>0</v>
          </cell>
          <cell r="BG19">
            <v>0</v>
          </cell>
          <cell r="BH19">
            <v>0</v>
          </cell>
          <cell r="BI19">
            <v>0</v>
          </cell>
          <cell r="BJ19">
            <v>0</v>
          </cell>
          <cell r="BK19">
            <v>0</v>
          </cell>
          <cell r="BL19">
            <v>0</v>
          </cell>
          <cell r="BM19">
            <v>0</v>
          </cell>
          <cell r="BN19">
            <v>0</v>
          </cell>
          <cell r="BO19">
            <v>0</v>
          </cell>
          <cell r="BP19">
            <v>0</v>
          </cell>
          <cell r="BQ19">
            <v>0</v>
          </cell>
          <cell r="BR19">
            <v>0</v>
          </cell>
          <cell r="BS19">
            <v>4</v>
          </cell>
          <cell r="BT19">
            <v>0</v>
          </cell>
          <cell r="BU19">
            <v>0</v>
          </cell>
          <cell r="BV19">
            <v>0</v>
          </cell>
          <cell r="BW19">
            <v>0</v>
          </cell>
          <cell r="BX19">
            <v>0</v>
          </cell>
          <cell r="BY19">
            <v>0</v>
          </cell>
          <cell r="BZ19">
            <v>0</v>
          </cell>
          <cell r="CA19">
            <v>0</v>
          </cell>
          <cell r="CB19">
            <v>0</v>
          </cell>
          <cell r="CC19">
            <v>0</v>
          </cell>
          <cell r="CD19">
            <v>0</v>
          </cell>
        </row>
        <row r="20">
          <cell r="C20">
            <v>37712</v>
          </cell>
          <cell r="D20">
            <v>37810</v>
          </cell>
          <cell r="E20">
            <v>37756</v>
          </cell>
          <cell r="F20">
            <v>0.44097222222222227</v>
          </cell>
          <cell r="G20" t="str">
            <v>Perfiladora Dimeco Travesaños</v>
          </cell>
          <cell r="H20" t="str">
            <v>Máquina não liga</v>
          </cell>
          <cell r="I20" t="str">
            <v>Corretiva</v>
          </cell>
          <cell r="J20" t="str">
            <v>Sim</v>
          </cell>
          <cell r="K20" t="str">
            <v>Elétrica</v>
          </cell>
          <cell r="L20" t="str">
            <v>Substituição do(s) Componente(s)</v>
          </cell>
          <cell r="M20" t="str">
            <v>Causa não especificada</v>
          </cell>
          <cell r="N20">
            <v>37756</v>
          </cell>
          <cell r="O20">
            <v>0.44097222222222227</v>
          </cell>
          <cell r="P20">
            <v>37756</v>
          </cell>
          <cell r="Q20">
            <v>0.44097222222222227</v>
          </cell>
          <cell r="T20">
            <v>37757</v>
          </cell>
          <cell r="U20">
            <v>0.45833333333333331</v>
          </cell>
          <cell r="V20">
            <v>37757</v>
          </cell>
          <cell r="W20">
            <v>0.45833333333333331</v>
          </cell>
          <cell r="X20">
            <v>0.5590277777777779</v>
          </cell>
          <cell r="Y20">
            <v>0.55902777778020307</v>
          </cell>
          <cell r="AB20">
            <v>5</v>
          </cell>
          <cell r="AC20">
            <v>4</v>
          </cell>
          <cell r="AD20">
            <v>0</v>
          </cell>
          <cell r="BF20">
            <v>0</v>
          </cell>
          <cell r="BG20">
            <v>0</v>
          </cell>
          <cell r="BH20">
            <v>0</v>
          </cell>
          <cell r="BI20">
            <v>0</v>
          </cell>
          <cell r="BJ20">
            <v>0</v>
          </cell>
          <cell r="BK20">
            <v>0</v>
          </cell>
          <cell r="BL20">
            <v>0</v>
          </cell>
          <cell r="BM20">
            <v>0</v>
          </cell>
          <cell r="BN20">
            <v>0</v>
          </cell>
          <cell r="BO20">
            <v>0</v>
          </cell>
          <cell r="BP20">
            <v>0</v>
          </cell>
          <cell r="BQ20">
            <v>0</v>
          </cell>
          <cell r="BR20">
            <v>0</v>
          </cell>
          <cell r="BS20">
            <v>5</v>
          </cell>
          <cell r="BT20">
            <v>0</v>
          </cell>
          <cell r="BU20">
            <v>0</v>
          </cell>
          <cell r="BV20">
            <v>0</v>
          </cell>
          <cell r="BW20">
            <v>0</v>
          </cell>
          <cell r="BX20">
            <v>0</v>
          </cell>
          <cell r="BY20">
            <v>0</v>
          </cell>
          <cell r="BZ20">
            <v>0</v>
          </cell>
          <cell r="CA20">
            <v>0</v>
          </cell>
          <cell r="CB20">
            <v>0</v>
          </cell>
          <cell r="CC20">
            <v>0</v>
          </cell>
          <cell r="CD20">
            <v>0</v>
          </cell>
        </row>
        <row r="21">
          <cell r="C21">
            <v>37712</v>
          </cell>
          <cell r="D21">
            <v>37763</v>
          </cell>
          <cell r="E21">
            <v>37756</v>
          </cell>
          <cell r="F21">
            <v>0.41666666666666669</v>
          </cell>
          <cell r="G21" t="str">
            <v>Perfiladora Dimeco Travesaños</v>
          </cell>
          <cell r="H21" t="str">
            <v>Trocar filtro de óleo hidráulico; Eliminar vazamento; Arrumar guia dos mordentes</v>
          </cell>
          <cell r="I21" t="str">
            <v>Corretiva</v>
          </cell>
          <cell r="J21" t="str">
            <v>Não</v>
          </cell>
          <cell r="K21" t="str">
            <v>Mecânica</v>
          </cell>
          <cell r="L21" t="str">
            <v>Trocado filtro hidráulico novo; retirado vazamento e arrumadas as guias dos mordentes</v>
          </cell>
          <cell r="M21" t="str">
            <v>Desgaste / Fadiga</v>
          </cell>
          <cell r="N21">
            <v>37756</v>
          </cell>
          <cell r="O21">
            <v>0.41666666666666669</v>
          </cell>
          <cell r="P21">
            <v>37756</v>
          </cell>
          <cell r="Q21">
            <v>0.41666666666666669</v>
          </cell>
          <cell r="T21">
            <v>37756</v>
          </cell>
          <cell r="U21">
            <v>0.75</v>
          </cell>
          <cell r="V21">
            <v>37756</v>
          </cell>
          <cell r="W21">
            <v>0.75</v>
          </cell>
          <cell r="X21">
            <v>0.33333333333333331</v>
          </cell>
          <cell r="Y21">
            <v>0.33333333333333331</v>
          </cell>
          <cell r="AB21">
            <v>5</v>
          </cell>
          <cell r="AC21">
            <v>4</v>
          </cell>
          <cell r="AD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5</v>
          </cell>
          <cell r="BT21">
            <v>0</v>
          </cell>
          <cell r="BU21">
            <v>0</v>
          </cell>
          <cell r="BV21">
            <v>0</v>
          </cell>
          <cell r="BW21">
            <v>0</v>
          </cell>
          <cell r="BX21">
            <v>0</v>
          </cell>
          <cell r="BY21">
            <v>0</v>
          </cell>
          <cell r="BZ21">
            <v>0</v>
          </cell>
          <cell r="CA21">
            <v>0</v>
          </cell>
          <cell r="CB21">
            <v>0</v>
          </cell>
          <cell r="CC21">
            <v>0</v>
          </cell>
          <cell r="CD21">
            <v>0</v>
          </cell>
        </row>
        <row r="22">
          <cell r="C22">
            <v>37712</v>
          </cell>
          <cell r="D22">
            <v>37776</v>
          </cell>
          <cell r="E22">
            <v>37775</v>
          </cell>
          <cell r="F22">
            <v>0.83333333333333337</v>
          </cell>
          <cell r="G22" t="str">
            <v>Perfiladora Dimeco Travesaños</v>
          </cell>
          <cell r="H22" t="str">
            <v>Disco de Serra danificado</v>
          </cell>
          <cell r="I22" t="str">
            <v>Corretiva</v>
          </cell>
          <cell r="J22" t="str">
            <v>Sim</v>
          </cell>
          <cell r="K22" t="str">
            <v>Mecânica</v>
          </cell>
          <cell r="L22" t="str">
            <v>Substituição do(s) Componente(s)</v>
          </cell>
          <cell r="M22" t="str">
            <v>Desgaste / Fadiga</v>
          </cell>
          <cell r="N22">
            <v>37775</v>
          </cell>
          <cell r="O22">
            <v>0.83333333333333337</v>
          </cell>
          <cell r="P22">
            <v>37775</v>
          </cell>
          <cell r="Q22">
            <v>0.83333333333333337</v>
          </cell>
          <cell r="T22">
            <v>37775</v>
          </cell>
          <cell r="U22">
            <v>0.91666666666666663</v>
          </cell>
          <cell r="V22">
            <v>37775</v>
          </cell>
          <cell r="W22">
            <v>0.91666666666666663</v>
          </cell>
          <cell r="X22">
            <v>8.3333333333333259E-2</v>
          </cell>
          <cell r="Y22">
            <v>8.3333333330907977E-2</v>
          </cell>
          <cell r="AB22">
            <v>6</v>
          </cell>
          <cell r="AC22">
            <v>4</v>
          </cell>
          <cell r="AD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6</v>
          </cell>
          <cell r="BT22">
            <v>0</v>
          </cell>
          <cell r="BU22">
            <v>0</v>
          </cell>
          <cell r="BV22">
            <v>0</v>
          </cell>
          <cell r="BW22">
            <v>0</v>
          </cell>
          <cell r="BX22">
            <v>0</v>
          </cell>
          <cell r="BY22">
            <v>0</v>
          </cell>
          <cell r="BZ22">
            <v>0</v>
          </cell>
          <cell r="CA22">
            <v>0</v>
          </cell>
          <cell r="CB22">
            <v>0</v>
          </cell>
          <cell r="CC22">
            <v>0</v>
          </cell>
          <cell r="CD22">
            <v>0</v>
          </cell>
        </row>
        <row r="23">
          <cell r="C23">
            <v>37712</v>
          </cell>
          <cell r="D23">
            <v>37783</v>
          </cell>
          <cell r="E23">
            <v>37777</v>
          </cell>
          <cell r="F23">
            <v>0.45624999999999999</v>
          </cell>
          <cell r="G23" t="str">
            <v>Perfiladora Dimeco Travesaños</v>
          </cell>
          <cell r="H23" t="str">
            <v>Disco de serra causa excesso de rebarbas no material</v>
          </cell>
          <cell r="I23" t="str">
            <v>Corretiva</v>
          </cell>
          <cell r="J23" t="str">
            <v>Sim</v>
          </cell>
          <cell r="K23" t="str">
            <v>Mecânica</v>
          </cell>
          <cell r="L23" t="str">
            <v>Substituição do(s) Componente(s)</v>
          </cell>
          <cell r="M23" t="str">
            <v>Desgaste / Fadiga</v>
          </cell>
          <cell r="N23">
            <v>37777</v>
          </cell>
          <cell r="O23">
            <v>0.45624999999999999</v>
          </cell>
          <cell r="P23">
            <v>37777</v>
          </cell>
          <cell r="Q23">
            <v>0.45624999999999999</v>
          </cell>
          <cell r="T23">
            <v>37777</v>
          </cell>
          <cell r="U23">
            <v>0.47083333333333338</v>
          </cell>
          <cell r="V23">
            <v>37777</v>
          </cell>
          <cell r="W23">
            <v>0.47083333333333338</v>
          </cell>
          <cell r="X23">
            <v>1.4583333333333393E-2</v>
          </cell>
          <cell r="Y23">
            <v>1.4583333332848281E-2</v>
          </cell>
          <cell r="AB23">
            <v>6</v>
          </cell>
          <cell r="AC23">
            <v>4</v>
          </cell>
          <cell r="AD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6</v>
          </cell>
          <cell r="BT23">
            <v>0</v>
          </cell>
          <cell r="BU23">
            <v>0</v>
          </cell>
          <cell r="BV23">
            <v>0</v>
          </cell>
          <cell r="BW23">
            <v>0</v>
          </cell>
          <cell r="BX23">
            <v>0</v>
          </cell>
          <cell r="BY23">
            <v>0</v>
          </cell>
          <cell r="BZ23">
            <v>0</v>
          </cell>
          <cell r="CA23">
            <v>0</v>
          </cell>
          <cell r="CB23">
            <v>0</v>
          </cell>
          <cell r="CC23">
            <v>0</v>
          </cell>
          <cell r="CD23">
            <v>0</v>
          </cell>
        </row>
        <row r="24">
          <cell r="C24">
            <v>37712</v>
          </cell>
          <cell r="D24">
            <v>37810</v>
          </cell>
          <cell r="E24">
            <v>37778</v>
          </cell>
          <cell r="F24">
            <v>0.39583333333333331</v>
          </cell>
          <cell r="G24" t="str">
            <v>Perfiladora Dimeco Travesaños</v>
          </cell>
          <cell r="H24" t="str">
            <v>Mordente da serra está travando</v>
          </cell>
          <cell r="I24" t="str">
            <v>Corretiva</v>
          </cell>
          <cell r="J24" t="str">
            <v>Sim</v>
          </cell>
          <cell r="K24" t="str">
            <v>Elétrica</v>
          </cell>
          <cell r="L24" t="str">
            <v>Substituição do(s) Componente(s)</v>
          </cell>
          <cell r="M24" t="str">
            <v>Desgaste / Fadiga</v>
          </cell>
          <cell r="N24">
            <v>37778</v>
          </cell>
          <cell r="O24">
            <v>0.39583333333333331</v>
          </cell>
          <cell r="P24">
            <v>37778</v>
          </cell>
          <cell r="Q24">
            <v>0.39583333333333331</v>
          </cell>
          <cell r="T24">
            <v>37779</v>
          </cell>
          <cell r="U24">
            <v>0.52777777777777779</v>
          </cell>
          <cell r="V24">
            <v>37779</v>
          </cell>
          <cell r="W24">
            <v>0.52777777777777779</v>
          </cell>
          <cell r="X24">
            <v>1.1319444444444444</v>
          </cell>
          <cell r="Y24">
            <v>1.1319444444476783</v>
          </cell>
          <cell r="AB24">
            <v>6</v>
          </cell>
          <cell r="AC24">
            <v>4</v>
          </cell>
          <cell r="AD24">
            <v>0</v>
          </cell>
          <cell r="BF24">
            <v>0</v>
          </cell>
          <cell r="BG24">
            <v>0</v>
          </cell>
          <cell r="BH24">
            <v>0</v>
          </cell>
          <cell r="BI24">
            <v>0</v>
          </cell>
          <cell r="BJ24">
            <v>0</v>
          </cell>
          <cell r="BK24">
            <v>0</v>
          </cell>
          <cell r="BL24">
            <v>0</v>
          </cell>
          <cell r="BM24">
            <v>0</v>
          </cell>
          <cell r="BN24">
            <v>0</v>
          </cell>
          <cell r="BO24">
            <v>0</v>
          </cell>
          <cell r="BP24">
            <v>0</v>
          </cell>
          <cell r="BQ24">
            <v>0</v>
          </cell>
          <cell r="BR24">
            <v>0</v>
          </cell>
          <cell r="BS24">
            <v>6</v>
          </cell>
          <cell r="BT24">
            <v>0</v>
          </cell>
          <cell r="BU24">
            <v>0</v>
          </cell>
          <cell r="BV24">
            <v>0</v>
          </cell>
          <cell r="BW24">
            <v>0</v>
          </cell>
          <cell r="BX24">
            <v>0</v>
          </cell>
          <cell r="BY24">
            <v>0</v>
          </cell>
          <cell r="BZ24">
            <v>0</v>
          </cell>
          <cell r="CA24">
            <v>0</v>
          </cell>
          <cell r="CB24">
            <v>0</v>
          </cell>
          <cell r="CC24">
            <v>0</v>
          </cell>
          <cell r="CD24">
            <v>0</v>
          </cell>
        </row>
        <row r="25">
          <cell r="C25">
            <v>37712</v>
          </cell>
          <cell r="D25">
            <v>37810</v>
          </cell>
          <cell r="E25">
            <v>37778</v>
          </cell>
          <cell r="F25">
            <v>0.39583333333333331</v>
          </cell>
          <cell r="G25" t="str">
            <v>Perfiladora Dimeco Travesaños</v>
          </cell>
          <cell r="H25" t="str">
            <v>Serrote da mordaça com problema</v>
          </cell>
          <cell r="I25" t="str">
            <v>Corretiva</v>
          </cell>
          <cell r="J25" t="str">
            <v>Sim</v>
          </cell>
          <cell r="K25" t="str">
            <v>Mecânica</v>
          </cell>
          <cell r="L25" t="str">
            <v>Regulagem no sistema Hidráulico e Elétrico</v>
          </cell>
          <cell r="M25" t="str">
            <v>Desgaste / Fadiga</v>
          </cell>
          <cell r="N25">
            <v>37778</v>
          </cell>
          <cell r="O25">
            <v>0.39583333333333331</v>
          </cell>
          <cell r="P25">
            <v>37778</v>
          </cell>
          <cell r="Q25">
            <v>0.39583333333333331</v>
          </cell>
          <cell r="T25">
            <v>37778</v>
          </cell>
          <cell r="U25">
            <v>0.47916666666666669</v>
          </cell>
          <cell r="V25">
            <v>37778</v>
          </cell>
          <cell r="W25">
            <v>0.47916666666666669</v>
          </cell>
          <cell r="X25">
            <v>8.333333333333337E-2</v>
          </cell>
          <cell r="Y25">
            <v>8.3333333330908033E-2</v>
          </cell>
          <cell r="AB25">
            <v>6</v>
          </cell>
          <cell r="AC25">
            <v>4</v>
          </cell>
          <cell r="AD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6</v>
          </cell>
          <cell r="BT25">
            <v>0</v>
          </cell>
          <cell r="BU25">
            <v>0</v>
          </cell>
          <cell r="BV25">
            <v>0</v>
          </cell>
          <cell r="BW25">
            <v>0</v>
          </cell>
          <cell r="BX25">
            <v>0</v>
          </cell>
          <cell r="BY25">
            <v>0</v>
          </cell>
          <cell r="BZ25">
            <v>0</v>
          </cell>
          <cell r="CA25">
            <v>0</v>
          </cell>
          <cell r="CB25">
            <v>0</v>
          </cell>
          <cell r="CC25">
            <v>0</v>
          </cell>
          <cell r="CD25">
            <v>0</v>
          </cell>
        </row>
        <row r="26">
          <cell r="C26">
            <v>37712</v>
          </cell>
          <cell r="D26">
            <v>37721</v>
          </cell>
          <cell r="E26">
            <v>37720</v>
          </cell>
          <cell r="F26">
            <v>0.47916666666666669</v>
          </cell>
          <cell r="G26" t="str">
            <v>Perfiladora Dimeco Travesaños</v>
          </cell>
          <cell r="H26" t="str">
            <v>Problema no sistema hidráulico da Prensa Gijón</v>
          </cell>
          <cell r="I26" t="str">
            <v>Corretiva</v>
          </cell>
          <cell r="J26" t="str">
            <v>Sim</v>
          </cell>
          <cell r="K26" t="str">
            <v>Mecânica</v>
          </cell>
          <cell r="L26" t="str">
            <v>Regulagem do Sistema Hidráulico e ajustes na Máquina</v>
          </cell>
          <cell r="M26" t="str">
            <v>Desgaste / Fadiga</v>
          </cell>
          <cell r="N26">
            <v>37720</v>
          </cell>
          <cell r="O26">
            <v>0.47916666666666669</v>
          </cell>
          <cell r="P26">
            <v>37720</v>
          </cell>
          <cell r="Q26">
            <v>0.47916666666666669</v>
          </cell>
          <cell r="T26">
            <v>37720</v>
          </cell>
          <cell r="U26">
            <v>0.5</v>
          </cell>
          <cell r="V26">
            <v>37720</v>
          </cell>
          <cell r="W26">
            <v>0.5</v>
          </cell>
          <cell r="X26">
            <v>2.0833333333333315E-2</v>
          </cell>
          <cell r="Y26">
            <v>2.0833333333333315E-2</v>
          </cell>
          <cell r="AB26">
            <v>4</v>
          </cell>
          <cell r="AC26">
            <v>4</v>
          </cell>
          <cell r="AD26" t="str">
            <v>S</v>
          </cell>
          <cell r="BF26">
            <v>0</v>
          </cell>
          <cell r="BG26">
            <v>0</v>
          </cell>
          <cell r="BH26">
            <v>0</v>
          </cell>
          <cell r="BI26">
            <v>0</v>
          </cell>
          <cell r="BJ26">
            <v>0</v>
          </cell>
          <cell r="BK26">
            <v>0</v>
          </cell>
          <cell r="BL26">
            <v>0</v>
          </cell>
          <cell r="BM26">
            <v>0</v>
          </cell>
          <cell r="BN26">
            <v>0</v>
          </cell>
          <cell r="BO26">
            <v>0</v>
          </cell>
          <cell r="BP26">
            <v>0</v>
          </cell>
          <cell r="BQ26">
            <v>0</v>
          </cell>
          <cell r="BR26">
            <v>0</v>
          </cell>
          <cell r="BS26">
            <v>4</v>
          </cell>
          <cell r="BT26">
            <v>0</v>
          </cell>
          <cell r="BU26">
            <v>0</v>
          </cell>
          <cell r="BV26">
            <v>0</v>
          </cell>
          <cell r="BW26">
            <v>0</v>
          </cell>
          <cell r="BX26">
            <v>0</v>
          </cell>
          <cell r="BY26">
            <v>0</v>
          </cell>
          <cell r="BZ26">
            <v>0</v>
          </cell>
          <cell r="CA26">
            <v>0</v>
          </cell>
          <cell r="CB26">
            <v>0</v>
          </cell>
          <cell r="CC26">
            <v>0</v>
          </cell>
          <cell r="CD26">
            <v>0</v>
          </cell>
        </row>
        <row r="27">
          <cell r="C27">
            <v>37718</v>
          </cell>
          <cell r="D27">
            <v>37858</v>
          </cell>
          <cell r="E27">
            <v>37806</v>
          </cell>
          <cell r="F27">
            <v>0.63888888888888895</v>
          </cell>
          <cell r="G27" t="str">
            <v>Células de Solda Manual</v>
          </cell>
          <cell r="H27" t="str">
            <v>A fresa de limpeza da tocha não está jogando óleo (anti-respingos)</v>
          </cell>
          <cell r="I27" t="str">
            <v>Corretiva</v>
          </cell>
          <cell r="J27" t="str">
            <v>Não</v>
          </cell>
          <cell r="K27" t="str">
            <v>Mecânica</v>
          </cell>
          <cell r="L27" t="str">
            <v>Limpeza do Equipamento / Componente</v>
          </cell>
          <cell r="M27" t="str">
            <v>Sujeira em excesso</v>
          </cell>
          <cell r="N27">
            <v>37844</v>
          </cell>
          <cell r="O27">
            <v>0.33333333333333331</v>
          </cell>
          <cell r="P27">
            <v>37844</v>
          </cell>
          <cell r="Q27">
            <v>0.33333333333333331</v>
          </cell>
          <cell r="T27">
            <v>37844</v>
          </cell>
          <cell r="U27">
            <v>0.375</v>
          </cell>
          <cell r="V27">
            <v>37844</v>
          </cell>
          <cell r="W27">
            <v>0.375</v>
          </cell>
          <cell r="X27">
            <v>4.1666666666666685E-2</v>
          </cell>
          <cell r="Y27">
            <v>4.1666666666666685E-2</v>
          </cell>
          <cell r="AB27">
            <v>8</v>
          </cell>
          <cell r="AC27">
            <v>4</v>
          </cell>
          <cell r="AD27">
            <v>0</v>
          </cell>
          <cell r="BF27">
            <v>0</v>
          </cell>
          <cell r="BG27">
            <v>8</v>
          </cell>
          <cell r="BH27">
            <v>0</v>
          </cell>
          <cell r="BI27">
            <v>0</v>
          </cell>
          <cell r="BJ27">
            <v>0</v>
          </cell>
          <cell r="BK27">
            <v>0</v>
          </cell>
          <cell r="BL27">
            <v>0</v>
          </cell>
          <cell r="BM27">
            <v>0</v>
          </cell>
          <cell r="BN27">
            <v>0</v>
          </cell>
          <cell r="BO27">
            <v>0</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row>
        <row r="28">
          <cell r="C28">
            <v>37718</v>
          </cell>
          <cell r="D28">
            <v>37718</v>
          </cell>
          <cell r="E28">
            <v>37718</v>
          </cell>
          <cell r="F28">
            <v>0.62847222222222221</v>
          </cell>
          <cell r="G28" t="str">
            <v>Máquina de Solda MIG</v>
          </cell>
          <cell r="H28" t="str">
            <v>Plug incompatível com a tomada da linha da Solda Manual</v>
          </cell>
          <cell r="I28" t="str">
            <v>Corretiva</v>
          </cell>
          <cell r="J28" t="str">
            <v>Sim</v>
          </cell>
          <cell r="K28" t="str">
            <v>Elétrica</v>
          </cell>
          <cell r="L28" t="str">
            <v>Substituição do(s) Componente(s)</v>
          </cell>
          <cell r="M28" t="str">
            <v>Alteração na Localização da Máquina</v>
          </cell>
          <cell r="N28">
            <v>37718</v>
          </cell>
          <cell r="O28">
            <v>0.65625</v>
          </cell>
          <cell r="P28">
            <v>37718</v>
          </cell>
          <cell r="Q28">
            <v>0.65625</v>
          </cell>
          <cell r="T28">
            <v>37718</v>
          </cell>
          <cell r="U28">
            <v>0.66527777777777775</v>
          </cell>
          <cell r="V28">
            <v>37718</v>
          </cell>
          <cell r="W28">
            <v>0.66527777777777775</v>
          </cell>
          <cell r="X28">
            <v>9.0277777777777457E-3</v>
          </cell>
          <cell r="Y28">
            <v>9.0277777781011537E-3</v>
          </cell>
          <cell r="AB28">
            <v>4</v>
          </cell>
          <cell r="AC28">
            <v>4</v>
          </cell>
          <cell r="AD28" t="str">
            <v>S</v>
          </cell>
          <cell r="BF28">
            <v>0</v>
          </cell>
          <cell r="BG28">
            <v>0</v>
          </cell>
          <cell r="BH28">
            <v>0</v>
          </cell>
          <cell r="BI28">
            <v>0</v>
          </cell>
          <cell r="BJ28">
            <v>0</v>
          </cell>
          <cell r="BK28">
            <v>0</v>
          </cell>
          <cell r="BL28">
            <v>0</v>
          </cell>
          <cell r="BM28">
            <v>0</v>
          </cell>
          <cell r="BN28">
            <v>0</v>
          </cell>
          <cell r="BO28">
            <v>0</v>
          </cell>
          <cell r="BP28">
            <v>0</v>
          </cell>
          <cell r="BQ28">
            <v>0</v>
          </cell>
          <cell r="BR28">
            <v>4</v>
          </cell>
          <cell r="BS28">
            <v>0</v>
          </cell>
          <cell r="BT28">
            <v>0</v>
          </cell>
          <cell r="BU28">
            <v>0</v>
          </cell>
          <cell r="BV28">
            <v>0</v>
          </cell>
          <cell r="BW28">
            <v>0</v>
          </cell>
          <cell r="BX28">
            <v>0</v>
          </cell>
          <cell r="BY28">
            <v>0</v>
          </cell>
          <cell r="BZ28">
            <v>0</v>
          </cell>
          <cell r="CA28">
            <v>0</v>
          </cell>
          <cell r="CB28">
            <v>0</v>
          </cell>
          <cell r="CC28">
            <v>0</v>
          </cell>
          <cell r="CD28">
            <v>0</v>
          </cell>
        </row>
        <row r="29">
          <cell r="C29">
            <v>37718</v>
          </cell>
          <cell r="D29">
            <v>37727</v>
          </cell>
          <cell r="E29">
            <v>37727</v>
          </cell>
          <cell r="F29">
            <v>0.5</v>
          </cell>
          <cell r="G29" t="str">
            <v>Células de Solda Manual</v>
          </cell>
          <cell r="H29" t="str">
            <v>A fresa de limpeza da tocha não está jogando óleo (anti-respingos)</v>
          </cell>
          <cell r="I29" t="str">
            <v>Corretiva</v>
          </cell>
          <cell r="J29" t="str">
            <v>Não</v>
          </cell>
          <cell r="K29" t="str">
            <v>Mecânica</v>
          </cell>
          <cell r="L29" t="str">
            <v>Limpeza do Equipamento / Componente</v>
          </cell>
          <cell r="M29" t="str">
            <v>Sujeira em excesso</v>
          </cell>
          <cell r="N29">
            <v>37727</v>
          </cell>
          <cell r="O29">
            <v>0.54166666666666663</v>
          </cell>
          <cell r="P29">
            <v>37727</v>
          </cell>
          <cell r="Q29">
            <v>0.54166666666666663</v>
          </cell>
          <cell r="T29">
            <v>37727</v>
          </cell>
          <cell r="U29">
            <v>0.5625</v>
          </cell>
          <cell r="V29">
            <v>37727</v>
          </cell>
          <cell r="W29">
            <v>0.5625</v>
          </cell>
          <cell r="X29">
            <v>2.083333333333337E-2</v>
          </cell>
          <cell r="Y29">
            <v>2.083333333333337E-2</v>
          </cell>
          <cell r="AB29">
            <v>4</v>
          </cell>
          <cell r="AC29">
            <v>4</v>
          </cell>
          <cell r="AD29" t="str">
            <v>N</v>
          </cell>
          <cell r="BF29">
            <v>0</v>
          </cell>
          <cell r="BG29">
            <v>4</v>
          </cell>
          <cell r="BH29">
            <v>0</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row>
        <row r="30">
          <cell r="C30">
            <v>37718</v>
          </cell>
          <cell r="D30">
            <v>37767</v>
          </cell>
          <cell r="E30">
            <v>37767</v>
          </cell>
          <cell r="F30">
            <v>0.46250000000000002</v>
          </cell>
          <cell r="G30" t="str">
            <v>Células de Solda Manual</v>
          </cell>
          <cell r="H30" t="str">
            <v>Mau contato no bocal da tocha</v>
          </cell>
          <cell r="I30" t="str">
            <v>Corretiva</v>
          </cell>
          <cell r="J30" t="str">
            <v>Não</v>
          </cell>
          <cell r="K30" t="str">
            <v>Mecânica</v>
          </cell>
          <cell r="L30" t="str">
            <v>Substituição do(s) Componente(s)</v>
          </cell>
          <cell r="M30" t="str">
            <v>Desgaste / Fadiga</v>
          </cell>
          <cell r="N30">
            <v>37767</v>
          </cell>
          <cell r="O30">
            <v>0.47222222222222227</v>
          </cell>
          <cell r="P30">
            <v>37767</v>
          </cell>
          <cell r="Q30">
            <v>0.47222222222222227</v>
          </cell>
          <cell r="T30">
            <v>37767</v>
          </cell>
          <cell r="U30">
            <v>0.5</v>
          </cell>
          <cell r="V30">
            <v>37767</v>
          </cell>
          <cell r="W30">
            <v>0.5</v>
          </cell>
          <cell r="X30">
            <v>2.7777777777777735E-2</v>
          </cell>
          <cell r="Y30">
            <v>2.7777777777777735E-2</v>
          </cell>
          <cell r="AB30">
            <v>5</v>
          </cell>
          <cell r="AC30">
            <v>4</v>
          </cell>
          <cell r="AD30">
            <v>0</v>
          </cell>
          <cell r="BF30">
            <v>0</v>
          </cell>
          <cell r="BG30">
            <v>5</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row>
        <row r="31">
          <cell r="C31">
            <v>37718</v>
          </cell>
          <cell r="D31">
            <v>37735</v>
          </cell>
          <cell r="E31">
            <v>37734</v>
          </cell>
          <cell r="F31">
            <v>0.45833333333333331</v>
          </cell>
          <cell r="G31" t="str">
            <v>Células de Solda Manual</v>
          </cell>
          <cell r="H31" t="str">
            <v>Condutor elétrico (conduite) entupido</v>
          </cell>
          <cell r="I31" t="str">
            <v>Corretiva</v>
          </cell>
          <cell r="J31" t="str">
            <v>Sim</v>
          </cell>
          <cell r="K31" t="str">
            <v>Mecânica</v>
          </cell>
          <cell r="L31" t="str">
            <v>Substituição do(s) Componente(s)</v>
          </cell>
          <cell r="M31" t="str">
            <v>Desgaste / Fadiga</v>
          </cell>
          <cell r="N31">
            <v>37734</v>
          </cell>
          <cell r="O31">
            <v>0.45833333333333331</v>
          </cell>
          <cell r="P31">
            <v>37734</v>
          </cell>
          <cell r="Q31">
            <v>0.45833333333333331</v>
          </cell>
          <cell r="T31">
            <v>37734</v>
          </cell>
          <cell r="U31">
            <v>0.47916666666666669</v>
          </cell>
          <cell r="V31">
            <v>37734</v>
          </cell>
          <cell r="W31">
            <v>0.47916666666666669</v>
          </cell>
          <cell r="X31">
            <v>2.083333333333337E-2</v>
          </cell>
          <cell r="Y31">
            <v>2.0833333330908033E-2</v>
          </cell>
          <cell r="AB31">
            <v>4</v>
          </cell>
          <cell r="AC31">
            <v>4</v>
          </cell>
          <cell r="AD31" t="str">
            <v>S</v>
          </cell>
          <cell r="BF31">
            <v>0</v>
          </cell>
          <cell r="BG31">
            <v>4</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row>
        <row r="32">
          <cell r="C32">
            <v>37718</v>
          </cell>
          <cell r="D32">
            <v>37776</v>
          </cell>
          <cell r="E32">
            <v>37776</v>
          </cell>
          <cell r="F32">
            <v>0.40277777777777773</v>
          </cell>
          <cell r="G32" t="str">
            <v>Células de Solda Manual</v>
          </cell>
          <cell r="H32" t="str">
            <v>Bocal Danificado</v>
          </cell>
          <cell r="I32" t="str">
            <v>Corretiva</v>
          </cell>
          <cell r="J32" t="str">
            <v>Sim</v>
          </cell>
          <cell r="K32" t="str">
            <v>Mecânica</v>
          </cell>
          <cell r="L32" t="str">
            <v>Substituição do(s) Componente(s)</v>
          </cell>
          <cell r="M32" t="str">
            <v>Desgaste / Fadiga</v>
          </cell>
          <cell r="N32">
            <v>37776</v>
          </cell>
          <cell r="O32">
            <v>0.42708333333333331</v>
          </cell>
          <cell r="P32">
            <v>37776</v>
          </cell>
          <cell r="Q32">
            <v>0.42708333333333331</v>
          </cell>
          <cell r="T32">
            <v>37776</v>
          </cell>
          <cell r="U32">
            <v>0.4375</v>
          </cell>
          <cell r="V32">
            <v>37776</v>
          </cell>
          <cell r="W32">
            <v>0.4375</v>
          </cell>
          <cell r="X32">
            <v>1.0416666666666685E-2</v>
          </cell>
          <cell r="Y32">
            <v>1.0416666666666685E-2</v>
          </cell>
          <cell r="AB32">
            <v>6</v>
          </cell>
          <cell r="AC32">
            <v>4</v>
          </cell>
          <cell r="AD32">
            <v>0</v>
          </cell>
          <cell r="BF32">
            <v>0</v>
          </cell>
          <cell r="BG32">
            <v>6</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row>
        <row r="33">
          <cell r="C33">
            <v>37718</v>
          </cell>
          <cell r="D33">
            <v>37722</v>
          </cell>
          <cell r="E33">
            <v>37722</v>
          </cell>
          <cell r="F33">
            <v>0.41666666666666669</v>
          </cell>
          <cell r="G33" t="str">
            <v>Máquina de Solda MIG</v>
          </cell>
          <cell r="H33" t="str">
            <v>Plug incompatível com a tomada da linha da Solda Manual</v>
          </cell>
          <cell r="I33" t="str">
            <v>Corretiva</v>
          </cell>
          <cell r="J33" t="str">
            <v>Sim</v>
          </cell>
          <cell r="K33" t="str">
            <v>Elétrica</v>
          </cell>
          <cell r="L33" t="str">
            <v>Substituição do(s) Componente(s)</v>
          </cell>
          <cell r="M33" t="str">
            <v>Alteração na Localização da Máquina</v>
          </cell>
          <cell r="N33">
            <v>37722</v>
          </cell>
          <cell r="O33">
            <v>0.41666666666666669</v>
          </cell>
          <cell r="P33">
            <v>37722</v>
          </cell>
          <cell r="Q33">
            <v>0.41666666666666669</v>
          </cell>
          <cell r="T33">
            <v>37722</v>
          </cell>
          <cell r="U33">
            <v>0.42708333333333331</v>
          </cell>
          <cell r="V33">
            <v>37722</v>
          </cell>
          <cell r="W33">
            <v>0.42708333333333331</v>
          </cell>
          <cell r="X33">
            <v>1.041666666666663E-2</v>
          </cell>
          <cell r="Y33">
            <v>1.0416666669091967E-2</v>
          </cell>
          <cell r="AB33">
            <v>4</v>
          </cell>
          <cell r="AC33">
            <v>4</v>
          </cell>
          <cell r="AD33" t="str">
            <v>S</v>
          </cell>
          <cell r="BF33">
            <v>0</v>
          </cell>
          <cell r="BG33">
            <v>0</v>
          </cell>
          <cell r="BH33">
            <v>0</v>
          </cell>
          <cell r="BI33">
            <v>0</v>
          </cell>
          <cell r="BJ33">
            <v>0</v>
          </cell>
          <cell r="BK33">
            <v>0</v>
          </cell>
          <cell r="BL33">
            <v>0</v>
          </cell>
          <cell r="BM33">
            <v>0</v>
          </cell>
          <cell r="BN33">
            <v>0</v>
          </cell>
          <cell r="BO33">
            <v>0</v>
          </cell>
          <cell r="BP33">
            <v>0</v>
          </cell>
          <cell r="BQ33">
            <v>0</v>
          </cell>
          <cell r="BR33">
            <v>4</v>
          </cell>
          <cell r="BS33">
            <v>0</v>
          </cell>
          <cell r="BT33">
            <v>0</v>
          </cell>
          <cell r="BU33">
            <v>0</v>
          </cell>
          <cell r="BV33">
            <v>0</v>
          </cell>
          <cell r="BW33">
            <v>0</v>
          </cell>
          <cell r="BX33">
            <v>0</v>
          </cell>
          <cell r="BY33">
            <v>0</v>
          </cell>
          <cell r="BZ33">
            <v>0</v>
          </cell>
          <cell r="CA33">
            <v>0</v>
          </cell>
          <cell r="CB33">
            <v>0</v>
          </cell>
          <cell r="CC33">
            <v>0</v>
          </cell>
          <cell r="CD33">
            <v>0</v>
          </cell>
        </row>
        <row r="34">
          <cell r="C34">
            <v>37718</v>
          </cell>
          <cell r="I34">
            <v>0</v>
          </cell>
          <cell r="N34">
            <v>0</v>
          </cell>
          <cell r="P34">
            <v>0</v>
          </cell>
          <cell r="T34">
            <v>0</v>
          </cell>
          <cell r="V34">
            <v>0</v>
          </cell>
          <cell r="W34">
            <v>0</v>
          </cell>
          <cell r="X34">
            <v>0</v>
          </cell>
          <cell r="Y34">
            <v>0</v>
          </cell>
          <cell r="AB34">
            <v>0</v>
          </cell>
          <cell r="AC34">
            <v>4</v>
          </cell>
          <cell r="AD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v>0</v>
          </cell>
        </row>
        <row r="35">
          <cell r="C35">
            <v>37718</v>
          </cell>
          <cell r="D35">
            <v>37846</v>
          </cell>
          <cell r="E35">
            <v>37820</v>
          </cell>
          <cell r="F35">
            <v>0.61805555555555558</v>
          </cell>
          <cell r="G35" t="str">
            <v>Máquina de Solda MIG</v>
          </cell>
          <cell r="H35" t="str">
            <v>Cabo de alimentação com mau contato / Isolador Quebrado</v>
          </cell>
          <cell r="I35" t="str">
            <v>Corretiva</v>
          </cell>
          <cell r="J35" t="str">
            <v>Sim</v>
          </cell>
          <cell r="K35" t="str">
            <v>Elétrica</v>
          </cell>
          <cell r="L35" t="str">
            <v>Reparo</v>
          </cell>
          <cell r="M35" t="str">
            <v>Falha de Comando / Sistema</v>
          </cell>
          <cell r="N35">
            <v>37820</v>
          </cell>
          <cell r="O35">
            <v>0.625</v>
          </cell>
          <cell r="P35">
            <v>37820</v>
          </cell>
          <cell r="Q35">
            <v>0.625</v>
          </cell>
          <cell r="T35">
            <v>37820</v>
          </cell>
          <cell r="U35">
            <v>0.63541666666666663</v>
          </cell>
          <cell r="V35">
            <v>37820</v>
          </cell>
          <cell r="W35">
            <v>0.63541666666666663</v>
          </cell>
          <cell r="X35">
            <v>1.041666666666663E-2</v>
          </cell>
          <cell r="Y35">
            <v>1.0416666664241347E-2</v>
          </cell>
          <cell r="AB35">
            <v>7</v>
          </cell>
          <cell r="AC35">
            <v>4</v>
          </cell>
          <cell r="AD35">
            <v>0</v>
          </cell>
          <cell r="BF35">
            <v>0</v>
          </cell>
          <cell r="BG35">
            <v>0</v>
          </cell>
          <cell r="BH35">
            <v>0</v>
          </cell>
          <cell r="BI35">
            <v>0</v>
          </cell>
          <cell r="BJ35">
            <v>0</v>
          </cell>
          <cell r="BK35">
            <v>0</v>
          </cell>
          <cell r="BL35">
            <v>0</v>
          </cell>
          <cell r="BM35">
            <v>0</v>
          </cell>
          <cell r="BN35">
            <v>0</v>
          </cell>
          <cell r="BO35">
            <v>0</v>
          </cell>
          <cell r="BP35">
            <v>0</v>
          </cell>
          <cell r="BQ35">
            <v>0</v>
          </cell>
          <cell r="BR35">
            <v>7</v>
          </cell>
          <cell r="BS35">
            <v>0</v>
          </cell>
          <cell r="BT35">
            <v>0</v>
          </cell>
          <cell r="BU35">
            <v>0</v>
          </cell>
          <cell r="BV35">
            <v>0</v>
          </cell>
          <cell r="BW35">
            <v>0</v>
          </cell>
          <cell r="BX35">
            <v>0</v>
          </cell>
          <cell r="BY35">
            <v>0</v>
          </cell>
          <cell r="BZ35">
            <v>0</v>
          </cell>
          <cell r="CA35">
            <v>0</v>
          </cell>
          <cell r="CB35">
            <v>0</v>
          </cell>
          <cell r="CC35">
            <v>0</v>
          </cell>
          <cell r="CD35">
            <v>0</v>
          </cell>
        </row>
        <row r="36">
          <cell r="C36">
            <v>37718</v>
          </cell>
          <cell r="D36">
            <v>37838</v>
          </cell>
          <cell r="E36">
            <v>37825</v>
          </cell>
          <cell r="F36">
            <v>0.45833333333333331</v>
          </cell>
          <cell r="G36" t="str">
            <v>Células de Solda Manual</v>
          </cell>
          <cell r="H36" t="str">
            <v>A fresa de limpeza da tocha não está jogando óleo (anti-respingos)</v>
          </cell>
          <cell r="I36" t="str">
            <v>Corretiva</v>
          </cell>
          <cell r="J36" t="str">
            <v>Não</v>
          </cell>
          <cell r="K36" t="str">
            <v>Mecânica</v>
          </cell>
          <cell r="L36" t="str">
            <v>Limpeza do Equipamento / Componente</v>
          </cell>
          <cell r="M36" t="str">
            <v>Sujeira em excesso</v>
          </cell>
          <cell r="N36">
            <v>37834</v>
          </cell>
          <cell r="O36">
            <v>0.33333333333333331</v>
          </cell>
          <cell r="P36">
            <v>37834</v>
          </cell>
          <cell r="Q36">
            <v>0.33333333333333331</v>
          </cell>
          <cell r="T36">
            <v>37834</v>
          </cell>
          <cell r="U36">
            <v>0.4375</v>
          </cell>
          <cell r="V36">
            <v>37834</v>
          </cell>
          <cell r="W36">
            <v>0.4375</v>
          </cell>
          <cell r="X36">
            <v>0.10416666666666669</v>
          </cell>
          <cell r="Y36">
            <v>0.10416666666666669</v>
          </cell>
          <cell r="AB36">
            <v>8</v>
          </cell>
          <cell r="AC36">
            <v>4</v>
          </cell>
          <cell r="AD36">
            <v>0</v>
          </cell>
          <cell r="BF36">
            <v>0</v>
          </cell>
          <cell r="BG36">
            <v>8</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cell r="CC36">
            <v>0</v>
          </cell>
          <cell r="CD36">
            <v>0</v>
          </cell>
        </row>
        <row r="37">
          <cell r="C37">
            <v>37718</v>
          </cell>
          <cell r="D37">
            <v>37719</v>
          </cell>
          <cell r="E37">
            <v>37719</v>
          </cell>
          <cell r="F37">
            <v>0.62152777777777779</v>
          </cell>
          <cell r="G37" t="str">
            <v>Linha de Pintura 8,5m</v>
          </cell>
          <cell r="H37" t="str">
            <v>Travamento na Corrente de Carga e Descarga</v>
          </cell>
          <cell r="I37" t="str">
            <v>Corretiva</v>
          </cell>
          <cell r="J37" t="str">
            <v>Sim</v>
          </cell>
          <cell r="K37" t="str">
            <v>Mecânica</v>
          </cell>
          <cell r="L37" t="str">
            <v>Reaperto dos componentes</v>
          </cell>
          <cell r="M37" t="str">
            <v>Vibração</v>
          </cell>
          <cell r="N37">
            <v>37719</v>
          </cell>
          <cell r="O37">
            <v>0.62152777777777779</v>
          </cell>
          <cell r="P37">
            <v>37719</v>
          </cell>
          <cell r="Q37">
            <v>0.62152777777777779</v>
          </cell>
          <cell r="T37">
            <v>37719</v>
          </cell>
          <cell r="U37">
            <v>0.68055555555555547</v>
          </cell>
          <cell r="V37">
            <v>37719</v>
          </cell>
          <cell r="W37">
            <v>0.68055555555555547</v>
          </cell>
          <cell r="X37">
            <v>5.9027777777777679E-2</v>
          </cell>
          <cell r="Y37">
            <v>5.9027777776969326E-2</v>
          </cell>
          <cell r="AB37">
            <v>4</v>
          </cell>
          <cell r="AC37">
            <v>4</v>
          </cell>
          <cell r="AD37" t="str">
            <v>S</v>
          </cell>
          <cell r="BF37">
            <v>0</v>
          </cell>
          <cell r="BG37">
            <v>0</v>
          </cell>
          <cell r="BH37">
            <v>0</v>
          </cell>
          <cell r="BI37">
            <v>0</v>
          </cell>
          <cell r="BJ37">
            <v>0</v>
          </cell>
          <cell r="BK37">
            <v>0</v>
          </cell>
          <cell r="BL37">
            <v>0</v>
          </cell>
          <cell r="BM37">
            <v>0</v>
          </cell>
          <cell r="BN37">
            <v>0</v>
          </cell>
          <cell r="BO37">
            <v>0</v>
          </cell>
          <cell r="BP37">
            <v>4</v>
          </cell>
          <cell r="BQ37">
            <v>0</v>
          </cell>
          <cell r="BR37">
            <v>0</v>
          </cell>
          <cell r="BS37">
            <v>0</v>
          </cell>
          <cell r="BT37">
            <v>0</v>
          </cell>
          <cell r="BU37">
            <v>0</v>
          </cell>
          <cell r="BV37">
            <v>0</v>
          </cell>
          <cell r="BW37">
            <v>0</v>
          </cell>
          <cell r="BX37">
            <v>0</v>
          </cell>
          <cell r="BY37">
            <v>0</v>
          </cell>
          <cell r="BZ37">
            <v>0</v>
          </cell>
          <cell r="CA37">
            <v>0</v>
          </cell>
          <cell r="CB37">
            <v>0</v>
          </cell>
          <cell r="CC37">
            <v>0</v>
          </cell>
          <cell r="CD37">
            <v>0</v>
          </cell>
        </row>
        <row r="38">
          <cell r="C38">
            <v>37718</v>
          </cell>
          <cell r="D38">
            <v>37726</v>
          </cell>
          <cell r="E38">
            <v>37726</v>
          </cell>
          <cell r="F38">
            <v>0.34027777777777773</v>
          </cell>
          <cell r="G38" t="str">
            <v>Linha de Pintura 8,5m</v>
          </cell>
          <cell r="H38" t="str">
            <v>Máquina não liga</v>
          </cell>
          <cell r="I38" t="str">
            <v>Corretiva</v>
          </cell>
          <cell r="J38" t="str">
            <v>Sim</v>
          </cell>
          <cell r="K38" t="str">
            <v>Elétrica</v>
          </cell>
          <cell r="L38" t="str">
            <v>Substituição do(s) Componente(s)</v>
          </cell>
          <cell r="M38" t="str">
            <v>Sobrecarga</v>
          </cell>
          <cell r="N38">
            <v>37726</v>
          </cell>
          <cell r="O38">
            <v>0.34027777777777773</v>
          </cell>
          <cell r="P38">
            <v>37726</v>
          </cell>
          <cell r="Q38">
            <v>0.34027777777777773</v>
          </cell>
          <cell r="T38">
            <v>37726</v>
          </cell>
          <cell r="U38">
            <v>0.4375</v>
          </cell>
          <cell r="V38">
            <v>37726</v>
          </cell>
          <cell r="W38">
            <v>0.4375</v>
          </cell>
          <cell r="X38">
            <v>9.7222222222222265E-2</v>
          </cell>
          <cell r="Y38">
            <v>9.7222222222222265E-2</v>
          </cell>
          <cell r="AB38">
            <v>4</v>
          </cell>
          <cell r="AC38">
            <v>4</v>
          </cell>
          <cell r="AD38" t="str">
            <v>S</v>
          </cell>
          <cell r="BF38">
            <v>0</v>
          </cell>
          <cell r="BG38">
            <v>0</v>
          </cell>
          <cell r="BH38">
            <v>0</v>
          </cell>
          <cell r="BI38">
            <v>0</v>
          </cell>
          <cell r="BJ38">
            <v>0</v>
          </cell>
          <cell r="BK38">
            <v>0</v>
          </cell>
          <cell r="BL38">
            <v>0</v>
          </cell>
          <cell r="BM38">
            <v>0</v>
          </cell>
          <cell r="BN38">
            <v>0</v>
          </cell>
          <cell r="BO38">
            <v>0</v>
          </cell>
          <cell r="BP38">
            <v>4</v>
          </cell>
          <cell r="BQ38">
            <v>0</v>
          </cell>
          <cell r="BR38">
            <v>0</v>
          </cell>
          <cell r="BS38">
            <v>0</v>
          </cell>
          <cell r="BT38">
            <v>0</v>
          </cell>
          <cell r="BU38">
            <v>0</v>
          </cell>
          <cell r="BV38">
            <v>0</v>
          </cell>
          <cell r="BW38">
            <v>0</v>
          </cell>
          <cell r="BX38">
            <v>0</v>
          </cell>
          <cell r="BY38">
            <v>0</v>
          </cell>
          <cell r="BZ38">
            <v>0</v>
          </cell>
          <cell r="CA38">
            <v>0</v>
          </cell>
          <cell r="CB38">
            <v>0</v>
          </cell>
          <cell r="CC38">
            <v>0</v>
          </cell>
          <cell r="CD38">
            <v>0</v>
          </cell>
        </row>
        <row r="39">
          <cell r="C39">
            <v>37718</v>
          </cell>
          <cell r="D39">
            <v>37736</v>
          </cell>
          <cell r="E39">
            <v>37735</v>
          </cell>
          <cell r="F39">
            <v>0.75</v>
          </cell>
          <cell r="G39" t="str">
            <v>Linha de Pintura 8,5m</v>
          </cell>
          <cell r="H39" t="str">
            <v>Transportador Catalunha (linha mais rápida) não funciona</v>
          </cell>
          <cell r="I39" t="str">
            <v>Corretiva</v>
          </cell>
          <cell r="J39" t="str">
            <v>Sim</v>
          </cell>
          <cell r="K39" t="str">
            <v>Mecânica</v>
          </cell>
          <cell r="L39" t="str">
            <v>Substituição do(s) Componente(s)</v>
          </cell>
          <cell r="M39" t="str">
            <v>Desgaste / Fadiga</v>
          </cell>
          <cell r="N39">
            <v>37735</v>
          </cell>
          <cell r="O39">
            <v>0.75</v>
          </cell>
          <cell r="P39">
            <v>37735</v>
          </cell>
          <cell r="Q39">
            <v>0.75</v>
          </cell>
          <cell r="T39">
            <v>37735</v>
          </cell>
          <cell r="U39">
            <v>0.8125</v>
          </cell>
          <cell r="V39">
            <v>37735</v>
          </cell>
          <cell r="W39">
            <v>0.8125</v>
          </cell>
          <cell r="X39">
            <v>6.25E-2</v>
          </cell>
          <cell r="Y39">
            <v>6.25E-2</v>
          </cell>
          <cell r="AB39">
            <v>4</v>
          </cell>
          <cell r="AC39">
            <v>4</v>
          </cell>
          <cell r="AD39" t="str">
            <v>S</v>
          </cell>
          <cell r="BF39">
            <v>0</v>
          </cell>
          <cell r="BG39">
            <v>0</v>
          </cell>
          <cell r="BH39">
            <v>0</v>
          </cell>
          <cell r="BI39">
            <v>0</v>
          </cell>
          <cell r="BJ39">
            <v>0</v>
          </cell>
          <cell r="BK39">
            <v>0</v>
          </cell>
          <cell r="BL39">
            <v>0</v>
          </cell>
          <cell r="BM39">
            <v>0</v>
          </cell>
          <cell r="BN39">
            <v>0</v>
          </cell>
          <cell r="BO39">
            <v>0</v>
          </cell>
          <cell r="BP39">
            <v>4</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row>
        <row r="40">
          <cell r="C40">
            <v>37718</v>
          </cell>
          <cell r="D40">
            <v>37753</v>
          </cell>
          <cell r="E40">
            <v>37753</v>
          </cell>
          <cell r="F40">
            <v>0.52083333333333337</v>
          </cell>
          <cell r="G40" t="str">
            <v>Linha de Pintura 8,5m</v>
          </cell>
          <cell r="H40" t="str">
            <v>A porca que segura o pistão de entrada do secador está solta</v>
          </cell>
          <cell r="I40" t="str">
            <v>Corretiva</v>
          </cell>
          <cell r="J40" t="str">
            <v>Sim</v>
          </cell>
          <cell r="K40" t="str">
            <v>Mecânica</v>
          </cell>
          <cell r="L40" t="str">
            <v>Reparo</v>
          </cell>
          <cell r="M40" t="str">
            <v>Vibração</v>
          </cell>
          <cell r="N40">
            <v>37753</v>
          </cell>
          <cell r="O40">
            <v>0.52083333333333337</v>
          </cell>
          <cell r="P40">
            <v>37753</v>
          </cell>
          <cell r="Q40">
            <v>0.52083333333333337</v>
          </cell>
          <cell r="T40">
            <v>37753</v>
          </cell>
          <cell r="U40">
            <v>0.53125</v>
          </cell>
          <cell r="V40">
            <v>37753</v>
          </cell>
          <cell r="W40">
            <v>0.53125</v>
          </cell>
          <cell r="X40">
            <v>1.041666666666663E-2</v>
          </cell>
          <cell r="Y40">
            <v>1.041666666666663E-2</v>
          </cell>
          <cell r="AB40">
            <v>5</v>
          </cell>
          <cell r="AC40">
            <v>4</v>
          </cell>
          <cell r="AD40">
            <v>0</v>
          </cell>
          <cell r="BF40">
            <v>0</v>
          </cell>
          <cell r="BG40">
            <v>0</v>
          </cell>
          <cell r="BH40">
            <v>0</v>
          </cell>
          <cell r="BI40">
            <v>0</v>
          </cell>
          <cell r="BJ40">
            <v>0</v>
          </cell>
          <cell r="BK40">
            <v>0</v>
          </cell>
          <cell r="BL40">
            <v>0</v>
          </cell>
          <cell r="BM40">
            <v>0</v>
          </cell>
          <cell r="BN40">
            <v>0</v>
          </cell>
          <cell r="BO40">
            <v>0</v>
          </cell>
          <cell r="BP40">
            <v>5</v>
          </cell>
          <cell r="BQ40">
            <v>0</v>
          </cell>
          <cell r="BR40">
            <v>0</v>
          </cell>
          <cell r="BS40">
            <v>0</v>
          </cell>
          <cell r="BT40">
            <v>0</v>
          </cell>
          <cell r="BU40">
            <v>0</v>
          </cell>
          <cell r="BV40">
            <v>0</v>
          </cell>
          <cell r="BW40">
            <v>0</v>
          </cell>
          <cell r="BX40">
            <v>0</v>
          </cell>
          <cell r="BY40">
            <v>0</v>
          </cell>
          <cell r="BZ40">
            <v>0</v>
          </cell>
          <cell r="CA40">
            <v>0</v>
          </cell>
          <cell r="CB40">
            <v>0</v>
          </cell>
          <cell r="CC40">
            <v>0</v>
          </cell>
          <cell r="CD40">
            <v>0</v>
          </cell>
        </row>
        <row r="41">
          <cell r="C41">
            <v>37718</v>
          </cell>
          <cell r="D41">
            <v>37746</v>
          </cell>
          <cell r="E41">
            <v>37741</v>
          </cell>
          <cell r="F41">
            <v>0.70833333333333337</v>
          </cell>
          <cell r="G41" t="str">
            <v>Linha de Pintura 8,5m</v>
          </cell>
          <cell r="H41" t="str">
            <v>Parô com o pino quebrado</v>
          </cell>
          <cell r="I41" t="str">
            <v>Corretiva</v>
          </cell>
          <cell r="J41" t="str">
            <v>Não</v>
          </cell>
          <cell r="K41" t="str">
            <v>Mecânica</v>
          </cell>
          <cell r="L41" t="str">
            <v>Ajuste / Regulagem</v>
          </cell>
          <cell r="M41" t="str">
            <v>Falha de Regulagem / Configuração / Dimensionamento</v>
          </cell>
          <cell r="N41">
            <v>37747</v>
          </cell>
          <cell r="O41">
            <v>0.53125</v>
          </cell>
          <cell r="P41">
            <v>37747</v>
          </cell>
          <cell r="Q41">
            <v>0.53125</v>
          </cell>
          <cell r="T41">
            <v>37747</v>
          </cell>
          <cell r="U41">
            <v>0.57291666666666663</v>
          </cell>
          <cell r="V41">
            <v>37747</v>
          </cell>
          <cell r="W41">
            <v>0.57291666666666663</v>
          </cell>
          <cell r="X41">
            <v>4.1666666664241347E-2</v>
          </cell>
          <cell r="Y41">
            <v>4.1666666664241347E-2</v>
          </cell>
          <cell r="AB41">
            <v>5</v>
          </cell>
          <cell r="AC41">
            <v>4</v>
          </cell>
          <cell r="AD41">
            <v>0</v>
          </cell>
          <cell r="BF41">
            <v>0</v>
          </cell>
          <cell r="BG41">
            <v>0</v>
          </cell>
          <cell r="BH41">
            <v>0</v>
          </cell>
          <cell r="BI41">
            <v>0</v>
          </cell>
          <cell r="BJ41">
            <v>0</v>
          </cell>
          <cell r="BK41">
            <v>0</v>
          </cell>
          <cell r="BL41">
            <v>0</v>
          </cell>
          <cell r="BM41">
            <v>0</v>
          </cell>
          <cell r="BN41">
            <v>0</v>
          </cell>
          <cell r="BO41">
            <v>0</v>
          </cell>
          <cell r="BP41">
            <v>5</v>
          </cell>
          <cell r="BQ41">
            <v>0</v>
          </cell>
          <cell r="BR41">
            <v>0</v>
          </cell>
          <cell r="BS41">
            <v>0</v>
          </cell>
          <cell r="BT41">
            <v>0</v>
          </cell>
          <cell r="BU41">
            <v>0</v>
          </cell>
          <cell r="BV41">
            <v>0</v>
          </cell>
          <cell r="BW41">
            <v>0</v>
          </cell>
          <cell r="BX41">
            <v>0</v>
          </cell>
          <cell r="BY41">
            <v>0</v>
          </cell>
          <cell r="BZ41">
            <v>0</v>
          </cell>
          <cell r="CA41">
            <v>0</v>
          </cell>
          <cell r="CB41">
            <v>0</v>
          </cell>
          <cell r="CC41">
            <v>0</v>
          </cell>
          <cell r="CD41">
            <v>0</v>
          </cell>
        </row>
        <row r="42">
          <cell r="C42">
            <v>37718</v>
          </cell>
          <cell r="D42">
            <v>37740</v>
          </cell>
          <cell r="E42">
            <v>37739</v>
          </cell>
          <cell r="F42">
            <v>37739</v>
          </cell>
          <cell r="G42" t="str">
            <v>Linha de Pintura 8,5m</v>
          </cell>
          <cell r="H42" t="str">
            <v>Cabine de Pintura 8,5m</v>
          </cell>
          <cell r="I42" t="str">
            <v>EI32205801</v>
          </cell>
          <cell r="J42" t="str">
            <v>Sim</v>
          </cell>
          <cell r="K42" t="str">
            <v>Corretiva</v>
          </cell>
          <cell r="L42" t="str">
            <v>Sim</v>
          </cell>
          <cell r="M42" t="str">
            <v>Elétrica</v>
          </cell>
          <cell r="N42">
            <v>0</v>
          </cell>
          <cell r="P42">
            <v>0</v>
          </cell>
          <cell r="T42">
            <v>0</v>
          </cell>
          <cell r="V42">
            <v>0</v>
          </cell>
          <cell r="W42">
            <v>0</v>
          </cell>
          <cell r="X42">
            <v>0</v>
          </cell>
          <cell r="Y42">
            <v>0</v>
          </cell>
          <cell r="AB42">
            <v>0</v>
          </cell>
          <cell r="AC42">
            <v>4</v>
          </cell>
          <cell r="AD42">
            <v>0</v>
          </cell>
          <cell r="BF42">
            <v>0</v>
          </cell>
          <cell r="BG42">
            <v>0</v>
          </cell>
          <cell r="BH42">
            <v>0</v>
          </cell>
          <cell r="BI42">
            <v>0</v>
          </cell>
          <cell r="BJ42">
            <v>0</v>
          </cell>
          <cell r="BK42">
            <v>0</v>
          </cell>
          <cell r="BL42">
            <v>0</v>
          </cell>
          <cell r="BM42">
            <v>0</v>
          </cell>
          <cell r="BN42">
            <v>0</v>
          </cell>
          <cell r="BO42">
            <v>0</v>
          </cell>
          <cell r="BP42">
            <v>1</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row>
        <row r="43">
          <cell r="C43">
            <v>37718</v>
          </cell>
          <cell r="D43">
            <v>37736</v>
          </cell>
          <cell r="E43">
            <v>37734</v>
          </cell>
          <cell r="F43">
            <v>0.33333333333333331</v>
          </cell>
          <cell r="G43" t="str">
            <v>Equipamentos diversos</v>
          </cell>
          <cell r="H43" t="str">
            <v>Máquina não traciona a fita</v>
          </cell>
          <cell r="I43" t="str">
            <v>Corretiva</v>
          </cell>
          <cell r="J43" t="str">
            <v>Sim</v>
          </cell>
          <cell r="K43" t="str">
            <v>Mecânica</v>
          </cell>
          <cell r="L43" t="str">
            <v>Ajuste / Regulagem</v>
          </cell>
          <cell r="M43" t="str">
            <v>Causa não especificada</v>
          </cell>
          <cell r="N43">
            <v>37734</v>
          </cell>
          <cell r="O43">
            <v>0.33333333333333331</v>
          </cell>
          <cell r="P43">
            <v>37734</v>
          </cell>
          <cell r="Q43">
            <v>0.33333333333333331</v>
          </cell>
          <cell r="T43">
            <v>37734</v>
          </cell>
          <cell r="U43">
            <v>0.45833333333333331</v>
          </cell>
          <cell r="V43">
            <v>37734</v>
          </cell>
          <cell r="W43">
            <v>0.45833333333333331</v>
          </cell>
          <cell r="X43">
            <v>0.125</v>
          </cell>
          <cell r="Y43">
            <v>0.12500000000242534</v>
          </cell>
          <cell r="AB43">
            <v>4</v>
          </cell>
          <cell r="AC43">
            <v>4</v>
          </cell>
          <cell r="AD43" t="str">
            <v>S</v>
          </cell>
          <cell r="BF43">
            <v>0</v>
          </cell>
          <cell r="BG43">
            <v>0</v>
          </cell>
          <cell r="BH43">
            <v>0</v>
          </cell>
          <cell r="BI43">
            <v>0</v>
          </cell>
          <cell r="BJ43">
            <v>4</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row>
        <row r="44">
          <cell r="C44">
            <v>37718</v>
          </cell>
          <cell r="D44">
            <v>37733</v>
          </cell>
          <cell r="E44">
            <v>37728</v>
          </cell>
          <cell r="F44">
            <v>0.70833333333333337</v>
          </cell>
          <cell r="G44" t="str">
            <v>Linha de Pintura 8,5m</v>
          </cell>
          <cell r="H44" t="str">
            <v>Verificar o sistema de recuperação de pó</v>
          </cell>
          <cell r="I44" t="str">
            <v>Melhoria</v>
          </cell>
          <cell r="J44" t="str">
            <v>Não</v>
          </cell>
          <cell r="K44" t="str">
            <v>Mecânica</v>
          </cell>
          <cell r="L44" t="str">
            <v>Ajuste / Regulagem</v>
          </cell>
          <cell r="M44" t="str">
            <v>Melhoria Técnica</v>
          </cell>
          <cell r="N44">
            <v>37733</v>
          </cell>
          <cell r="O44">
            <v>0.45833333333333331</v>
          </cell>
          <cell r="P44">
            <v>37733</v>
          </cell>
          <cell r="Q44">
            <v>0.45833333333333331</v>
          </cell>
          <cell r="T44">
            <v>37733</v>
          </cell>
          <cell r="U44">
            <v>0.5</v>
          </cell>
          <cell r="V44">
            <v>37733</v>
          </cell>
          <cell r="W44">
            <v>0.5</v>
          </cell>
          <cell r="X44">
            <v>4.1666666666666685E-2</v>
          </cell>
          <cell r="Y44">
            <v>4.1666666666666685E-2</v>
          </cell>
          <cell r="AB44">
            <v>4</v>
          </cell>
          <cell r="AC44">
            <v>4</v>
          </cell>
          <cell r="AD44" t="str">
            <v>N</v>
          </cell>
          <cell r="BF44">
            <v>0</v>
          </cell>
          <cell r="BG44">
            <v>0</v>
          </cell>
          <cell r="BH44">
            <v>0</v>
          </cell>
          <cell r="BI44">
            <v>0</v>
          </cell>
          <cell r="BJ44">
            <v>0</v>
          </cell>
          <cell r="BK44">
            <v>0</v>
          </cell>
          <cell r="BL44">
            <v>0</v>
          </cell>
          <cell r="BM44">
            <v>0</v>
          </cell>
          <cell r="BN44">
            <v>0</v>
          </cell>
          <cell r="BO44">
            <v>0</v>
          </cell>
          <cell r="BP44">
            <v>4</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row>
        <row r="45">
          <cell r="C45">
            <v>37718</v>
          </cell>
          <cell r="D45">
            <v>37722</v>
          </cell>
          <cell r="E45">
            <v>37722</v>
          </cell>
          <cell r="F45">
            <v>0.47916666666666669</v>
          </cell>
          <cell r="G45" t="str">
            <v>Linha de Pintura 8,5m</v>
          </cell>
          <cell r="H45" t="str">
            <v>Mau funcionamento no Painel de Controle de Pistola no. 05</v>
          </cell>
          <cell r="I45" t="str">
            <v>Corretiva</v>
          </cell>
          <cell r="J45" t="str">
            <v>Sim</v>
          </cell>
          <cell r="K45" t="str">
            <v>Elétrica</v>
          </cell>
          <cell r="L45" t="str">
            <v>Verificação dos terminais e soldas, e correção das falhas</v>
          </cell>
          <cell r="M45" t="str">
            <v>Mau contato</v>
          </cell>
          <cell r="N45">
            <v>37722</v>
          </cell>
          <cell r="O45">
            <v>0.47916666666666669</v>
          </cell>
          <cell r="P45">
            <v>37722</v>
          </cell>
          <cell r="Q45">
            <v>0.47916666666666669</v>
          </cell>
          <cell r="T45">
            <v>37722</v>
          </cell>
          <cell r="U45">
            <v>0.625</v>
          </cell>
          <cell r="V45">
            <v>37722</v>
          </cell>
          <cell r="W45">
            <v>0.625</v>
          </cell>
          <cell r="X45">
            <v>0.14583333333333331</v>
          </cell>
          <cell r="Y45">
            <v>0.14583333333333331</v>
          </cell>
          <cell r="AB45">
            <v>4</v>
          </cell>
          <cell r="AC45">
            <v>4</v>
          </cell>
          <cell r="AD45" t="str">
            <v>S</v>
          </cell>
          <cell r="BF45">
            <v>0</v>
          </cell>
          <cell r="BG45">
            <v>0</v>
          </cell>
          <cell r="BH45">
            <v>0</v>
          </cell>
          <cell r="BI45">
            <v>0</v>
          </cell>
          <cell r="BJ45">
            <v>0</v>
          </cell>
          <cell r="BK45">
            <v>0</v>
          </cell>
          <cell r="BL45">
            <v>0</v>
          </cell>
          <cell r="BM45">
            <v>0</v>
          </cell>
          <cell r="BN45">
            <v>0</v>
          </cell>
          <cell r="BO45">
            <v>0</v>
          </cell>
          <cell r="BP45">
            <v>4</v>
          </cell>
          <cell r="BQ45">
            <v>0</v>
          </cell>
          <cell r="BR45">
            <v>0</v>
          </cell>
          <cell r="BS45">
            <v>0</v>
          </cell>
          <cell r="BT45">
            <v>0</v>
          </cell>
          <cell r="BU45">
            <v>0</v>
          </cell>
          <cell r="BV45">
            <v>0</v>
          </cell>
          <cell r="BW45">
            <v>0</v>
          </cell>
          <cell r="BX45">
            <v>0</v>
          </cell>
          <cell r="BY45">
            <v>0</v>
          </cell>
          <cell r="BZ45">
            <v>0</v>
          </cell>
          <cell r="CA45">
            <v>0</v>
          </cell>
          <cell r="CB45">
            <v>0</v>
          </cell>
          <cell r="CC45">
            <v>0</v>
          </cell>
          <cell r="CD45">
            <v>0</v>
          </cell>
        </row>
        <row r="46">
          <cell r="C46">
            <v>37718</v>
          </cell>
          <cell r="D46">
            <v>37721</v>
          </cell>
          <cell r="E46">
            <v>37720</v>
          </cell>
          <cell r="F46">
            <v>0.375</v>
          </cell>
          <cell r="G46" t="str">
            <v>Linha de Pintura 8,5m</v>
          </cell>
          <cell r="H46" t="str">
            <v>Elevador de Pintura no. 04 - Fusível Queimado</v>
          </cell>
          <cell r="I46" t="str">
            <v>Corretiva</v>
          </cell>
          <cell r="J46" t="str">
            <v>Sim</v>
          </cell>
          <cell r="K46" t="str">
            <v>Elétrica</v>
          </cell>
          <cell r="L46" t="str">
            <v>Substituição do(s) Componente(s)</v>
          </cell>
          <cell r="M46" t="str">
            <v>Travamento de Componente</v>
          </cell>
          <cell r="N46">
            <v>37720</v>
          </cell>
          <cell r="O46">
            <v>0.375</v>
          </cell>
          <cell r="P46">
            <v>37720</v>
          </cell>
          <cell r="Q46">
            <v>0.375</v>
          </cell>
          <cell r="T46">
            <v>37720</v>
          </cell>
          <cell r="U46">
            <v>0.38194444444444442</v>
          </cell>
          <cell r="V46">
            <v>37720</v>
          </cell>
          <cell r="W46">
            <v>0.38194444444444442</v>
          </cell>
          <cell r="X46">
            <v>6.9444444444444198E-3</v>
          </cell>
          <cell r="Y46">
            <v>6.9444444452528842E-3</v>
          </cell>
          <cell r="AB46">
            <v>4</v>
          </cell>
          <cell r="AC46">
            <v>4</v>
          </cell>
          <cell r="AD46" t="str">
            <v>S</v>
          </cell>
          <cell r="BF46">
            <v>0</v>
          </cell>
          <cell r="BG46">
            <v>0</v>
          </cell>
          <cell r="BH46">
            <v>0</v>
          </cell>
          <cell r="BI46">
            <v>0</v>
          </cell>
          <cell r="BJ46">
            <v>0</v>
          </cell>
          <cell r="BK46">
            <v>0</v>
          </cell>
          <cell r="BL46">
            <v>0</v>
          </cell>
          <cell r="BM46">
            <v>0</v>
          </cell>
          <cell r="BN46">
            <v>0</v>
          </cell>
          <cell r="BO46">
            <v>0</v>
          </cell>
          <cell r="BP46">
            <v>4</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row>
        <row r="47">
          <cell r="C47">
            <v>37718</v>
          </cell>
          <cell r="D47">
            <v>37719</v>
          </cell>
          <cell r="E47">
            <v>37719</v>
          </cell>
          <cell r="F47">
            <v>0.625</v>
          </cell>
          <cell r="G47" t="str">
            <v>Perfiladora Gasparini</v>
          </cell>
          <cell r="H47" t="str">
            <v>Alarme</v>
          </cell>
          <cell r="I47" t="str">
            <v>Corretiva</v>
          </cell>
          <cell r="J47" t="str">
            <v>Sim</v>
          </cell>
          <cell r="K47" t="str">
            <v>Elétrica</v>
          </cell>
          <cell r="L47" t="str">
            <v>Verificação dos Relés e disjuntores de alimentação de comando</v>
          </cell>
          <cell r="M47" t="str">
            <v>Falha Operacional</v>
          </cell>
          <cell r="N47">
            <v>37719</v>
          </cell>
          <cell r="O47">
            <v>0.625</v>
          </cell>
          <cell r="P47">
            <v>37719</v>
          </cell>
          <cell r="Q47">
            <v>0.625</v>
          </cell>
          <cell r="T47">
            <v>37719</v>
          </cell>
          <cell r="U47">
            <v>0.69444444444444453</v>
          </cell>
          <cell r="V47">
            <v>37719</v>
          </cell>
          <cell r="W47">
            <v>0.69444444444444453</v>
          </cell>
          <cell r="X47">
            <v>6.9444444444444531E-2</v>
          </cell>
          <cell r="Y47">
            <v>6.9444444445252884E-2</v>
          </cell>
          <cell r="AB47">
            <v>4</v>
          </cell>
          <cell r="AC47">
            <v>4</v>
          </cell>
          <cell r="AD47" t="str">
            <v>S</v>
          </cell>
          <cell r="BF47">
            <v>0</v>
          </cell>
          <cell r="BG47">
            <v>0</v>
          </cell>
          <cell r="BH47">
            <v>0</v>
          </cell>
          <cell r="BI47">
            <v>0</v>
          </cell>
          <cell r="BJ47">
            <v>0</v>
          </cell>
          <cell r="BK47">
            <v>0</v>
          </cell>
          <cell r="BL47">
            <v>0</v>
          </cell>
          <cell r="BM47">
            <v>0</v>
          </cell>
          <cell r="BN47">
            <v>0</v>
          </cell>
          <cell r="BO47">
            <v>0</v>
          </cell>
          <cell r="BP47">
            <v>0</v>
          </cell>
          <cell r="BQ47">
            <v>0</v>
          </cell>
          <cell r="BR47">
            <v>0</v>
          </cell>
          <cell r="BS47">
            <v>0</v>
          </cell>
          <cell r="BT47">
            <v>0</v>
          </cell>
          <cell r="BU47">
            <v>0</v>
          </cell>
          <cell r="BV47">
            <v>4</v>
          </cell>
          <cell r="BW47">
            <v>0</v>
          </cell>
          <cell r="BX47">
            <v>0</v>
          </cell>
          <cell r="BY47">
            <v>0</v>
          </cell>
          <cell r="BZ47">
            <v>0</v>
          </cell>
          <cell r="CA47">
            <v>0</v>
          </cell>
          <cell r="CB47">
            <v>0</v>
          </cell>
          <cell r="CC47">
            <v>0</v>
          </cell>
          <cell r="CD47">
            <v>0</v>
          </cell>
        </row>
        <row r="48">
          <cell r="C48">
            <v>37718</v>
          </cell>
          <cell r="D48">
            <v>37722</v>
          </cell>
          <cell r="E48">
            <v>37722</v>
          </cell>
          <cell r="F48">
            <v>0.58333333333333337</v>
          </cell>
          <cell r="G48" t="str">
            <v>Perfiladora Gasparini</v>
          </cell>
          <cell r="H48" t="str">
            <v>Reparar Cerâmica - Máquina de Solda</v>
          </cell>
          <cell r="I48" t="str">
            <v>Corretiva</v>
          </cell>
          <cell r="J48" t="str">
            <v>Não</v>
          </cell>
          <cell r="K48" t="str">
            <v>Mecânica</v>
          </cell>
          <cell r="L48" t="str">
            <v>Substituição do(s) Componente(s)</v>
          </cell>
          <cell r="M48" t="str">
            <v>Falha Operacional</v>
          </cell>
          <cell r="N48">
            <v>37720</v>
          </cell>
          <cell r="O48">
            <v>0.58333333333333337</v>
          </cell>
          <cell r="P48">
            <v>37720</v>
          </cell>
          <cell r="Q48">
            <v>0.58333333333333337</v>
          </cell>
          <cell r="R48">
            <v>37725</v>
          </cell>
          <cell r="S48">
            <v>0.625</v>
          </cell>
          <cell r="T48">
            <v>37725</v>
          </cell>
          <cell r="U48">
            <v>0.63888888888888895</v>
          </cell>
          <cell r="V48">
            <v>0</v>
          </cell>
          <cell r="W48">
            <v>1.3888888888888951E-2</v>
          </cell>
          <cell r="X48">
            <v>1.3888888888888951E-2</v>
          </cell>
          <cell r="Y48">
            <v>1.3888888888888951E-2</v>
          </cell>
          <cell r="AB48">
            <v>4</v>
          </cell>
          <cell r="AC48">
            <v>4</v>
          </cell>
          <cell r="AD48" t="str">
            <v>N</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4</v>
          </cell>
          <cell r="BW48">
            <v>0</v>
          </cell>
          <cell r="BX48">
            <v>0</v>
          </cell>
          <cell r="BY48">
            <v>0</v>
          </cell>
          <cell r="BZ48">
            <v>0</v>
          </cell>
          <cell r="CA48">
            <v>0</v>
          </cell>
          <cell r="CB48">
            <v>0</v>
          </cell>
          <cell r="CC48">
            <v>0</v>
          </cell>
          <cell r="CD48">
            <v>0</v>
          </cell>
        </row>
        <row r="49">
          <cell r="C49">
            <v>37718</v>
          </cell>
          <cell r="D49">
            <v>37775</v>
          </cell>
          <cell r="E49">
            <v>37770</v>
          </cell>
          <cell r="F49">
            <v>0.45833333333333331</v>
          </cell>
          <cell r="G49" t="str">
            <v>Perfiladora Gasparini</v>
          </cell>
          <cell r="H49" t="str">
            <v>Reparar mesa de coleta do perfil</v>
          </cell>
          <cell r="I49" t="str">
            <v>Corretiva</v>
          </cell>
          <cell r="J49" t="str">
            <v>Sim</v>
          </cell>
          <cell r="K49" t="str">
            <v>Mecânica</v>
          </cell>
          <cell r="L49" t="str">
            <v>Ajuste / Regulagem</v>
          </cell>
          <cell r="M49" t="str">
            <v>Desgaste / Fadiga</v>
          </cell>
          <cell r="N49">
            <v>37770</v>
          </cell>
          <cell r="O49">
            <v>0.45833333333333331</v>
          </cell>
          <cell r="P49">
            <v>37770</v>
          </cell>
          <cell r="Q49">
            <v>0.45833333333333331</v>
          </cell>
          <cell r="T49">
            <v>37770</v>
          </cell>
          <cell r="U49">
            <v>0.47916666666666669</v>
          </cell>
          <cell r="V49">
            <v>37770</v>
          </cell>
          <cell r="W49">
            <v>0.47916666666666669</v>
          </cell>
          <cell r="X49">
            <v>2.083333333333337E-2</v>
          </cell>
          <cell r="Y49">
            <v>2.0833333330908033E-2</v>
          </cell>
          <cell r="AB49">
            <v>5</v>
          </cell>
          <cell r="AC49">
            <v>4</v>
          </cell>
          <cell r="AD49">
            <v>0</v>
          </cell>
          <cell r="BF49">
            <v>0</v>
          </cell>
          <cell r="BG49">
            <v>0</v>
          </cell>
          <cell r="BH49">
            <v>0</v>
          </cell>
          <cell r="BI49">
            <v>0</v>
          </cell>
          <cell r="BJ49">
            <v>0</v>
          </cell>
          <cell r="BK49">
            <v>0</v>
          </cell>
          <cell r="BL49">
            <v>0</v>
          </cell>
          <cell r="BM49">
            <v>0</v>
          </cell>
          <cell r="BN49">
            <v>0</v>
          </cell>
          <cell r="BO49">
            <v>0</v>
          </cell>
          <cell r="BP49">
            <v>0</v>
          </cell>
          <cell r="BQ49">
            <v>0</v>
          </cell>
          <cell r="BR49">
            <v>0</v>
          </cell>
          <cell r="BS49">
            <v>0</v>
          </cell>
          <cell r="BT49">
            <v>0</v>
          </cell>
          <cell r="BU49">
            <v>0</v>
          </cell>
          <cell r="BV49">
            <v>5</v>
          </cell>
          <cell r="BW49">
            <v>0</v>
          </cell>
          <cell r="BX49">
            <v>0</v>
          </cell>
          <cell r="BY49">
            <v>0</v>
          </cell>
          <cell r="BZ49">
            <v>0</v>
          </cell>
          <cell r="CA49">
            <v>0</v>
          </cell>
          <cell r="CB49">
            <v>0</v>
          </cell>
          <cell r="CC49">
            <v>0</v>
          </cell>
          <cell r="CD49">
            <v>0</v>
          </cell>
        </row>
        <row r="50">
          <cell r="C50">
            <v>37718</v>
          </cell>
          <cell r="D50">
            <v>37775</v>
          </cell>
          <cell r="E50">
            <v>37770</v>
          </cell>
          <cell r="F50">
            <v>0.39583333333333331</v>
          </cell>
          <cell r="G50" t="str">
            <v>Perfiladora Gasparini</v>
          </cell>
          <cell r="H50" t="str">
            <v>Vazamento de óleo da prensa</v>
          </cell>
          <cell r="I50" t="str">
            <v>Corretiva</v>
          </cell>
          <cell r="J50" t="str">
            <v>Sim</v>
          </cell>
          <cell r="K50" t="str">
            <v>Mecânica</v>
          </cell>
          <cell r="L50" t="str">
            <v>Contenção do vazamento</v>
          </cell>
          <cell r="M50" t="str">
            <v>Defeito de Fabricação</v>
          </cell>
          <cell r="N50">
            <v>37770</v>
          </cell>
          <cell r="O50">
            <v>0.39583333333333331</v>
          </cell>
          <cell r="P50">
            <v>37770</v>
          </cell>
          <cell r="Q50">
            <v>0.39583333333333331</v>
          </cell>
          <cell r="T50">
            <v>37770</v>
          </cell>
          <cell r="U50">
            <v>0.57986111111111105</v>
          </cell>
          <cell r="V50">
            <v>37770</v>
          </cell>
          <cell r="W50">
            <v>0.57986111111111105</v>
          </cell>
          <cell r="X50">
            <v>0.18402777777777773</v>
          </cell>
          <cell r="Y50">
            <v>0.18402777777616092</v>
          </cell>
          <cell r="AB50">
            <v>5</v>
          </cell>
          <cell r="AC50">
            <v>4</v>
          </cell>
          <cell r="AD50">
            <v>0</v>
          </cell>
          <cell r="BF50">
            <v>0</v>
          </cell>
          <cell r="BG50">
            <v>0</v>
          </cell>
          <cell r="BH50">
            <v>0</v>
          </cell>
          <cell r="BI50">
            <v>0</v>
          </cell>
          <cell r="BJ50">
            <v>0</v>
          </cell>
          <cell r="BK50">
            <v>0</v>
          </cell>
          <cell r="BL50">
            <v>0</v>
          </cell>
          <cell r="BM50">
            <v>0</v>
          </cell>
          <cell r="BN50">
            <v>0</v>
          </cell>
          <cell r="BO50">
            <v>0</v>
          </cell>
          <cell r="BP50">
            <v>0</v>
          </cell>
          <cell r="BQ50">
            <v>0</v>
          </cell>
          <cell r="BR50">
            <v>0</v>
          </cell>
          <cell r="BS50">
            <v>0</v>
          </cell>
          <cell r="BT50">
            <v>0</v>
          </cell>
          <cell r="BU50">
            <v>0</v>
          </cell>
          <cell r="BV50">
            <v>5</v>
          </cell>
          <cell r="BW50">
            <v>0</v>
          </cell>
          <cell r="BX50">
            <v>0</v>
          </cell>
          <cell r="BY50">
            <v>0</v>
          </cell>
          <cell r="BZ50">
            <v>0</v>
          </cell>
          <cell r="CA50">
            <v>0</v>
          </cell>
          <cell r="CB50">
            <v>0</v>
          </cell>
          <cell r="CC50">
            <v>0</v>
          </cell>
          <cell r="CD50">
            <v>0</v>
          </cell>
        </row>
        <row r="51">
          <cell r="C51">
            <v>37718</v>
          </cell>
          <cell r="D51">
            <v>37775</v>
          </cell>
          <cell r="E51">
            <v>37769</v>
          </cell>
          <cell r="F51">
            <v>0.61458333333333337</v>
          </cell>
          <cell r="G51" t="str">
            <v>Perfiladora Gasparini</v>
          </cell>
          <cell r="H51" t="str">
            <v>Substituir cerâmica da Máquina de Solda</v>
          </cell>
          <cell r="I51" t="str">
            <v>Corretiva</v>
          </cell>
          <cell r="J51" t="str">
            <v>Sim</v>
          </cell>
          <cell r="K51" t="str">
            <v>Mecânica</v>
          </cell>
          <cell r="L51" t="str">
            <v>Substituição do(s) Componente(s)</v>
          </cell>
          <cell r="M51" t="str">
            <v>Causa não especificada</v>
          </cell>
          <cell r="N51">
            <v>37769</v>
          </cell>
          <cell r="O51">
            <v>0.61458333333333337</v>
          </cell>
          <cell r="P51">
            <v>37769</v>
          </cell>
          <cell r="Q51">
            <v>0.61458333333333337</v>
          </cell>
          <cell r="T51">
            <v>37769</v>
          </cell>
          <cell r="U51">
            <v>0.625</v>
          </cell>
          <cell r="V51">
            <v>37769</v>
          </cell>
          <cell r="W51">
            <v>0.625</v>
          </cell>
          <cell r="X51">
            <v>1.041666666666663E-2</v>
          </cell>
          <cell r="Y51">
            <v>1.041666666666663E-2</v>
          </cell>
          <cell r="AB51">
            <v>5</v>
          </cell>
          <cell r="AC51">
            <v>4</v>
          </cell>
          <cell r="AD51">
            <v>0</v>
          </cell>
          <cell r="BF51">
            <v>0</v>
          </cell>
          <cell r="BG51">
            <v>0</v>
          </cell>
          <cell r="BH51">
            <v>0</v>
          </cell>
          <cell r="BI51">
            <v>0</v>
          </cell>
          <cell r="BJ51">
            <v>0</v>
          </cell>
          <cell r="BK51">
            <v>0</v>
          </cell>
          <cell r="BL51">
            <v>0</v>
          </cell>
          <cell r="BM51">
            <v>0</v>
          </cell>
          <cell r="BN51">
            <v>0</v>
          </cell>
          <cell r="BO51">
            <v>0</v>
          </cell>
          <cell r="BP51">
            <v>0</v>
          </cell>
          <cell r="BQ51">
            <v>0</v>
          </cell>
          <cell r="BR51">
            <v>0</v>
          </cell>
          <cell r="BS51">
            <v>0</v>
          </cell>
          <cell r="BT51">
            <v>0</v>
          </cell>
          <cell r="BU51">
            <v>0</v>
          </cell>
          <cell r="BV51">
            <v>5</v>
          </cell>
          <cell r="BW51">
            <v>0</v>
          </cell>
          <cell r="BX51">
            <v>0</v>
          </cell>
          <cell r="BY51">
            <v>0</v>
          </cell>
          <cell r="BZ51">
            <v>0</v>
          </cell>
          <cell r="CA51">
            <v>0</v>
          </cell>
          <cell r="CB51">
            <v>0</v>
          </cell>
          <cell r="CC51">
            <v>0</v>
          </cell>
          <cell r="CD51">
            <v>0</v>
          </cell>
        </row>
        <row r="52">
          <cell r="C52">
            <v>37718</v>
          </cell>
          <cell r="D52">
            <v>37831</v>
          </cell>
          <cell r="E52" t="str">
            <v>Márcio</v>
          </cell>
          <cell r="I52">
            <v>0</v>
          </cell>
          <cell r="M52" t="str">
            <v>OS Cancelada</v>
          </cell>
          <cell r="N52">
            <v>0</v>
          </cell>
          <cell r="O52" t="str">
            <v>OS Cancelada</v>
          </cell>
          <cell r="P52">
            <v>0</v>
          </cell>
          <cell r="T52">
            <v>37831</v>
          </cell>
          <cell r="V52">
            <v>0</v>
          </cell>
          <cell r="W52">
            <v>0</v>
          </cell>
          <cell r="X52">
            <v>0</v>
          </cell>
          <cell r="Y52">
            <v>0</v>
          </cell>
          <cell r="AB52">
            <v>7</v>
          </cell>
          <cell r="AC52">
            <v>4</v>
          </cell>
          <cell r="AD52">
            <v>0</v>
          </cell>
          <cell r="BF52">
            <v>0</v>
          </cell>
          <cell r="BG52">
            <v>0</v>
          </cell>
          <cell r="BH52">
            <v>0</v>
          </cell>
          <cell r="BI52">
            <v>0</v>
          </cell>
          <cell r="BJ52">
            <v>0</v>
          </cell>
          <cell r="BK52">
            <v>0</v>
          </cell>
          <cell r="BL52">
            <v>0</v>
          </cell>
          <cell r="BM52">
            <v>0</v>
          </cell>
          <cell r="BN52">
            <v>0</v>
          </cell>
          <cell r="BO52">
            <v>0</v>
          </cell>
          <cell r="BP52">
            <v>0</v>
          </cell>
          <cell r="BQ52">
            <v>0</v>
          </cell>
          <cell r="BR52">
            <v>0</v>
          </cell>
          <cell r="BS52">
            <v>0</v>
          </cell>
          <cell r="BT52">
            <v>0</v>
          </cell>
          <cell r="BU52">
            <v>0</v>
          </cell>
          <cell r="BV52">
            <v>0</v>
          </cell>
          <cell r="BW52">
            <v>0</v>
          </cell>
          <cell r="BX52">
            <v>0</v>
          </cell>
          <cell r="BY52">
            <v>0</v>
          </cell>
          <cell r="BZ52">
            <v>0</v>
          </cell>
          <cell r="CA52">
            <v>0</v>
          </cell>
          <cell r="CB52">
            <v>0</v>
          </cell>
          <cell r="CC52">
            <v>0</v>
          </cell>
          <cell r="CD52">
            <v>0</v>
          </cell>
        </row>
        <row r="53">
          <cell r="C53">
            <v>37718</v>
          </cell>
          <cell r="D53">
            <v>37831</v>
          </cell>
          <cell r="E53" t="str">
            <v>Márcio</v>
          </cell>
          <cell r="I53">
            <v>0</v>
          </cell>
          <cell r="M53" t="str">
            <v>OS Cancelada</v>
          </cell>
          <cell r="N53">
            <v>0</v>
          </cell>
          <cell r="O53" t="str">
            <v>OS Cancelada</v>
          </cell>
          <cell r="P53">
            <v>0</v>
          </cell>
          <cell r="T53">
            <v>37831</v>
          </cell>
          <cell r="V53">
            <v>0</v>
          </cell>
          <cell r="W53">
            <v>0</v>
          </cell>
          <cell r="X53">
            <v>0</v>
          </cell>
          <cell r="Y53">
            <v>0</v>
          </cell>
          <cell r="AB53">
            <v>7</v>
          </cell>
          <cell r="AC53">
            <v>4</v>
          </cell>
          <cell r="AD53">
            <v>0</v>
          </cell>
          <cell r="BF53">
            <v>0</v>
          </cell>
          <cell r="BG53">
            <v>0</v>
          </cell>
          <cell r="BH53">
            <v>0</v>
          </cell>
          <cell r="BI53">
            <v>0</v>
          </cell>
          <cell r="BJ53">
            <v>0</v>
          </cell>
          <cell r="BK53">
            <v>0</v>
          </cell>
          <cell r="BL53">
            <v>0</v>
          </cell>
          <cell r="BM53">
            <v>0</v>
          </cell>
          <cell r="BN53">
            <v>0</v>
          </cell>
          <cell r="BO53">
            <v>0</v>
          </cell>
          <cell r="BP53">
            <v>0</v>
          </cell>
          <cell r="BQ53">
            <v>0</v>
          </cell>
          <cell r="BR53">
            <v>0</v>
          </cell>
          <cell r="BS53">
            <v>0</v>
          </cell>
          <cell r="BT53">
            <v>0</v>
          </cell>
          <cell r="BU53">
            <v>0</v>
          </cell>
          <cell r="BV53">
            <v>0</v>
          </cell>
          <cell r="BW53">
            <v>0</v>
          </cell>
          <cell r="BX53">
            <v>0</v>
          </cell>
          <cell r="BY53">
            <v>0</v>
          </cell>
          <cell r="BZ53">
            <v>0</v>
          </cell>
          <cell r="CA53">
            <v>0</v>
          </cell>
          <cell r="CB53">
            <v>0</v>
          </cell>
          <cell r="CC53">
            <v>0</v>
          </cell>
          <cell r="CD53">
            <v>0</v>
          </cell>
        </row>
        <row r="54">
          <cell r="C54">
            <v>37718</v>
          </cell>
          <cell r="D54">
            <v>37831</v>
          </cell>
          <cell r="E54" t="str">
            <v>Márcio</v>
          </cell>
          <cell r="I54">
            <v>0</v>
          </cell>
          <cell r="M54" t="str">
            <v>OS Cancelada</v>
          </cell>
          <cell r="N54">
            <v>0</v>
          </cell>
          <cell r="O54" t="str">
            <v>OS Cancelada</v>
          </cell>
          <cell r="P54">
            <v>0</v>
          </cell>
          <cell r="T54">
            <v>37831</v>
          </cell>
          <cell r="V54">
            <v>0</v>
          </cell>
          <cell r="W54">
            <v>0</v>
          </cell>
          <cell r="X54">
            <v>0</v>
          </cell>
          <cell r="Y54">
            <v>0</v>
          </cell>
          <cell r="AB54">
            <v>7</v>
          </cell>
          <cell r="AC54">
            <v>4</v>
          </cell>
          <cell r="AD54">
            <v>0</v>
          </cell>
          <cell r="BF54">
            <v>0</v>
          </cell>
          <cell r="BG54">
            <v>0</v>
          </cell>
          <cell r="BH54">
            <v>0</v>
          </cell>
          <cell r="BI54">
            <v>0</v>
          </cell>
          <cell r="BJ54">
            <v>0</v>
          </cell>
          <cell r="BK54">
            <v>0</v>
          </cell>
          <cell r="BL54">
            <v>0</v>
          </cell>
          <cell r="BM54">
            <v>0</v>
          </cell>
          <cell r="BN54">
            <v>0</v>
          </cell>
          <cell r="BO54">
            <v>0</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row>
        <row r="55">
          <cell r="C55">
            <v>37718</v>
          </cell>
          <cell r="D55">
            <v>37785</v>
          </cell>
          <cell r="E55">
            <v>37774</v>
          </cell>
          <cell r="F55">
            <v>0.375</v>
          </cell>
          <cell r="G55" t="str">
            <v>Perfiladora Gasparini</v>
          </cell>
          <cell r="H55" t="str">
            <v>Esteira não funciona (evacuação Viruta)</v>
          </cell>
          <cell r="I55" t="str">
            <v>Corretiva</v>
          </cell>
          <cell r="J55" t="str">
            <v>Sim</v>
          </cell>
          <cell r="K55" t="str">
            <v>Mecânica</v>
          </cell>
          <cell r="L55" t="str">
            <v>Limpeza do Equipamento / Componente</v>
          </cell>
          <cell r="M55" t="str">
            <v>Sujeira em excesso</v>
          </cell>
          <cell r="N55">
            <v>37774</v>
          </cell>
          <cell r="O55">
            <v>0.375</v>
          </cell>
          <cell r="P55">
            <v>37774</v>
          </cell>
          <cell r="Q55">
            <v>0.375</v>
          </cell>
          <cell r="T55">
            <v>37774</v>
          </cell>
          <cell r="U55">
            <v>0.39930555555555558</v>
          </cell>
          <cell r="V55">
            <v>37774</v>
          </cell>
          <cell r="W55">
            <v>0.39930555555555558</v>
          </cell>
          <cell r="X55">
            <v>2.430555555555558E-2</v>
          </cell>
          <cell r="Y55">
            <v>2.4305555554747116E-2</v>
          </cell>
          <cell r="AB55">
            <v>6</v>
          </cell>
          <cell r="AC55">
            <v>4</v>
          </cell>
          <cell r="AD55">
            <v>0</v>
          </cell>
          <cell r="BF55">
            <v>0</v>
          </cell>
          <cell r="BG55">
            <v>0</v>
          </cell>
          <cell r="BH55">
            <v>0</v>
          </cell>
          <cell r="BI55">
            <v>0</v>
          </cell>
          <cell r="BJ55">
            <v>0</v>
          </cell>
          <cell r="BK55">
            <v>0</v>
          </cell>
          <cell r="BL55">
            <v>0</v>
          </cell>
          <cell r="BM55">
            <v>0</v>
          </cell>
          <cell r="BN55">
            <v>0</v>
          </cell>
          <cell r="BO55">
            <v>0</v>
          </cell>
          <cell r="BP55">
            <v>0</v>
          </cell>
          <cell r="BQ55">
            <v>0</v>
          </cell>
          <cell r="BR55">
            <v>0</v>
          </cell>
          <cell r="BS55">
            <v>0</v>
          </cell>
          <cell r="BT55">
            <v>0</v>
          </cell>
          <cell r="BU55">
            <v>0</v>
          </cell>
          <cell r="BV55">
            <v>6</v>
          </cell>
          <cell r="BW55">
            <v>0</v>
          </cell>
          <cell r="BX55">
            <v>0</v>
          </cell>
          <cell r="BY55">
            <v>0</v>
          </cell>
          <cell r="BZ55">
            <v>0</v>
          </cell>
          <cell r="CA55">
            <v>0</v>
          </cell>
          <cell r="CB55">
            <v>0</v>
          </cell>
          <cell r="CC55">
            <v>0</v>
          </cell>
          <cell r="CD55">
            <v>0</v>
          </cell>
        </row>
        <row r="56">
          <cell r="C56">
            <v>37718</v>
          </cell>
          <cell r="D56">
            <v>37785</v>
          </cell>
          <cell r="E56">
            <v>37774</v>
          </cell>
          <cell r="F56">
            <v>0.6875</v>
          </cell>
          <cell r="G56" t="str">
            <v>Perfiladora Gasparini</v>
          </cell>
          <cell r="H56" t="str">
            <v>Esteira danificada (evacuação Viruta)</v>
          </cell>
          <cell r="I56" t="str">
            <v>Corretiva</v>
          </cell>
          <cell r="J56" t="str">
            <v>Sim</v>
          </cell>
          <cell r="K56" t="str">
            <v>Elétrica</v>
          </cell>
          <cell r="L56" t="str">
            <v>Regulagem do comando da máquina</v>
          </cell>
          <cell r="M56" t="str">
            <v>Falha de Comando / Sistema</v>
          </cell>
          <cell r="N56">
            <v>37774</v>
          </cell>
          <cell r="O56">
            <v>0.6875</v>
          </cell>
          <cell r="P56">
            <v>37774</v>
          </cell>
          <cell r="Q56">
            <v>0.6875</v>
          </cell>
          <cell r="T56">
            <v>37774</v>
          </cell>
          <cell r="U56">
            <v>0.74305555555555547</v>
          </cell>
          <cell r="V56">
            <v>37774</v>
          </cell>
          <cell r="W56">
            <v>0.74305555555555547</v>
          </cell>
          <cell r="X56">
            <v>5.5555555555555469E-2</v>
          </cell>
          <cell r="Y56">
            <v>5.5555555554747116E-2</v>
          </cell>
          <cell r="AB56">
            <v>6</v>
          </cell>
          <cell r="AC56">
            <v>4</v>
          </cell>
          <cell r="AD56">
            <v>0</v>
          </cell>
          <cell r="BF56">
            <v>0</v>
          </cell>
          <cell r="BG56">
            <v>0</v>
          </cell>
          <cell r="BH56">
            <v>0</v>
          </cell>
          <cell r="BI56">
            <v>0</v>
          </cell>
          <cell r="BJ56">
            <v>0</v>
          </cell>
          <cell r="BK56">
            <v>0</v>
          </cell>
          <cell r="BL56">
            <v>0</v>
          </cell>
          <cell r="BM56">
            <v>0</v>
          </cell>
          <cell r="BN56">
            <v>0</v>
          </cell>
          <cell r="BO56">
            <v>0</v>
          </cell>
          <cell r="BP56">
            <v>0</v>
          </cell>
          <cell r="BQ56">
            <v>0</v>
          </cell>
          <cell r="BR56">
            <v>0</v>
          </cell>
          <cell r="BS56">
            <v>0</v>
          </cell>
          <cell r="BT56">
            <v>0</v>
          </cell>
          <cell r="BU56">
            <v>0</v>
          </cell>
          <cell r="BV56">
            <v>6</v>
          </cell>
          <cell r="BW56">
            <v>0</v>
          </cell>
          <cell r="BX56">
            <v>0</v>
          </cell>
          <cell r="BY56">
            <v>0</v>
          </cell>
          <cell r="BZ56">
            <v>0</v>
          </cell>
          <cell r="CA56">
            <v>0</v>
          </cell>
          <cell r="CB56">
            <v>0</v>
          </cell>
          <cell r="CC56">
            <v>0</v>
          </cell>
          <cell r="CD56">
            <v>0</v>
          </cell>
        </row>
        <row r="57">
          <cell r="C57">
            <v>37718</v>
          </cell>
          <cell r="D57">
            <v>37727</v>
          </cell>
          <cell r="E57">
            <v>37725</v>
          </cell>
          <cell r="F57">
            <v>0.66666666666666663</v>
          </cell>
          <cell r="G57" t="str">
            <v>Linha de Pintura 3,2m</v>
          </cell>
          <cell r="H57" t="str">
            <v>Necessidade de melhoria quanto à regulagem de ar para a máquina de embalar e para o Revólver</v>
          </cell>
          <cell r="I57" t="str">
            <v>Melhoria</v>
          </cell>
          <cell r="J57" t="str">
            <v>Não</v>
          </cell>
          <cell r="K57" t="str">
            <v>Mecânica</v>
          </cell>
          <cell r="L57" t="str">
            <v>Foi instalada uma conexão tipo "T", de forma que apenas o revólver possua regulagem</v>
          </cell>
          <cell r="M57" t="str">
            <v>Melhoria Técnica</v>
          </cell>
          <cell r="N57">
            <v>37726</v>
          </cell>
          <cell r="O57">
            <v>0.53472222222222221</v>
          </cell>
          <cell r="P57">
            <v>37726</v>
          </cell>
          <cell r="Q57">
            <v>0.53472222222222221</v>
          </cell>
          <cell r="T57">
            <v>37726</v>
          </cell>
          <cell r="U57">
            <v>0.55555555555555558</v>
          </cell>
          <cell r="V57">
            <v>37726</v>
          </cell>
          <cell r="W57">
            <v>0.55555555555555558</v>
          </cell>
          <cell r="X57">
            <v>2.0833333332524906E-2</v>
          </cell>
          <cell r="Y57">
            <v>2.0833333332524906E-2</v>
          </cell>
          <cell r="AB57">
            <v>4</v>
          </cell>
          <cell r="AC57">
            <v>4</v>
          </cell>
          <cell r="AD57" t="str">
            <v>N</v>
          </cell>
          <cell r="BF57">
            <v>0</v>
          </cell>
          <cell r="BG57">
            <v>0</v>
          </cell>
          <cell r="BH57">
            <v>0</v>
          </cell>
          <cell r="BI57">
            <v>0</v>
          </cell>
          <cell r="BJ57">
            <v>0</v>
          </cell>
          <cell r="BK57">
            <v>0</v>
          </cell>
          <cell r="BL57">
            <v>0</v>
          </cell>
          <cell r="BM57">
            <v>0</v>
          </cell>
          <cell r="BN57">
            <v>0</v>
          </cell>
          <cell r="BO57">
            <v>4</v>
          </cell>
          <cell r="BP57">
            <v>0</v>
          </cell>
          <cell r="BQ57">
            <v>0</v>
          </cell>
          <cell r="BR57">
            <v>0</v>
          </cell>
          <cell r="BS57">
            <v>0</v>
          </cell>
          <cell r="BT57">
            <v>0</v>
          </cell>
          <cell r="BU57">
            <v>0</v>
          </cell>
          <cell r="BV57">
            <v>0</v>
          </cell>
          <cell r="BW57">
            <v>0</v>
          </cell>
          <cell r="BX57">
            <v>0</v>
          </cell>
          <cell r="BY57">
            <v>0</v>
          </cell>
          <cell r="BZ57">
            <v>0</v>
          </cell>
          <cell r="CA57">
            <v>0</v>
          </cell>
          <cell r="CB57">
            <v>0</v>
          </cell>
          <cell r="CC57">
            <v>0</v>
          </cell>
          <cell r="CD57">
            <v>0</v>
          </cell>
        </row>
        <row r="58">
          <cell r="C58">
            <v>37718</v>
          </cell>
          <cell r="I58">
            <v>0</v>
          </cell>
          <cell r="N58">
            <v>0</v>
          </cell>
          <cell r="P58">
            <v>0</v>
          </cell>
          <cell r="T58">
            <v>0</v>
          </cell>
          <cell r="V58">
            <v>0</v>
          </cell>
          <cell r="W58">
            <v>0</v>
          </cell>
          <cell r="X58">
            <v>0</v>
          </cell>
          <cell r="Y58">
            <v>0</v>
          </cell>
          <cell r="AB58">
            <v>0</v>
          </cell>
          <cell r="AC58">
            <v>4</v>
          </cell>
          <cell r="AD58">
            <v>0</v>
          </cell>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row>
        <row r="59">
          <cell r="C59">
            <v>37718</v>
          </cell>
          <cell r="D59">
            <v>37746</v>
          </cell>
          <cell r="E59">
            <v>37741</v>
          </cell>
          <cell r="F59">
            <v>0.71527777777777779</v>
          </cell>
          <cell r="G59" t="str">
            <v>Linha de Pintura 3,2m</v>
          </cell>
          <cell r="H59" t="str">
            <v>Mau posicionamento das pistolas da cabine 02. Necessidade de mudança de posicionamento</v>
          </cell>
          <cell r="I59" t="str">
            <v>Melhoria</v>
          </cell>
          <cell r="J59" t="str">
            <v>Não</v>
          </cell>
          <cell r="K59" t="str">
            <v>Mecânica</v>
          </cell>
          <cell r="L59" t="str">
            <v>Mudança e fixação das pistolas e suporte do lado oposto da cabine</v>
          </cell>
          <cell r="M59" t="str">
            <v>Melhoria Técnica</v>
          </cell>
          <cell r="N59">
            <v>37743</v>
          </cell>
          <cell r="O59">
            <v>0.33333333333333331</v>
          </cell>
          <cell r="P59">
            <v>37743</v>
          </cell>
          <cell r="Q59">
            <v>0.33333333333333331</v>
          </cell>
          <cell r="T59">
            <v>37743</v>
          </cell>
          <cell r="U59">
            <v>0.70833333333333337</v>
          </cell>
          <cell r="V59">
            <v>37743</v>
          </cell>
          <cell r="W59">
            <v>0.70833333333333337</v>
          </cell>
          <cell r="X59">
            <v>0.37500000000242534</v>
          </cell>
          <cell r="Y59">
            <v>0.37500000000242534</v>
          </cell>
          <cell r="AB59">
            <v>5</v>
          </cell>
          <cell r="AC59">
            <v>4</v>
          </cell>
          <cell r="AD59">
            <v>0</v>
          </cell>
          <cell r="BF59">
            <v>0</v>
          </cell>
          <cell r="BG59">
            <v>0</v>
          </cell>
          <cell r="BH59">
            <v>0</v>
          </cell>
          <cell r="BI59">
            <v>0</v>
          </cell>
          <cell r="BJ59">
            <v>0</v>
          </cell>
          <cell r="BK59">
            <v>0</v>
          </cell>
          <cell r="BL59">
            <v>0</v>
          </cell>
          <cell r="BM59">
            <v>0</v>
          </cell>
          <cell r="BN59">
            <v>0</v>
          </cell>
          <cell r="BO59">
            <v>5</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row>
        <row r="60">
          <cell r="C60">
            <v>37718</v>
          </cell>
          <cell r="D60">
            <v>37756</v>
          </cell>
          <cell r="E60">
            <v>37746</v>
          </cell>
          <cell r="F60">
            <v>0.52083333333333337</v>
          </cell>
          <cell r="G60" t="str">
            <v>Linha de Pintura 15m</v>
          </cell>
          <cell r="H60" t="str">
            <v>Anomalias no elevador 02 e na pistola 10</v>
          </cell>
          <cell r="I60" t="str">
            <v>Corretiva</v>
          </cell>
          <cell r="J60" t="str">
            <v>Sim</v>
          </cell>
          <cell r="K60" t="str">
            <v>Elétrica</v>
          </cell>
          <cell r="L60" t="str">
            <v>Substituição do(s) Componente(s)</v>
          </cell>
          <cell r="M60" t="str">
            <v>Falha de Comando / Sistema</v>
          </cell>
          <cell r="N60">
            <v>37747</v>
          </cell>
          <cell r="O60">
            <v>0.58333333333333337</v>
          </cell>
          <cell r="P60">
            <v>37747</v>
          </cell>
          <cell r="Q60">
            <v>0.58333333333333337</v>
          </cell>
          <cell r="T60">
            <v>37747</v>
          </cell>
          <cell r="U60">
            <v>0.67708333333333337</v>
          </cell>
          <cell r="V60">
            <v>37747</v>
          </cell>
          <cell r="W60">
            <v>0.67708333333333337</v>
          </cell>
          <cell r="X60">
            <v>9.375E-2</v>
          </cell>
          <cell r="Y60">
            <v>9.3750000002425282E-2</v>
          </cell>
          <cell r="AB60">
            <v>5</v>
          </cell>
          <cell r="AC60">
            <v>4</v>
          </cell>
          <cell r="AD60">
            <v>0</v>
          </cell>
          <cell r="BF60">
            <v>0</v>
          </cell>
          <cell r="BG60">
            <v>0</v>
          </cell>
          <cell r="BH60">
            <v>0</v>
          </cell>
          <cell r="BI60">
            <v>0</v>
          </cell>
          <cell r="BJ60">
            <v>0</v>
          </cell>
          <cell r="BK60">
            <v>0</v>
          </cell>
          <cell r="BL60">
            <v>0</v>
          </cell>
          <cell r="BM60">
            <v>0</v>
          </cell>
          <cell r="BN60">
            <v>5</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row>
        <row r="61">
          <cell r="C61">
            <v>37718</v>
          </cell>
          <cell r="D61">
            <v>37747</v>
          </cell>
          <cell r="E61">
            <v>37747</v>
          </cell>
          <cell r="F61">
            <v>0.4375</v>
          </cell>
          <cell r="G61" t="str">
            <v>Linha de Pintura 3,2m</v>
          </cell>
          <cell r="H61" t="str">
            <v>A alça da tampa do tanque de fosfato quebrou-se</v>
          </cell>
          <cell r="I61" t="str">
            <v>Corretiva</v>
          </cell>
          <cell r="J61" t="str">
            <v>Não</v>
          </cell>
          <cell r="K61" t="str">
            <v>Mecânica</v>
          </cell>
          <cell r="L61" t="str">
            <v>Refeita nova alça de metal, mais resistente ao calor que a anterior</v>
          </cell>
          <cell r="M61" t="str">
            <v>Defeito de Fabricação</v>
          </cell>
          <cell r="N61">
            <v>37747</v>
          </cell>
          <cell r="O61">
            <v>0.4375</v>
          </cell>
          <cell r="P61">
            <v>37747</v>
          </cell>
          <cell r="Q61">
            <v>0.4375</v>
          </cell>
          <cell r="R61">
            <v>37763</v>
          </cell>
          <cell r="S61">
            <v>0.60416666666666663</v>
          </cell>
          <cell r="T61">
            <v>37763</v>
          </cell>
          <cell r="U61">
            <v>0.66666666666666663</v>
          </cell>
          <cell r="V61">
            <v>0</v>
          </cell>
          <cell r="W61">
            <v>6.25E-2</v>
          </cell>
          <cell r="X61">
            <v>6.25E-2</v>
          </cell>
          <cell r="Y61">
            <v>6.25E-2</v>
          </cell>
          <cell r="AB61">
            <v>5</v>
          </cell>
          <cell r="AC61">
            <v>4</v>
          </cell>
          <cell r="AD61">
            <v>0</v>
          </cell>
          <cell r="BF61">
            <v>0</v>
          </cell>
          <cell r="BG61">
            <v>0</v>
          </cell>
          <cell r="BH61">
            <v>0</v>
          </cell>
          <cell r="BI61">
            <v>0</v>
          </cell>
          <cell r="BJ61">
            <v>0</v>
          </cell>
          <cell r="BK61">
            <v>0</v>
          </cell>
          <cell r="BL61">
            <v>0</v>
          </cell>
          <cell r="BM61">
            <v>0</v>
          </cell>
          <cell r="BN61">
            <v>0</v>
          </cell>
          <cell r="BO61">
            <v>5</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row>
        <row r="62">
          <cell r="C62">
            <v>37718</v>
          </cell>
          <cell r="D62">
            <v>37900</v>
          </cell>
          <cell r="E62">
            <v>37875</v>
          </cell>
          <cell r="F62">
            <v>0.5</v>
          </cell>
          <cell r="G62" t="str">
            <v>Linha de Pintura 3,2m</v>
          </cell>
          <cell r="H62" t="str">
            <v>Revólver de Retoque (Líquido) entupido</v>
          </cell>
          <cell r="I62" t="str">
            <v>Corretiva</v>
          </cell>
          <cell r="J62" t="str">
            <v>Não</v>
          </cell>
          <cell r="K62" t="str">
            <v>Mecânica</v>
          </cell>
          <cell r="L62" t="str">
            <v>Limpeza e troca do Kit de Reparo</v>
          </cell>
          <cell r="M62" t="str">
            <v>Desgaste / Fadiga</v>
          </cell>
          <cell r="N62">
            <v>37887</v>
          </cell>
          <cell r="O62">
            <v>0.375</v>
          </cell>
          <cell r="P62">
            <v>37887</v>
          </cell>
          <cell r="Q62">
            <v>0.375</v>
          </cell>
          <cell r="T62">
            <v>37887</v>
          </cell>
          <cell r="U62">
            <v>0.625</v>
          </cell>
          <cell r="V62">
            <v>37887</v>
          </cell>
          <cell r="W62">
            <v>0.625</v>
          </cell>
          <cell r="X62">
            <v>0.25</v>
          </cell>
          <cell r="Y62">
            <v>0.25</v>
          </cell>
          <cell r="AB62">
            <v>9</v>
          </cell>
          <cell r="AC62">
            <v>4</v>
          </cell>
          <cell r="AD62">
            <v>0</v>
          </cell>
          <cell r="BF62">
            <v>0</v>
          </cell>
          <cell r="BG62">
            <v>0</v>
          </cell>
          <cell r="BH62">
            <v>0</v>
          </cell>
          <cell r="BI62">
            <v>0</v>
          </cell>
          <cell r="BJ62">
            <v>0</v>
          </cell>
          <cell r="BK62">
            <v>0</v>
          </cell>
          <cell r="BL62">
            <v>0</v>
          </cell>
          <cell r="BM62">
            <v>0</v>
          </cell>
          <cell r="BN62">
            <v>0</v>
          </cell>
          <cell r="BO62">
            <v>9</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row>
        <row r="63">
          <cell r="C63">
            <v>37718</v>
          </cell>
          <cell r="D63">
            <v>37902</v>
          </cell>
          <cell r="E63">
            <v>37890</v>
          </cell>
          <cell r="F63">
            <v>0.41666666666666669</v>
          </cell>
          <cell r="G63" t="str">
            <v>Linha de Pintura 3,2m</v>
          </cell>
          <cell r="H63" t="str">
            <v>A alça da tampa do tanque de enxague quebrou-se</v>
          </cell>
          <cell r="I63" t="str">
            <v>Corretiva</v>
          </cell>
          <cell r="J63" t="str">
            <v>Não</v>
          </cell>
          <cell r="K63" t="str">
            <v>Mecânica</v>
          </cell>
          <cell r="L63" t="str">
            <v>Substituição do(s) Componente(s)</v>
          </cell>
          <cell r="M63" t="str">
            <v>Falha de Projeto</v>
          </cell>
          <cell r="N63">
            <v>37897</v>
          </cell>
          <cell r="O63">
            <v>0.47916666666666669</v>
          </cell>
          <cell r="P63">
            <v>37897</v>
          </cell>
          <cell r="Q63">
            <v>0.47916666666666669</v>
          </cell>
          <cell r="T63">
            <v>37897</v>
          </cell>
          <cell r="U63">
            <v>0.625</v>
          </cell>
          <cell r="V63">
            <v>37897</v>
          </cell>
          <cell r="W63">
            <v>0.625</v>
          </cell>
          <cell r="X63">
            <v>0.14583333333333331</v>
          </cell>
          <cell r="Y63">
            <v>0.14583333333333331</v>
          </cell>
          <cell r="AB63">
            <v>10</v>
          </cell>
          <cell r="AC63">
            <v>4</v>
          </cell>
          <cell r="AD63">
            <v>0</v>
          </cell>
          <cell r="BF63">
            <v>0</v>
          </cell>
          <cell r="BG63">
            <v>0</v>
          </cell>
          <cell r="BH63">
            <v>0</v>
          </cell>
          <cell r="BI63">
            <v>0</v>
          </cell>
          <cell r="BJ63">
            <v>0</v>
          </cell>
          <cell r="BK63">
            <v>0</v>
          </cell>
          <cell r="BL63">
            <v>0</v>
          </cell>
          <cell r="BM63">
            <v>0</v>
          </cell>
          <cell r="BN63">
            <v>0</v>
          </cell>
          <cell r="BO63">
            <v>10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row>
        <row r="64">
          <cell r="C64">
            <v>37718</v>
          </cell>
          <cell r="D64">
            <v>37902</v>
          </cell>
          <cell r="E64">
            <v>37890</v>
          </cell>
          <cell r="F64">
            <v>0.27083333333333331</v>
          </cell>
          <cell r="G64" t="str">
            <v>Linha de Pintura 3,2m</v>
          </cell>
          <cell r="H64" t="str">
            <v>Queimador do tanque de fosfato não funciona</v>
          </cell>
          <cell r="I64" t="str">
            <v>Corretiva</v>
          </cell>
          <cell r="J64" t="str">
            <v>Sim</v>
          </cell>
          <cell r="K64" t="str">
            <v>Elétrica</v>
          </cell>
          <cell r="L64" t="str">
            <v>Reparo</v>
          </cell>
          <cell r="M64" t="str">
            <v>Desgaste / Fadiga</v>
          </cell>
          <cell r="N64">
            <v>37890</v>
          </cell>
          <cell r="O64">
            <v>0.33333333333333331</v>
          </cell>
          <cell r="P64">
            <v>37890</v>
          </cell>
          <cell r="Q64">
            <v>0.33333333333333331</v>
          </cell>
          <cell r="T64">
            <v>37890</v>
          </cell>
          <cell r="U64">
            <v>0.52777777777777779</v>
          </cell>
          <cell r="V64">
            <v>37890</v>
          </cell>
          <cell r="W64">
            <v>0.52777777777777779</v>
          </cell>
          <cell r="X64">
            <v>0.19444444444444448</v>
          </cell>
          <cell r="Y64">
            <v>0.19444444444767822</v>
          </cell>
          <cell r="AB64">
            <v>9</v>
          </cell>
          <cell r="AC64">
            <v>4</v>
          </cell>
          <cell r="AD64">
            <v>0</v>
          </cell>
          <cell r="BF64">
            <v>0</v>
          </cell>
          <cell r="BG64">
            <v>0</v>
          </cell>
          <cell r="BH64">
            <v>0</v>
          </cell>
          <cell r="BI64">
            <v>0</v>
          </cell>
          <cell r="BJ64">
            <v>0</v>
          </cell>
          <cell r="BK64">
            <v>0</v>
          </cell>
          <cell r="BL64">
            <v>0</v>
          </cell>
          <cell r="BM64">
            <v>0</v>
          </cell>
          <cell r="BN64">
            <v>0</v>
          </cell>
          <cell r="BO64">
            <v>9</v>
          </cell>
          <cell r="BP64">
            <v>0</v>
          </cell>
          <cell r="BQ64">
            <v>0</v>
          </cell>
          <cell r="BR64">
            <v>0</v>
          </cell>
          <cell r="BS64">
            <v>0</v>
          </cell>
          <cell r="BT64">
            <v>0</v>
          </cell>
          <cell r="BU64">
            <v>0</v>
          </cell>
          <cell r="BV64">
            <v>0</v>
          </cell>
          <cell r="BW64">
            <v>0</v>
          </cell>
          <cell r="BX64">
            <v>0</v>
          </cell>
          <cell r="BY64">
            <v>0</v>
          </cell>
          <cell r="BZ64">
            <v>0</v>
          </cell>
          <cell r="CA64">
            <v>0</v>
          </cell>
          <cell r="CB64">
            <v>0</v>
          </cell>
          <cell r="CC64">
            <v>0</v>
          </cell>
          <cell r="CD64">
            <v>0</v>
          </cell>
        </row>
        <row r="65">
          <cell r="C65">
            <v>37718</v>
          </cell>
          <cell r="D65">
            <v>37902</v>
          </cell>
          <cell r="E65">
            <v>37894</v>
          </cell>
          <cell r="F65">
            <v>0.41666666666666669</v>
          </cell>
          <cell r="G65" t="str">
            <v>Linha de Pintura 3,2m</v>
          </cell>
          <cell r="H65" t="str">
            <v>Vazamento no solenóide do fosfato</v>
          </cell>
          <cell r="I65" t="str">
            <v>Corretiva</v>
          </cell>
          <cell r="J65" t="str">
            <v>Não</v>
          </cell>
          <cell r="K65" t="str">
            <v>Elétrica</v>
          </cell>
          <cell r="L65" t="str">
            <v>Contenção do vazamento</v>
          </cell>
          <cell r="M65" t="str">
            <v>Falha de Montagem / Preparação</v>
          </cell>
          <cell r="N65">
            <v>37897</v>
          </cell>
          <cell r="O65">
            <v>0.375</v>
          </cell>
          <cell r="P65">
            <v>37897</v>
          </cell>
          <cell r="Q65">
            <v>0.375</v>
          </cell>
          <cell r="T65">
            <v>37897</v>
          </cell>
          <cell r="U65">
            <v>0.47916666666666669</v>
          </cell>
          <cell r="V65">
            <v>37897</v>
          </cell>
          <cell r="W65">
            <v>0.47916666666666669</v>
          </cell>
          <cell r="X65">
            <v>0.10416666666424135</v>
          </cell>
          <cell r="Y65">
            <v>0.10416666666424135</v>
          </cell>
          <cell r="AB65">
            <v>10</v>
          </cell>
          <cell r="AC65">
            <v>4</v>
          </cell>
          <cell r="AD65">
            <v>0</v>
          </cell>
          <cell r="BF65">
            <v>0</v>
          </cell>
          <cell r="BG65">
            <v>0</v>
          </cell>
          <cell r="BH65">
            <v>0</v>
          </cell>
          <cell r="BI65">
            <v>0</v>
          </cell>
          <cell r="BJ65">
            <v>0</v>
          </cell>
          <cell r="BK65">
            <v>0</v>
          </cell>
          <cell r="BL65">
            <v>0</v>
          </cell>
          <cell r="BM65">
            <v>0</v>
          </cell>
          <cell r="BN65">
            <v>0</v>
          </cell>
          <cell r="BO65">
            <v>10</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row>
        <row r="66">
          <cell r="C66">
            <v>37718</v>
          </cell>
          <cell r="D66">
            <v>37970</v>
          </cell>
          <cell r="E66">
            <v>37923</v>
          </cell>
          <cell r="F66">
            <v>37923</v>
          </cell>
          <cell r="G66">
            <v>0.65625</v>
          </cell>
          <cell r="H66" t="str">
            <v>Braço do Robô está com problemas de movimentação</v>
          </cell>
          <cell r="I66" t="str">
            <v>Corretiva</v>
          </cell>
          <cell r="J66" t="str">
            <v>Sim</v>
          </cell>
          <cell r="K66" t="str">
            <v>Elétrica</v>
          </cell>
          <cell r="L66" t="str">
            <v>Sim</v>
          </cell>
          <cell r="M66" t="str">
            <v>Mau contato</v>
          </cell>
          <cell r="N66">
            <v>37923</v>
          </cell>
          <cell r="O66">
            <v>0.65625</v>
          </cell>
          <cell r="P66">
            <v>37923</v>
          </cell>
          <cell r="Q66">
            <v>0.65625</v>
          </cell>
          <cell r="T66">
            <v>37923</v>
          </cell>
          <cell r="U66">
            <v>0.66666666666666663</v>
          </cell>
          <cell r="V66">
            <v>37923</v>
          </cell>
          <cell r="W66">
            <v>0.66666666666666663</v>
          </cell>
          <cell r="X66">
            <v>1.041666666666663E-2</v>
          </cell>
          <cell r="Y66">
            <v>1.0416666664241347E-2</v>
          </cell>
          <cell r="AB66">
            <v>10</v>
          </cell>
          <cell r="AC66">
            <v>4</v>
          </cell>
          <cell r="AD66">
            <v>0</v>
          </cell>
          <cell r="BF66">
            <v>0</v>
          </cell>
          <cell r="BG66">
            <v>0</v>
          </cell>
          <cell r="BH66">
            <v>0</v>
          </cell>
          <cell r="BI66">
            <v>0</v>
          </cell>
          <cell r="BJ66">
            <v>0</v>
          </cell>
          <cell r="BK66">
            <v>0</v>
          </cell>
          <cell r="BL66">
            <v>0</v>
          </cell>
          <cell r="BM66">
            <v>0</v>
          </cell>
          <cell r="BN66">
            <v>0</v>
          </cell>
          <cell r="BO66">
            <v>10</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row>
        <row r="67">
          <cell r="C67">
            <v>37718</v>
          </cell>
          <cell r="D67">
            <v>37756</v>
          </cell>
          <cell r="E67">
            <v>37754</v>
          </cell>
          <cell r="F67">
            <v>0.625</v>
          </cell>
          <cell r="G67" t="str">
            <v>Linha de Pintura 8,5m</v>
          </cell>
          <cell r="H67" t="str">
            <v>Pistola de Pintura eletrostática não está funcionando</v>
          </cell>
          <cell r="I67" t="str">
            <v>Corretiva</v>
          </cell>
          <cell r="J67" t="str">
            <v>Sim</v>
          </cell>
          <cell r="K67" t="str">
            <v>Elétrica</v>
          </cell>
          <cell r="L67" t="str">
            <v>Soldagem da fiação interna da pistola e limpeza interna da mesma</v>
          </cell>
          <cell r="M67" t="str">
            <v>Sujeira em excesso</v>
          </cell>
          <cell r="N67">
            <v>37754</v>
          </cell>
          <cell r="O67">
            <v>0.625</v>
          </cell>
          <cell r="P67">
            <v>37754</v>
          </cell>
          <cell r="Q67">
            <v>0.625</v>
          </cell>
          <cell r="T67">
            <v>37754</v>
          </cell>
          <cell r="U67">
            <v>0.66666666666666663</v>
          </cell>
          <cell r="V67">
            <v>37754</v>
          </cell>
          <cell r="W67">
            <v>0.66666666666666663</v>
          </cell>
          <cell r="X67">
            <v>4.166666666666663E-2</v>
          </cell>
          <cell r="Y67">
            <v>4.1666666664241347E-2</v>
          </cell>
          <cell r="AB67">
            <v>5</v>
          </cell>
          <cell r="AC67">
            <v>4</v>
          </cell>
          <cell r="AD67">
            <v>0</v>
          </cell>
          <cell r="BF67">
            <v>0</v>
          </cell>
          <cell r="BG67">
            <v>0</v>
          </cell>
          <cell r="BH67">
            <v>0</v>
          </cell>
          <cell r="BI67">
            <v>0</v>
          </cell>
          <cell r="BJ67">
            <v>0</v>
          </cell>
          <cell r="BK67">
            <v>0</v>
          </cell>
          <cell r="BL67">
            <v>0</v>
          </cell>
          <cell r="BM67">
            <v>0</v>
          </cell>
          <cell r="BN67">
            <v>0</v>
          </cell>
          <cell r="BO67">
            <v>0</v>
          </cell>
          <cell r="BP67">
            <v>5</v>
          </cell>
          <cell r="BQ67">
            <v>0</v>
          </cell>
          <cell r="BR67">
            <v>0</v>
          </cell>
          <cell r="BS67">
            <v>0</v>
          </cell>
          <cell r="BT67">
            <v>0</v>
          </cell>
          <cell r="BU67">
            <v>0</v>
          </cell>
          <cell r="BV67">
            <v>0</v>
          </cell>
          <cell r="BW67">
            <v>0</v>
          </cell>
          <cell r="BX67">
            <v>0</v>
          </cell>
          <cell r="BY67">
            <v>0</v>
          </cell>
          <cell r="BZ67">
            <v>0</v>
          </cell>
          <cell r="CA67">
            <v>0</v>
          </cell>
          <cell r="CB67">
            <v>0</v>
          </cell>
          <cell r="CC67">
            <v>0</v>
          </cell>
          <cell r="CD67">
            <v>0</v>
          </cell>
        </row>
        <row r="68">
          <cell r="C68">
            <v>37718</v>
          </cell>
          <cell r="I68">
            <v>0</v>
          </cell>
          <cell r="N68">
            <v>0</v>
          </cell>
          <cell r="P68">
            <v>0</v>
          </cell>
          <cell r="T68">
            <v>0</v>
          </cell>
          <cell r="V68">
            <v>0</v>
          </cell>
          <cell r="W68">
            <v>0</v>
          </cell>
          <cell r="X68">
            <v>0</v>
          </cell>
          <cell r="Y68">
            <v>0</v>
          </cell>
          <cell r="AB68">
            <v>0</v>
          </cell>
          <cell r="AC68">
            <v>4</v>
          </cell>
          <cell r="AD68">
            <v>0</v>
          </cell>
          <cell r="BF68">
            <v>0</v>
          </cell>
          <cell r="BG68">
            <v>0</v>
          </cell>
          <cell r="BH68">
            <v>0</v>
          </cell>
          <cell r="BI68">
            <v>0</v>
          </cell>
          <cell r="BJ68">
            <v>0</v>
          </cell>
          <cell r="BK68">
            <v>0</v>
          </cell>
          <cell r="BL68">
            <v>0</v>
          </cell>
          <cell r="BM68">
            <v>0</v>
          </cell>
          <cell r="BN68">
            <v>0</v>
          </cell>
          <cell r="BO68">
            <v>0</v>
          </cell>
          <cell r="BP68">
            <v>0</v>
          </cell>
          <cell r="BQ68">
            <v>0</v>
          </cell>
          <cell r="BR68">
            <v>0</v>
          </cell>
          <cell r="BS68">
            <v>0</v>
          </cell>
          <cell r="BT68">
            <v>0</v>
          </cell>
          <cell r="BU68">
            <v>0</v>
          </cell>
          <cell r="BV68">
            <v>0</v>
          </cell>
          <cell r="BW68">
            <v>0</v>
          </cell>
          <cell r="BX68">
            <v>0</v>
          </cell>
          <cell r="BY68">
            <v>0</v>
          </cell>
          <cell r="BZ68">
            <v>0</v>
          </cell>
          <cell r="CA68">
            <v>0</v>
          </cell>
          <cell r="CB68">
            <v>0</v>
          </cell>
          <cell r="CC68">
            <v>0</v>
          </cell>
          <cell r="CD68">
            <v>0</v>
          </cell>
        </row>
        <row r="69">
          <cell r="C69">
            <v>37718</v>
          </cell>
          <cell r="I69">
            <v>0</v>
          </cell>
          <cell r="N69">
            <v>0</v>
          </cell>
          <cell r="P69">
            <v>0</v>
          </cell>
          <cell r="T69">
            <v>0</v>
          </cell>
          <cell r="V69">
            <v>0</v>
          </cell>
          <cell r="W69">
            <v>0</v>
          </cell>
          <cell r="X69">
            <v>0</v>
          </cell>
          <cell r="Y69">
            <v>0</v>
          </cell>
          <cell r="AB69">
            <v>0</v>
          </cell>
          <cell r="AC69">
            <v>4</v>
          </cell>
          <cell r="AD69">
            <v>0</v>
          </cell>
          <cell r="BF69">
            <v>0</v>
          </cell>
          <cell r="BG69">
            <v>0</v>
          </cell>
          <cell r="BH69">
            <v>0</v>
          </cell>
          <cell r="BI69">
            <v>0</v>
          </cell>
          <cell r="BJ69">
            <v>0</v>
          </cell>
          <cell r="BK69">
            <v>0</v>
          </cell>
          <cell r="BL69">
            <v>0</v>
          </cell>
          <cell r="BM69">
            <v>0</v>
          </cell>
          <cell r="BN69">
            <v>0</v>
          </cell>
          <cell r="BO69">
            <v>0</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row>
        <row r="70">
          <cell r="C70">
            <v>37718</v>
          </cell>
          <cell r="I70">
            <v>0</v>
          </cell>
          <cell r="N70">
            <v>0</v>
          </cell>
          <cell r="P70">
            <v>0</v>
          </cell>
          <cell r="T70">
            <v>0</v>
          </cell>
          <cell r="V70">
            <v>0</v>
          </cell>
          <cell r="W70">
            <v>0</v>
          </cell>
          <cell r="X70">
            <v>0</v>
          </cell>
          <cell r="Y70">
            <v>0</v>
          </cell>
          <cell r="AB70">
            <v>0</v>
          </cell>
          <cell r="AC70">
            <v>4</v>
          </cell>
          <cell r="AD70">
            <v>0</v>
          </cell>
          <cell r="BF70">
            <v>0</v>
          </cell>
          <cell r="BG70">
            <v>0</v>
          </cell>
          <cell r="BH70">
            <v>0</v>
          </cell>
          <cell r="BI70">
            <v>0</v>
          </cell>
          <cell r="BJ70">
            <v>0</v>
          </cell>
          <cell r="BK70">
            <v>0</v>
          </cell>
          <cell r="BL70">
            <v>0</v>
          </cell>
          <cell r="BM70">
            <v>0</v>
          </cell>
          <cell r="BN70">
            <v>0</v>
          </cell>
          <cell r="BO70">
            <v>0</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row>
        <row r="71">
          <cell r="C71">
            <v>37718</v>
          </cell>
          <cell r="D71">
            <v>37722</v>
          </cell>
          <cell r="E71">
            <v>37722</v>
          </cell>
          <cell r="F71">
            <v>0.33333333333333331</v>
          </cell>
          <cell r="G71" t="str">
            <v>Sala dos Compressores</v>
          </cell>
          <cell r="H71" t="str">
            <v>Luminária não acende</v>
          </cell>
          <cell r="I71" t="str">
            <v>Corretiva</v>
          </cell>
          <cell r="J71" t="str">
            <v>Não</v>
          </cell>
          <cell r="K71" t="str">
            <v>Elétrica</v>
          </cell>
          <cell r="L71" t="str">
            <v>Correção de mau contato</v>
          </cell>
          <cell r="M71" t="str">
            <v>Sujeira em excesso</v>
          </cell>
          <cell r="N71">
            <v>37726</v>
          </cell>
          <cell r="O71">
            <v>0.41666666666666669</v>
          </cell>
          <cell r="P71">
            <v>37726</v>
          </cell>
          <cell r="Q71">
            <v>0.41666666666666669</v>
          </cell>
          <cell r="T71">
            <v>37726</v>
          </cell>
          <cell r="U71">
            <v>0.43055555555555558</v>
          </cell>
          <cell r="V71">
            <v>37726</v>
          </cell>
          <cell r="W71">
            <v>0.43055555555555558</v>
          </cell>
          <cell r="X71">
            <v>1.3888888888080431E-2</v>
          </cell>
          <cell r="Y71">
            <v>1.3888888888080431E-2</v>
          </cell>
          <cell r="AB71">
            <v>4</v>
          </cell>
          <cell r="AC71">
            <v>4</v>
          </cell>
          <cell r="AD71" t="str">
            <v>N</v>
          </cell>
          <cell r="BF71">
            <v>0</v>
          </cell>
          <cell r="BG71">
            <v>0</v>
          </cell>
          <cell r="BH71">
            <v>0</v>
          </cell>
          <cell r="BI71">
            <v>0</v>
          </cell>
          <cell r="BJ71">
            <v>0</v>
          </cell>
          <cell r="BK71">
            <v>0</v>
          </cell>
          <cell r="BL71">
            <v>0</v>
          </cell>
          <cell r="BM71">
            <v>0</v>
          </cell>
          <cell r="BN71">
            <v>0</v>
          </cell>
          <cell r="BO71">
            <v>0</v>
          </cell>
          <cell r="BP71">
            <v>0</v>
          </cell>
          <cell r="BQ71">
            <v>0</v>
          </cell>
          <cell r="BR71">
            <v>0</v>
          </cell>
          <cell r="BS71">
            <v>0</v>
          </cell>
          <cell r="BT71">
            <v>0</v>
          </cell>
          <cell r="BU71">
            <v>0</v>
          </cell>
          <cell r="BV71">
            <v>0</v>
          </cell>
          <cell r="BW71">
            <v>0</v>
          </cell>
          <cell r="BX71">
            <v>0</v>
          </cell>
          <cell r="BY71">
            <v>0</v>
          </cell>
          <cell r="BZ71">
            <v>0</v>
          </cell>
          <cell r="CA71">
            <v>0</v>
          </cell>
          <cell r="CB71">
            <v>4</v>
          </cell>
          <cell r="CC71">
            <v>0</v>
          </cell>
          <cell r="CD71">
            <v>0</v>
          </cell>
        </row>
        <row r="72">
          <cell r="C72">
            <v>37718</v>
          </cell>
          <cell r="D72">
            <v>37727</v>
          </cell>
          <cell r="E72">
            <v>37722</v>
          </cell>
          <cell r="F72">
            <v>0.6875</v>
          </cell>
          <cell r="G72" t="str">
            <v>Prensa Jundiaí</v>
          </cell>
          <cell r="H72" t="str">
            <v>Vazamento de Óleo na tampa lateral da Máquina</v>
          </cell>
          <cell r="I72" t="str">
            <v>Corretiva</v>
          </cell>
          <cell r="J72" t="str">
            <v>Não</v>
          </cell>
          <cell r="K72" t="str">
            <v>Mecânica</v>
          </cell>
          <cell r="L72" t="str">
            <v>Reparo</v>
          </cell>
          <cell r="M72" t="str">
            <v>Vibração</v>
          </cell>
          <cell r="N72">
            <v>37723</v>
          </cell>
          <cell r="O72">
            <v>0.41666666666666669</v>
          </cell>
          <cell r="P72">
            <v>37723</v>
          </cell>
          <cell r="Q72">
            <v>0.41666666666666669</v>
          </cell>
          <cell r="T72">
            <v>37723</v>
          </cell>
          <cell r="U72">
            <v>0.4375</v>
          </cell>
          <cell r="V72">
            <v>37723</v>
          </cell>
          <cell r="W72">
            <v>0.4375</v>
          </cell>
          <cell r="X72">
            <v>2.0833333333333315E-2</v>
          </cell>
          <cell r="Y72">
            <v>2.0833333333333315E-2</v>
          </cell>
          <cell r="AB72">
            <v>4</v>
          </cell>
          <cell r="AC72">
            <v>4</v>
          </cell>
          <cell r="AD72" t="str">
            <v>N</v>
          </cell>
          <cell r="BF72">
            <v>0</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cell r="BY72">
            <v>4</v>
          </cell>
          <cell r="BZ72">
            <v>0</v>
          </cell>
          <cell r="CA72">
            <v>0</v>
          </cell>
          <cell r="CB72">
            <v>0</v>
          </cell>
          <cell r="CC72">
            <v>0</v>
          </cell>
          <cell r="CD72">
            <v>0</v>
          </cell>
        </row>
        <row r="73">
          <cell r="C73">
            <v>37718</v>
          </cell>
          <cell r="D73">
            <v>37727</v>
          </cell>
          <cell r="E73">
            <v>37722</v>
          </cell>
          <cell r="F73">
            <v>0.6875</v>
          </cell>
          <cell r="G73" t="str">
            <v>Perfiladora Fagor Largueros</v>
          </cell>
          <cell r="H73" t="str">
            <v>Acoplamento do Servomotor encontra-se com 03 dos 06 parafusos quebrados</v>
          </cell>
          <cell r="I73" t="str">
            <v>Corretiva</v>
          </cell>
          <cell r="J73" t="str">
            <v>Não</v>
          </cell>
          <cell r="K73" t="str">
            <v>Mecânica</v>
          </cell>
          <cell r="L73" t="str">
            <v>Reparo</v>
          </cell>
          <cell r="M73" t="str">
            <v>Falha de Regulagem / Configuração / Dimensionamento</v>
          </cell>
          <cell r="N73">
            <v>37723</v>
          </cell>
          <cell r="O73">
            <v>0.4375</v>
          </cell>
          <cell r="P73">
            <v>37723</v>
          </cell>
          <cell r="Q73">
            <v>0.4375</v>
          </cell>
          <cell r="T73">
            <v>37723</v>
          </cell>
          <cell r="U73">
            <v>0.47916666666666669</v>
          </cell>
          <cell r="V73">
            <v>37723</v>
          </cell>
          <cell r="W73">
            <v>0.47916666666666669</v>
          </cell>
          <cell r="X73">
            <v>4.1666666664241347E-2</v>
          </cell>
          <cell r="Y73">
            <v>4.1666666664241347E-2</v>
          </cell>
          <cell r="AB73">
            <v>4</v>
          </cell>
          <cell r="AC73">
            <v>4</v>
          </cell>
          <cell r="AD73" t="str">
            <v>N</v>
          </cell>
          <cell r="BF73">
            <v>0</v>
          </cell>
          <cell r="BG73">
            <v>0</v>
          </cell>
          <cell r="BH73">
            <v>0</v>
          </cell>
          <cell r="BI73">
            <v>0</v>
          </cell>
          <cell r="BJ73">
            <v>0</v>
          </cell>
          <cell r="BK73">
            <v>0</v>
          </cell>
          <cell r="BL73">
            <v>0</v>
          </cell>
          <cell r="BM73">
            <v>0</v>
          </cell>
          <cell r="BN73">
            <v>0</v>
          </cell>
          <cell r="BO73">
            <v>0</v>
          </cell>
          <cell r="BP73">
            <v>0</v>
          </cell>
          <cell r="BQ73">
            <v>0</v>
          </cell>
          <cell r="BR73">
            <v>0</v>
          </cell>
          <cell r="BS73">
            <v>0</v>
          </cell>
          <cell r="BT73">
            <v>4</v>
          </cell>
          <cell r="BU73">
            <v>0</v>
          </cell>
          <cell r="BV73">
            <v>0</v>
          </cell>
          <cell r="BW73">
            <v>0</v>
          </cell>
          <cell r="BX73">
            <v>0</v>
          </cell>
          <cell r="BY73">
            <v>0</v>
          </cell>
          <cell r="BZ73">
            <v>0</v>
          </cell>
          <cell r="CA73">
            <v>0</v>
          </cell>
          <cell r="CB73">
            <v>0</v>
          </cell>
          <cell r="CC73">
            <v>0</v>
          </cell>
          <cell r="CD73">
            <v>0</v>
          </cell>
        </row>
        <row r="74">
          <cell r="C74">
            <v>37718</v>
          </cell>
          <cell r="D74">
            <v>37746</v>
          </cell>
          <cell r="E74">
            <v>37744</v>
          </cell>
          <cell r="F74">
            <v>0.33333333333333331</v>
          </cell>
          <cell r="G74" t="str">
            <v>Linha de Pintura 15m</v>
          </cell>
          <cell r="H74" t="str">
            <v>Fazer instalação de ar comprimido dos 02 lados para a cabine ser usada nas linhas de 8,5 e 15m</v>
          </cell>
          <cell r="I74" t="str">
            <v>Melhoria</v>
          </cell>
          <cell r="J74" t="str">
            <v>Não</v>
          </cell>
          <cell r="K74" t="str">
            <v>Mecânica</v>
          </cell>
          <cell r="L74" t="str">
            <v>Montagem / Instalação</v>
          </cell>
          <cell r="M74" t="str">
            <v>Melhoria Técnica</v>
          </cell>
          <cell r="N74">
            <v>37744</v>
          </cell>
          <cell r="O74">
            <v>0.34930555555555554</v>
          </cell>
          <cell r="P74">
            <v>37744</v>
          </cell>
          <cell r="Q74">
            <v>0.34930555555555554</v>
          </cell>
          <cell r="T74">
            <v>37744</v>
          </cell>
          <cell r="U74">
            <v>0.68263888888888891</v>
          </cell>
          <cell r="V74">
            <v>37744</v>
          </cell>
          <cell r="W74">
            <v>0.68263888888888891</v>
          </cell>
          <cell r="X74">
            <v>0.33333333333203985</v>
          </cell>
          <cell r="Y74">
            <v>0.33333333333203985</v>
          </cell>
          <cell r="AB74">
            <v>5</v>
          </cell>
          <cell r="AC74">
            <v>4</v>
          </cell>
          <cell r="AD74">
            <v>0</v>
          </cell>
          <cell r="BF74">
            <v>0</v>
          </cell>
          <cell r="BG74">
            <v>0</v>
          </cell>
          <cell r="BH74">
            <v>0</v>
          </cell>
          <cell r="BI74">
            <v>0</v>
          </cell>
          <cell r="BJ74">
            <v>0</v>
          </cell>
          <cell r="BK74">
            <v>0</v>
          </cell>
          <cell r="BL74">
            <v>0</v>
          </cell>
          <cell r="BM74">
            <v>0</v>
          </cell>
          <cell r="BN74">
            <v>5</v>
          </cell>
          <cell r="BO74">
            <v>0</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row>
        <row r="75">
          <cell r="C75">
            <v>37718</v>
          </cell>
          <cell r="D75">
            <v>37746</v>
          </cell>
          <cell r="E75">
            <v>37746</v>
          </cell>
          <cell r="F75">
            <v>0.33333333333333331</v>
          </cell>
          <cell r="G75" t="str">
            <v>Linha de Pintura 3,2m</v>
          </cell>
          <cell r="H75" t="str">
            <v>Instalar parte elétrica das pistolas já instaladas conforme OS 068/03</v>
          </cell>
          <cell r="I75" t="str">
            <v>Melhoria</v>
          </cell>
          <cell r="J75" t="str">
            <v>Não</v>
          </cell>
          <cell r="K75" t="str">
            <v>Elétrica</v>
          </cell>
          <cell r="L75" t="str">
            <v>Montagem / Instalação</v>
          </cell>
          <cell r="M75" t="str">
            <v>Melhoria Técnica</v>
          </cell>
          <cell r="N75">
            <v>37746</v>
          </cell>
          <cell r="O75">
            <v>0.33333333333333331</v>
          </cell>
          <cell r="P75">
            <v>37746</v>
          </cell>
          <cell r="Q75">
            <v>0.33333333333333331</v>
          </cell>
          <cell r="R75">
            <v>37792</v>
          </cell>
          <cell r="S75">
            <v>0.66666666666666663</v>
          </cell>
          <cell r="T75">
            <v>37792</v>
          </cell>
          <cell r="U75">
            <v>0.6875</v>
          </cell>
          <cell r="V75">
            <v>0</v>
          </cell>
          <cell r="W75">
            <v>2.083333333333337E-2</v>
          </cell>
          <cell r="X75">
            <v>2.083333333333337E-2</v>
          </cell>
          <cell r="Y75">
            <v>2.083333333333337E-2</v>
          </cell>
          <cell r="AB75">
            <v>6</v>
          </cell>
          <cell r="AC75">
            <v>4</v>
          </cell>
          <cell r="AD75">
            <v>0</v>
          </cell>
          <cell r="BF75">
            <v>0</v>
          </cell>
          <cell r="BG75">
            <v>0</v>
          </cell>
          <cell r="BH75">
            <v>0</v>
          </cell>
          <cell r="BI75">
            <v>0</v>
          </cell>
          <cell r="BJ75">
            <v>0</v>
          </cell>
          <cell r="BK75">
            <v>0</v>
          </cell>
          <cell r="BL75">
            <v>0</v>
          </cell>
          <cell r="BM75">
            <v>0</v>
          </cell>
          <cell r="BN75">
            <v>0</v>
          </cell>
          <cell r="BO75">
            <v>6</v>
          </cell>
          <cell r="BP75">
            <v>0</v>
          </cell>
          <cell r="BQ75">
            <v>0</v>
          </cell>
          <cell r="BR75">
            <v>0</v>
          </cell>
          <cell r="BS75">
            <v>0</v>
          </cell>
          <cell r="BT75">
            <v>0</v>
          </cell>
          <cell r="BU75">
            <v>0</v>
          </cell>
          <cell r="BV75">
            <v>0</v>
          </cell>
          <cell r="BW75">
            <v>0</v>
          </cell>
          <cell r="BX75">
            <v>0</v>
          </cell>
          <cell r="BY75">
            <v>0</v>
          </cell>
          <cell r="BZ75">
            <v>0</v>
          </cell>
          <cell r="CA75">
            <v>0</v>
          </cell>
          <cell r="CB75">
            <v>0</v>
          </cell>
          <cell r="CC75">
            <v>0</v>
          </cell>
          <cell r="CD75">
            <v>0</v>
          </cell>
        </row>
        <row r="76">
          <cell r="C76">
            <v>37718</v>
          </cell>
          <cell r="D76">
            <v>37748</v>
          </cell>
          <cell r="E76">
            <v>37747</v>
          </cell>
          <cell r="F76">
            <v>0.33333333333333331</v>
          </cell>
          <cell r="G76" t="str">
            <v>Células de Solda Automática</v>
          </cell>
          <cell r="H76" t="str">
            <v>Eixo do Pistão de stop final da esteira está torto</v>
          </cell>
          <cell r="I76" t="str">
            <v>Melhoria</v>
          </cell>
          <cell r="J76" t="str">
            <v>Não</v>
          </cell>
          <cell r="K76" t="str">
            <v>Mecânica</v>
          </cell>
          <cell r="L76" t="str">
            <v>O Pistão foi substituído por uma chapa</v>
          </cell>
          <cell r="M76" t="str">
            <v>Melhoria Técnica</v>
          </cell>
          <cell r="N76">
            <v>37747</v>
          </cell>
          <cell r="O76">
            <v>0.41666666666666669</v>
          </cell>
          <cell r="P76">
            <v>37747</v>
          </cell>
          <cell r="Q76">
            <v>0.41666666666666669</v>
          </cell>
          <cell r="T76">
            <v>37747</v>
          </cell>
          <cell r="U76">
            <v>0.53125</v>
          </cell>
          <cell r="V76">
            <v>37747</v>
          </cell>
          <cell r="W76">
            <v>0.53125</v>
          </cell>
          <cell r="X76">
            <v>0.11458333333333331</v>
          </cell>
          <cell r="Y76">
            <v>0.11458333333333331</v>
          </cell>
          <cell r="AB76">
            <v>5</v>
          </cell>
          <cell r="AC76">
            <v>4</v>
          </cell>
          <cell r="AD76">
            <v>0</v>
          </cell>
          <cell r="BF76">
            <v>5</v>
          </cell>
          <cell r="BG76">
            <v>0</v>
          </cell>
          <cell r="BH76">
            <v>0</v>
          </cell>
          <cell r="BI76">
            <v>0</v>
          </cell>
          <cell r="BJ76">
            <v>0</v>
          </cell>
          <cell r="BK76">
            <v>0</v>
          </cell>
          <cell r="BL76">
            <v>0</v>
          </cell>
          <cell r="BM76">
            <v>0</v>
          </cell>
          <cell r="BN76">
            <v>0</v>
          </cell>
          <cell r="BO76">
            <v>0</v>
          </cell>
          <cell r="BP76">
            <v>0</v>
          </cell>
          <cell r="BQ76">
            <v>0</v>
          </cell>
          <cell r="BR76">
            <v>0</v>
          </cell>
          <cell r="BS76">
            <v>0</v>
          </cell>
          <cell r="BT76">
            <v>0</v>
          </cell>
          <cell r="BU76">
            <v>0</v>
          </cell>
          <cell r="BV76">
            <v>0</v>
          </cell>
          <cell r="BW76">
            <v>0</v>
          </cell>
          <cell r="BX76">
            <v>0</v>
          </cell>
          <cell r="BY76">
            <v>0</v>
          </cell>
          <cell r="BZ76">
            <v>0</v>
          </cell>
          <cell r="CA76">
            <v>0</v>
          </cell>
          <cell r="CB76">
            <v>0</v>
          </cell>
          <cell r="CC76">
            <v>0</v>
          </cell>
          <cell r="CD76">
            <v>0</v>
          </cell>
        </row>
        <row r="77">
          <cell r="C77">
            <v>37718</v>
          </cell>
          <cell r="D77">
            <v>37727</v>
          </cell>
          <cell r="E77">
            <v>37726</v>
          </cell>
          <cell r="F77">
            <v>0.625</v>
          </cell>
          <cell r="G77" t="str">
            <v>Linha de Pintura 15m</v>
          </cell>
          <cell r="H77" t="str">
            <v>Mau contato no cabo da Pistola</v>
          </cell>
          <cell r="I77" t="str">
            <v>Corretiva</v>
          </cell>
          <cell r="J77" t="str">
            <v>Não</v>
          </cell>
          <cell r="K77" t="str">
            <v>Elétrica</v>
          </cell>
          <cell r="L77" t="str">
            <v>Substituição do(s) Componente(s)</v>
          </cell>
          <cell r="M77" t="str">
            <v>Defeito de Fabricação</v>
          </cell>
          <cell r="N77">
            <v>37726</v>
          </cell>
          <cell r="O77">
            <v>0.65625</v>
          </cell>
          <cell r="P77">
            <v>37726</v>
          </cell>
          <cell r="Q77">
            <v>0.65625</v>
          </cell>
          <cell r="T77">
            <v>37726</v>
          </cell>
          <cell r="U77">
            <v>0.6875</v>
          </cell>
          <cell r="V77">
            <v>37726</v>
          </cell>
          <cell r="W77">
            <v>0.6875</v>
          </cell>
          <cell r="X77">
            <v>3.125E-2</v>
          </cell>
          <cell r="Y77">
            <v>3.125E-2</v>
          </cell>
          <cell r="AB77">
            <v>4</v>
          </cell>
          <cell r="AC77">
            <v>4</v>
          </cell>
          <cell r="AD77" t="str">
            <v>N</v>
          </cell>
          <cell r="BF77">
            <v>0</v>
          </cell>
          <cell r="BG77">
            <v>0</v>
          </cell>
          <cell r="BH77">
            <v>0</v>
          </cell>
          <cell r="BI77">
            <v>0</v>
          </cell>
          <cell r="BJ77">
            <v>0</v>
          </cell>
          <cell r="BK77">
            <v>0</v>
          </cell>
          <cell r="BL77">
            <v>0</v>
          </cell>
          <cell r="BM77">
            <v>0</v>
          </cell>
          <cell r="BN77">
            <v>4</v>
          </cell>
          <cell r="BO77">
            <v>0</v>
          </cell>
          <cell r="BP77">
            <v>0</v>
          </cell>
          <cell r="BQ77">
            <v>0</v>
          </cell>
          <cell r="BR77">
            <v>0</v>
          </cell>
          <cell r="BS77">
            <v>0</v>
          </cell>
          <cell r="BT77">
            <v>0</v>
          </cell>
          <cell r="BU77">
            <v>0</v>
          </cell>
          <cell r="BV77">
            <v>0</v>
          </cell>
          <cell r="BW77">
            <v>0</v>
          </cell>
          <cell r="BX77">
            <v>0</v>
          </cell>
          <cell r="BY77">
            <v>0</v>
          </cell>
          <cell r="BZ77">
            <v>0</v>
          </cell>
          <cell r="CA77">
            <v>0</v>
          </cell>
          <cell r="CB77">
            <v>0</v>
          </cell>
          <cell r="CC77">
            <v>0</v>
          </cell>
          <cell r="CD77">
            <v>0</v>
          </cell>
        </row>
        <row r="78">
          <cell r="C78">
            <v>37718</v>
          </cell>
          <cell r="D78">
            <v>37727</v>
          </cell>
          <cell r="E78">
            <v>37727</v>
          </cell>
          <cell r="F78">
            <v>0.375</v>
          </cell>
          <cell r="G78" t="str">
            <v>Linha de Pintura 15m</v>
          </cell>
          <cell r="H78" t="str">
            <v>Furo no Pulmão</v>
          </cell>
          <cell r="I78" t="str">
            <v>Corretiva</v>
          </cell>
          <cell r="J78" t="str">
            <v>Sim</v>
          </cell>
          <cell r="K78" t="str">
            <v>Mecânica</v>
          </cell>
          <cell r="L78" t="str">
            <v>Soldagem da Caixa do Pulmão</v>
          </cell>
          <cell r="M78" t="str">
            <v>Defeito de Fabricação</v>
          </cell>
          <cell r="N78">
            <v>37727</v>
          </cell>
          <cell r="O78">
            <v>0.375</v>
          </cell>
          <cell r="P78">
            <v>37727</v>
          </cell>
          <cell r="Q78">
            <v>0.375</v>
          </cell>
          <cell r="T78">
            <v>37727</v>
          </cell>
          <cell r="U78">
            <v>0.40277777777777773</v>
          </cell>
          <cell r="V78">
            <v>37727</v>
          </cell>
          <cell r="W78">
            <v>0.40277777777777773</v>
          </cell>
          <cell r="X78">
            <v>2.7777777777777735E-2</v>
          </cell>
          <cell r="Y78">
            <v>2.7777777781011537E-2</v>
          </cell>
          <cell r="AB78">
            <v>4</v>
          </cell>
          <cell r="AC78">
            <v>4</v>
          </cell>
          <cell r="AD78" t="str">
            <v>S</v>
          </cell>
          <cell r="BF78">
            <v>0</v>
          </cell>
          <cell r="BG78">
            <v>0</v>
          </cell>
          <cell r="BH78">
            <v>0</v>
          </cell>
          <cell r="BI78">
            <v>0</v>
          </cell>
          <cell r="BJ78">
            <v>0</v>
          </cell>
          <cell r="BK78">
            <v>0</v>
          </cell>
          <cell r="BL78">
            <v>0</v>
          </cell>
          <cell r="BM78">
            <v>0</v>
          </cell>
          <cell r="BN78">
            <v>4</v>
          </cell>
          <cell r="BO78">
            <v>0</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row>
        <row r="79">
          <cell r="C79">
            <v>37718</v>
          </cell>
          <cell r="I79">
            <v>0</v>
          </cell>
          <cell r="N79">
            <v>0</v>
          </cell>
          <cell r="P79">
            <v>0</v>
          </cell>
          <cell r="T79">
            <v>0</v>
          </cell>
          <cell r="V79">
            <v>0</v>
          </cell>
          <cell r="W79">
            <v>0</v>
          </cell>
          <cell r="X79">
            <v>0</v>
          </cell>
          <cell r="Y79">
            <v>0</v>
          </cell>
          <cell r="AB79">
            <v>0</v>
          </cell>
          <cell r="AC79">
            <v>4</v>
          </cell>
          <cell r="AD79">
            <v>0</v>
          </cell>
          <cell r="BF79">
            <v>0</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0</v>
          </cell>
          <cell r="CA79">
            <v>0</v>
          </cell>
          <cell r="CB79">
            <v>0</v>
          </cell>
          <cell r="CC79">
            <v>0</v>
          </cell>
          <cell r="CD79">
            <v>0</v>
          </cell>
        </row>
        <row r="80">
          <cell r="C80">
            <v>37718</v>
          </cell>
          <cell r="D80">
            <v>37733</v>
          </cell>
          <cell r="E80">
            <v>37728</v>
          </cell>
          <cell r="F80">
            <v>0.33333333333333331</v>
          </cell>
          <cell r="G80" t="str">
            <v>Linha de Pintura 15m</v>
          </cell>
          <cell r="H80" t="str">
            <v>Parada constante no bastidor da entrada da secagem</v>
          </cell>
          <cell r="I80" t="str">
            <v>Corretiva</v>
          </cell>
          <cell r="J80" t="str">
            <v>Não</v>
          </cell>
          <cell r="K80" t="str">
            <v>Mecânica</v>
          </cell>
          <cell r="L80" t="str">
            <v>Ajuste / Regulagem</v>
          </cell>
          <cell r="M80" t="str">
            <v>Falha de Montagem / Preparação</v>
          </cell>
          <cell r="N80">
            <v>37728</v>
          </cell>
          <cell r="O80">
            <v>0.33333333333333331</v>
          </cell>
          <cell r="P80">
            <v>37728</v>
          </cell>
          <cell r="Q80">
            <v>0.33333333333333331</v>
          </cell>
          <cell r="T80">
            <v>37728</v>
          </cell>
          <cell r="U80">
            <v>0.375</v>
          </cell>
          <cell r="V80">
            <v>37728</v>
          </cell>
          <cell r="W80">
            <v>0.375</v>
          </cell>
          <cell r="X80">
            <v>4.1666666666666685E-2</v>
          </cell>
          <cell r="Y80">
            <v>4.1666666666666685E-2</v>
          </cell>
          <cell r="AB80">
            <v>4</v>
          </cell>
          <cell r="AC80">
            <v>4</v>
          </cell>
          <cell r="AD80" t="str">
            <v>N</v>
          </cell>
          <cell r="BF80">
            <v>0</v>
          </cell>
          <cell r="BG80">
            <v>0</v>
          </cell>
          <cell r="BH80">
            <v>0</v>
          </cell>
          <cell r="BI80">
            <v>0</v>
          </cell>
          <cell r="BJ80">
            <v>0</v>
          </cell>
          <cell r="BK80">
            <v>0</v>
          </cell>
          <cell r="BL80">
            <v>0</v>
          </cell>
          <cell r="BM80">
            <v>0</v>
          </cell>
          <cell r="BN80">
            <v>4</v>
          </cell>
          <cell r="BO80">
            <v>0</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row>
        <row r="81">
          <cell r="C81">
            <v>37718</v>
          </cell>
          <cell r="D81">
            <v>37733</v>
          </cell>
          <cell r="E81">
            <v>37733</v>
          </cell>
          <cell r="F81">
            <v>0.375</v>
          </cell>
          <cell r="G81" t="str">
            <v>Linha de Pintura 15m</v>
          </cell>
          <cell r="H81" t="str">
            <v>Vazamento de ar no pulmão</v>
          </cell>
          <cell r="I81" t="str">
            <v>Corretiva</v>
          </cell>
          <cell r="J81" t="str">
            <v>Não</v>
          </cell>
          <cell r="K81" t="str">
            <v>Mecânica</v>
          </cell>
          <cell r="L81" t="str">
            <v>Reparo</v>
          </cell>
          <cell r="M81" t="str">
            <v>Defeito de Fabricação</v>
          </cell>
          <cell r="N81">
            <v>37733</v>
          </cell>
          <cell r="O81">
            <v>0.53125</v>
          </cell>
          <cell r="P81">
            <v>37733</v>
          </cell>
          <cell r="Q81">
            <v>0.53125</v>
          </cell>
          <cell r="T81">
            <v>37733</v>
          </cell>
          <cell r="U81">
            <v>0.57291666666666663</v>
          </cell>
          <cell r="V81">
            <v>37733</v>
          </cell>
          <cell r="W81">
            <v>0.57291666666666663</v>
          </cell>
          <cell r="X81">
            <v>4.1666666664241347E-2</v>
          </cell>
          <cell r="Y81">
            <v>4.1666666664241347E-2</v>
          </cell>
          <cell r="AB81">
            <v>4</v>
          </cell>
          <cell r="AC81">
            <v>4</v>
          </cell>
          <cell r="AD81" t="str">
            <v>N</v>
          </cell>
          <cell r="BF81">
            <v>0</v>
          </cell>
          <cell r="BG81">
            <v>0</v>
          </cell>
          <cell r="BH81">
            <v>0</v>
          </cell>
          <cell r="BI81">
            <v>0</v>
          </cell>
          <cell r="BJ81">
            <v>0</v>
          </cell>
          <cell r="BK81">
            <v>0</v>
          </cell>
          <cell r="BL81">
            <v>0</v>
          </cell>
          <cell r="BM81">
            <v>0</v>
          </cell>
          <cell r="BN81">
            <v>4</v>
          </cell>
          <cell r="BO81">
            <v>0</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row>
        <row r="82">
          <cell r="C82">
            <v>37718</v>
          </cell>
          <cell r="D82">
            <v>37734</v>
          </cell>
          <cell r="E82">
            <v>37733</v>
          </cell>
          <cell r="F82">
            <v>0.58333333333333337</v>
          </cell>
          <cell r="G82" t="str">
            <v>Linha de Pintura 15m</v>
          </cell>
          <cell r="H82" t="str">
            <v>Parafusos da estrutura dos bastidores estão soltos e mancal do bastidor torcido</v>
          </cell>
          <cell r="I82" t="str">
            <v>Corretiva</v>
          </cell>
          <cell r="J82" t="str">
            <v>Sim</v>
          </cell>
          <cell r="K82" t="str">
            <v>Mecânica</v>
          </cell>
          <cell r="L82" t="str">
            <v>Identificados os bastidores com eixo torto e programada nova data (sábado) para Manutenção dos mesmos</v>
          </cell>
          <cell r="M82" t="str">
            <v>Falha Operacional</v>
          </cell>
          <cell r="N82">
            <v>37733</v>
          </cell>
          <cell r="O82">
            <v>0.58333333333333337</v>
          </cell>
          <cell r="P82">
            <v>37733</v>
          </cell>
          <cell r="Q82">
            <v>0.60416666666666663</v>
          </cell>
          <cell r="R82">
            <v>37737</v>
          </cell>
          <cell r="S82">
            <v>0.54166666666666663</v>
          </cell>
          <cell r="T82">
            <v>37737</v>
          </cell>
          <cell r="U82">
            <v>0.70833333333333337</v>
          </cell>
          <cell r="V82">
            <v>0</v>
          </cell>
          <cell r="W82">
            <v>0.1875</v>
          </cell>
          <cell r="X82">
            <v>0.1875</v>
          </cell>
          <cell r="Y82">
            <v>0.1875</v>
          </cell>
          <cell r="AB82">
            <v>4</v>
          </cell>
          <cell r="AC82">
            <v>4</v>
          </cell>
          <cell r="AD82" t="str">
            <v>S</v>
          </cell>
          <cell r="BF82">
            <v>0</v>
          </cell>
          <cell r="BG82">
            <v>0</v>
          </cell>
          <cell r="BH82">
            <v>0</v>
          </cell>
          <cell r="BI82">
            <v>0</v>
          </cell>
          <cell r="BJ82">
            <v>0</v>
          </cell>
          <cell r="BK82">
            <v>0</v>
          </cell>
          <cell r="BL82">
            <v>0</v>
          </cell>
          <cell r="BM82">
            <v>0</v>
          </cell>
          <cell r="BN82">
            <v>4</v>
          </cell>
          <cell r="BO82">
            <v>0</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row>
        <row r="83">
          <cell r="C83">
            <v>37718</v>
          </cell>
          <cell r="D83">
            <v>37735</v>
          </cell>
          <cell r="E83">
            <v>37734</v>
          </cell>
          <cell r="F83">
            <v>0.52777777777777779</v>
          </cell>
          <cell r="G83" t="str">
            <v>Linha de Pintura 15m</v>
          </cell>
          <cell r="H83" t="str">
            <v>Vazamento na lateral do túnel de entrada de fosfatado</v>
          </cell>
          <cell r="I83" t="str">
            <v>Corretiva</v>
          </cell>
          <cell r="J83" t="str">
            <v>Não</v>
          </cell>
          <cell r="K83" t="str">
            <v>Mecânica</v>
          </cell>
          <cell r="L83" t="str">
            <v>Contenção do vazamento</v>
          </cell>
          <cell r="M83" t="str">
            <v>Falha de Montagem / Preparação</v>
          </cell>
          <cell r="N83">
            <v>37764</v>
          </cell>
          <cell r="O83">
            <v>0.33333333333333331</v>
          </cell>
          <cell r="P83">
            <v>37764</v>
          </cell>
          <cell r="Q83">
            <v>0.35416666666666669</v>
          </cell>
          <cell r="R83">
            <v>37768</v>
          </cell>
          <cell r="S83">
            <v>0.41666666666666669</v>
          </cell>
          <cell r="T83">
            <v>37768</v>
          </cell>
          <cell r="U83">
            <v>0.47916666666666669</v>
          </cell>
          <cell r="V83">
            <v>0</v>
          </cell>
          <cell r="W83">
            <v>8.333333333333337E-2</v>
          </cell>
          <cell r="X83">
            <v>8.333333333333337E-2</v>
          </cell>
          <cell r="Y83">
            <v>8.333333333333337E-2</v>
          </cell>
          <cell r="AB83">
            <v>5</v>
          </cell>
          <cell r="AC83">
            <v>4</v>
          </cell>
          <cell r="AD83">
            <v>0</v>
          </cell>
          <cell r="BF83">
            <v>0</v>
          </cell>
          <cell r="BG83">
            <v>0</v>
          </cell>
          <cell r="BH83">
            <v>0</v>
          </cell>
          <cell r="BI83">
            <v>0</v>
          </cell>
          <cell r="BJ83">
            <v>0</v>
          </cell>
          <cell r="BK83">
            <v>0</v>
          </cell>
          <cell r="BL83">
            <v>0</v>
          </cell>
          <cell r="BM83">
            <v>0</v>
          </cell>
          <cell r="BN83">
            <v>5</v>
          </cell>
          <cell r="BO83">
            <v>0</v>
          </cell>
          <cell r="BP83">
            <v>0</v>
          </cell>
          <cell r="BQ83">
            <v>0</v>
          </cell>
          <cell r="BR83">
            <v>0</v>
          </cell>
          <cell r="BS83">
            <v>0</v>
          </cell>
          <cell r="BT83">
            <v>0</v>
          </cell>
          <cell r="BU83">
            <v>0</v>
          </cell>
          <cell r="BV83">
            <v>0</v>
          </cell>
          <cell r="BW83">
            <v>0</v>
          </cell>
          <cell r="BX83">
            <v>0</v>
          </cell>
          <cell r="BY83">
            <v>0</v>
          </cell>
          <cell r="BZ83">
            <v>0</v>
          </cell>
          <cell r="CA83">
            <v>0</v>
          </cell>
          <cell r="CB83">
            <v>0</v>
          </cell>
          <cell r="CC83">
            <v>0</v>
          </cell>
          <cell r="CD83">
            <v>0</v>
          </cell>
        </row>
        <row r="84">
          <cell r="C84">
            <v>37718</v>
          </cell>
          <cell r="D84">
            <v>37735</v>
          </cell>
          <cell r="E84">
            <v>37735</v>
          </cell>
          <cell r="F84">
            <v>0.4375</v>
          </cell>
          <cell r="G84" t="str">
            <v>Linha de Pintura 15m</v>
          </cell>
          <cell r="H84" t="str">
            <v>Parada constante no bastidor da entrada da secagem</v>
          </cell>
          <cell r="I84" t="str">
            <v>Corretiva</v>
          </cell>
          <cell r="J84" t="str">
            <v>Sim</v>
          </cell>
          <cell r="K84" t="str">
            <v>Mecânica</v>
          </cell>
          <cell r="L84" t="str">
            <v>Ajuste / Regulagem</v>
          </cell>
          <cell r="M84" t="str">
            <v>Falha de Regulagem / Configuração / Dimensionamento</v>
          </cell>
          <cell r="N84">
            <v>37735</v>
          </cell>
          <cell r="O84">
            <v>0.4375</v>
          </cell>
          <cell r="P84">
            <v>37735</v>
          </cell>
          <cell r="Q84">
            <v>0.4375</v>
          </cell>
          <cell r="T84">
            <v>37735</v>
          </cell>
          <cell r="U84">
            <v>0.47916666666666669</v>
          </cell>
          <cell r="V84">
            <v>37735</v>
          </cell>
          <cell r="W84">
            <v>0.47916666666666669</v>
          </cell>
          <cell r="X84">
            <v>4.1666666666666685E-2</v>
          </cell>
          <cell r="Y84">
            <v>4.1666666664241347E-2</v>
          </cell>
          <cell r="AB84">
            <v>4</v>
          </cell>
          <cell r="AC84">
            <v>4</v>
          </cell>
          <cell r="AD84" t="str">
            <v>S</v>
          </cell>
          <cell r="BF84">
            <v>0</v>
          </cell>
          <cell r="BG84">
            <v>0</v>
          </cell>
          <cell r="BH84">
            <v>0</v>
          </cell>
          <cell r="BI84">
            <v>0</v>
          </cell>
          <cell r="BJ84">
            <v>0</v>
          </cell>
          <cell r="BK84">
            <v>0</v>
          </cell>
          <cell r="BL84">
            <v>0</v>
          </cell>
          <cell r="BM84">
            <v>0</v>
          </cell>
          <cell r="BN84">
            <v>4</v>
          </cell>
          <cell r="BO84">
            <v>0</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row>
        <row r="85">
          <cell r="C85">
            <v>37718</v>
          </cell>
          <cell r="D85">
            <v>37746</v>
          </cell>
          <cell r="E85">
            <v>37740</v>
          </cell>
          <cell r="F85">
            <v>0.47916666666666669</v>
          </cell>
          <cell r="G85" t="str">
            <v>Linha de Pintura 15m</v>
          </cell>
          <cell r="H85" t="str">
            <v>Pistola manual apresenta mau contato no cabo</v>
          </cell>
          <cell r="I85" t="str">
            <v>Corretiva</v>
          </cell>
          <cell r="J85" t="str">
            <v>Não</v>
          </cell>
          <cell r="K85" t="str">
            <v>Elétrica</v>
          </cell>
          <cell r="L85" t="str">
            <v>Melhoria no Sistema de Fixação</v>
          </cell>
          <cell r="M85" t="str">
            <v>Mau contato</v>
          </cell>
          <cell r="N85">
            <v>37740</v>
          </cell>
          <cell r="O85">
            <v>0.47222222222222227</v>
          </cell>
          <cell r="P85">
            <v>37740</v>
          </cell>
          <cell r="Q85">
            <v>0.47222222222222227</v>
          </cell>
          <cell r="T85">
            <v>37740</v>
          </cell>
          <cell r="U85">
            <v>0.4861111111111111</v>
          </cell>
          <cell r="V85">
            <v>37740</v>
          </cell>
          <cell r="W85">
            <v>0.4861111111111111</v>
          </cell>
          <cell r="X85">
            <v>1.3888888887271966E-2</v>
          </cell>
          <cell r="Y85">
            <v>1.3888888887271966E-2</v>
          </cell>
          <cell r="AB85">
            <v>4</v>
          </cell>
          <cell r="AC85">
            <v>4</v>
          </cell>
          <cell r="AD85" t="str">
            <v>N</v>
          </cell>
          <cell r="BF85">
            <v>0</v>
          </cell>
          <cell r="BG85">
            <v>0</v>
          </cell>
          <cell r="BH85">
            <v>0</v>
          </cell>
          <cell r="BI85">
            <v>0</v>
          </cell>
          <cell r="BJ85">
            <v>0</v>
          </cell>
          <cell r="BK85">
            <v>0</v>
          </cell>
          <cell r="BL85">
            <v>0</v>
          </cell>
          <cell r="BM85">
            <v>0</v>
          </cell>
          <cell r="BN85">
            <v>4</v>
          </cell>
          <cell r="BO85">
            <v>0</v>
          </cell>
          <cell r="BP85">
            <v>0</v>
          </cell>
          <cell r="BQ85">
            <v>0</v>
          </cell>
          <cell r="BR85">
            <v>0</v>
          </cell>
          <cell r="BS85">
            <v>0</v>
          </cell>
          <cell r="BT85">
            <v>0</v>
          </cell>
          <cell r="BU85">
            <v>0</v>
          </cell>
          <cell r="BV85">
            <v>0</v>
          </cell>
          <cell r="BW85">
            <v>0</v>
          </cell>
          <cell r="BX85">
            <v>0</v>
          </cell>
          <cell r="BY85">
            <v>0</v>
          </cell>
          <cell r="BZ85">
            <v>0</v>
          </cell>
          <cell r="CA85">
            <v>0</v>
          </cell>
          <cell r="CB85">
            <v>0</v>
          </cell>
          <cell r="CC85">
            <v>0</v>
          </cell>
          <cell r="CD85">
            <v>0</v>
          </cell>
        </row>
        <row r="86">
          <cell r="C86">
            <v>37718</v>
          </cell>
          <cell r="D86">
            <v>37746</v>
          </cell>
          <cell r="E86">
            <v>37741</v>
          </cell>
          <cell r="F86">
            <v>0.45833333333333331</v>
          </cell>
          <cell r="G86" t="str">
            <v>Linha de Pintura 15m</v>
          </cell>
          <cell r="H86" t="str">
            <v>Bomba do transportador de pó danificada</v>
          </cell>
          <cell r="I86" t="str">
            <v>Corretiva</v>
          </cell>
          <cell r="J86" t="str">
            <v>Não</v>
          </cell>
          <cell r="K86" t="str">
            <v>Mecânica</v>
          </cell>
          <cell r="L86" t="str">
            <v>Substituição do(s) Componente(s)</v>
          </cell>
          <cell r="M86" t="str">
            <v>Defeito de Fabricação</v>
          </cell>
          <cell r="N86">
            <v>37741</v>
          </cell>
          <cell r="O86">
            <v>0.45833333333333331</v>
          </cell>
          <cell r="P86">
            <v>37741</v>
          </cell>
          <cell r="Q86">
            <v>0.45833333333333331</v>
          </cell>
          <cell r="T86">
            <v>37741</v>
          </cell>
          <cell r="U86">
            <v>0.47916666666666669</v>
          </cell>
          <cell r="V86">
            <v>37741</v>
          </cell>
          <cell r="W86">
            <v>0.47916666666666669</v>
          </cell>
          <cell r="X86">
            <v>2.0833333330908033E-2</v>
          </cell>
          <cell r="Y86">
            <v>2.0833333330908033E-2</v>
          </cell>
          <cell r="AB86">
            <v>4</v>
          </cell>
          <cell r="AC86">
            <v>4</v>
          </cell>
          <cell r="AD86" t="str">
            <v>N</v>
          </cell>
          <cell r="BF86">
            <v>0</v>
          </cell>
          <cell r="BG86">
            <v>0</v>
          </cell>
          <cell r="BH86">
            <v>0</v>
          </cell>
          <cell r="BI86">
            <v>0</v>
          </cell>
          <cell r="BJ86">
            <v>0</v>
          </cell>
          <cell r="BK86">
            <v>0</v>
          </cell>
          <cell r="BL86">
            <v>0</v>
          </cell>
          <cell r="BM86">
            <v>0</v>
          </cell>
          <cell r="BN86">
            <v>4</v>
          </cell>
          <cell r="BO86">
            <v>0</v>
          </cell>
          <cell r="BP86">
            <v>0</v>
          </cell>
          <cell r="BQ86">
            <v>0</v>
          </cell>
          <cell r="BR86">
            <v>0</v>
          </cell>
          <cell r="BS86">
            <v>0</v>
          </cell>
          <cell r="BT86">
            <v>0</v>
          </cell>
          <cell r="BU86">
            <v>0</v>
          </cell>
          <cell r="BV86">
            <v>0</v>
          </cell>
          <cell r="BW86">
            <v>0</v>
          </cell>
          <cell r="BX86">
            <v>0</v>
          </cell>
          <cell r="BY86">
            <v>0</v>
          </cell>
          <cell r="BZ86">
            <v>0</v>
          </cell>
          <cell r="CA86">
            <v>0</v>
          </cell>
          <cell r="CB86">
            <v>0</v>
          </cell>
          <cell r="CC86">
            <v>0</v>
          </cell>
          <cell r="CD86">
            <v>0</v>
          </cell>
        </row>
        <row r="87">
          <cell r="C87">
            <v>37718</v>
          </cell>
          <cell r="D87">
            <v>37721</v>
          </cell>
          <cell r="E87">
            <v>37721</v>
          </cell>
          <cell r="F87">
            <v>0.4375</v>
          </cell>
          <cell r="G87" t="str">
            <v>Máquina de Solda MIG</v>
          </cell>
          <cell r="H87" t="str">
            <v>Plug incompatível com a tomada da linha da Solda Manual</v>
          </cell>
          <cell r="I87" t="str">
            <v>Corretiva</v>
          </cell>
          <cell r="J87" t="str">
            <v>Sim</v>
          </cell>
          <cell r="K87" t="str">
            <v>Elétrica</v>
          </cell>
          <cell r="L87" t="str">
            <v>Substituição do(s) Componente(s)</v>
          </cell>
          <cell r="M87" t="str">
            <v>Alteração na Localização da Máquina</v>
          </cell>
          <cell r="N87">
            <v>37721</v>
          </cell>
          <cell r="O87">
            <v>0.4375</v>
          </cell>
          <cell r="P87">
            <v>37721</v>
          </cell>
          <cell r="Q87">
            <v>0.4375</v>
          </cell>
          <cell r="T87">
            <v>37721</v>
          </cell>
          <cell r="U87">
            <v>0.44791666666666669</v>
          </cell>
          <cell r="V87">
            <v>37721</v>
          </cell>
          <cell r="W87">
            <v>0.44791666666666669</v>
          </cell>
          <cell r="X87">
            <v>1.0416666666666685E-2</v>
          </cell>
          <cell r="Y87">
            <v>1.0416666664241347E-2</v>
          </cell>
          <cell r="AB87">
            <v>4</v>
          </cell>
          <cell r="AC87">
            <v>4</v>
          </cell>
          <cell r="AD87" t="str">
            <v>S</v>
          </cell>
          <cell r="BF87">
            <v>0</v>
          </cell>
          <cell r="BG87">
            <v>0</v>
          </cell>
          <cell r="BH87">
            <v>0</v>
          </cell>
          <cell r="BI87">
            <v>0</v>
          </cell>
          <cell r="BJ87">
            <v>0</v>
          </cell>
          <cell r="BK87">
            <v>0</v>
          </cell>
          <cell r="BL87">
            <v>0</v>
          </cell>
          <cell r="BM87">
            <v>0</v>
          </cell>
          <cell r="BN87">
            <v>0</v>
          </cell>
          <cell r="BO87">
            <v>0</v>
          </cell>
          <cell r="BP87">
            <v>0</v>
          </cell>
          <cell r="BQ87">
            <v>0</v>
          </cell>
          <cell r="BR87">
            <v>4</v>
          </cell>
          <cell r="BS87">
            <v>0</v>
          </cell>
          <cell r="BT87">
            <v>0</v>
          </cell>
          <cell r="BU87">
            <v>0</v>
          </cell>
          <cell r="BV87">
            <v>0</v>
          </cell>
          <cell r="BW87">
            <v>0</v>
          </cell>
          <cell r="BX87">
            <v>0</v>
          </cell>
          <cell r="BY87">
            <v>0</v>
          </cell>
          <cell r="BZ87">
            <v>0</v>
          </cell>
          <cell r="CA87">
            <v>0</v>
          </cell>
          <cell r="CB87">
            <v>0</v>
          </cell>
          <cell r="CC87">
            <v>0</v>
          </cell>
          <cell r="CD87">
            <v>0</v>
          </cell>
        </row>
        <row r="88">
          <cell r="C88">
            <v>37718</v>
          </cell>
          <cell r="D88">
            <v>37734</v>
          </cell>
          <cell r="E88">
            <v>37733</v>
          </cell>
          <cell r="F88">
            <v>0.40972222222222227</v>
          </cell>
          <cell r="G88" t="str">
            <v>Máquina de Solda MIG</v>
          </cell>
          <cell r="H88" t="str">
            <v>Plug incompatível com a tomada da linha da Solda Manual</v>
          </cell>
          <cell r="I88" t="str">
            <v>Corretiva</v>
          </cell>
          <cell r="J88" t="str">
            <v>Sim</v>
          </cell>
          <cell r="K88" t="str">
            <v>Elétrica</v>
          </cell>
          <cell r="L88" t="str">
            <v>Substituição do(s) Componente(s)</v>
          </cell>
          <cell r="M88" t="str">
            <v>Alteração na Localização da Máquina</v>
          </cell>
          <cell r="N88">
            <v>37733</v>
          </cell>
          <cell r="O88">
            <v>0.41666666666666669</v>
          </cell>
          <cell r="P88">
            <v>37733</v>
          </cell>
          <cell r="Q88">
            <v>0.41666666666666669</v>
          </cell>
          <cell r="T88">
            <v>37733</v>
          </cell>
          <cell r="U88">
            <v>0.42708333333333331</v>
          </cell>
          <cell r="V88">
            <v>37733</v>
          </cell>
          <cell r="W88">
            <v>0.42708333333333331</v>
          </cell>
          <cell r="X88">
            <v>1.041666666666663E-2</v>
          </cell>
          <cell r="Y88">
            <v>1.0416666669091967E-2</v>
          </cell>
          <cell r="AB88">
            <v>4</v>
          </cell>
          <cell r="AC88">
            <v>4</v>
          </cell>
          <cell r="AD88" t="str">
            <v>S</v>
          </cell>
          <cell r="BF88">
            <v>0</v>
          </cell>
          <cell r="BG88">
            <v>0</v>
          </cell>
          <cell r="BH88">
            <v>0</v>
          </cell>
          <cell r="BI88">
            <v>0</v>
          </cell>
          <cell r="BJ88">
            <v>0</v>
          </cell>
          <cell r="BK88">
            <v>0</v>
          </cell>
          <cell r="BL88">
            <v>0</v>
          </cell>
          <cell r="BM88">
            <v>0</v>
          </cell>
          <cell r="BN88">
            <v>0</v>
          </cell>
          <cell r="BO88">
            <v>0</v>
          </cell>
          <cell r="BP88">
            <v>0</v>
          </cell>
          <cell r="BQ88">
            <v>0</v>
          </cell>
          <cell r="BR88">
            <v>4</v>
          </cell>
          <cell r="BS88">
            <v>0</v>
          </cell>
          <cell r="BT88">
            <v>0</v>
          </cell>
          <cell r="BU88">
            <v>0</v>
          </cell>
          <cell r="BV88">
            <v>0</v>
          </cell>
          <cell r="BW88">
            <v>0</v>
          </cell>
          <cell r="BX88">
            <v>0</v>
          </cell>
          <cell r="BY88">
            <v>0</v>
          </cell>
          <cell r="BZ88">
            <v>0</v>
          </cell>
          <cell r="CA88">
            <v>0</v>
          </cell>
          <cell r="CB88">
            <v>0</v>
          </cell>
          <cell r="CC88">
            <v>0</v>
          </cell>
          <cell r="CD88">
            <v>0</v>
          </cell>
        </row>
        <row r="89">
          <cell r="C89">
            <v>37718</v>
          </cell>
          <cell r="D89">
            <v>37767</v>
          </cell>
          <cell r="E89">
            <v>37764</v>
          </cell>
          <cell r="F89">
            <v>0.35069444444444442</v>
          </cell>
          <cell r="G89" t="str">
            <v>Células de Solda Automática</v>
          </cell>
          <cell r="H89" t="str">
            <v>Mangueira de ar do dispositivo da mesa está furada</v>
          </cell>
          <cell r="I89" t="str">
            <v>Corretiva</v>
          </cell>
          <cell r="J89" t="str">
            <v>Sim</v>
          </cell>
          <cell r="K89" t="str">
            <v>Mecânica</v>
          </cell>
          <cell r="L89" t="str">
            <v>Substituição do(s) Componente(s)</v>
          </cell>
          <cell r="M89" t="str">
            <v>Falha de Projeto</v>
          </cell>
          <cell r="N89">
            <v>37764</v>
          </cell>
          <cell r="O89">
            <v>0.35416666666666669</v>
          </cell>
          <cell r="P89">
            <v>37764</v>
          </cell>
          <cell r="Q89">
            <v>0.35416666666666669</v>
          </cell>
          <cell r="T89">
            <v>37764</v>
          </cell>
          <cell r="U89">
            <v>0.3888888888888889</v>
          </cell>
          <cell r="V89">
            <v>37764</v>
          </cell>
          <cell r="W89">
            <v>0.3888888888888889</v>
          </cell>
          <cell r="X89">
            <v>3.472222222222221E-2</v>
          </cell>
          <cell r="Y89">
            <v>3.4722222223839083E-2</v>
          </cell>
          <cell r="AB89">
            <v>5</v>
          </cell>
          <cell r="AC89">
            <v>4</v>
          </cell>
          <cell r="AD89">
            <v>0</v>
          </cell>
          <cell r="BF89">
            <v>5</v>
          </cell>
          <cell r="BG89">
            <v>0</v>
          </cell>
          <cell r="BH89">
            <v>0</v>
          </cell>
          <cell r="BI89">
            <v>0</v>
          </cell>
          <cell r="BJ89">
            <v>0</v>
          </cell>
          <cell r="BK89">
            <v>0</v>
          </cell>
          <cell r="BL89">
            <v>0</v>
          </cell>
          <cell r="BM89">
            <v>0</v>
          </cell>
          <cell r="BN89">
            <v>0</v>
          </cell>
          <cell r="BO89">
            <v>0</v>
          </cell>
          <cell r="BP89">
            <v>0</v>
          </cell>
          <cell r="BQ89">
            <v>0</v>
          </cell>
          <cell r="BR89">
            <v>0</v>
          </cell>
          <cell r="BS89">
            <v>0</v>
          </cell>
          <cell r="BT89">
            <v>0</v>
          </cell>
          <cell r="BU89">
            <v>0</v>
          </cell>
          <cell r="BV89">
            <v>0</v>
          </cell>
          <cell r="BW89">
            <v>0</v>
          </cell>
          <cell r="BX89">
            <v>0</v>
          </cell>
          <cell r="BY89">
            <v>0</v>
          </cell>
          <cell r="BZ89">
            <v>0</v>
          </cell>
          <cell r="CA89">
            <v>0</v>
          </cell>
          <cell r="CB89">
            <v>0</v>
          </cell>
          <cell r="CC89">
            <v>0</v>
          </cell>
          <cell r="CD89">
            <v>0</v>
          </cell>
        </row>
        <row r="90">
          <cell r="C90">
            <v>37718</v>
          </cell>
          <cell r="D90">
            <v>37769</v>
          </cell>
          <cell r="E90">
            <v>37767</v>
          </cell>
          <cell r="F90">
            <v>0.70833333333333337</v>
          </cell>
          <cell r="G90" t="str">
            <v>Células de Solda Automática</v>
          </cell>
          <cell r="H90" t="str">
            <v>Vazamento na mangueira de ar</v>
          </cell>
          <cell r="I90" t="str">
            <v>Corretiva</v>
          </cell>
          <cell r="J90" t="str">
            <v>Sim</v>
          </cell>
          <cell r="K90" t="str">
            <v>Mecânica</v>
          </cell>
          <cell r="L90" t="str">
            <v>Substituição do(s) Componente(s)</v>
          </cell>
          <cell r="M90" t="str">
            <v>Falha de Projeto</v>
          </cell>
          <cell r="N90">
            <v>37767</v>
          </cell>
          <cell r="O90">
            <v>0.70833333333333337</v>
          </cell>
          <cell r="P90">
            <v>37767</v>
          </cell>
          <cell r="Q90">
            <v>0.70833333333333337</v>
          </cell>
          <cell r="T90">
            <v>37767</v>
          </cell>
          <cell r="U90">
            <v>0.72916666666666663</v>
          </cell>
          <cell r="V90">
            <v>37767</v>
          </cell>
          <cell r="W90">
            <v>0.72916666666666663</v>
          </cell>
          <cell r="X90">
            <v>2.0833333333333259E-2</v>
          </cell>
          <cell r="Y90">
            <v>2.0833333330907977E-2</v>
          </cell>
          <cell r="AB90">
            <v>5</v>
          </cell>
          <cell r="AC90">
            <v>4</v>
          </cell>
          <cell r="AD90">
            <v>0</v>
          </cell>
          <cell r="BF90">
            <v>5</v>
          </cell>
          <cell r="BG90">
            <v>0</v>
          </cell>
          <cell r="BH90">
            <v>0</v>
          </cell>
          <cell r="BI90">
            <v>0</v>
          </cell>
          <cell r="BJ90">
            <v>0</v>
          </cell>
          <cell r="BK90">
            <v>0</v>
          </cell>
          <cell r="BL90">
            <v>0</v>
          </cell>
          <cell r="BM90">
            <v>0</v>
          </cell>
          <cell r="BN90">
            <v>0</v>
          </cell>
          <cell r="BO90">
            <v>0</v>
          </cell>
          <cell r="BP90">
            <v>0</v>
          </cell>
          <cell r="BQ90">
            <v>0</v>
          </cell>
          <cell r="BR90">
            <v>0</v>
          </cell>
          <cell r="BS90">
            <v>0</v>
          </cell>
          <cell r="BT90">
            <v>0</v>
          </cell>
          <cell r="BU90">
            <v>0</v>
          </cell>
          <cell r="BV90">
            <v>0</v>
          </cell>
          <cell r="BW90">
            <v>0</v>
          </cell>
          <cell r="BX90">
            <v>0</v>
          </cell>
          <cell r="BY90">
            <v>0</v>
          </cell>
          <cell r="BZ90">
            <v>0</v>
          </cell>
          <cell r="CA90">
            <v>0</v>
          </cell>
          <cell r="CB90">
            <v>0</v>
          </cell>
          <cell r="CC90">
            <v>0</v>
          </cell>
          <cell r="CD90">
            <v>0</v>
          </cell>
        </row>
        <row r="91">
          <cell r="C91">
            <v>37718</v>
          </cell>
          <cell r="D91">
            <v>37776</v>
          </cell>
          <cell r="E91">
            <v>37770</v>
          </cell>
          <cell r="F91">
            <v>0.33333333333333331</v>
          </cell>
          <cell r="G91" t="str">
            <v>Células de Solda Automática</v>
          </cell>
          <cell r="H91" t="str">
            <v>Mangueira de ar do dispositivo da mesa está furada</v>
          </cell>
          <cell r="I91" t="str">
            <v>Corretiva</v>
          </cell>
          <cell r="J91" t="str">
            <v>Sim</v>
          </cell>
          <cell r="K91" t="str">
            <v>Mecânica</v>
          </cell>
          <cell r="L91" t="str">
            <v>Substituição do(s) Componente(s)</v>
          </cell>
          <cell r="M91" t="str">
            <v>Falha de Projeto</v>
          </cell>
          <cell r="N91">
            <v>37770</v>
          </cell>
          <cell r="O91">
            <v>0.33333333333333331</v>
          </cell>
          <cell r="P91">
            <v>37770</v>
          </cell>
          <cell r="Q91">
            <v>0.33333333333333331</v>
          </cell>
          <cell r="T91">
            <v>37770</v>
          </cell>
          <cell r="U91">
            <v>0.3611111111111111</v>
          </cell>
          <cell r="V91">
            <v>37770</v>
          </cell>
          <cell r="W91">
            <v>0.3611111111111111</v>
          </cell>
          <cell r="X91">
            <v>2.777777777777779E-2</v>
          </cell>
          <cell r="Y91">
            <v>2.7777777776160917E-2</v>
          </cell>
          <cell r="AB91">
            <v>5</v>
          </cell>
          <cell r="AC91">
            <v>4</v>
          </cell>
          <cell r="AD91">
            <v>0</v>
          </cell>
          <cell r="BF91">
            <v>5</v>
          </cell>
          <cell r="BG91">
            <v>0</v>
          </cell>
          <cell r="BH91">
            <v>0</v>
          </cell>
          <cell r="BI91">
            <v>0</v>
          </cell>
          <cell r="BJ91">
            <v>0</v>
          </cell>
          <cell r="BK91">
            <v>0</v>
          </cell>
          <cell r="BL91">
            <v>0</v>
          </cell>
          <cell r="BM91">
            <v>0</v>
          </cell>
          <cell r="BN91">
            <v>0</v>
          </cell>
          <cell r="BO91">
            <v>0</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row>
        <row r="92">
          <cell r="C92">
            <v>37718</v>
          </cell>
          <cell r="D92">
            <v>37803</v>
          </cell>
          <cell r="E92">
            <v>37775</v>
          </cell>
          <cell r="F92">
            <v>0.68194444444444446</v>
          </cell>
          <cell r="G92" t="str">
            <v>Máquina de Solda MIG</v>
          </cell>
          <cell r="H92" t="str">
            <v>Tomada em más condições de uso</v>
          </cell>
          <cell r="I92" t="str">
            <v>Corretiva</v>
          </cell>
          <cell r="J92" t="str">
            <v>Sim</v>
          </cell>
          <cell r="K92" t="str">
            <v>Elétrica</v>
          </cell>
          <cell r="L92" t="str">
            <v>Substituição do(s) Componente(s)</v>
          </cell>
          <cell r="M92" t="str">
            <v>Desgaste / Fadiga</v>
          </cell>
          <cell r="N92">
            <v>37775</v>
          </cell>
          <cell r="O92">
            <v>0.6875</v>
          </cell>
          <cell r="P92">
            <v>37775</v>
          </cell>
          <cell r="Q92">
            <v>0.6875</v>
          </cell>
          <cell r="T92">
            <v>37775</v>
          </cell>
          <cell r="U92">
            <v>0.69791666666666663</v>
          </cell>
          <cell r="V92">
            <v>37775</v>
          </cell>
          <cell r="W92">
            <v>0.69791666666666663</v>
          </cell>
          <cell r="X92">
            <v>1.041666666666663E-2</v>
          </cell>
          <cell r="Y92">
            <v>1.0416666664241347E-2</v>
          </cell>
          <cell r="AB92">
            <v>6</v>
          </cell>
          <cell r="AC92">
            <v>4</v>
          </cell>
          <cell r="AD92">
            <v>0</v>
          </cell>
          <cell r="BF92">
            <v>0</v>
          </cell>
          <cell r="BG92">
            <v>0</v>
          </cell>
          <cell r="BH92">
            <v>0</v>
          </cell>
          <cell r="BI92">
            <v>0</v>
          </cell>
          <cell r="BJ92">
            <v>0</v>
          </cell>
          <cell r="BK92">
            <v>0</v>
          </cell>
          <cell r="BL92">
            <v>0</v>
          </cell>
          <cell r="BM92">
            <v>0</v>
          </cell>
          <cell r="BN92">
            <v>0</v>
          </cell>
          <cell r="BO92">
            <v>0</v>
          </cell>
          <cell r="BP92">
            <v>0</v>
          </cell>
          <cell r="BQ92">
            <v>0</v>
          </cell>
          <cell r="BR92">
            <v>6</v>
          </cell>
          <cell r="BS92">
            <v>0</v>
          </cell>
          <cell r="BT92">
            <v>0</v>
          </cell>
          <cell r="BU92">
            <v>0</v>
          </cell>
          <cell r="BV92">
            <v>0</v>
          </cell>
          <cell r="BW92">
            <v>0</v>
          </cell>
          <cell r="BX92">
            <v>0</v>
          </cell>
          <cell r="BY92">
            <v>0</v>
          </cell>
          <cell r="BZ92">
            <v>0</v>
          </cell>
          <cell r="CA92">
            <v>0</v>
          </cell>
          <cell r="CB92">
            <v>0</v>
          </cell>
          <cell r="CC92">
            <v>0</v>
          </cell>
          <cell r="CD92">
            <v>0</v>
          </cell>
        </row>
        <row r="93">
          <cell r="C93">
            <v>37718</v>
          </cell>
          <cell r="D93">
            <v>37790</v>
          </cell>
          <cell r="E93">
            <v>37789</v>
          </cell>
          <cell r="F93">
            <v>0.4375</v>
          </cell>
          <cell r="G93" t="str">
            <v>Células de Solda Automática</v>
          </cell>
          <cell r="H93" t="str">
            <v>Flexível entupido</v>
          </cell>
          <cell r="I93" t="str">
            <v>Corretiva</v>
          </cell>
          <cell r="J93" t="str">
            <v>Sim</v>
          </cell>
          <cell r="K93" t="str">
            <v>Mecânica</v>
          </cell>
          <cell r="L93" t="str">
            <v>Substituição do(s) Componente(s)</v>
          </cell>
          <cell r="M93" t="str">
            <v>Desgaste / Fadiga</v>
          </cell>
          <cell r="N93">
            <v>37789</v>
          </cell>
          <cell r="O93">
            <v>0.4375</v>
          </cell>
          <cell r="P93">
            <v>37789</v>
          </cell>
          <cell r="Q93">
            <v>0.4375</v>
          </cell>
          <cell r="T93">
            <v>37789</v>
          </cell>
          <cell r="U93">
            <v>0.53125</v>
          </cell>
          <cell r="V93">
            <v>37789</v>
          </cell>
          <cell r="W93">
            <v>0.53125</v>
          </cell>
          <cell r="X93">
            <v>9.375E-2</v>
          </cell>
          <cell r="Y93">
            <v>9.375E-2</v>
          </cell>
          <cell r="AB93">
            <v>6</v>
          </cell>
          <cell r="AC93">
            <v>4</v>
          </cell>
          <cell r="AD93">
            <v>0</v>
          </cell>
          <cell r="BF93">
            <v>6</v>
          </cell>
          <cell r="BG93">
            <v>0</v>
          </cell>
          <cell r="BH93">
            <v>0</v>
          </cell>
          <cell r="BI93">
            <v>0</v>
          </cell>
          <cell r="BJ93">
            <v>0</v>
          </cell>
          <cell r="BK93">
            <v>0</v>
          </cell>
          <cell r="BL93">
            <v>0</v>
          </cell>
          <cell r="BM93">
            <v>0</v>
          </cell>
          <cell r="BN93">
            <v>0</v>
          </cell>
          <cell r="BO93">
            <v>0</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row>
        <row r="94">
          <cell r="C94">
            <v>37718</v>
          </cell>
          <cell r="D94">
            <v>37795</v>
          </cell>
          <cell r="E94">
            <v>37790</v>
          </cell>
          <cell r="F94">
            <v>0.34027777777777773</v>
          </cell>
          <cell r="G94" t="str">
            <v>Células de Solda Automática</v>
          </cell>
          <cell r="H94" t="str">
            <v>Pistão da Esteira quebrado</v>
          </cell>
          <cell r="I94" t="str">
            <v>Corretiva</v>
          </cell>
          <cell r="J94" t="str">
            <v>Sim</v>
          </cell>
          <cell r="K94" t="str">
            <v>Mecânica</v>
          </cell>
          <cell r="L94" t="str">
            <v>Substituição do(s) Componente(s)</v>
          </cell>
          <cell r="M94" t="str">
            <v>Falha de Comando / Sistema</v>
          </cell>
          <cell r="N94">
            <v>37790</v>
          </cell>
          <cell r="O94">
            <v>0.34027777777777773</v>
          </cell>
          <cell r="P94">
            <v>37790</v>
          </cell>
          <cell r="Q94">
            <v>0.34027777777777773</v>
          </cell>
          <cell r="T94">
            <v>37790</v>
          </cell>
          <cell r="U94">
            <v>0.4375</v>
          </cell>
          <cell r="V94">
            <v>37790</v>
          </cell>
          <cell r="W94">
            <v>0.4375</v>
          </cell>
          <cell r="X94">
            <v>9.7222222222222265E-2</v>
          </cell>
          <cell r="Y94">
            <v>9.7222222222222265E-2</v>
          </cell>
          <cell r="AB94">
            <v>6</v>
          </cell>
          <cell r="AC94">
            <v>4</v>
          </cell>
          <cell r="AD94">
            <v>0</v>
          </cell>
          <cell r="BF94">
            <v>6</v>
          </cell>
          <cell r="BG94">
            <v>0</v>
          </cell>
          <cell r="BH94">
            <v>0</v>
          </cell>
          <cell r="BI94">
            <v>0</v>
          </cell>
          <cell r="BJ94">
            <v>0</v>
          </cell>
          <cell r="BK94">
            <v>0</v>
          </cell>
          <cell r="BL94">
            <v>0</v>
          </cell>
          <cell r="BM94">
            <v>0</v>
          </cell>
          <cell r="BN94">
            <v>0</v>
          </cell>
          <cell r="BO94">
            <v>0</v>
          </cell>
          <cell r="BP94">
            <v>0</v>
          </cell>
          <cell r="BQ94">
            <v>0</v>
          </cell>
          <cell r="BR94">
            <v>0</v>
          </cell>
          <cell r="BS94">
            <v>0</v>
          </cell>
          <cell r="BT94">
            <v>0</v>
          </cell>
          <cell r="BU94">
            <v>0</v>
          </cell>
          <cell r="BV94">
            <v>0</v>
          </cell>
          <cell r="BW94">
            <v>0</v>
          </cell>
          <cell r="BX94">
            <v>0</v>
          </cell>
          <cell r="BY94">
            <v>0</v>
          </cell>
          <cell r="BZ94">
            <v>0</v>
          </cell>
          <cell r="CA94">
            <v>0</v>
          </cell>
          <cell r="CB94">
            <v>0</v>
          </cell>
          <cell r="CC94">
            <v>0</v>
          </cell>
          <cell r="CD94">
            <v>0</v>
          </cell>
        </row>
        <row r="95">
          <cell r="C95">
            <v>37718</v>
          </cell>
          <cell r="D95">
            <v>37795</v>
          </cell>
          <cell r="E95">
            <v>37790</v>
          </cell>
          <cell r="F95">
            <v>0.4375</v>
          </cell>
          <cell r="G95" t="str">
            <v>Células de Solda Automática</v>
          </cell>
          <cell r="H95" t="str">
            <v>Chapa dobrada no meio do rolo, guias quebradas e suporte torto</v>
          </cell>
          <cell r="I95" t="str">
            <v>Corretiva</v>
          </cell>
          <cell r="J95" t="str">
            <v>Sim</v>
          </cell>
          <cell r="K95" t="str">
            <v>Mecânica</v>
          </cell>
          <cell r="L95" t="str">
            <v>Reparo</v>
          </cell>
          <cell r="M95" t="str">
            <v>Falha Operacional</v>
          </cell>
          <cell r="N95">
            <v>37790</v>
          </cell>
          <cell r="O95">
            <v>0.4375</v>
          </cell>
          <cell r="P95">
            <v>37790</v>
          </cell>
          <cell r="Q95">
            <v>0.4375</v>
          </cell>
          <cell r="T95">
            <v>37790</v>
          </cell>
          <cell r="U95">
            <v>0.53125</v>
          </cell>
          <cell r="V95">
            <v>37790</v>
          </cell>
          <cell r="W95">
            <v>0.53125</v>
          </cell>
          <cell r="X95">
            <v>9.375E-2</v>
          </cell>
          <cell r="Y95">
            <v>9.375E-2</v>
          </cell>
          <cell r="AB95">
            <v>6</v>
          </cell>
          <cell r="AC95">
            <v>4</v>
          </cell>
          <cell r="AD95">
            <v>0</v>
          </cell>
          <cell r="BF95">
            <v>6</v>
          </cell>
          <cell r="BG95">
            <v>0</v>
          </cell>
          <cell r="BH95">
            <v>0</v>
          </cell>
          <cell r="BI95">
            <v>0</v>
          </cell>
          <cell r="BJ95">
            <v>0</v>
          </cell>
          <cell r="BK95">
            <v>0</v>
          </cell>
          <cell r="BL95">
            <v>0</v>
          </cell>
          <cell r="BM95">
            <v>0</v>
          </cell>
          <cell r="BN95">
            <v>0</v>
          </cell>
          <cell r="BO95">
            <v>0</v>
          </cell>
          <cell r="BP95">
            <v>0</v>
          </cell>
          <cell r="BQ95">
            <v>0</v>
          </cell>
          <cell r="BR95">
            <v>0</v>
          </cell>
          <cell r="BS95">
            <v>0</v>
          </cell>
          <cell r="BT95">
            <v>0</v>
          </cell>
          <cell r="BU95">
            <v>0</v>
          </cell>
          <cell r="BV95">
            <v>0</v>
          </cell>
          <cell r="BW95">
            <v>0</v>
          </cell>
          <cell r="BX95">
            <v>0</v>
          </cell>
          <cell r="BY95">
            <v>0</v>
          </cell>
          <cell r="BZ95">
            <v>0</v>
          </cell>
          <cell r="CA95">
            <v>0</v>
          </cell>
          <cell r="CB95">
            <v>0</v>
          </cell>
          <cell r="CC95">
            <v>0</v>
          </cell>
          <cell r="CD95">
            <v>0</v>
          </cell>
        </row>
        <row r="96">
          <cell r="C96">
            <v>37718</v>
          </cell>
          <cell r="D96">
            <v>37803</v>
          </cell>
          <cell r="E96">
            <v>37788</v>
          </cell>
          <cell r="F96">
            <v>0.60972222222222217</v>
          </cell>
          <cell r="G96" t="str">
            <v>Máquina de Solda MIG</v>
          </cell>
          <cell r="H96" t="str">
            <v>Tomada em más condições de uso</v>
          </cell>
          <cell r="I96" t="str">
            <v>Corretiva</v>
          </cell>
          <cell r="J96" t="str">
            <v>Sim</v>
          </cell>
          <cell r="K96" t="str">
            <v>Elétrica</v>
          </cell>
          <cell r="L96" t="str">
            <v>Substituição do(s) Componente(s)</v>
          </cell>
          <cell r="M96" t="str">
            <v>Desgaste / Fadiga</v>
          </cell>
          <cell r="N96">
            <v>37788</v>
          </cell>
          <cell r="O96">
            <v>0.625</v>
          </cell>
          <cell r="P96">
            <v>37788</v>
          </cell>
          <cell r="Q96">
            <v>0.625</v>
          </cell>
          <cell r="T96">
            <v>37788</v>
          </cell>
          <cell r="U96">
            <v>0.63541666666666663</v>
          </cell>
          <cell r="V96">
            <v>37788</v>
          </cell>
          <cell r="W96">
            <v>0.63541666666666663</v>
          </cell>
          <cell r="X96">
            <v>1.041666666666663E-2</v>
          </cell>
          <cell r="Y96">
            <v>1.0416666664241347E-2</v>
          </cell>
          <cell r="AB96">
            <v>6</v>
          </cell>
          <cell r="AC96">
            <v>4</v>
          </cell>
          <cell r="AD96">
            <v>0</v>
          </cell>
          <cell r="BF96">
            <v>0</v>
          </cell>
          <cell r="BG96">
            <v>0</v>
          </cell>
          <cell r="BH96">
            <v>0</v>
          </cell>
          <cell r="BI96">
            <v>0</v>
          </cell>
          <cell r="BJ96">
            <v>0</v>
          </cell>
          <cell r="BK96">
            <v>0</v>
          </cell>
          <cell r="BL96">
            <v>0</v>
          </cell>
          <cell r="BM96">
            <v>0</v>
          </cell>
          <cell r="BN96">
            <v>0</v>
          </cell>
          <cell r="BO96">
            <v>0</v>
          </cell>
          <cell r="BP96">
            <v>0</v>
          </cell>
          <cell r="BQ96">
            <v>0</v>
          </cell>
          <cell r="BR96">
            <v>6</v>
          </cell>
          <cell r="BS96">
            <v>0</v>
          </cell>
          <cell r="BT96">
            <v>0</v>
          </cell>
          <cell r="BU96">
            <v>0</v>
          </cell>
          <cell r="BV96">
            <v>0</v>
          </cell>
          <cell r="BW96">
            <v>0</v>
          </cell>
          <cell r="BX96">
            <v>0</v>
          </cell>
          <cell r="BY96">
            <v>0</v>
          </cell>
          <cell r="BZ96">
            <v>0</v>
          </cell>
          <cell r="CA96">
            <v>0</v>
          </cell>
          <cell r="CB96">
            <v>0</v>
          </cell>
          <cell r="CC96">
            <v>0</v>
          </cell>
          <cell r="CD96">
            <v>0</v>
          </cell>
        </row>
        <row r="97">
          <cell r="C97">
            <v>37718</v>
          </cell>
          <cell r="D97">
            <v>37722</v>
          </cell>
          <cell r="E97">
            <v>37722</v>
          </cell>
          <cell r="F97">
            <v>0.63194444444444442</v>
          </cell>
          <cell r="G97" t="str">
            <v>Perfiladora Fagor Montantes</v>
          </cell>
          <cell r="H97" t="str">
            <v>Dispositivo de Corte Travado</v>
          </cell>
          <cell r="I97" t="str">
            <v>Corretiva</v>
          </cell>
          <cell r="J97" t="str">
            <v>Sim</v>
          </cell>
          <cell r="K97" t="str">
            <v>Mecânica</v>
          </cell>
          <cell r="L97" t="str">
            <v>Ajuste / Regulagem</v>
          </cell>
          <cell r="M97" t="str">
            <v>Falha de Montagem / Preparação</v>
          </cell>
          <cell r="N97">
            <v>37722</v>
          </cell>
          <cell r="O97">
            <v>0.63194444444444442</v>
          </cell>
          <cell r="P97">
            <v>37722</v>
          </cell>
          <cell r="Q97">
            <v>0.63194444444444442</v>
          </cell>
          <cell r="T97">
            <v>37722</v>
          </cell>
          <cell r="U97">
            <v>0.66666666666666663</v>
          </cell>
          <cell r="V97">
            <v>37722</v>
          </cell>
          <cell r="W97">
            <v>0.66666666666666663</v>
          </cell>
          <cell r="X97">
            <v>3.472222222222221E-2</v>
          </cell>
          <cell r="Y97">
            <v>3.4722222219796928E-2</v>
          </cell>
          <cell r="AB97">
            <v>4</v>
          </cell>
          <cell r="AC97">
            <v>4</v>
          </cell>
          <cell r="AD97" t="str">
            <v>S</v>
          </cell>
          <cell r="BF97">
            <v>0</v>
          </cell>
          <cell r="BG97">
            <v>0</v>
          </cell>
          <cell r="BH97">
            <v>0</v>
          </cell>
          <cell r="BI97">
            <v>0</v>
          </cell>
          <cell r="BJ97">
            <v>0</v>
          </cell>
          <cell r="BK97">
            <v>0</v>
          </cell>
          <cell r="BL97">
            <v>0</v>
          </cell>
          <cell r="BM97">
            <v>0</v>
          </cell>
          <cell r="BN97">
            <v>0</v>
          </cell>
          <cell r="BO97">
            <v>0</v>
          </cell>
          <cell r="BP97">
            <v>0</v>
          </cell>
          <cell r="BQ97">
            <v>0</v>
          </cell>
          <cell r="BR97">
            <v>0</v>
          </cell>
          <cell r="BS97">
            <v>0</v>
          </cell>
          <cell r="BT97">
            <v>0</v>
          </cell>
          <cell r="BU97">
            <v>4</v>
          </cell>
          <cell r="BV97">
            <v>0</v>
          </cell>
          <cell r="BW97">
            <v>0</v>
          </cell>
          <cell r="BX97">
            <v>0</v>
          </cell>
          <cell r="BY97">
            <v>0</v>
          </cell>
          <cell r="BZ97">
            <v>0</v>
          </cell>
          <cell r="CA97">
            <v>0</v>
          </cell>
          <cell r="CB97">
            <v>0</v>
          </cell>
          <cell r="CC97">
            <v>0</v>
          </cell>
          <cell r="CD97">
            <v>0</v>
          </cell>
        </row>
        <row r="98">
          <cell r="C98">
            <v>37718</v>
          </cell>
          <cell r="D98">
            <v>37722</v>
          </cell>
          <cell r="E98">
            <v>37721</v>
          </cell>
          <cell r="F98">
            <v>0.41666666666666669</v>
          </cell>
          <cell r="G98" t="str">
            <v>Perfiladora Fagor Largueros</v>
          </cell>
          <cell r="H98" t="str">
            <v>Ruído no Eixo do Desbobinador 01 e Vazamento no Redutor do motor da Trefila 02</v>
          </cell>
          <cell r="I98" t="str">
            <v>Corretiva</v>
          </cell>
          <cell r="J98" t="str">
            <v>Não</v>
          </cell>
          <cell r="K98" t="str">
            <v>Mecânica</v>
          </cell>
          <cell r="L98" t="str">
            <v>Substituição do(s) Componente(s)</v>
          </cell>
          <cell r="M98" t="str">
            <v>Falha de Montagem / Preparação</v>
          </cell>
          <cell r="N98">
            <v>37721</v>
          </cell>
          <cell r="O98">
            <v>0.41666666666666669</v>
          </cell>
          <cell r="P98">
            <v>37721</v>
          </cell>
          <cell r="Q98">
            <v>0.4375</v>
          </cell>
          <cell r="R98">
            <v>37832</v>
          </cell>
          <cell r="S98">
            <v>0.33333333333333331</v>
          </cell>
          <cell r="T98">
            <v>37832</v>
          </cell>
          <cell r="U98">
            <v>0.58333333333333337</v>
          </cell>
          <cell r="V98">
            <v>0</v>
          </cell>
          <cell r="W98">
            <v>0.27083333333333337</v>
          </cell>
          <cell r="X98">
            <v>0.27083333333333337</v>
          </cell>
          <cell r="Y98" t="str">
            <v>Máquina em Garantia</v>
          </cell>
          <cell r="AB98">
            <v>7</v>
          </cell>
          <cell r="AC98">
            <v>4</v>
          </cell>
          <cell r="AD98">
            <v>0</v>
          </cell>
          <cell r="BF98">
            <v>0</v>
          </cell>
          <cell r="BG98">
            <v>0</v>
          </cell>
          <cell r="BH98">
            <v>0</v>
          </cell>
          <cell r="BI98">
            <v>0</v>
          </cell>
          <cell r="BJ98">
            <v>0</v>
          </cell>
          <cell r="BK98">
            <v>0</v>
          </cell>
          <cell r="BL98">
            <v>0</v>
          </cell>
          <cell r="BM98">
            <v>0</v>
          </cell>
          <cell r="BN98">
            <v>0</v>
          </cell>
          <cell r="BO98">
            <v>0</v>
          </cell>
          <cell r="BP98">
            <v>0</v>
          </cell>
          <cell r="BQ98">
            <v>0</v>
          </cell>
          <cell r="BR98">
            <v>0</v>
          </cell>
          <cell r="BS98">
            <v>0</v>
          </cell>
          <cell r="BT98">
            <v>7</v>
          </cell>
          <cell r="BU98">
            <v>0</v>
          </cell>
          <cell r="BV98">
            <v>0</v>
          </cell>
          <cell r="BW98">
            <v>0</v>
          </cell>
          <cell r="BX98">
            <v>0</v>
          </cell>
          <cell r="BY98">
            <v>0</v>
          </cell>
          <cell r="BZ98">
            <v>0</v>
          </cell>
          <cell r="CA98">
            <v>0</v>
          </cell>
          <cell r="CB98">
            <v>0</v>
          </cell>
          <cell r="CC98">
            <v>0</v>
          </cell>
          <cell r="CD98">
            <v>0</v>
          </cell>
        </row>
        <row r="99">
          <cell r="C99">
            <v>37718</v>
          </cell>
          <cell r="D99">
            <v>37769</v>
          </cell>
          <cell r="E99">
            <v>37764</v>
          </cell>
          <cell r="F99">
            <v>0.60416666666666663</v>
          </cell>
          <cell r="G99" t="str">
            <v>Perfiladora Fagor Largueros</v>
          </cell>
          <cell r="H99" t="str">
            <v>Verificar Flexível da calha do carrinho da cortadora</v>
          </cell>
          <cell r="I99" t="str">
            <v>Corretiva</v>
          </cell>
          <cell r="J99" t="str">
            <v>Não</v>
          </cell>
          <cell r="K99" t="str">
            <v>Elétrica</v>
          </cell>
          <cell r="L99" t="str">
            <v>Os conectores foram colados</v>
          </cell>
          <cell r="M99" t="str">
            <v>Defeito de Fabricação</v>
          </cell>
          <cell r="N99">
            <v>37764</v>
          </cell>
          <cell r="O99">
            <v>0.60416666666666663</v>
          </cell>
          <cell r="P99">
            <v>37764</v>
          </cell>
          <cell r="Q99">
            <v>0.60416666666666663</v>
          </cell>
          <cell r="T99">
            <v>37764</v>
          </cell>
          <cell r="U99">
            <v>0.625</v>
          </cell>
          <cell r="V99">
            <v>37764</v>
          </cell>
          <cell r="W99">
            <v>0.625</v>
          </cell>
          <cell r="X99">
            <v>2.083333333333337E-2</v>
          </cell>
          <cell r="Y99">
            <v>2.083333333333337E-2</v>
          </cell>
          <cell r="AB99">
            <v>5</v>
          </cell>
          <cell r="AC99">
            <v>4</v>
          </cell>
          <cell r="AD99">
            <v>0</v>
          </cell>
          <cell r="BF99">
            <v>0</v>
          </cell>
          <cell r="BG99">
            <v>0</v>
          </cell>
          <cell r="BH99">
            <v>0</v>
          </cell>
          <cell r="BI99">
            <v>0</v>
          </cell>
          <cell r="BJ99">
            <v>0</v>
          </cell>
          <cell r="BK99">
            <v>0</v>
          </cell>
          <cell r="BL99">
            <v>0</v>
          </cell>
          <cell r="BM99">
            <v>0</v>
          </cell>
          <cell r="BN99">
            <v>0</v>
          </cell>
          <cell r="BO99">
            <v>0</v>
          </cell>
          <cell r="BP99">
            <v>0</v>
          </cell>
          <cell r="BQ99">
            <v>0</v>
          </cell>
          <cell r="BR99">
            <v>0</v>
          </cell>
          <cell r="BS99">
            <v>0</v>
          </cell>
          <cell r="BT99">
            <v>5</v>
          </cell>
          <cell r="BU99">
            <v>0</v>
          </cell>
          <cell r="BV99">
            <v>0</v>
          </cell>
          <cell r="BW99">
            <v>0</v>
          </cell>
          <cell r="BX99">
            <v>0</v>
          </cell>
          <cell r="BY99">
            <v>0</v>
          </cell>
          <cell r="BZ99">
            <v>0</v>
          </cell>
          <cell r="CA99">
            <v>0</v>
          </cell>
          <cell r="CB99">
            <v>0</v>
          </cell>
          <cell r="CC99">
            <v>0</v>
          </cell>
          <cell r="CD99">
            <v>0</v>
          </cell>
        </row>
        <row r="100">
          <cell r="C100">
            <v>37718</v>
          </cell>
          <cell r="D100">
            <v>37767</v>
          </cell>
          <cell r="E100">
            <v>37766</v>
          </cell>
          <cell r="F100">
            <v>0.58333333333333337</v>
          </cell>
          <cell r="G100" t="str">
            <v>Perfiladora Fagor Largueros</v>
          </cell>
          <cell r="H100" t="str">
            <v>Há a necessidade de montagem da proteção do eixo do desbobinador No. 01</v>
          </cell>
          <cell r="I100" t="str">
            <v>Corretiva</v>
          </cell>
          <cell r="J100" t="str">
            <v>Não</v>
          </cell>
          <cell r="K100" t="str">
            <v>Mecânica</v>
          </cell>
          <cell r="L100" t="str">
            <v>Montagem / Instalação</v>
          </cell>
          <cell r="M100" t="str">
            <v>Falha Operacional</v>
          </cell>
          <cell r="N100">
            <v>37765</v>
          </cell>
          <cell r="O100">
            <v>0.58333333333333337</v>
          </cell>
          <cell r="P100">
            <v>37765</v>
          </cell>
          <cell r="Q100">
            <v>0.58333333333333337</v>
          </cell>
          <cell r="T100">
            <v>37765</v>
          </cell>
          <cell r="U100">
            <v>0.61458333333333337</v>
          </cell>
          <cell r="V100">
            <v>37765</v>
          </cell>
          <cell r="W100">
            <v>0.61458333333333337</v>
          </cell>
          <cell r="X100">
            <v>3.1250000002425282E-2</v>
          </cell>
          <cell r="Y100">
            <v>3.1250000002425282E-2</v>
          </cell>
          <cell r="AB100">
            <v>5</v>
          </cell>
          <cell r="AC100">
            <v>4</v>
          </cell>
          <cell r="AD100">
            <v>0</v>
          </cell>
          <cell r="BF100">
            <v>0</v>
          </cell>
          <cell r="BG100">
            <v>0</v>
          </cell>
          <cell r="BH100">
            <v>0</v>
          </cell>
          <cell r="BI100">
            <v>0</v>
          </cell>
          <cell r="BJ100">
            <v>0</v>
          </cell>
          <cell r="BK100">
            <v>0</v>
          </cell>
          <cell r="BL100">
            <v>0</v>
          </cell>
          <cell r="BM100">
            <v>0</v>
          </cell>
          <cell r="BN100">
            <v>0</v>
          </cell>
          <cell r="BO100">
            <v>0</v>
          </cell>
          <cell r="BP100">
            <v>0</v>
          </cell>
          <cell r="BQ100">
            <v>0</v>
          </cell>
          <cell r="BR100">
            <v>0</v>
          </cell>
          <cell r="BS100">
            <v>0</v>
          </cell>
          <cell r="BT100">
            <v>5</v>
          </cell>
          <cell r="BU100">
            <v>0</v>
          </cell>
          <cell r="BV100">
            <v>0</v>
          </cell>
          <cell r="BW100">
            <v>0</v>
          </cell>
          <cell r="BX100">
            <v>0</v>
          </cell>
          <cell r="BY100">
            <v>0</v>
          </cell>
          <cell r="BZ100">
            <v>0</v>
          </cell>
          <cell r="CA100">
            <v>0</v>
          </cell>
          <cell r="CB100">
            <v>0</v>
          </cell>
          <cell r="CC100">
            <v>0</v>
          </cell>
          <cell r="CD100">
            <v>0</v>
          </cell>
        </row>
        <row r="101">
          <cell r="C101">
            <v>37718</v>
          </cell>
          <cell r="D101">
            <v>37767</v>
          </cell>
          <cell r="E101">
            <v>37764</v>
          </cell>
          <cell r="F101">
            <v>0.53125</v>
          </cell>
          <cell r="G101" t="str">
            <v>Perfiladora Fagor Largueros</v>
          </cell>
          <cell r="H101" t="str">
            <v>Vazamento no motoredutor do motor da esteira</v>
          </cell>
          <cell r="I101" t="str">
            <v>Corretiva</v>
          </cell>
          <cell r="J101" t="str">
            <v>Sim</v>
          </cell>
          <cell r="K101" t="str">
            <v>Mecânica</v>
          </cell>
          <cell r="L101" t="str">
            <v>Substituição do(s) Componente(s)</v>
          </cell>
          <cell r="M101" t="str">
            <v>Desgaste / Fadiga</v>
          </cell>
          <cell r="N101">
            <v>37764</v>
          </cell>
          <cell r="O101">
            <v>0.53125</v>
          </cell>
          <cell r="P101">
            <v>37764</v>
          </cell>
          <cell r="Q101">
            <v>0.54166666666666663</v>
          </cell>
          <cell r="R101">
            <v>37765</v>
          </cell>
          <cell r="S101">
            <v>0.375</v>
          </cell>
          <cell r="T101">
            <v>37765</v>
          </cell>
          <cell r="U101">
            <v>0.58333333333333337</v>
          </cell>
          <cell r="V101">
            <v>0</v>
          </cell>
          <cell r="W101">
            <v>0.21875</v>
          </cell>
          <cell r="X101">
            <v>0.21875</v>
          </cell>
          <cell r="Y101" t="str">
            <v>Desmontagem do motoredutor e substituição dos retentores</v>
          </cell>
          <cell r="AB101">
            <v>5</v>
          </cell>
          <cell r="AC101">
            <v>4</v>
          </cell>
          <cell r="AD101">
            <v>0</v>
          </cell>
          <cell r="BF101">
            <v>0</v>
          </cell>
          <cell r="BG101">
            <v>0</v>
          </cell>
          <cell r="BH101">
            <v>0</v>
          </cell>
          <cell r="BI101">
            <v>0</v>
          </cell>
          <cell r="BJ101">
            <v>0</v>
          </cell>
          <cell r="BK101">
            <v>0</v>
          </cell>
          <cell r="BL101">
            <v>0</v>
          </cell>
          <cell r="BM101">
            <v>0</v>
          </cell>
          <cell r="BN101">
            <v>0</v>
          </cell>
          <cell r="BO101">
            <v>0</v>
          </cell>
          <cell r="BP101">
            <v>0</v>
          </cell>
          <cell r="BQ101">
            <v>0</v>
          </cell>
          <cell r="BR101">
            <v>0</v>
          </cell>
          <cell r="BS101">
            <v>0</v>
          </cell>
          <cell r="BT101">
            <v>5</v>
          </cell>
          <cell r="BU101">
            <v>0</v>
          </cell>
          <cell r="BV101">
            <v>0</v>
          </cell>
          <cell r="BW101">
            <v>0</v>
          </cell>
          <cell r="BX101">
            <v>0</v>
          </cell>
          <cell r="BY101">
            <v>0</v>
          </cell>
          <cell r="BZ101">
            <v>0</v>
          </cell>
          <cell r="CA101">
            <v>0</v>
          </cell>
          <cell r="CB101">
            <v>0</v>
          </cell>
          <cell r="CC101">
            <v>0</v>
          </cell>
          <cell r="CD101">
            <v>0</v>
          </cell>
        </row>
        <row r="102">
          <cell r="C102">
            <v>37718</v>
          </cell>
          <cell r="D102">
            <v>37776</v>
          </cell>
          <cell r="E102">
            <v>37776</v>
          </cell>
          <cell r="F102">
            <v>0.375</v>
          </cell>
          <cell r="G102" t="str">
            <v>Perfiladora Fagor Largueros</v>
          </cell>
          <cell r="H102" t="str">
            <v>Chapa enroscou nos rolos</v>
          </cell>
          <cell r="I102" t="str">
            <v>Corretiva</v>
          </cell>
          <cell r="J102" t="str">
            <v>Sim</v>
          </cell>
          <cell r="K102" t="str">
            <v>Mecânica</v>
          </cell>
          <cell r="L102" t="str">
            <v>Foi retirada a chapa</v>
          </cell>
          <cell r="M102" t="str">
            <v>Falha de Comando / Sistema</v>
          </cell>
          <cell r="N102">
            <v>37776</v>
          </cell>
          <cell r="O102">
            <v>0.375</v>
          </cell>
          <cell r="P102">
            <v>37776</v>
          </cell>
          <cell r="Q102">
            <v>0.375</v>
          </cell>
          <cell r="T102">
            <v>37776</v>
          </cell>
          <cell r="U102">
            <v>0.41666666666666669</v>
          </cell>
          <cell r="V102">
            <v>37776</v>
          </cell>
          <cell r="W102">
            <v>0.41666666666666669</v>
          </cell>
          <cell r="X102">
            <v>4.1666666666666685E-2</v>
          </cell>
          <cell r="Y102">
            <v>4.1666666664241347E-2</v>
          </cell>
          <cell r="AB102">
            <v>6</v>
          </cell>
          <cell r="AC102">
            <v>4</v>
          </cell>
          <cell r="AD102">
            <v>0</v>
          </cell>
          <cell r="BF102">
            <v>0</v>
          </cell>
          <cell r="BG102">
            <v>0</v>
          </cell>
          <cell r="BH102">
            <v>0</v>
          </cell>
          <cell r="BI102">
            <v>0</v>
          </cell>
          <cell r="BJ102">
            <v>0</v>
          </cell>
          <cell r="BK102">
            <v>0</v>
          </cell>
          <cell r="BL102">
            <v>0</v>
          </cell>
          <cell r="BM102">
            <v>0</v>
          </cell>
          <cell r="BN102">
            <v>0</v>
          </cell>
          <cell r="BO102">
            <v>0</v>
          </cell>
          <cell r="BP102">
            <v>0</v>
          </cell>
          <cell r="BQ102">
            <v>0</v>
          </cell>
          <cell r="BR102">
            <v>0</v>
          </cell>
          <cell r="BS102">
            <v>0</v>
          </cell>
          <cell r="BT102">
            <v>6</v>
          </cell>
          <cell r="BU102">
            <v>0</v>
          </cell>
          <cell r="BV102">
            <v>0</v>
          </cell>
          <cell r="BW102">
            <v>0</v>
          </cell>
          <cell r="BX102">
            <v>0</v>
          </cell>
          <cell r="BY102">
            <v>0</v>
          </cell>
          <cell r="BZ102">
            <v>0</v>
          </cell>
          <cell r="CA102">
            <v>0</v>
          </cell>
          <cell r="CB102">
            <v>0</v>
          </cell>
          <cell r="CC102">
            <v>0</v>
          </cell>
          <cell r="CD102">
            <v>0</v>
          </cell>
        </row>
        <row r="103">
          <cell r="C103">
            <v>37718</v>
          </cell>
          <cell r="D103">
            <v>37783</v>
          </cell>
          <cell r="E103">
            <v>37778</v>
          </cell>
          <cell r="F103">
            <v>0.35416666666666669</v>
          </cell>
          <cell r="G103" t="str">
            <v>Perfiladora Fagor Largueros</v>
          </cell>
          <cell r="H103" t="str">
            <v>Guias quebradas</v>
          </cell>
          <cell r="I103" t="str">
            <v>Corretiva</v>
          </cell>
          <cell r="J103" t="str">
            <v>Sim</v>
          </cell>
          <cell r="K103" t="str">
            <v>Mecânica</v>
          </cell>
          <cell r="L103" t="str">
            <v>Substituição do(s) Componente(s)</v>
          </cell>
          <cell r="M103" t="str">
            <v>Falha Operacional</v>
          </cell>
          <cell r="N103">
            <v>37778</v>
          </cell>
          <cell r="O103">
            <v>0.35416666666666669</v>
          </cell>
          <cell r="P103">
            <v>37778</v>
          </cell>
          <cell r="Q103">
            <v>0.35416666666666669</v>
          </cell>
          <cell r="T103">
            <v>37778</v>
          </cell>
          <cell r="U103">
            <v>0.39583333333333331</v>
          </cell>
          <cell r="V103">
            <v>37778</v>
          </cell>
          <cell r="W103">
            <v>0.39583333333333331</v>
          </cell>
          <cell r="X103">
            <v>4.166666666666663E-2</v>
          </cell>
          <cell r="Y103">
            <v>4.1666666669091967E-2</v>
          </cell>
          <cell r="AB103">
            <v>6</v>
          </cell>
          <cell r="AC103">
            <v>4</v>
          </cell>
          <cell r="AD103">
            <v>0</v>
          </cell>
          <cell r="BF103">
            <v>0</v>
          </cell>
          <cell r="BG103">
            <v>0</v>
          </cell>
          <cell r="BH103">
            <v>0</v>
          </cell>
          <cell r="BI103">
            <v>0</v>
          </cell>
          <cell r="BJ103">
            <v>0</v>
          </cell>
          <cell r="BK103">
            <v>0</v>
          </cell>
          <cell r="BL103">
            <v>0</v>
          </cell>
          <cell r="BM103">
            <v>0</v>
          </cell>
          <cell r="BN103">
            <v>0</v>
          </cell>
          <cell r="BO103">
            <v>0</v>
          </cell>
          <cell r="BP103">
            <v>0</v>
          </cell>
          <cell r="BQ103">
            <v>0</v>
          </cell>
          <cell r="BR103">
            <v>0</v>
          </cell>
          <cell r="BS103">
            <v>0</v>
          </cell>
          <cell r="BT103">
            <v>6</v>
          </cell>
          <cell r="BU103">
            <v>0</v>
          </cell>
          <cell r="BV103">
            <v>0</v>
          </cell>
          <cell r="BW103">
            <v>0</v>
          </cell>
          <cell r="BX103">
            <v>0</v>
          </cell>
          <cell r="BY103">
            <v>0</v>
          </cell>
          <cell r="BZ103">
            <v>0</v>
          </cell>
          <cell r="CA103">
            <v>0</v>
          </cell>
          <cell r="CB103">
            <v>0</v>
          </cell>
          <cell r="CC103">
            <v>0</v>
          </cell>
          <cell r="CD103">
            <v>0</v>
          </cell>
        </row>
        <row r="104">
          <cell r="C104">
            <v>37718</v>
          </cell>
          <cell r="D104">
            <v>37783</v>
          </cell>
          <cell r="E104">
            <v>37782</v>
          </cell>
          <cell r="F104">
            <v>0.41666666666666669</v>
          </cell>
          <cell r="G104" t="str">
            <v>Perfiladora Fagor Largueros</v>
          </cell>
          <cell r="H104" t="str">
            <v>Esteira da mesa 01 está travada</v>
          </cell>
          <cell r="I104" t="str">
            <v>Corretiva</v>
          </cell>
          <cell r="J104" t="str">
            <v>Sim</v>
          </cell>
          <cell r="K104" t="str">
            <v>Mecânica</v>
          </cell>
          <cell r="L104" t="str">
            <v>Limpeza do Equipamento / Componente</v>
          </cell>
          <cell r="M104" t="str">
            <v>Sujeira em excesso</v>
          </cell>
          <cell r="N104">
            <v>37782</v>
          </cell>
          <cell r="O104">
            <v>0.41666666666666669</v>
          </cell>
          <cell r="P104">
            <v>37782</v>
          </cell>
          <cell r="Q104">
            <v>0.41666666666666669</v>
          </cell>
          <cell r="T104">
            <v>37782</v>
          </cell>
          <cell r="U104">
            <v>0.4375</v>
          </cell>
          <cell r="V104">
            <v>37782</v>
          </cell>
          <cell r="W104">
            <v>0.4375</v>
          </cell>
          <cell r="X104">
            <v>2.0833333333333315E-2</v>
          </cell>
          <cell r="Y104">
            <v>2.0833333333333315E-2</v>
          </cell>
          <cell r="AB104">
            <v>6</v>
          </cell>
          <cell r="AC104">
            <v>4</v>
          </cell>
          <cell r="AD104">
            <v>0</v>
          </cell>
          <cell r="BF104">
            <v>0</v>
          </cell>
          <cell r="BG104">
            <v>0</v>
          </cell>
          <cell r="BH104">
            <v>0</v>
          </cell>
          <cell r="BI104">
            <v>0</v>
          </cell>
          <cell r="BJ104">
            <v>0</v>
          </cell>
          <cell r="BK104">
            <v>0</v>
          </cell>
          <cell r="BL104">
            <v>0</v>
          </cell>
          <cell r="BM104">
            <v>0</v>
          </cell>
          <cell r="BN104">
            <v>0</v>
          </cell>
          <cell r="BO104">
            <v>0</v>
          </cell>
          <cell r="BP104">
            <v>0</v>
          </cell>
          <cell r="BQ104">
            <v>0</v>
          </cell>
          <cell r="BR104">
            <v>0</v>
          </cell>
          <cell r="BS104">
            <v>0</v>
          </cell>
          <cell r="BT104">
            <v>6</v>
          </cell>
          <cell r="BU104">
            <v>0</v>
          </cell>
          <cell r="BV104">
            <v>0</v>
          </cell>
          <cell r="BW104">
            <v>0</v>
          </cell>
          <cell r="BX104">
            <v>0</v>
          </cell>
          <cell r="BY104">
            <v>0</v>
          </cell>
          <cell r="BZ104">
            <v>0</v>
          </cell>
          <cell r="CA104">
            <v>0</v>
          </cell>
          <cell r="CB104">
            <v>0</v>
          </cell>
          <cell r="CC104">
            <v>0</v>
          </cell>
          <cell r="CD104">
            <v>0</v>
          </cell>
        </row>
        <row r="105">
          <cell r="C105">
            <v>37718</v>
          </cell>
          <cell r="D105">
            <v>37847</v>
          </cell>
          <cell r="E105">
            <v>37846</v>
          </cell>
          <cell r="F105">
            <v>0.3611111111111111</v>
          </cell>
          <cell r="G105" t="str">
            <v>Perfiladora Fagor Largueros</v>
          </cell>
          <cell r="H105" t="str">
            <v>Carro de Corte não avança, e produz ruído em excesso</v>
          </cell>
          <cell r="I105" t="str">
            <v>Corretiva</v>
          </cell>
          <cell r="J105" t="str">
            <v>Sim</v>
          </cell>
          <cell r="K105" t="str">
            <v>Mecânica</v>
          </cell>
          <cell r="L105" t="str">
            <v>Reinicialização do Equipamento / Componente</v>
          </cell>
          <cell r="M105" t="str">
            <v>Falha Operacional</v>
          </cell>
          <cell r="N105">
            <v>37846</v>
          </cell>
          <cell r="O105">
            <v>0.375</v>
          </cell>
          <cell r="P105">
            <v>37846</v>
          </cell>
          <cell r="Q105">
            <v>0.375</v>
          </cell>
          <cell r="T105">
            <v>37846</v>
          </cell>
          <cell r="U105">
            <v>0.38541666666666669</v>
          </cell>
          <cell r="V105">
            <v>37846</v>
          </cell>
          <cell r="W105">
            <v>0.38541666666666669</v>
          </cell>
          <cell r="X105">
            <v>1.0416666666666685E-2</v>
          </cell>
          <cell r="Y105">
            <v>1.0416666664241347E-2</v>
          </cell>
          <cell r="AB105">
            <v>8</v>
          </cell>
          <cell r="AC105">
            <v>4</v>
          </cell>
          <cell r="AD105">
            <v>0</v>
          </cell>
          <cell r="BF105">
            <v>0</v>
          </cell>
          <cell r="BG105">
            <v>0</v>
          </cell>
          <cell r="BH105">
            <v>0</v>
          </cell>
          <cell r="BI105">
            <v>0</v>
          </cell>
          <cell r="BJ105">
            <v>0</v>
          </cell>
          <cell r="BK105">
            <v>0</v>
          </cell>
          <cell r="BL105">
            <v>0</v>
          </cell>
          <cell r="BM105">
            <v>0</v>
          </cell>
          <cell r="BN105">
            <v>0</v>
          </cell>
          <cell r="BO105">
            <v>0</v>
          </cell>
          <cell r="BP105">
            <v>0</v>
          </cell>
          <cell r="BQ105">
            <v>0</v>
          </cell>
          <cell r="BR105">
            <v>0</v>
          </cell>
          <cell r="BS105">
            <v>0</v>
          </cell>
          <cell r="BT105">
            <v>8</v>
          </cell>
          <cell r="BU105">
            <v>0</v>
          </cell>
          <cell r="BV105">
            <v>0</v>
          </cell>
          <cell r="BW105">
            <v>0</v>
          </cell>
          <cell r="BX105">
            <v>0</v>
          </cell>
          <cell r="BY105">
            <v>0</v>
          </cell>
          <cell r="BZ105">
            <v>0</v>
          </cell>
          <cell r="CA105">
            <v>0</v>
          </cell>
          <cell r="CB105">
            <v>0</v>
          </cell>
          <cell r="CC105">
            <v>0</v>
          </cell>
          <cell r="CD105">
            <v>0</v>
          </cell>
        </row>
        <row r="106">
          <cell r="C106">
            <v>37718</v>
          </cell>
          <cell r="D106">
            <v>37865</v>
          </cell>
          <cell r="E106">
            <v>37860</v>
          </cell>
          <cell r="F106">
            <v>0.29166666666666669</v>
          </cell>
          <cell r="G106" t="str">
            <v>Perfiladora Fagor Largueros</v>
          </cell>
          <cell r="H106" t="str">
            <v>Desarme constante do disjuntor</v>
          </cell>
          <cell r="I106" t="str">
            <v>Corretiva</v>
          </cell>
          <cell r="J106" t="str">
            <v>Sim</v>
          </cell>
          <cell r="K106" t="str">
            <v>Elétrica</v>
          </cell>
          <cell r="L106" t="str">
            <v>Ajuste / Regulagem</v>
          </cell>
          <cell r="M106" t="str">
            <v>Saturação do Filtro</v>
          </cell>
          <cell r="N106">
            <v>37860</v>
          </cell>
          <cell r="O106">
            <v>0.29166666666666669</v>
          </cell>
          <cell r="P106">
            <v>37860</v>
          </cell>
          <cell r="Q106">
            <v>0.29166666666666669</v>
          </cell>
          <cell r="T106">
            <v>37860</v>
          </cell>
          <cell r="U106">
            <v>0.3125</v>
          </cell>
          <cell r="V106">
            <v>37860</v>
          </cell>
          <cell r="W106">
            <v>0.3125</v>
          </cell>
          <cell r="X106">
            <v>2.0833333333333315E-2</v>
          </cell>
          <cell r="Y106">
            <v>2.0833333333333315E-2</v>
          </cell>
          <cell r="AB106">
            <v>8</v>
          </cell>
          <cell r="AC106">
            <v>4</v>
          </cell>
          <cell r="AD106">
            <v>0</v>
          </cell>
          <cell r="BF106">
            <v>0</v>
          </cell>
          <cell r="BG106">
            <v>0</v>
          </cell>
          <cell r="BH106">
            <v>0</v>
          </cell>
          <cell r="BI106">
            <v>0</v>
          </cell>
          <cell r="BJ106">
            <v>0</v>
          </cell>
          <cell r="BK106">
            <v>0</v>
          </cell>
          <cell r="BL106">
            <v>0</v>
          </cell>
          <cell r="BM106">
            <v>0</v>
          </cell>
          <cell r="BN106">
            <v>0</v>
          </cell>
          <cell r="BO106">
            <v>0</v>
          </cell>
          <cell r="BP106">
            <v>0</v>
          </cell>
          <cell r="BQ106">
            <v>0</v>
          </cell>
          <cell r="BR106">
            <v>0</v>
          </cell>
          <cell r="BS106">
            <v>0</v>
          </cell>
          <cell r="BT106">
            <v>8</v>
          </cell>
          <cell r="BU106">
            <v>0</v>
          </cell>
          <cell r="BV106">
            <v>0</v>
          </cell>
          <cell r="BW106">
            <v>0</v>
          </cell>
          <cell r="BX106">
            <v>0</v>
          </cell>
          <cell r="BY106">
            <v>0</v>
          </cell>
          <cell r="BZ106">
            <v>0</v>
          </cell>
          <cell r="CA106">
            <v>0</v>
          </cell>
          <cell r="CB106">
            <v>0</v>
          </cell>
          <cell r="CC106">
            <v>0</v>
          </cell>
          <cell r="CD106">
            <v>0</v>
          </cell>
        </row>
        <row r="107">
          <cell r="C107">
            <v>37718</v>
          </cell>
          <cell r="D107">
            <v>37721</v>
          </cell>
          <cell r="E107">
            <v>37721</v>
          </cell>
          <cell r="F107">
            <v>0.375</v>
          </cell>
          <cell r="G107" t="str">
            <v>Máquina de Solda MIG</v>
          </cell>
          <cell r="H107" t="str">
            <v>Reparo nas tochas Solmig 320 - AirLiquide MIG 3105</v>
          </cell>
          <cell r="I107" t="str">
            <v>Corretiva</v>
          </cell>
          <cell r="J107" t="str">
            <v>Sim</v>
          </cell>
          <cell r="K107" t="str">
            <v>Mecânica</v>
          </cell>
          <cell r="L107" t="str">
            <v>Substituição do(s) Componente(s)</v>
          </cell>
          <cell r="M107" t="str">
            <v>Desgaste / Fadiga</v>
          </cell>
          <cell r="N107">
            <v>37721</v>
          </cell>
          <cell r="O107">
            <v>0.375</v>
          </cell>
          <cell r="P107">
            <v>37721</v>
          </cell>
          <cell r="Q107">
            <v>0.375</v>
          </cell>
          <cell r="R107">
            <v>37749</v>
          </cell>
          <cell r="S107">
            <v>0.66666666666666663</v>
          </cell>
          <cell r="T107">
            <v>37749</v>
          </cell>
          <cell r="U107">
            <v>0.83333333333333337</v>
          </cell>
          <cell r="V107">
            <v>0</v>
          </cell>
          <cell r="W107">
            <v>0.16666666666666674</v>
          </cell>
          <cell r="X107">
            <v>0.16666666666666674</v>
          </cell>
          <cell r="Y107">
            <v>0.16666666666666674</v>
          </cell>
          <cell r="AB107">
            <v>5</v>
          </cell>
          <cell r="AC107">
            <v>4</v>
          </cell>
          <cell r="AD107">
            <v>0</v>
          </cell>
          <cell r="BF107">
            <v>0</v>
          </cell>
          <cell r="BG107">
            <v>0</v>
          </cell>
          <cell r="BH107">
            <v>0</v>
          </cell>
          <cell r="BI107">
            <v>0</v>
          </cell>
          <cell r="BJ107">
            <v>0</v>
          </cell>
          <cell r="BK107">
            <v>0</v>
          </cell>
          <cell r="BL107">
            <v>0</v>
          </cell>
          <cell r="BM107">
            <v>0</v>
          </cell>
          <cell r="BN107">
            <v>0</v>
          </cell>
          <cell r="BO107">
            <v>0</v>
          </cell>
          <cell r="BP107">
            <v>0</v>
          </cell>
          <cell r="BQ107">
            <v>0</v>
          </cell>
          <cell r="BR107">
            <v>5</v>
          </cell>
          <cell r="BS107">
            <v>0</v>
          </cell>
          <cell r="BT107">
            <v>0</v>
          </cell>
          <cell r="BU107">
            <v>0</v>
          </cell>
          <cell r="BV107">
            <v>0</v>
          </cell>
          <cell r="BW107">
            <v>0</v>
          </cell>
          <cell r="BX107">
            <v>0</v>
          </cell>
          <cell r="BY107">
            <v>0</v>
          </cell>
          <cell r="BZ107">
            <v>0</v>
          </cell>
          <cell r="CA107">
            <v>0</v>
          </cell>
          <cell r="CB107">
            <v>0</v>
          </cell>
          <cell r="CC107">
            <v>0</v>
          </cell>
          <cell r="CD107">
            <v>0</v>
          </cell>
        </row>
        <row r="108">
          <cell r="C108">
            <v>37718</v>
          </cell>
          <cell r="D108">
            <v>37748</v>
          </cell>
          <cell r="E108">
            <v>37748</v>
          </cell>
          <cell r="F108">
            <v>0.375</v>
          </cell>
          <cell r="G108" t="str">
            <v>Serra de Fita</v>
          </cell>
          <cell r="H108" t="str">
            <v>Cortes saem fora de esquadro</v>
          </cell>
          <cell r="I108" t="str">
            <v>Corretiva</v>
          </cell>
          <cell r="J108" t="str">
            <v>Não</v>
          </cell>
          <cell r="K108" t="str">
            <v>Mecânica</v>
          </cell>
          <cell r="L108" t="str">
            <v>Reparo</v>
          </cell>
          <cell r="M108" t="str">
            <v>Defeito de Fabricação</v>
          </cell>
          <cell r="N108">
            <v>37748</v>
          </cell>
          <cell r="O108">
            <v>0.375</v>
          </cell>
          <cell r="P108">
            <v>37748</v>
          </cell>
          <cell r="Q108">
            <v>0.375</v>
          </cell>
          <cell r="T108">
            <v>37748</v>
          </cell>
          <cell r="U108">
            <v>0.625</v>
          </cell>
          <cell r="V108">
            <v>37748</v>
          </cell>
          <cell r="W108">
            <v>0.625</v>
          </cell>
          <cell r="X108">
            <v>0.25</v>
          </cell>
          <cell r="Y108">
            <v>0.25</v>
          </cell>
          <cell r="AB108">
            <v>5</v>
          </cell>
          <cell r="AC108">
            <v>4</v>
          </cell>
          <cell r="AD108">
            <v>0</v>
          </cell>
          <cell r="BF108">
            <v>0</v>
          </cell>
          <cell r="BG108">
            <v>0</v>
          </cell>
          <cell r="BH108">
            <v>0</v>
          </cell>
          <cell r="BI108">
            <v>0</v>
          </cell>
          <cell r="BJ108">
            <v>0</v>
          </cell>
          <cell r="BK108">
            <v>0</v>
          </cell>
          <cell r="BL108">
            <v>0</v>
          </cell>
          <cell r="BM108">
            <v>0</v>
          </cell>
          <cell r="BN108">
            <v>0</v>
          </cell>
          <cell r="BO108">
            <v>0</v>
          </cell>
          <cell r="BP108">
            <v>0</v>
          </cell>
          <cell r="BQ108">
            <v>0</v>
          </cell>
          <cell r="BR108">
            <v>0</v>
          </cell>
          <cell r="BS108">
            <v>0</v>
          </cell>
          <cell r="BT108">
            <v>0</v>
          </cell>
          <cell r="BU108">
            <v>0</v>
          </cell>
          <cell r="BV108">
            <v>0</v>
          </cell>
          <cell r="BW108">
            <v>0</v>
          </cell>
          <cell r="BX108">
            <v>0</v>
          </cell>
          <cell r="BY108">
            <v>0</v>
          </cell>
          <cell r="BZ108">
            <v>0</v>
          </cell>
          <cell r="CA108">
            <v>0</v>
          </cell>
          <cell r="CB108">
            <v>0</v>
          </cell>
          <cell r="CC108">
            <v>5</v>
          </cell>
          <cell r="CD108">
            <v>0</v>
          </cell>
        </row>
        <row r="109">
          <cell r="C109">
            <v>37718</v>
          </cell>
          <cell r="D109">
            <v>37858</v>
          </cell>
          <cell r="E109">
            <v>37834</v>
          </cell>
          <cell r="F109">
            <v>0.4375</v>
          </cell>
          <cell r="G109" t="str">
            <v>Serra de Fita</v>
          </cell>
          <cell r="H109" t="str">
            <v>Serra não se movimenta</v>
          </cell>
          <cell r="I109" t="str">
            <v>Corretiva</v>
          </cell>
          <cell r="J109" t="str">
            <v>Sim</v>
          </cell>
          <cell r="K109" t="str">
            <v>Elétrica</v>
          </cell>
          <cell r="L109" t="str">
            <v>Correção de mau contato</v>
          </cell>
          <cell r="M109" t="str">
            <v>Sujeira em excesso</v>
          </cell>
          <cell r="N109">
            <v>37834</v>
          </cell>
          <cell r="O109">
            <v>0.4375</v>
          </cell>
          <cell r="P109">
            <v>37834</v>
          </cell>
          <cell r="Q109">
            <v>0.4375</v>
          </cell>
          <cell r="T109">
            <v>37834</v>
          </cell>
          <cell r="U109">
            <v>0.5</v>
          </cell>
          <cell r="V109">
            <v>37834</v>
          </cell>
          <cell r="W109">
            <v>0.5</v>
          </cell>
          <cell r="X109">
            <v>6.25E-2</v>
          </cell>
          <cell r="Y109">
            <v>6.25E-2</v>
          </cell>
          <cell r="AB109">
            <v>8</v>
          </cell>
          <cell r="AC109">
            <v>4</v>
          </cell>
          <cell r="AD109">
            <v>0</v>
          </cell>
          <cell r="BF109">
            <v>0</v>
          </cell>
          <cell r="BG109">
            <v>0</v>
          </cell>
          <cell r="BH109">
            <v>0</v>
          </cell>
          <cell r="BI109">
            <v>0</v>
          </cell>
          <cell r="BJ109">
            <v>0</v>
          </cell>
          <cell r="BK109">
            <v>0</v>
          </cell>
          <cell r="BL109">
            <v>0</v>
          </cell>
          <cell r="BM109">
            <v>0</v>
          </cell>
          <cell r="BN109">
            <v>0</v>
          </cell>
          <cell r="BO109">
            <v>0</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8</v>
          </cell>
          <cell r="CD109">
            <v>0</v>
          </cell>
        </row>
        <row r="110">
          <cell r="C110">
            <v>37718</v>
          </cell>
          <cell r="D110">
            <v>37762</v>
          </cell>
          <cell r="E110">
            <v>37761</v>
          </cell>
          <cell r="F110">
            <v>0.67361111111111116</v>
          </cell>
          <cell r="G110" t="str">
            <v>Serra de Fita</v>
          </cell>
          <cell r="H110" t="str">
            <v>Morsa quebrada</v>
          </cell>
          <cell r="I110" t="str">
            <v>Corretiva</v>
          </cell>
          <cell r="J110" t="str">
            <v>Não</v>
          </cell>
          <cell r="K110" t="str">
            <v>Mecânica</v>
          </cell>
          <cell r="L110" t="str">
            <v>Substituição do(s) Componente(s)</v>
          </cell>
          <cell r="M110" t="str">
            <v>Defeito de Fabricação</v>
          </cell>
          <cell r="N110">
            <v>37762</v>
          </cell>
          <cell r="O110">
            <v>0.4375</v>
          </cell>
          <cell r="P110">
            <v>37762</v>
          </cell>
          <cell r="Q110">
            <v>0.52083333333333337</v>
          </cell>
          <cell r="R110">
            <v>37774</v>
          </cell>
          <cell r="S110">
            <v>0.33333333333333331</v>
          </cell>
          <cell r="T110">
            <v>37774</v>
          </cell>
          <cell r="U110">
            <v>0.35416666666666669</v>
          </cell>
          <cell r="V110">
            <v>0</v>
          </cell>
          <cell r="W110">
            <v>0.10416666666666674</v>
          </cell>
          <cell r="X110">
            <v>0.10416666666666674</v>
          </cell>
          <cell r="Y110">
            <v>0.10416666666666674</v>
          </cell>
          <cell r="AB110">
            <v>6</v>
          </cell>
          <cell r="AC110">
            <v>4</v>
          </cell>
          <cell r="AD110">
            <v>0</v>
          </cell>
          <cell r="BF110">
            <v>0</v>
          </cell>
          <cell r="BG110">
            <v>0</v>
          </cell>
          <cell r="BH110">
            <v>0</v>
          </cell>
          <cell r="BI110">
            <v>0</v>
          </cell>
          <cell r="BJ110">
            <v>0</v>
          </cell>
          <cell r="BK110">
            <v>0</v>
          </cell>
          <cell r="BL110">
            <v>0</v>
          </cell>
          <cell r="BM110">
            <v>0</v>
          </cell>
          <cell r="BN110">
            <v>0</v>
          </cell>
          <cell r="BO110">
            <v>0</v>
          </cell>
          <cell r="BP110">
            <v>0</v>
          </cell>
          <cell r="BQ110">
            <v>0</v>
          </cell>
          <cell r="BR110">
            <v>0</v>
          </cell>
          <cell r="BS110">
            <v>0</v>
          </cell>
          <cell r="BT110">
            <v>0</v>
          </cell>
          <cell r="BU110">
            <v>0</v>
          </cell>
          <cell r="BV110">
            <v>0</v>
          </cell>
          <cell r="BW110">
            <v>0</v>
          </cell>
          <cell r="BX110">
            <v>0</v>
          </cell>
          <cell r="BY110">
            <v>0</v>
          </cell>
          <cell r="BZ110">
            <v>0</v>
          </cell>
          <cell r="CA110">
            <v>0</v>
          </cell>
          <cell r="CB110">
            <v>0</v>
          </cell>
          <cell r="CC110">
            <v>6</v>
          </cell>
          <cell r="CD110">
            <v>0</v>
          </cell>
        </row>
        <row r="111">
          <cell r="C111">
            <v>37718</v>
          </cell>
          <cell r="D111">
            <v>37915</v>
          </cell>
          <cell r="E111">
            <v>37862</v>
          </cell>
          <cell r="F111">
            <v>0.35416666666666669</v>
          </cell>
          <cell r="G111" t="str">
            <v>Máquina de Solda MIG</v>
          </cell>
          <cell r="H111" t="str">
            <v>Há a necessidade de aquisição de extensão com tomadas Steck</v>
          </cell>
          <cell r="I111" t="str">
            <v>Melhoria</v>
          </cell>
          <cell r="J111" t="str">
            <v>Não</v>
          </cell>
          <cell r="K111" t="str">
            <v>Elétrica</v>
          </cell>
          <cell r="L111" t="str">
            <v>Substituição do(s) Componente(s)</v>
          </cell>
          <cell r="M111" t="str">
            <v>Melhoria Técnica</v>
          </cell>
          <cell r="N111">
            <v>37866</v>
          </cell>
          <cell r="O111">
            <v>0.33333333333333331</v>
          </cell>
          <cell r="P111">
            <v>37866</v>
          </cell>
          <cell r="Q111">
            <v>0.33333333333333331</v>
          </cell>
          <cell r="T111">
            <v>37866</v>
          </cell>
          <cell r="U111">
            <v>0.375</v>
          </cell>
          <cell r="V111">
            <v>37866</v>
          </cell>
          <cell r="W111">
            <v>0.375</v>
          </cell>
          <cell r="X111">
            <v>4.1666666666666685E-2</v>
          </cell>
          <cell r="Y111">
            <v>4.1666666666666685E-2</v>
          </cell>
          <cell r="AB111">
            <v>9</v>
          </cell>
          <cell r="AC111">
            <v>4</v>
          </cell>
          <cell r="AD111">
            <v>0</v>
          </cell>
          <cell r="BF111">
            <v>0</v>
          </cell>
          <cell r="BG111">
            <v>0</v>
          </cell>
          <cell r="BH111">
            <v>0</v>
          </cell>
          <cell r="BI111">
            <v>0</v>
          </cell>
          <cell r="BJ111">
            <v>0</v>
          </cell>
          <cell r="BK111">
            <v>0</v>
          </cell>
          <cell r="BL111">
            <v>0</v>
          </cell>
          <cell r="BM111">
            <v>0</v>
          </cell>
          <cell r="BN111">
            <v>0</v>
          </cell>
          <cell r="BO111">
            <v>0</v>
          </cell>
          <cell r="BP111">
            <v>0</v>
          </cell>
          <cell r="BQ111">
            <v>0</v>
          </cell>
          <cell r="BR111">
            <v>9</v>
          </cell>
          <cell r="BS111">
            <v>0</v>
          </cell>
          <cell r="BT111">
            <v>0</v>
          </cell>
          <cell r="BU111">
            <v>0</v>
          </cell>
          <cell r="BV111">
            <v>0</v>
          </cell>
          <cell r="BW111">
            <v>0</v>
          </cell>
          <cell r="BX111">
            <v>0</v>
          </cell>
          <cell r="BY111">
            <v>0</v>
          </cell>
          <cell r="BZ111">
            <v>0</v>
          </cell>
          <cell r="CA111">
            <v>0</v>
          </cell>
          <cell r="CB111">
            <v>0</v>
          </cell>
          <cell r="CC111">
            <v>0</v>
          </cell>
          <cell r="CD111">
            <v>0</v>
          </cell>
        </row>
        <row r="112">
          <cell r="C112">
            <v>37718</v>
          </cell>
          <cell r="D112">
            <v>37868</v>
          </cell>
          <cell r="E112">
            <v>37866</v>
          </cell>
          <cell r="F112">
            <v>0.25</v>
          </cell>
          <cell r="G112" t="str">
            <v>Máquina de Solda MIG</v>
          </cell>
          <cell r="H112" t="str">
            <v>Bocal e Isolador danificados</v>
          </cell>
          <cell r="I112" t="str">
            <v>Corretiva</v>
          </cell>
          <cell r="J112" t="str">
            <v>Não</v>
          </cell>
          <cell r="K112" t="str">
            <v>Mecânica</v>
          </cell>
          <cell r="L112" t="str">
            <v>Substituição do(s) Componente(s)</v>
          </cell>
          <cell r="M112" t="str">
            <v>Desgaste / Fadiga</v>
          </cell>
          <cell r="N112">
            <v>37866</v>
          </cell>
          <cell r="O112">
            <v>0.25</v>
          </cell>
          <cell r="P112">
            <v>37866</v>
          </cell>
          <cell r="Q112">
            <v>0.25</v>
          </cell>
          <cell r="T112">
            <v>37866</v>
          </cell>
          <cell r="U112">
            <v>0.29166666666666669</v>
          </cell>
          <cell r="V112">
            <v>37866</v>
          </cell>
          <cell r="W112">
            <v>0.29166666666666669</v>
          </cell>
          <cell r="X112">
            <v>4.1666666664241347E-2</v>
          </cell>
          <cell r="Y112">
            <v>4.1666666664241347E-2</v>
          </cell>
          <cell r="AB112">
            <v>9</v>
          </cell>
          <cell r="AC112">
            <v>4</v>
          </cell>
          <cell r="AD112">
            <v>0</v>
          </cell>
          <cell r="BF112">
            <v>0</v>
          </cell>
          <cell r="BG112">
            <v>0</v>
          </cell>
          <cell r="BH112">
            <v>0</v>
          </cell>
          <cell r="BI112">
            <v>0</v>
          </cell>
          <cell r="BJ112">
            <v>0</v>
          </cell>
          <cell r="BK112">
            <v>0</v>
          </cell>
          <cell r="BL112">
            <v>0</v>
          </cell>
          <cell r="BM112">
            <v>0</v>
          </cell>
          <cell r="BN112">
            <v>0</v>
          </cell>
          <cell r="BO112">
            <v>0</v>
          </cell>
          <cell r="BP112">
            <v>0</v>
          </cell>
          <cell r="BQ112">
            <v>0</v>
          </cell>
          <cell r="BR112">
            <v>9</v>
          </cell>
          <cell r="BS112">
            <v>0</v>
          </cell>
          <cell r="BT112">
            <v>0</v>
          </cell>
          <cell r="BU112">
            <v>0</v>
          </cell>
          <cell r="BV112">
            <v>0</v>
          </cell>
          <cell r="BW112">
            <v>0</v>
          </cell>
          <cell r="BX112">
            <v>0</v>
          </cell>
          <cell r="BY112">
            <v>0</v>
          </cell>
          <cell r="BZ112">
            <v>0</v>
          </cell>
          <cell r="CA112">
            <v>0</v>
          </cell>
          <cell r="CB112">
            <v>0</v>
          </cell>
          <cell r="CC112">
            <v>0</v>
          </cell>
          <cell r="CD112">
            <v>0</v>
          </cell>
        </row>
        <row r="113">
          <cell r="C113">
            <v>37718</v>
          </cell>
          <cell r="D113">
            <v>37874</v>
          </cell>
          <cell r="E113">
            <v>37869</v>
          </cell>
          <cell r="F113">
            <v>0.25</v>
          </cell>
          <cell r="G113" t="str">
            <v>Máquina de Solda MIG</v>
          </cell>
          <cell r="H113" t="str">
            <v>Isolador e Porta-bico Danificados</v>
          </cell>
          <cell r="I113" t="str">
            <v>Corretiva</v>
          </cell>
          <cell r="J113" t="str">
            <v>Não</v>
          </cell>
          <cell r="K113" t="str">
            <v>Mecânica</v>
          </cell>
          <cell r="L113" t="str">
            <v>Substituição do(s) Componente(s)</v>
          </cell>
          <cell r="M113" t="str">
            <v>Desgaste / Fadiga</v>
          </cell>
          <cell r="N113">
            <v>37869</v>
          </cell>
          <cell r="O113">
            <v>0.25</v>
          </cell>
          <cell r="P113">
            <v>37869</v>
          </cell>
          <cell r="Q113">
            <v>0.25</v>
          </cell>
          <cell r="T113">
            <v>37869</v>
          </cell>
          <cell r="U113">
            <v>0.28472222222222221</v>
          </cell>
          <cell r="V113">
            <v>37869</v>
          </cell>
          <cell r="W113">
            <v>0.28472222222222221</v>
          </cell>
          <cell r="X113">
            <v>3.4722222218988463E-2</v>
          </cell>
          <cell r="Y113">
            <v>3.4722222218988463E-2</v>
          </cell>
          <cell r="AB113">
            <v>9</v>
          </cell>
          <cell r="AC113">
            <v>4</v>
          </cell>
          <cell r="AD113">
            <v>0</v>
          </cell>
          <cell r="BF113">
            <v>0</v>
          </cell>
          <cell r="BG113">
            <v>0</v>
          </cell>
          <cell r="BH113">
            <v>0</v>
          </cell>
          <cell r="BI113">
            <v>0</v>
          </cell>
          <cell r="BJ113">
            <v>0</v>
          </cell>
          <cell r="BK113">
            <v>0</v>
          </cell>
          <cell r="BL113">
            <v>0</v>
          </cell>
          <cell r="BM113">
            <v>0</v>
          </cell>
          <cell r="BN113">
            <v>0</v>
          </cell>
          <cell r="BO113">
            <v>0</v>
          </cell>
          <cell r="BP113">
            <v>0</v>
          </cell>
          <cell r="BQ113">
            <v>0</v>
          </cell>
          <cell r="BR113">
            <v>9</v>
          </cell>
          <cell r="BS113">
            <v>0</v>
          </cell>
          <cell r="BT113">
            <v>0</v>
          </cell>
          <cell r="BU113">
            <v>0</v>
          </cell>
          <cell r="BV113">
            <v>0</v>
          </cell>
          <cell r="BW113">
            <v>0</v>
          </cell>
          <cell r="BX113">
            <v>0</v>
          </cell>
          <cell r="BY113">
            <v>0</v>
          </cell>
          <cell r="BZ113">
            <v>0</v>
          </cell>
          <cell r="CA113">
            <v>0</v>
          </cell>
          <cell r="CB113">
            <v>0</v>
          </cell>
          <cell r="CC113">
            <v>0</v>
          </cell>
          <cell r="CD113">
            <v>0</v>
          </cell>
        </row>
        <row r="114">
          <cell r="C114">
            <v>37718</v>
          </cell>
          <cell r="I114">
            <v>0</v>
          </cell>
          <cell r="N114">
            <v>0</v>
          </cell>
          <cell r="P114">
            <v>0</v>
          </cell>
          <cell r="T114">
            <v>0</v>
          </cell>
          <cell r="V114">
            <v>0</v>
          </cell>
          <cell r="W114">
            <v>0</v>
          </cell>
          <cell r="X114">
            <v>0</v>
          </cell>
          <cell r="Y114">
            <v>0</v>
          </cell>
          <cell r="AB114">
            <v>0</v>
          </cell>
          <cell r="AC114">
            <v>4</v>
          </cell>
          <cell r="AD114">
            <v>0</v>
          </cell>
          <cell r="BF114">
            <v>0</v>
          </cell>
          <cell r="BG114">
            <v>0</v>
          </cell>
          <cell r="BH114">
            <v>0</v>
          </cell>
          <cell r="BI114">
            <v>0</v>
          </cell>
          <cell r="BJ114">
            <v>0</v>
          </cell>
          <cell r="BK114">
            <v>0</v>
          </cell>
          <cell r="BL114">
            <v>0</v>
          </cell>
          <cell r="BM114">
            <v>0</v>
          </cell>
          <cell r="BN114">
            <v>0</v>
          </cell>
          <cell r="BO114">
            <v>0</v>
          </cell>
          <cell r="BP114">
            <v>0</v>
          </cell>
          <cell r="BQ114">
            <v>0</v>
          </cell>
          <cell r="BR114">
            <v>0</v>
          </cell>
          <cell r="BS114">
            <v>0</v>
          </cell>
          <cell r="BT114">
            <v>0</v>
          </cell>
          <cell r="BU114">
            <v>0</v>
          </cell>
          <cell r="BV114">
            <v>0</v>
          </cell>
          <cell r="BW114">
            <v>0</v>
          </cell>
          <cell r="BX114">
            <v>0</v>
          </cell>
          <cell r="BY114">
            <v>0</v>
          </cell>
          <cell r="BZ114">
            <v>0</v>
          </cell>
          <cell r="CA114">
            <v>0</v>
          </cell>
          <cell r="CB114">
            <v>0</v>
          </cell>
          <cell r="CC114">
            <v>0</v>
          </cell>
          <cell r="CD114">
            <v>0</v>
          </cell>
        </row>
        <row r="115">
          <cell r="C115">
            <v>37718</v>
          </cell>
          <cell r="D115">
            <v>37865</v>
          </cell>
          <cell r="E115">
            <v>37855</v>
          </cell>
          <cell r="F115">
            <v>0.41666666666666669</v>
          </cell>
          <cell r="G115" t="str">
            <v>Serra de Fita</v>
          </cell>
          <cell r="H115" t="str">
            <v>Máquina não funciona</v>
          </cell>
          <cell r="I115" t="str">
            <v>Corretiva</v>
          </cell>
          <cell r="J115" t="str">
            <v>Sim</v>
          </cell>
          <cell r="K115" t="str">
            <v>Elétrica</v>
          </cell>
          <cell r="L115" t="str">
            <v>Correção de mau contato</v>
          </cell>
          <cell r="M115" t="str">
            <v>Sobrecarga</v>
          </cell>
          <cell r="N115">
            <v>37855</v>
          </cell>
          <cell r="O115">
            <v>0.42708333333333331</v>
          </cell>
          <cell r="P115">
            <v>37855</v>
          </cell>
          <cell r="Q115">
            <v>0.42708333333333331</v>
          </cell>
          <cell r="T115">
            <v>37855</v>
          </cell>
          <cell r="U115">
            <v>0.45833333333333331</v>
          </cell>
          <cell r="V115">
            <v>37855</v>
          </cell>
          <cell r="W115">
            <v>0.45833333333333331</v>
          </cell>
          <cell r="X115">
            <v>3.125E-2</v>
          </cell>
          <cell r="Y115">
            <v>3.1250000002425338E-2</v>
          </cell>
          <cell r="AB115">
            <v>8</v>
          </cell>
          <cell r="AC115">
            <v>4</v>
          </cell>
          <cell r="AD115">
            <v>0</v>
          </cell>
          <cell r="BF115">
            <v>0</v>
          </cell>
          <cell r="BG115">
            <v>0</v>
          </cell>
          <cell r="BH115">
            <v>0</v>
          </cell>
          <cell r="BI115">
            <v>0</v>
          </cell>
          <cell r="BJ115">
            <v>0</v>
          </cell>
          <cell r="BK115">
            <v>0</v>
          </cell>
          <cell r="BL115">
            <v>0</v>
          </cell>
          <cell r="BM115">
            <v>0</v>
          </cell>
          <cell r="BN115">
            <v>0</v>
          </cell>
          <cell r="BO115">
            <v>0</v>
          </cell>
          <cell r="BP115">
            <v>0</v>
          </cell>
          <cell r="BQ115">
            <v>0</v>
          </cell>
          <cell r="BR115">
            <v>0</v>
          </cell>
          <cell r="BS115">
            <v>0</v>
          </cell>
          <cell r="BT115">
            <v>0</v>
          </cell>
          <cell r="BU115">
            <v>0</v>
          </cell>
          <cell r="BV115">
            <v>0</v>
          </cell>
          <cell r="BW115">
            <v>0</v>
          </cell>
          <cell r="BX115">
            <v>0</v>
          </cell>
          <cell r="BY115">
            <v>0</v>
          </cell>
          <cell r="BZ115">
            <v>0</v>
          </cell>
          <cell r="CA115">
            <v>0</v>
          </cell>
          <cell r="CB115">
            <v>0</v>
          </cell>
          <cell r="CC115">
            <v>8</v>
          </cell>
          <cell r="CD115">
            <v>0</v>
          </cell>
        </row>
        <row r="116">
          <cell r="C116">
            <v>37718</v>
          </cell>
          <cell r="D116">
            <v>37858</v>
          </cell>
          <cell r="E116">
            <v>37841</v>
          </cell>
          <cell r="F116">
            <v>0.34375</v>
          </cell>
          <cell r="G116" t="str">
            <v>Serra Elétrica Circular</v>
          </cell>
          <cell r="H116" t="str">
            <v>Caixa de Comando quebrada</v>
          </cell>
          <cell r="I116" t="str">
            <v>Corretiva</v>
          </cell>
          <cell r="J116" t="str">
            <v>Não</v>
          </cell>
          <cell r="K116" t="str">
            <v>Elétrica</v>
          </cell>
          <cell r="L116" t="str">
            <v>Reparo</v>
          </cell>
          <cell r="M116" t="str">
            <v>Vibração</v>
          </cell>
          <cell r="N116">
            <v>37841</v>
          </cell>
          <cell r="O116">
            <v>0.35416666666666669</v>
          </cell>
          <cell r="P116">
            <v>37841</v>
          </cell>
          <cell r="Q116">
            <v>0.35416666666666669</v>
          </cell>
          <cell r="T116">
            <v>37841</v>
          </cell>
          <cell r="U116">
            <v>0.3888888888888889</v>
          </cell>
          <cell r="V116">
            <v>37841</v>
          </cell>
          <cell r="W116">
            <v>0.3888888888888889</v>
          </cell>
          <cell r="X116">
            <v>3.4722222223839083E-2</v>
          </cell>
          <cell r="Y116">
            <v>3.4722222223839083E-2</v>
          </cell>
          <cell r="AB116">
            <v>8</v>
          </cell>
          <cell r="AC116">
            <v>4</v>
          </cell>
          <cell r="AD116">
            <v>0</v>
          </cell>
          <cell r="BF116">
            <v>0</v>
          </cell>
          <cell r="BG116">
            <v>0</v>
          </cell>
          <cell r="BH116">
            <v>0</v>
          </cell>
          <cell r="BI116">
            <v>0</v>
          </cell>
          <cell r="BJ116">
            <v>0</v>
          </cell>
          <cell r="BK116">
            <v>0</v>
          </cell>
          <cell r="BL116">
            <v>0</v>
          </cell>
          <cell r="BM116">
            <v>0</v>
          </cell>
          <cell r="BN116">
            <v>0</v>
          </cell>
          <cell r="BO116">
            <v>0</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8</v>
          </cell>
        </row>
        <row r="117">
          <cell r="C117">
            <v>37718</v>
          </cell>
          <cell r="D117">
            <v>37721</v>
          </cell>
          <cell r="E117">
            <v>37721</v>
          </cell>
          <cell r="F117">
            <v>0.33333333333333331</v>
          </cell>
          <cell r="G117" t="str">
            <v>Torno Mecânico</v>
          </cell>
          <cell r="H117" t="str">
            <v>Ao desligar a Máquina, não há destravamento do Freio</v>
          </cell>
          <cell r="I117" t="str">
            <v>Corretiva</v>
          </cell>
          <cell r="J117" t="str">
            <v>Não</v>
          </cell>
          <cell r="K117" t="str">
            <v>Mecânica</v>
          </cell>
          <cell r="L117" t="str">
            <v>Ajuste / Regulagem</v>
          </cell>
          <cell r="M117" t="str">
            <v>Falha de Regulagem / Configuração / Dimensionamento</v>
          </cell>
          <cell r="N117">
            <v>37721</v>
          </cell>
          <cell r="O117">
            <v>0.4375</v>
          </cell>
          <cell r="P117">
            <v>37721</v>
          </cell>
          <cell r="Q117">
            <v>0.4375</v>
          </cell>
          <cell r="T117">
            <v>37721</v>
          </cell>
          <cell r="U117">
            <v>0.59027777777777779</v>
          </cell>
          <cell r="V117">
            <v>37721</v>
          </cell>
          <cell r="W117">
            <v>0.59027777777777779</v>
          </cell>
          <cell r="X117">
            <v>0.15277777778101154</v>
          </cell>
          <cell r="Y117">
            <v>0.15277777778101154</v>
          </cell>
          <cell r="AB117">
            <v>4</v>
          </cell>
          <cell r="AC117">
            <v>4</v>
          </cell>
          <cell r="AD117" t="str">
            <v>N</v>
          </cell>
          <cell r="BF117">
            <v>0</v>
          </cell>
          <cell r="BG117">
            <v>0</v>
          </cell>
          <cell r="BH117">
            <v>0</v>
          </cell>
          <cell r="BI117">
            <v>0</v>
          </cell>
          <cell r="BJ117">
            <v>0</v>
          </cell>
          <cell r="BK117">
            <v>0</v>
          </cell>
          <cell r="BL117">
            <v>0</v>
          </cell>
          <cell r="BM117">
            <v>0</v>
          </cell>
          <cell r="BN117">
            <v>0</v>
          </cell>
          <cell r="BO117">
            <v>0</v>
          </cell>
          <cell r="BP117">
            <v>0</v>
          </cell>
          <cell r="BQ117">
            <v>0</v>
          </cell>
          <cell r="BR117">
            <v>0</v>
          </cell>
          <cell r="BS117">
            <v>0</v>
          </cell>
          <cell r="BT117">
            <v>0</v>
          </cell>
          <cell r="BU117">
            <v>0</v>
          </cell>
          <cell r="BV117">
            <v>0</v>
          </cell>
          <cell r="BW117">
            <v>0</v>
          </cell>
          <cell r="BX117">
            <v>0</v>
          </cell>
          <cell r="BY117">
            <v>0</v>
          </cell>
          <cell r="BZ117">
            <v>0</v>
          </cell>
          <cell r="CA117">
            <v>0</v>
          </cell>
          <cell r="CB117">
            <v>0</v>
          </cell>
          <cell r="CC117">
            <v>0</v>
          </cell>
          <cell r="CD117">
            <v>0</v>
          </cell>
        </row>
        <row r="118">
          <cell r="C118">
            <v>37718</v>
          </cell>
          <cell r="D118">
            <v>37734</v>
          </cell>
          <cell r="E118">
            <v>37733</v>
          </cell>
          <cell r="F118">
            <v>0.625</v>
          </cell>
          <cell r="G118" t="str">
            <v>Torno Mecânico</v>
          </cell>
          <cell r="H118" t="str">
            <v>Prisioneiro do carro superior com porca espanada</v>
          </cell>
          <cell r="I118" t="str">
            <v>Corretiva</v>
          </cell>
          <cell r="J118" t="str">
            <v>Não</v>
          </cell>
          <cell r="K118" t="str">
            <v>Mecânica</v>
          </cell>
          <cell r="L118" t="str">
            <v>Substituição do(s) Componente(s)</v>
          </cell>
          <cell r="M118" t="str">
            <v>Defeito de Fabricação</v>
          </cell>
          <cell r="N118">
            <v>37733</v>
          </cell>
          <cell r="O118">
            <v>0.66666666666666663</v>
          </cell>
          <cell r="P118">
            <v>37733</v>
          </cell>
          <cell r="Q118">
            <v>0.75</v>
          </cell>
          <cell r="R118">
            <v>37737</v>
          </cell>
          <cell r="S118">
            <v>0.33333333333333331</v>
          </cell>
          <cell r="T118">
            <v>37737</v>
          </cell>
          <cell r="U118">
            <v>0.41666666666666669</v>
          </cell>
          <cell r="V118">
            <v>0</v>
          </cell>
          <cell r="W118">
            <v>0.16666666666666674</v>
          </cell>
          <cell r="X118">
            <v>0.16666666666666674</v>
          </cell>
          <cell r="Y118" t="str">
            <v>Desmontagem do carro transversal, retirada das peças danificadas e aquisição de novo material, de melhor qualidade</v>
          </cell>
          <cell r="AB118">
            <v>4</v>
          </cell>
          <cell r="AC118">
            <v>4</v>
          </cell>
          <cell r="AD118" t="str">
            <v>N</v>
          </cell>
          <cell r="BF118">
            <v>0</v>
          </cell>
          <cell r="BG118">
            <v>0</v>
          </cell>
          <cell r="BH118">
            <v>0</v>
          </cell>
          <cell r="BI118">
            <v>0</v>
          </cell>
          <cell r="BJ118">
            <v>0</v>
          </cell>
          <cell r="BK118">
            <v>0</v>
          </cell>
          <cell r="BL118">
            <v>0</v>
          </cell>
          <cell r="BM118">
            <v>0</v>
          </cell>
          <cell r="BN118">
            <v>0</v>
          </cell>
          <cell r="BO118">
            <v>0</v>
          </cell>
          <cell r="BP118">
            <v>0</v>
          </cell>
          <cell r="BQ118">
            <v>0</v>
          </cell>
          <cell r="BR118">
            <v>0</v>
          </cell>
          <cell r="BS118">
            <v>0</v>
          </cell>
          <cell r="BT118">
            <v>0</v>
          </cell>
          <cell r="BU118">
            <v>0</v>
          </cell>
          <cell r="BV118">
            <v>0</v>
          </cell>
          <cell r="BW118">
            <v>0</v>
          </cell>
          <cell r="BX118">
            <v>0</v>
          </cell>
          <cell r="BY118">
            <v>0</v>
          </cell>
          <cell r="BZ118">
            <v>0</v>
          </cell>
          <cell r="CA118">
            <v>0</v>
          </cell>
          <cell r="CB118">
            <v>0</v>
          </cell>
          <cell r="CC118">
            <v>0</v>
          </cell>
          <cell r="CD118">
            <v>0</v>
          </cell>
        </row>
        <row r="119">
          <cell r="C119">
            <v>37718</v>
          </cell>
          <cell r="D119">
            <v>37810</v>
          </cell>
          <cell r="E119">
            <v>37806</v>
          </cell>
          <cell r="F119">
            <v>0.375</v>
          </cell>
          <cell r="G119" t="str">
            <v>Torno Mecânico</v>
          </cell>
          <cell r="H119" t="str">
            <v>Folga no carro superior</v>
          </cell>
          <cell r="I119" t="str">
            <v>Corretiva</v>
          </cell>
          <cell r="J119" t="str">
            <v>Sim</v>
          </cell>
          <cell r="K119" t="str">
            <v>Mecânica</v>
          </cell>
          <cell r="L119" t="str">
            <v>Ajuste / Regulagem</v>
          </cell>
          <cell r="M119" t="str">
            <v>Desgaste / Fadiga</v>
          </cell>
          <cell r="N119">
            <v>37806</v>
          </cell>
          <cell r="O119">
            <v>0.54166666666666663</v>
          </cell>
          <cell r="P119">
            <v>37806</v>
          </cell>
          <cell r="Q119">
            <v>0.54166666666666663</v>
          </cell>
          <cell r="T119">
            <v>37806</v>
          </cell>
          <cell r="U119">
            <v>0.57291666666666663</v>
          </cell>
          <cell r="V119">
            <v>37806</v>
          </cell>
          <cell r="W119">
            <v>0.57291666666666663</v>
          </cell>
          <cell r="X119">
            <v>3.125E-2</v>
          </cell>
          <cell r="Y119">
            <v>3.1249999997574718E-2</v>
          </cell>
          <cell r="AB119">
            <v>7</v>
          </cell>
          <cell r="AC119">
            <v>4</v>
          </cell>
          <cell r="AD119">
            <v>0</v>
          </cell>
          <cell r="BF119">
            <v>0</v>
          </cell>
          <cell r="BG119">
            <v>0</v>
          </cell>
          <cell r="BH119">
            <v>0</v>
          </cell>
          <cell r="BI119">
            <v>0</v>
          </cell>
          <cell r="BJ119">
            <v>0</v>
          </cell>
          <cell r="BK119">
            <v>0</v>
          </cell>
          <cell r="BL119">
            <v>0</v>
          </cell>
          <cell r="BM119">
            <v>0</v>
          </cell>
          <cell r="BN119">
            <v>0</v>
          </cell>
          <cell r="BO119">
            <v>0</v>
          </cell>
          <cell r="BP119">
            <v>0</v>
          </cell>
          <cell r="BQ119">
            <v>0</v>
          </cell>
          <cell r="BR119">
            <v>0</v>
          </cell>
          <cell r="BS119">
            <v>0</v>
          </cell>
          <cell r="BT119">
            <v>0</v>
          </cell>
          <cell r="BU119">
            <v>0</v>
          </cell>
          <cell r="BV119">
            <v>0</v>
          </cell>
          <cell r="BW119">
            <v>0</v>
          </cell>
          <cell r="BX119">
            <v>0</v>
          </cell>
          <cell r="BY119">
            <v>0</v>
          </cell>
          <cell r="BZ119">
            <v>0</v>
          </cell>
          <cell r="CA119">
            <v>0</v>
          </cell>
          <cell r="CB119">
            <v>0</v>
          </cell>
          <cell r="CC119">
            <v>0</v>
          </cell>
          <cell r="CD119">
            <v>0</v>
          </cell>
        </row>
        <row r="120">
          <cell r="C120">
            <v>37718</v>
          </cell>
          <cell r="D120">
            <v>37970</v>
          </cell>
          <cell r="E120">
            <v>37848</v>
          </cell>
          <cell r="F120">
            <v>0.33333333333333331</v>
          </cell>
          <cell r="G120" t="str">
            <v>Torno Mecânico</v>
          </cell>
          <cell r="H120" t="str">
            <v>Freio não aciona</v>
          </cell>
          <cell r="I120">
            <v>0</v>
          </cell>
          <cell r="J120" t="str">
            <v>Não</v>
          </cell>
          <cell r="K120" t="str">
            <v>Elétrica</v>
          </cell>
          <cell r="L120" t="str">
            <v>Reaperto dos componentes</v>
          </cell>
          <cell r="M120" t="str">
            <v>Desgaste / Fadiga</v>
          </cell>
          <cell r="N120">
            <v>37858</v>
          </cell>
          <cell r="O120">
            <v>0.66666666666666663</v>
          </cell>
          <cell r="P120">
            <v>0</v>
          </cell>
          <cell r="T120">
            <v>37858</v>
          </cell>
          <cell r="U120">
            <v>0.76388888888888884</v>
          </cell>
          <cell r="V120">
            <v>0</v>
          </cell>
          <cell r="W120">
            <v>9.7222222223839139E-2</v>
          </cell>
          <cell r="X120">
            <v>0</v>
          </cell>
          <cell r="Y120">
            <v>0</v>
          </cell>
          <cell r="AB120">
            <v>8</v>
          </cell>
          <cell r="AC120">
            <v>4</v>
          </cell>
          <cell r="AD120">
            <v>0</v>
          </cell>
          <cell r="BF120">
            <v>0</v>
          </cell>
          <cell r="BG120">
            <v>0</v>
          </cell>
          <cell r="BH120">
            <v>0</v>
          </cell>
          <cell r="BI120">
            <v>0</v>
          </cell>
          <cell r="BJ120">
            <v>0</v>
          </cell>
          <cell r="BK120">
            <v>0</v>
          </cell>
          <cell r="BL120">
            <v>0</v>
          </cell>
          <cell r="BM120">
            <v>0</v>
          </cell>
          <cell r="BN120">
            <v>0</v>
          </cell>
          <cell r="BO120">
            <v>0</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row>
        <row r="121">
          <cell r="C121">
            <v>37718</v>
          </cell>
          <cell r="D121">
            <v>37915</v>
          </cell>
          <cell r="E121">
            <v>37903</v>
          </cell>
          <cell r="F121">
            <v>0.5</v>
          </cell>
          <cell r="G121" t="str">
            <v>Torno Mecânico</v>
          </cell>
          <cell r="H121" t="str">
            <v>Parafuso de fixação do carro superior quebrado</v>
          </cell>
          <cell r="I121" t="str">
            <v>Corretiva</v>
          </cell>
          <cell r="J121" t="str">
            <v>Não</v>
          </cell>
          <cell r="K121" t="str">
            <v>Mecânica</v>
          </cell>
          <cell r="L121" t="str">
            <v>Reparo</v>
          </cell>
          <cell r="M121" t="str">
            <v>Desgaste / Fadiga</v>
          </cell>
          <cell r="N121">
            <v>37903</v>
          </cell>
          <cell r="O121">
            <v>0.85416666666666663</v>
          </cell>
          <cell r="P121">
            <v>37903</v>
          </cell>
          <cell r="Q121">
            <v>0.85416666666666663</v>
          </cell>
          <cell r="T121">
            <v>37903</v>
          </cell>
          <cell r="U121">
            <v>0.97916666666666663</v>
          </cell>
          <cell r="V121">
            <v>37903</v>
          </cell>
          <cell r="W121">
            <v>0.97916666666666663</v>
          </cell>
          <cell r="X121">
            <v>0.12499999999757472</v>
          </cell>
          <cell r="Y121">
            <v>0.12499999999757472</v>
          </cell>
          <cell r="AB121">
            <v>10</v>
          </cell>
          <cell r="AC121">
            <v>4</v>
          </cell>
          <cell r="AD121">
            <v>0</v>
          </cell>
          <cell r="BF121">
            <v>0</v>
          </cell>
          <cell r="BG121">
            <v>0</v>
          </cell>
          <cell r="BH121">
            <v>0</v>
          </cell>
          <cell r="BI121">
            <v>0</v>
          </cell>
          <cell r="BJ121">
            <v>0</v>
          </cell>
          <cell r="BK121">
            <v>0</v>
          </cell>
          <cell r="BL121">
            <v>0</v>
          </cell>
          <cell r="BM121">
            <v>0</v>
          </cell>
          <cell r="BN121">
            <v>0</v>
          </cell>
          <cell r="BO121">
            <v>0</v>
          </cell>
          <cell r="BP121">
            <v>0</v>
          </cell>
          <cell r="BQ121">
            <v>0</v>
          </cell>
          <cell r="BR121">
            <v>0</v>
          </cell>
          <cell r="BS121">
            <v>0</v>
          </cell>
          <cell r="BT121">
            <v>0</v>
          </cell>
          <cell r="BU121">
            <v>0</v>
          </cell>
          <cell r="BV121">
            <v>0</v>
          </cell>
          <cell r="BW121">
            <v>0</v>
          </cell>
          <cell r="BX121">
            <v>0</v>
          </cell>
          <cell r="BY121">
            <v>0</v>
          </cell>
          <cell r="BZ121">
            <v>0</v>
          </cell>
          <cell r="CA121">
            <v>0</v>
          </cell>
          <cell r="CB121">
            <v>0</v>
          </cell>
          <cell r="CC121">
            <v>0</v>
          </cell>
          <cell r="CD121">
            <v>0</v>
          </cell>
        </row>
        <row r="122">
          <cell r="C122">
            <v>37718</v>
          </cell>
          <cell r="D122">
            <v>37970</v>
          </cell>
          <cell r="E122">
            <v>37929</v>
          </cell>
          <cell r="F122">
            <v>0.6875</v>
          </cell>
          <cell r="G122" t="str">
            <v>Equipamentos diversos</v>
          </cell>
          <cell r="H122" t="str">
            <v>Não funciona</v>
          </cell>
          <cell r="I122">
            <v>0</v>
          </cell>
          <cell r="J122" t="str">
            <v>Não</v>
          </cell>
          <cell r="K122" t="str">
            <v>Elétrica</v>
          </cell>
          <cell r="L122" t="str">
            <v>Substituição do(s) Componente(s)</v>
          </cell>
          <cell r="M122" t="str">
            <v>Desgaste / Fadiga</v>
          </cell>
          <cell r="N122">
            <v>37949</v>
          </cell>
          <cell r="O122">
            <v>0.35416666666666669</v>
          </cell>
          <cell r="P122">
            <v>0</v>
          </cell>
          <cell r="T122">
            <v>37949</v>
          </cell>
          <cell r="U122">
            <v>0.37083333333333335</v>
          </cell>
          <cell r="V122">
            <v>0</v>
          </cell>
          <cell r="W122">
            <v>1.6666666667636776E-2</v>
          </cell>
          <cell r="X122">
            <v>0</v>
          </cell>
          <cell r="Y122">
            <v>0</v>
          </cell>
          <cell r="AB122">
            <v>11</v>
          </cell>
          <cell r="AC122">
            <v>4</v>
          </cell>
          <cell r="AD122">
            <v>0</v>
          </cell>
          <cell r="BF122">
            <v>0</v>
          </cell>
          <cell r="BG122">
            <v>0</v>
          </cell>
          <cell r="BH122">
            <v>0</v>
          </cell>
          <cell r="BI122">
            <v>0</v>
          </cell>
          <cell r="BJ122">
            <v>11</v>
          </cell>
          <cell r="BK122">
            <v>0</v>
          </cell>
          <cell r="BL122">
            <v>0</v>
          </cell>
          <cell r="BM122">
            <v>0</v>
          </cell>
          <cell r="BN122">
            <v>0</v>
          </cell>
          <cell r="BO122">
            <v>0</v>
          </cell>
          <cell r="BP122">
            <v>0</v>
          </cell>
          <cell r="BQ122">
            <v>0</v>
          </cell>
          <cell r="BR122">
            <v>0</v>
          </cell>
          <cell r="BS122">
            <v>0</v>
          </cell>
          <cell r="BT122">
            <v>0</v>
          </cell>
          <cell r="BU122">
            <v>0</v>
          </cell>
          <cell r="BV122">
            <v>0</v>
          </cell>
          <cell r="BW122">
            <v>0</v>
          </cell>
          <cell r="BX122">
            <v>0</v>
          </cell>
          <cell r="BY122">
            <v>0</v>
          </cell>
          <cell r="BZ122">
            <v>0</v>
          </cell>
          <cell r="CA122">
            <v>0</v>
          </cell>
          <cell r="CB122">
            <v>0</v>
          </cell>
          <cell r="CC122">
            <v>0</v>
          </cell>
          <cell r="CD122">
            <v>0</v>
          </cell>
        </row>
        <row r="123">
          <cell r="C123">
            <v>37718</v>
          </cell>
          <cell r="D123">
            <v>37972</v>
          </cell>
          <cell r="E123">
            <v>37966</v>
          </cell>
          <cell r="F123">
            <v>0.4055555555555555</v>
          </cell>
          <cell r="G123" t="str">
            <v>Equipamentos diversos</v>
          </cell>
          <cell r="H123" t="str">
            <v>Vazamento na saída da bomba</v>
          </cell>
          <cell r="I123">
            <v>0</v>
          </cell>
          <cell r="J123" t="str">
            <v>Não</v>
          </cell>
          <cell r="K123" t="str">
            <v>Mecânica</v>
          </cell>
          <cell r="L123" t="str">
            <v>Contenção do vazamento</v>
          </cell>
          <cell r="M123" t="str">
            <v>Falha de Montagem / Preparação</v>
          </cell>
          <cell r="N123">
            <v>37967</v>
          </cell>
          <cell r="O123">
            <v>0.35416666666666669</v>
          </cell>
          <cell r="P123">
            <v>0</v>
          </cell>
          <cell r="T123">
            <v>37967</v>
          </cell>
          <cell r="U123">
            <v>0.41666666666666669</v>
          </cell>
          <cell r="V123">
            <v>0</v>
          </cell>
          <cell r="W123">
            <v>6.2499999997574662E-2</v>
          </cell>
          <cell r="X123">
            <v>0</v>
          </cell>
          <cell r="Y123">
            <v>0</v>
          </cell>
          <cell r="AB123">
            <v>12</v>
          </cell>
          <cell r="AC123">
            <v>4</v>
          </cell>
          <cell r="AD123">
            <v>0</v>
          </cell>
          <cell r="BF123">
            <v>0</v>
          </cell>
          <cell r="BG123">
            <v>0</v>
          </cell>
          <cell r="BH123">
            <v>0</v>
          </cell>
          <cell r="BI123">
            <v>0</v>
          </cell>
          <cell r="BJ123">
            <v>12</v>
          </cell>
          <cell r="BK123">
            <v>0</v>
          </cell>
          <cell r="BL123">
            <v>0</v>
          </cell>
          <cell r="BM123">
            <v>0</v>
          </cell>
          <cell r="BN123">
            <v>0</v>
          </cell>
          <cell r="BO123">
            <v>0</v>
          </cell>
          <cell r="BP123">
            <v>0</v>
          </cell>
          <cell r="BQ123">
            <v>0</v>
          </cell>
          <cell r="BR123">
            <v>0</v>
          </cell>
          <cell r="BS123">
            <v>0</v>
          </cell>
          <cell r="BT123">
            <v>0</v>
          </cell>
          <cell r="BU123">
            <v>0</v>
          </cell>
          <cell r="BV123">
            <v>0</v>
          </cell>
          <cell r="BW123">
            <v>0</v>
          </cell>
          <cell r="BX123">
            <v>0</v>
          </cell>
          <cell r="BY123">
            <v>0</v>
          </cell>
          <cell r="BZ123">
            <v>0</v>
          </cell>
          <cell r="CA123">
            <v>0</v>
          </cell>
          <cell r="CB123">
            <v>0</v>
          </cell>
          <cell r="CC123">
            <v>0</v>
          </cell>
          <cell r="CD123">
            <v>0</v>
          </cell>
        </row>
        <row r="124">
          <cell r="C124">
            <v>37718</v>
          </cell>
          <cell r="I124">
            <v>0</v>
          </cell>
          <cell r="N124">
            <v>0</v>
          </cell>
          <cell r="P124">
            <v>0</v>
          </cell>
          <cell r="T124">
            <v>0</v>
          </cell>
          <cell r="V124">
            <v>0</v>
          </cell>
          <cell r="W124">
            <v>0</v>
          </cell>
          <cell r="X124">
            <v>0</v>
          </cell>
          <cell r="Y124">
            <v>0</v>
          </cell>
          <cell r="AB124">
            <v>0</v>
          </cell>
          <cell r="AC124">
            <v>4</v>
          </cell>
          <cell r="AD124">
            <v>0</v>
          </cell>
          <cell r="BF124">
            <v>0</v>
          </cell>
          <cell r="BG124">
            <v>0</v>
          </cell>
          <cell r="BH124">
            <v>0</v>
          </cell>
          <cell r="BI124">
            <v>0</v>
          </cell>
          <cell r="BJ124">
            <v>0</v>
          </cell>
          <cell r="BK124">
            <v>0</v>
          </cell>
          <cell r="BL124">
            <v>0</v>
          </cell>
          <cell r="BM124">
            <v>0</v>
          </cell>
          <cell r="BN124">
            <v>0</v>
          </cell>
          <cell r="BO124">
            <v>0</v>
          </cell>
          <cell r="BP124">
            <v>0</v>
          </cell>
          <cell r="BQ124">
            <v>0</v>
          </cell>
          <cell r="BR124">
            <v>0</v>
          </cell>
          <cell r="BS124">
            <v>0</v>
          </cell>
          <cell r="BT124">
            <v>0</v>
          </cell>
          <cell r="BU124">
            <v>0</v>
          </cell>
          <cell r="BV124">
            <v>0</v>
          </cell>
          <cell r="BW124">
            <v>0</v>
          </cell>
          <cell r="BX124">
            <v>0</v>
          </cell>
          <cell r="BY124">
            <v>0</v>
          </cell>
          <cell r="BZ124">
            <v>0</v>
          </cell>
          <cell r="CA124">
            <v>0</v>
          </cell>
          <cell r="CB124">
            <v>0</v>
          </cell>
          <cell r="CC124">
            <v>0</v>
          </cell>
          <cell r="CD124">
            <v>0</v>
          </cell>
        </row>
        <row r="125">
          <cell r="C125">
            <v>37718</v>
          </cell>
          <cell r="I125">
            <v>0</v>
          </cell>
          <cell r="N125">
            <v>0</v>
          </cell>
          <cell r="P125">
            <v>0</v>
          </cell>
          <cell r="T125">
            <v>0</v>
          </cell>
          <cell r="V125">
            <v>0</v>
          </cell>
          <cell r="W125">
            <v>0</v>
          </cell>
          <cell r="X125">
            <v>0</v>
          </cell>
          <cell r="Y125">
            <v>0</v>
          </cell>
          <cell r="AB125">
            <v>0</v>
          </cell>
          <cell r="AC125">
            <v>4</v>
          </cell>
          <cell r="AD125">
            <v>0</v>
          </cell>
          <cell r="BF125">
            <v>0</v>
          </cell>
          <cell r="BG125">
            <v>0</v>
          </cell>
          <cell r="BH125">
            <v>0</v>
          </cell>
          <cell r="BI125">
            <v>0</v>
          </cell>
          <cell r="BJ125">
            <v>0</v>
          </cell>
          <cell r="BK125">
            <v>0</v>
          </cell>
          <cell r="BL125">
            <v>0</v>
          </cell>
          <cell r="BM125">
            <v>0</v>
          </cell>
          <cell r="BN125">
            <v>0</v>
          </cell>
          <cell r="BO125">
            <v>0</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row>
        <row r="126">
          <cell r="C126">
            <v>37718</v>
          </cell>
          <cell r="I126">
            <v>0</v>
          </cell>
          <cell r="N126">
            <v>0</v>
          </cell>
          <cell r="P126">
            <v>0</v>
          </cell>
          <cell r="T126">
            <v>0</v>
          </cell>
          <cell r="V126">
            <v>0</v>
          </cell>
          <cell r="W126">
            <v>0</v>
          </cell>
          <cell r="X126">
            <v>0</v>
          </cell>
          <cell r="Y126">
            <v>0</v>
          </cell>
          <cell r="AB126">
            <v>0</v>
          </cell>
          <cell r="AC126">
            <v>4</v>
          </cell>
          <cell r="AD126">
            <v>0</v>
          </cell>
          <cell r="BF126">
            <v>0</v>
          </cell>
          <cell r="BG126">
            <v>0</v>
          </cell>
          <cell r="BH126">
            <v>0</v>
          </cell>
          <cell r="BI126">
            <v>0</v>
          </cell>
          <cell r="BJ126">
            <v>0</v>
          </cell>
          <cell r="BK126">
            <v>0</v>
          </cell>
          <cell r="BL126">
            <v>0</v>
          </cell>
          <cell r="BM126">
            <v>0</v>
          </cell>
          <cell r="BN126">
            <v>0</v>
          </cell>
          <cell r="BO126">
            <v>0</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row>
        <row r="127">
          <cell r="C127">
            <v>37718</v>
          </cell>
          <cell r="D127">
            <v>37719</v>
          </cell>
          <cell r="E127">
            <v>37719</v>
          </cell>
          <cell r="F127">
            <v>0.45833333333333331</v>
          </cell>
          <cell r="G127" t="str">
            <v>Perfiladora Fagor Montantes</v>
          </cell>
          <cell r="H127" t="str">
            <v>Verificar Sensor Mesa Saída</v>
          </cell>
          <cell r="I127" t="str">
            <v>Corretiva</v>
          </cell>
          <cell r="J127" t="str">
            <v>Sim</v>
          </cell>
          <cell r="K127" t="str">
            <v>Elétrica</v>
          </cell>
          <cell r="L127" t="str">
            <v>Verificação dos sensores do êmbolo pneumático e limpeza do sensor do poço</v>
          </cell>
          <cell r="M127" t="str">
            <v>Sujeira em excesso</v>
          </cell>
          <cell r="N127">
            <v>37719</v>
          </cell>
          <cell r="O127">
            <v>0.45833333333333331</v>
          </cell>
          <cell r="P127">
            <v>37719</v>
          </cell>
          <cell r="Q127">
            <v>0.45833333333333331</v>
          </cell>
          <cell r="T127">
            <v>37719</v>
          </cell>
          <cell r="U127">
            <v>0.5</v>
          </cell>
          <cell r="V127">
            <v>37719</v>
          </cell>
          <cell r="W127">
            <v>0.5</v>
          </cell>
          <cell r="X127">
            <v>4.1666666666666685E-2</v>
          </cell>
          <cell r="Y127">
            <v>4.1666666666666685E-2</v>
          </cell>
          <cell r="AB127">
            <v>4</v>
          </cell>
          <cell r="AC127">
            <v>4</v>
          </cell>
          <cell r="AD127" t="str">
            <v>S</v>
          </cell>
          <cell r="BF127">
            <v>0</v>
          </cell>
          <cell r="BG127">
            <v>0</v>
          </cell>
          <cell r="BH127">
            <v>0</v>
          </cell>
          <cell r="BI127">
            <v>0</v>
          </cell>
          <cell r="BJ127">
            <v>0</v>
          </cell>
          <cell r="BK127">
            <v>0</v>
          </cell>
          <cell r="BL127">
            <v>0</v>
          </cell>
          <cell r="BM127">
            <v>0</v>
          </cell>
          <cell r="BN127">
            <v>0</v>
          </cell>
          <cell r="BO127">
            <v>0</v>
          </cell>
          <cell r="BP127">
            <v>0</v>
          </cell>
          <cell r="BQ127">
            <v>0</v>
          </cell>
          <cell r="BR127">
            <v>0</v>
          </cell>
          <cell r="BS127">
            <v>0</v>
          </cell>
          <cell r="BT127">
            <v>0</v>
          </cell>
          <cell r="BU127">
            <v>4</v>
          </cell>
          <cell r="BV127">
            <v>0</v>
          </cell>
          <cell r="BW127">
            <v>0</v>
          </cell>
          <cell r="BX127">
            <v>0</v>
          </cell>
          <cell r="BY127">
            <v>0</v>
          </cell>
          <cell r="BZ127">
            <v>0</v>
          </cell>
          <cell r="CA127">
            <v>0</v>
          </cell>
          <cell r="CB127">
            <v>0</v>
          </cell>
          <cell r="CC127">
            <v>0</v>
          </cell>
          <cell r="CD127">
            <v>0</v>
          </cell>
        </row>
        <row r="128">
          <cell r="C128">
            <v>37718</v>
          </cell>
          <cell r="D128">
            <v>37727</v>
          </cell>
          <cell r="E128">
            <v>37726</v>
          </cell>
          <cell r="F128">
            <v>0.51388888888888895</v>
          </cell>
          <cell r="G128" t="str">
            <v>Perfiladora Fagor Montantes</v>
          </cell>
          <cell r="H128" t="str">
            <v>Painel acusa falha no Filtro Hidráulico da Cortadeira</v>
          </cell>
          <cell r="I128" t="str">
            <v>Corretiva</v>
          </cell>
          <cell r="J128" t="str">
            <v>Sim</v>
          </cell>
          <cell r="K128" t="str">
            <v>Mecânica</v>
          </cell>
          <cell r="L128" t="str">
            <v>Substituição do(s) Componente(s)</v>
          </cell>
          <cell r="M128" t="str">
            <v>Desgaste / Fadiga</v>
          </cell>
          <cell r="N128">
            <v>37726</v>
          </cell>
          <cell r="O128">
            <v>0.51388888888888895</v>
          </cell>
          <cell r="P128">
            <v>37726</v>
          </cell>
          <cell r="Q128">
            <v>0.51388888888888895</v>
          </cell>
          <cell r="T128">
            <v>37726</v>
          </cell>
          <cell r="U128">
            <v>0.52777777777777779</v>
          </cell>
          <cell r="V128">
            <v>37726</v>
          </cell>
          <cell r="W128">
            <v>0.52777777777777779</v>
          </cell>
          <cell r="X128">
            <v>1.388888888888884E-2</v>
          </cell>
          <cell r="Y128">
            <v>1.3888888892122586E-2</v>
          </cell>
          <cell r="AB128">
            <v>4</v>
          </cell>
          <cell r="AC128">
            <v>4</v>
          </cell>
          <cell r="AD128" t="str">
            <v>S</v>
          </cell>
          <cell r="BF128">
            <v>0</v>
          </cell>
          <cell r="BG128">
            <v>0</v>
          </cell>
          <cell r="BH128">
            <v>0</v>
          </cell>
          <cell r="BI128">
            <v>0</v>
          </cell>
          <cell r="BJ128">
            <v>0</v>
          </cell>
          <cell r="BK128">
            <v>0</v>
          </cell>
          <cell r="BL128">
            <v>0</v>
          </cell>
          <cell r="BM128">
            <v>0</v>
          </cell>
          <cell r="BN128">
            <v>0</v>
          </cell>
          <cell r="BO128">
            <v>0</v>
          </cell>
          <cell r="BP128">
            <v>0</v>
          </cell>
          <cell r="BQ128">
            <v>0</v>
          </cell>
          <cell r="BR128">
            <v>0</v>
          </cell>
          <cell r="BS128">
            <v>0</v>
          </cell>
          <cell r="BT128">
            <v>0</v>
          </cell>
          <cell r="BU128">
            <v>4</v>
          </cell>
          <cell r="BV128">
            <v>0</v>
          </cell>
          <cell r="BW128">
            <v>0</v>
          </cell>
          <cell r="BX128">
            <v>0</v>
          </cell>
          <cell r="BY128">
            <v>0</v>
          </cell>
          <cell r="BZ128">
            <v>0</v>
          </cell>
          <cell r="CA128">
            <v>0</v>
          </cell>
          <cell r="CB128">
            <v>0</v>
          </cell>
          <cell r="CC128">
            <v>0</v>
          </cell>
          <cell r="CD128">
            <v>0</v>
          </cell>
        </row>
        <row r="129">
          <cell r="C129">
            <v>37718</v>
          </cell>
          <cell r="D129">
            <v>37735</v>
          </cell>
          <cell r="E129">
            <v>37734</v>
          </cell>
          <cell r="F129">
            <v>0.375</v>
          </cell>
          <cell r="G129" t="str">
            <v>Perfiladora Fagor Montantes</v>
          </cell>
          <cell r="H129" t="str">
            <v>Guia de chapa torto</v>
          </cell>
          <cell r="I129" t="str">
            <v>Corretiva</v>
          </cell>
          <cell r="J129" t="str">
            <v>Não</v>
          </cell>
          <cell r="K129" t="str">
            <v>Mecânica</v>
          </cell>
          <cell r="L129" t="str">
            <v>Substituição do(s) Componente(s)</v>
          </cell>
          <cell r="M129" t="str">
            <v>Falha Operacional</v>
          </cell>
          <cell r="N129">
            <v>37734</v>
          </cell>
          <cell r="O129">
            <v>0.375</v>
          </cell>
          <cell r="P129">
            <v>37734</v>
          </cell>
          <cell r="Q129">
            <v>0.375</v>
          </cell>
          <cell r="T129">
            <v>37734</v>
          </cell>
          <cell r="U129">
            <v>0.47916666666666669</v>
          </cell>
          <cell r="V129">
            <v>37734</v>
          </cell>
          <cell r="W129">
            <v>0.47916666666666669</v>
          </cell>
          <cell r="X129">
            <v>0.10416666666424135</v>
          </cell>
          <cell r="Y129">
            <v>0.10416666666424135</v>
          </cell>
          <cell r="AB129">
            <v>4</v>
          </cell>
          <cell r="AC129">
            <v>4</v>
          </cell>
          <cell r="AD129" t="str">
            <v>N</v>
          </cell>
          <cell r="BF129">
            <v>0</v>
          </cell>
          <cell r="BG129">
            <v>0</v>
          </cell>
          <cell r="BH129">
            <v>0</v>
          </cell>
          <cell r="BI129">
            <v>0</v>
          </cell>
          <cell r="BJ129">
            <v>0</v>
          </cell>
          <cell r="BK129">
            <v>0</v>
          </cell>
          <cell r="BL129">
            <v>0</v>
          </cell>
          <cell r="BM129">
            <v>0</v>
          </cell>
          <cell r="BN129">
            <v>0</v>
          </cell>
          <cell r="BO129">
            <v>0</v>
          </cell>
          <cell r="BP129">
            <v>0</v>
          </cell>
          <cell r="BQ129">
            <v>0</v>
          </cell>
          <cell r="BR129">
            <v>0</v>
          </cell>
          <cell r="BS129">
            <v>0</v>
          </cell>
          <cell r="BT129">
            <v>0</v>
          </cell>
          <cell r="BU129">
            <v>4</v>
          </cell>
          <cell r="BV129">
            <v>0</v>
          </cell>
          <cell r="BW129">
            <v>0</v>
          </cell>
          <cell r="BX129">
            <v>0</v>
          </cell>
          <cell r="BY129">
            <v>0</v>
          </cell>
          <cell r="BZ129">
            <v>0</v>
          </cell>
          <cell r="CA129">
            <v>0</v>
          </cell>
          <cell r="CB129">
            <v>0</v>
          </cell>
          <cell r="CC129">
            <v>0</v>
          </cell>
          <cell r="CD129">
            <v>0</v>
          </cell>
        </row>
        <row r="130">
          <cell r="C130">
            <v>37718</v>
          </cell>
          <cell r="D130">
            <v>37775</v>
          </cell>
          <cell r="E130">
            <v>37771</v>
          </cell>
          <cell r="F130">
            <v>0.41666666666666669</v>
          </cell>
          <cell r="G130" t="str">
            <v>Perfiladora Fagor Montantes</v>
          </cell>
          <cell r="H130" t="str">
            <v>Trocar rolamento do rolo</v>
          </cell>
          <cell r="I130" t="str">
            <v>Corretiva</v>
          </cell>
          <cell r="J130" t="str">
            <v>Não</v>
          </cell>
          <cell r="K130" t="str">
            <v>Mecânica</v>
          </cell>
          <cell r="L130" t="str">
            <v>Substituição do(s) Componente(s)</v>
          </cell>
          <cell r="M130" t="str">
            <v>Desgaste / Fadiga</v>
          </cell>
          <cell r="N130">
            <v>37771</v>
          </cell>
          <cell r="O130">
            <v>0.5</v>
          </cell>
          <cell r="P130">
            <v>37771</v>
          </cell>
          <cell r="Q130">
            <v>0.57291666666666663</v>
          </cell>
          <cell r="R130">
            <v>37774</v>
          </cell>
          <cell r="S130">
            <v>0.35416666666666669</v>
          </cell>
          <cell r="T130">
            <v>37774</v>
          </cell>
          <cell r="U130">
            <v>0.375</v>
          </cell>
          <cell r="V130">
            <v>0</v>
          </cell>
          <cell r="W130">
            <v>9.3749999999999944E-2</v>
          </cell>
          <cell r="X130">
            <v>9.3749999999999944E-2</v>
          </cell>
          <cell r="Y130" t="str">
            <v>Foi desmontado o rolo, retirado o rolamento, e confeccionada nova peça.</v>
          </cell>
          <cell r="AB130">
            <v>6</v>
          </cell>
          <cell r="AC130">
            <v>4</v>
          </cell>
          <cell r="AD130">
            <v>0</v>
          </cell>
          <cell r="BF130">
            <v>0</v>
          </cell>
          <cell r="BG130">
            <v>0</v>
          </cell>
          <cell r="BH130">
            <v>0</v>
          </cell>
          <cell r="BI130">
            <v>0</v>
          </cell>
          <cell r="BJ130">
            <v>0</v>
          </cell>
          <cell r="BK130">
            <v>0</v>
          </cell>
          <cell r="BL130">
            <v>0</v>
          </cell>
          <cell r="BM130">
            <v>0</v>
          </cell>
          <cell r="BN130">
            <v>0</v>
          </cell>
          <cell r="BO130">
            <v>0</v>
          </cell>
          <cell r="BP130">
            <v>0</v>
          </cell>
          <cell r="BQ130">
            <v>0</v>
          </cell>
          <cell r="BR130">
            <v>0</v>
          </cell>
          <cell r="BS130">
            <v>0</v>
          </cell>
          <cell r="BT130">
            <v>0</v>
          </cell>
          <cell r="BU130">
            <v>6</v>
          </cell>
          <cell r="BV130">
            <v>0</v>
          </cell>
          <cell r="BW130">
            <v>0</v>
          </cell>
          <cell r="BX130">
            <v>0</v>
          </cell>
          <cell r="BY130">
            <v>0</v>
          </cell>
          <cell r="BZ130">
            <v>0</v>
          </cell>
          <cell r="CA130">
            <v>0</v>
          </cell>
          <cell r="CB130">
            <v>0</v>
          </cell>
          <cell r="CC130">
            <v>0</v>
          </cell>
          <cell r="CD130">
            <v>0</v>
          </cell>
        </row>
        <row r="131">
          <cell r="C131">
            <v>37718</v>
          </cell>
          <cell r="D131">
            <v>37803</v>
          </cell>
          <cell r="E131">
            <v>37777</v>
          </cell>
          <cell r="F131">
            <v>0.33333333333333331</v>
          </cell>
          <cell r="G131" t="str">
            <v>Perfiladora Fagor Montantes</v>
          </cell>
          <cell r="H131" t="str">
            <v>Falha no CNC de corte</v>
          </cell>
          <cell r="I131" t="str">
            <v>Corretiva</v>
          </cell>
          <cell r="J131" t="str">
            <v>Sim</v>
          </cell>
          <cell r="K131" t="str">
            <v>Elétrica</v>
          </cell>
          <cell r="L131" t="str">
            <v>Substituição do(s) Componente(s)</v>
          </cell>
          <cell r="M131" t="str">
            <v>Desgaste / Fadiga</v>
          </cell>
          <cell r="N131">
            <v>37777</v>
          </cell>
          <cell r="O131">
            <v>0.33333333333333331</v>
          </cell>
          <cell r="P131">
            <v>37777</v>
          </cell>
          <cell r="Q131">
            <v>0.33333333333333331</v>
          </cell>
          <cell r="T131">
            <v>37777</v>
          </cell>
          <cell r="U131">
            <v>0.72916666666666663</v>
          </cell>
          <cell r="V131">
            <v>37777</v>
          </cell>
          <cell r="W131">
            <v>0.72916666666666663</v>
          </cell>
          <cell r="X131">
            <v>0.35416666666666663</v>
          </cell>
          <cell r="Y131">
            <v>0.35416666666424135</v>
          </cell>
          <cell r="AB131">
            <v>6</v>
          </cell>
          <cell r="AC131">
            <v>4</v>
          </cell>
          <cell r="AD131">
            <v>0</v>
          </cell>
          <cell r="BF131">
            <v>0</v>
          </cell>
          <cell r="BG131">
            <v>0</v>
          </cell>
          <cell r="BH131">
            <v>0</v>
          </cell>
          <cell r="BI131">
            <v>0</v>
          </cell>
          <cell r="BJ131">
            <v>0</v>
          </cell>
          <cell r="BK131">
            <v>0</v>
          </cell>
          <cell r="BL131">
            <v>0</v>
          </cell>
          <cell r="BM131">
            <v>0</v>
          </cell>
          <cell r="BN131">
            <v>0</v>
          </cell>
          <cell r="BO131">
            <v>0</v>
          </cell>
          <cell r="BP131">
            <v>0</v>
          </cell>
          <cell r="BQ131">
            <v>0</v>
          </cell>
          <cell r="BR131">
            <v>0</v>
          </cell>
          <cell r="BS131">
            <v>0</v>
          </cell>
          <cell r="BT131">
            <v>0</v>
          </cell>
          <cell r="BU131">
            <v>6</v>
          </cell>
          <cell r="BV131">
            <v>0</v>
          </cell>
          <cell r="BW131">
            <v>0</v>
          </cell>
          <cell r="BX131">
            <v>0</v>
          </cell>
          <cell r="BY131">
            <v>0</v>
          </cell>
          <cell r="BZ131">
            <v>0</v>
          </cell>
          <cell r="CA131">
            <v>0</v>
          </cell>
          <cell r="CB131">
            <v>0</v>
          </cell>
          <cell r="CC131">
            <v>0</v>
          </cell>
          <cell r="CD131">
            <v>0</v>
          </cell>
        </row>
        <row r="132">
          <cell r="C132">
            <v>37718</v>
          </cell>
          <cell r="D132">
            <v>37785</v>
          </cell>
          <cell r="E132">
            <v>37784</v>
          </cell>
          <cell r="F132">
            <v>0.58333333333333337</v>
          </cell>
          <cell r="G132" t="str">
            <v>Perfiladora Fagor Montantes</v>
          </cell>
          <cell r="H132" t="str">
            <v>Falha no CNC de corte</v>
          </cell>
          <cell r="I132" t="str">
            <v>Corretiva</v>
          </cell>
          <cell r="J132" t="str">
            <v>Sim</v>
          </cell>
          <cell r="K132" t="str">
            <v>Elétrica</v>
          </cell>
          <cell r="L132" t="str">
            <v>Regulagem do sensor e regulagem mecânica da máquina</v>
          </cell>
          <cell r="M132" t="str">
            <v>Falha de Montagem / Preparação</v>
          </cell>
          <cell r="N132">
            <v>37784</v>
          </cell>
          <cell r="O132">
            <v>0.58333333333333337</v>
          </cell>
          <cell r="P132">
            <v>37784</v>
          </cell>
          <cell r="Q132">
            <v>0.58333333333333337</v>
          </cell>
          <cell r="T132">
            <v>37784</v>
          </cell>
          <cell r="U132">
            <v>0.65277777777777779</v>
          </cell>
          <cell r="V132">
            <v>37784</v>
          </cell>
          <cell r="W132">
            <v>0.65277777777777779</v>
          </cell>
          <cell r="X132">
            <v>6.944444444444442E-2</v>
          </cell>
          <cell r="Y132">
            <v>6.9444444447678166E-2</v>
          </cell>
          <cell r="AB132">
            <v>6</v>
          </cell>
          <cell r="AC132">
            <v>4</v>
          </cell>
          <cell r="AD132">
            <v>0</v>
          </cell>
          <cell r="BF132">
            <v>0</v>
          </cell>
          <cell r="BG132">
            <v>0</v>
          </cell>
          <cell r="BH132">
            <v>0</v>
          </cell>
          <cell r="BI132">
            <v>0</v>
          </cell>
          <cell r="BJ132">
            <v>0</v>
          </cell>
          <cell r="BK132">
            <v>0</v>
          </cell>
          <cell r="BL132">
            <v>0</v>
          </cell>
          <cell r="BM132">
            <v>0</v>
          </cell>
          <cell r="BN132">
            <v>0</v>
          </cell>
          <cell r="BO132">
            <v>0</v>
          </cell>
          <cell r="BP132">
            <v>0</v>
          </cell>
          <cell r="BQ132">
            <v>0</v>
          </cell>
          <cell r="BR132">
            <v>0</v>
          </cell>
          <cell r="BS132">
            <v>0</v>
          </cell>
          <cell r="BT132">
            <v>0</v>
          </cell>
          <cell r="BU132">
            <v>6</v>
          </cell>
          <cell r="BV132">
            <v>0</v>
          </cell>
          <cell r="BW132">
            <v>0</v>
          </cell>
          <cell r="BX132">
            <v>0</v>
          </cell>
          <cell r="BY132">
            <v>0</v>
          </cell>
          <cell r="BZ132">
            <v>0</v>
          </cell>
          <cell r="CA132">
            <v>0</v>
          </cell>
          <cell r="CB132">
            <v>0</v>
          </cell>
          <cell r="CC132">
            <v>0</v>
          </cell>
          <cell r="CD132">
            <v>0</v>
          </cell>
        </row>
        <row r="133">
          <cell r="C133">
            <v>37718</v>
          </cell>
          <cell r="D133">
            <v>37803</v>
          </cell>
          <cell r="E133">
            <v>37798</v>
          </cell>
          <cell r="F133">
            <v>0.36805555555555558</v>
          </cell>
          <cell r="G133" t="str">
            <v>Perfiladora Fagor Montantes</v>
          </cell>
          <cell r="H133" t="str">
            <v>Excentricidade da chapa durante o processo</v>
          </cell>
          <cell r="I133" t="str">
            <v>Corretiva</v>
          </cell>
          <cell r="J133" t="str">
            <v>Sim</v>
          </cell>
          <cell r="K133" t="str">
            <v>Mecânica</v>
          </cell>
          <cell r="L133" t="str">
            <v>Regulagem das guias da chapa</v>
          </cell>
          <cell r="M133" t="str">
            <v>Falha de Regulagem / Configuração / Dimensionamento</v>
          </cell>
          <cell r="N133">
            <v>37798</v>
          </cell>
          <cell r="O133">
            <v>0.375</v>
          </cell>
          <cell r="P133">
            <v>37798</v>
          </cell>
          <cell r="Q133">
            <v>0.375</v>
          </cell>
          <cell r="T133">
            <v>37798</v>
          </cell>
          <cell r="U133">
            <v>0.40972222222222227</v>
          </cell>
          <cell r="V133">
            <v>37798</v>
          </cell>
          <cell r="W133">
            <v>0.40972222222222227</v>
          </cell>
          <cell r="X133">
            <v>3.4722222222222265E-2</v>
          </cell>
          <cell r="Y133">
            <v>3.4722222218988463E-2</v>
          </cell>
          <cell r="AB133">
            <v>6</v>
          </cell>
          <cell r="AC133">
            <v>4</v>
          </cell>
          <cell r="AD133">
            <v>0</v>
          </cell>
          <cell r="BF133">
            <v>0</v>
          </cell>
          <cell r="BG133">
            <v>0</v>
          </cell>
          <cell r="BH133">
            <v>0</v>
          </cell>
          <cell r="BI133">
            <v>0</v>
          </cell>
          <cell r="BJ133">
            <v>0</v>
          </cell>
          <cell r="BK133">
            <v>0</v>
          </cell>
          <cell r="BL133">
            <v>0</v>
          </cell>
          <cell r="BM133">
            <v>0</v>
          </cell>
          <cell r="BN133">
            <v>0</v>
          </cell>
          <cell r="BO133">
            <v>0</v>
          </cell>
          <cell r="BP133">
            <v>0</v>
          </cell>
          <cell r="BQ133">
            <v>0</v>
          </cell>
          <cell r="BR133">
            <v>0</v>
          </cell>
          <cell r="BS133">
            <v>0</v>
          </cell>
          <cell r="BT133">
            <v>0</v>
          </cell>
          <cell r="BU133">
            <v>6</v>
          </cell>
          <cell r="BV133">
            <v>0</v>
          </cell>
          <cell r="BW133">
            <v>0</v>
          </cell>
          <cell r="BX133">
            <v>0</v>
          </cell>
          <cell r="BY133">
            <v>0</v>
          </cell>
          <cell r="BZ133">
            <v>0</v>
          </cell>
          <cell r="CA133">
            <v>0</v>
          </cell>
          <cell r="CB133">
            <v>0</v>
          </cell>
          <cell r="CC133">
            <v>0</v>
          </cell>
          <cell r="CD133">
            <v>0</v>
          </cell>
        </row>
        <row r="134">
          <cell r="C134">
            <v>37718</v>
          </cell>
          <cell r="D134">
            <v>37858</v>
          </cell>
          <cell r="E134">
            <v>37819</v>
          </cell>
          <cell r="F134">
            <v>0.35416666666666669</v>
          </cell>
          <cell r="G134" t="str">
            <v>Perfiladora Fagor Montantes</v>
          </cell>
          <cell r="H134" t="str">
            <v>Falha no Encoder</v>
          </cell>
          <cell r="I134" t="str">
            <v>Corretiva</v>
          </cell>
          <cell r="J134" t="str">
            <v>Sim</v>
          </cell>
          <cell r="K134" t="str">
            <v>Elétrica</v>
          </cell>
          <cell r="L134" t="str">
            <v>Substituição do(s) Componente(s)</v>
          </cell>
          <cell r="M134" t="str">
            <v>Falha de Comando / Sistema</v>
          </cell>
          <cell r="N134">
            <v>37819</v>
          </cell>
          <cell r="O134">
            <v>0.35416666666666669</v>
          </cell>
          <cell r="P134">
            <v>37819</v>
          </cell>
          <cell r="Q134">
            <v>0.35416666666666669</v>
          </cell>
          <cell r="T134">
            <v>37819</v>
          </cell>
          <cell r="U134">
            <v>0.39583333333333331</v>
          </cell>
          <cell r="V134">
            <v>37819</v>
          </cell>
          <cell r="W134">
            <v>0.39583333333333331</v>
          </cell>
          <cell r="X134">
            <v>4.166666666666663E-2</v>
          </cell>
          <cell r="Y134">
            <v>4.1666666669091967E-2</v>
          </cell>
          <cell r="AB134">
            <v>7</v>
          </cell>
          <cell r="AC134">
            <v>4</v>
          </cell>
          <cell r="AD134">
            <v>0</v>
          </cell>
          <cell r="BF134">
            <v>0</v>
          </cell>
          <cell r="BG134">
            <v>0</v>
          </cell>
          <cell r="BH134">
            <v>0</v>
          </cell>
          <cell r="BI134">
            <v>0</v>
          </cell>
          <cell r="BJ134">
            <v>0</v>
          </cell>
          <cell r="BK134">
            <v>0</v>
          </cell>
          <cell r="BL134">
            <v>0</v>
          </cell>
          <cell r="BM134">
            <v>0</v>
          </cell>
          <cell r="BN134">
            <v>0</v>
          </cell>
          <cell r="BO134">
            <v>0</v>
          </cell>
          <cell r="BP134">
            <v>0</v>
          </cell>
          <cell r="BQ134">
            <v>0</v>
          </cell>
          <cell r="BR134">
            <v>0</v>
          </cell>
          <cell r="BS134">
            <v>0</v>
          </cell>
          <cell r="BT134">
            <v>0</v>
          </cell>
          <cell r="BU134">
            <v>7</v>
          </cell>
          <cell r="BV134">
            <v>0</v>
          </cell>
          <cell r="BW134">
            <v>0</v>
          </cell>
          <cell r="BX134">
            <v>0</v>
          </cell>
          <cell r="BY134">
            <v>0</v>
          </cell>
          <cell r="BZ134">
            <v>0</v>
          </cell>
          <cell r="CA134">
            <v>0</v>
          </cell>
          <cell r="CB134">
            <v>0</v>
          </cell>
          <cell r="CC134">
            <v>0</v>
          </cell>
          <cell r="CD134">
            <v>0</v>
          </cell>
        </row>
        <row r="135">
          <cell r="C135">
            <v>37718</v>
          </cell>
          <cell r="D135">
            <v>37831</v>
          </cell>
          <cell r="E135">
            <v>37819</v>
          </cell>
          <cell r="F135">
            <v>0.33333333333333331</v>
          </cell>
          <cell r="G135" t="str">
            <v>Perfiladora Fagor Montantes</v>
          </cell>
          <cell r="H135" t="str">
            <v>Rolamento do guia da prensa roldana travando</v>
          </cell>
          <cell r="I135" t="str">
            <v>Corretiva</v>
          </cell>
          <cell r="J135" t="str">
            <v>Não</v>
          </cell>
          <cell r="K135" t="str">
            <v>Mecânica</v>
          </cell>
          <cell r="L135" t="str">
            <v>Ajuste / Regulagem</v>
          </cell>
          <cell r="M135" t="str">
            <v>Falha de Regulagem / Configuração / Dimensionamento</v>
          </cell>
          <cell r="N135">
            <v>37819</v>
          </cell>
          <cell r="O135">
            <v>0.33333333333333331</v>
          </cell>
          <cell r="P135">
            <v>37819</v>
          </cell>
          <cell r="Q135">
            <v>0.33333333333333331</v>
          </cell>
          <cell r="T135">
            <v>37819</v>
          </cell>
          <cell r="U135">
            <v>0.41666666666666669</v>
          </cell>
          <cell r="V135">
            <v>37819</v>
          </cell>
          <cell r="W135">
            <v>0.41666666666666669</v>
          </cell>
          <cell r="X135">
            <v>8.3333333330908033E-2</v>
          </cell>
          <cell r="Y135">
            <v>8.3333333330908033E-2</v>
          </cell>
          <cell r="AB135">
            <v>7</v>
          </cell>
          <cell r="AC135">
            <v>4</v>
          </cell>
          <cell r="AD135">
            <v>0</v>
          </cell>
          <cell r="BF135">
            <v>0</v>
          </cell>
          <cell r="BG135">
            <v>0</v>
          </cell>
          <cell r="BH135">
            <v>0</v>
          </cell>
          <cell r="BI135">
            <v>0</v>
          </cell>
          <cell r="BJ135">
            <v>0</v>
          </cell>
          <cell r="BK135">
            <v>0</v>
          </cell>
          <cell r="BL135">
            <v>0</v>
          </cell>
          <cell r="BM135">
            <v>0</v>
          </cell>
          <cell r="BN135">
            <v>0</v>
          </cell>
          <cell r="BO135">
            <v>0</v>
          </cell>
          <cell r="BP135">
            <v>0</v>
          </cell>
          <cell r="BQ135">
            <v>0</v>
          </cell>
          <cell r="BR135">
            <v>0</v>
          </cell>
          <cell r="BS135">
            <v>0</v>
          </cell>
          <cell r="BT135">
            <v>0</v>
          </cell>
          <cell r="BU135">
            <v>7</v>
          </cell>
          <cell r="BV135">
            <v>0</v>
          </cell>
          <cell r="BW135">
            <v>0</v>
          </cell>
          <cell r="BX135">
            <v>0</v>
          </cell>
          <cell r="BY135">
            <v>0</v>
          </cell>
          <cell r="BZ135">
            <v>0</v>
          </cell>
          <cell r="CA135">
            <v>0</v>
          </cell>
          <cell r="CB135">
            <v>0</v>
          </cell>
          <cell r="CC135">
            <v>0</v>
          </cell>
          <cell r="CD135">
            <v>0</v>
          </cell>
        </row>
        <row r="136">
          <cell r="C136">
            <v>37718</v>
          </cell>
          <cell r="D136">
            <v>37902</v>
          </cell>
          <cell r="E136">
            <v>37896</v>
          </cell>
          <cell r="F136">
            <v>0.58333333333333337</v>
          </cell>
          <cell r="G136" t="str">
            <v>Perfiladora Fagor Montantes</v>
          </cell>
          <cell r="H136" t="str">
            <v>Suporte do sensor do fosso de entrada da prensa está solto</v>
          </cell>
          <cell r="I136" t="str">
            <v>Corretiva</v>
          </cell>
          <cell r="J136" t="str">
            <v>Não</v>
          </cell>
          <cell r="K136" t="str">
            <v>Mecânica</v>
          </cell>
          <cell r="L136" t="str">
            <v>Reparo</v>
          </cell>
          <cell r="M136" t="str">
            <v>Causa não especificada</v>
          </cell>
          <cell r="N136">
            <v>37896</v>
          </cell>
          <cell r="O136">
            <v>0.83333333333333337</v>
          </cell>
          <cell r="P136">
            <v>37896</v>
          </cell>
          <cell r="Q136">
            <v>0.83333333333333337</v>
          </cell>
          <cell r="T136">
            <v>37896</v>
          </cell>
          <cell r="U136">
            <v>0.9375</v>
          </cell>
          <cell r="V136">
            <v>37896</v>
          </cell>
          <cell r="W136">
            <v>0.9375</v>
          </cell>
          <cell r="X136">
            <v>0.10416666666666663</v>
          </cell>
          <cell r="Y136">
            <v>0.10416666666666663</v>
          </cell>
          <cell r="AB136">
            <v>10</v>
          </cell>
          <cell r="AC136">
            <v>4</v>
          </cell>
          <cell r="AD136">
            <v>0</v>
          </cell>
          <cell r="BF136">
            <v>0</v>
          </cell>
          <cell r="BG136">
            <v>0</v>
          </cell>
          <cell r="BH136">
            <v>0</v>
          </cell>
          <cell r="BI136">
            <v>0</v>
          </cell>
          <cell r="BJ136">
            <v>0</v>
          </cell>
          <cell r="BK136">
            <v>0</v>
          </cell>
          <cell r="BL136">
            <v>0</v>
          </cell>
          <cell r="BM136">
            <v>0</v>
          </cell>
          <cell r="BN136">
            <v>0</v>
          </cell>
          <cell r="BO136">
            <v>0</v>
          </cell>
          <cell r="BP136">
            <v>0</v>
          </cell>
          <cell r="BQ136">
            <v>0</v>
          </cell>
          <cell r="BR136">
            <v>0</v>
          </cell>
          <cell r="BS136">
            <v>0</v>
          </cell>
          <cell r="BT136">
            <v>0</v>
          </cell>
          <cell r="BU136">
            <v>10</v>
          </cell>
          <cell r="BV136">
            <v>0</v>
          </cell>
          <cell r="BW136">
            <v>0</v>
          </cell>
          <cell r="BX136">
            <v>0</v>
          </cell>
          <cell r="BY136">
            <v>0</v>
          </cell>
          <cell r="BZ136">
            <v>0</v>
          </cell>
          <cell r="CA136">
            <v>0</v>
          </cell>
          <cell r="CB136">
            <v>0</v>
          </cell>
          <cell r="CC136">
            <v>0</v>
          </cell>
          <cell r="CD136">
            <v>0</v>
          </cell>
        </row>
        <row r="137">
          <cell r="C137">
            <v>37718</v>
          </cell>
          <cell r="D137">
            <v>37753</v>
          </cell>
          <cell r="E137">
            <v>37753</v>
          </cell>
          <cell r="F137">
            <v>0.375</v>
          </cell>
          <cell r="G137" t="str">
            <v>Prensa Jundiaí Conectores</v>
          </cell>
          <cell r="H137" t="str">
            <v>Fazer pino guia para chapa, pois a mesma está saindo do sensor</v>
          </cell>
          <cell r="I137" t="str">
            <v>Melhoria</v>
          </cell>
          <cell r="J137" t="str">
            <v>Não</v>
          </cell>
          <cell r="K137" t="str">
            <v>Mecânica</v>
          </cell>
          <cell r="L137" t="str">
            <v>Foram confeccionadas 02 chapas para guiar a chapa da bobina</v>
          </cell>
          <cell r="M137" t="str">
            <v>Melhoria Técnica</v>
          </cell>
          <cell r="N137">
            <v>37756</v>
          </cell>
          <cell r="O137">
            <v>0.33333333333333331</v>
          </cell>
          <cell r="P137">
            <v>37756</v>
          </cell>
          <cell r="Q137">
            <v>0.33333333333333331</v>
          </cell>
          <cell r="T137">
            <v>37756</v>
          </cell>
          <cell r="U137">
            <v>0.41666666666666669</v>
          </cell>
          <cell r="V137">
            <v>37756</v>
          </cell>
          <cell r="W137">
            <v>0.41666666666666669</v>
          </cell>
          <cell r="X137">
            <v>8.3333333330908033E-2</v>
          </cell>
          <cell r="Y137">
            <v>8.3333333330908033E-2</v>
          </cell>
          <cell r="AB137">
            <v>5</v>
          </cell>
          <cell r="AC137">
            <v>4</v>
          </cell>
          <cell r="AD137">
            <v>0</v>
          </cell>
          <cell r="BF137">
            <v>0</v>
          </cell>
          <cell r="BG137">
            <v>0</v>
          </cell>
          <cell r="BH137">
            <v>0</v>
          </cell>
          <cell r="BI137">
            <v>0</v>
          </cell>
          <cell r="BJ137">
            <v>0</v>
          </cell>
          <cell r="BK137">
            <v>0</v>
          </cell>
          <cell r="BL137">
            <v>0</v>
          </cell>
          <cell r="BM137">
            <v>0</v>
          </cell>
          <cell r="BN137">
            <v>0</v>
          </cell>
          <cell r="BO137">
            <v>0</v>
          </cell>
          <cell r="BP137">
            <v>0</v>
          </cell>
          <cell r="BQ137">
            <v>0</v>
          </cell>
          <cell r="BR137">
            <v>0</v>
          </cell>
          <cell r="BS137">
            <v>0</v>
          </cell>
          <cell r="BT137">
            <v>0</v>
          </cell>
          <cell r="BU137">
            <v>0</v>
          </cell>
          <cell r="BV137">
            <v>0</v>
          </cell>
          <cell r="BW137">
            <v>0</v>
          </cell>
          <cell r="BX137">
            <v>0</v>
          </cell>
          <cell r="BY137">
            <v>0</v>
          </cell>
          <cell r="BZ137">
            <v>5</v>
          </cell>
          <cell r="CA137">
            <v>0</v>
          </cell>
          <cell r="CB137">
            <v>0</v>
          </cell>
          <cell r="CC137">
            <v>0</v>
          </cell>
          <cell r="CD137">
            <v>0</v>
          </cell>
        </row>
        <row r="138">
          <cell r="C138">
            <v>37718</v>
          </cell>
          <cell r="D138">
            <v>37753</v>
          </cell>
          <cell r="E138">
            <v>37753</v>
          </cell>
          <cell r="F138">
            <v>0.33333333333333331</v>
          </cell>
          <cell r="G138" t="str">
            <v>Prensa Jundiaí Conectores</v>
          </cell>
          <cell r="H138" t="str">
            <v>Chaveta espanada do Rodilho da chapa</v>
          </cell>
          <cell r="I138" t="str">
            <v>Corretiva</v>
          </cell>
          <cell r="J138" t="str">
            <v>Não</v>
          </cell>
          <cell r="K138" t="str">
            <v>Mecânica</v>
          </cell>
          <cell r="L138" t="str">
            <v>Soldagem de porca para fixação por chave</v>
          </cell>
          <cell r="M138" t="str">
            <v>Defeito de Fabricação</v>
          </cell>
          <cell r="N138">
            <v>37756</v>
          </cell>
          <cell r="O138">
            <v>0.33333333333333331</v>
          </cell>
          <cell r="P138">
            <v>37756</v>
          </cell>
          <cell r="Q138">
            <v>0.33333333333333331</v>
          </cell>
          <cell r="T138">
            <v>37756</v>
          </cell>
          <cell r="U138">
            <v>0.38194444444444442</v>
          </cell>
          <cell r="V138">
            <v>37756</v>
          </cell>
          <cell r="W138">
            <v>0.38194444444444442</v>
          </cell>
          <cell r="X138">
            <v>4.8611111111919569E-2</v>
          </cell>
          <cell r="Y138">
            <v>4.8611111111919569E-2</v>
          </cell>
          <cell r="AB138">
            <v>5</v>
          </cell>
          <cell r="AC138">
            <v>4</v>
          </cell>
          <cell r="AD138">
            <v>0</v>
          </cell>
          <cell r="BF138">
            <v>0</v>
          </cell>
          <cell r="BG138">
            <v>0</v>
          </cell>
          <cell r="BH138">
            <v>0</v>
          </cell>
          <cell r="BI138">
            <v>0</v>
          </cell>
          <cell r="BJ138">
            <v>0</v>
          </cell>
          <cell r="BK138">
            <v>0</v>
          </cell>
          <cell r="BL138">
            <v>0</v>
          </cell>
          <cell r="BM138">
            <v>0</v>
          </cell>
          <cell r="BN138">
            <v>0</v>
          </cell>
          <cell r="BO138">
            <v>0</v>
          </cell>
          <cell r="BP138">
            <v>0</v>
          </cell>
          <cell r="BQ138">
            <v>0</v>
          </cell>
          <cell r="BR138">
            <v>0</v>
          </cell>
          <cell r="BS138">
            <v>0</v>
          </cell>
          <cell r="BT138">
            <v>0</v>
          </cell>
          <cell r="BU138">
            <v>0</v>
          </cell>
          <cell r="BV138">
            <v>0</v>
          </cell>
          <cell r="BW138">
            <v>0</v>
          </cell>
          <cell r="BX138">
            <v>0</v>
          </cell>
          <cell r="BY138">
            <v>0</v>
          </cell>
          <cell r="BZ138">
            <v>5</v>
          </cell>
          <cell r="CA138">
            <v>0</v>
          </cell>
          <cell r="CB138">
            <v>0</v>
          </cell>
          <cell r="CC138">
            <v>0</v>
          </cell>
          <cell r="CD138">
            <v>0</v>
          </cell>
        </row>
        <row r="139">
          <cell r="C139">
            <v>37718</v>
          </cell>
          <cell r="D139">
            <v>37762</v>
          </cell>
          <cell r="E139">
            <v>37761</v>
          </cell>
          <cell r="F139">
            <v>0.69791666666666663</v>
          </cell>
          <cell r="G139" t="str">
            <v>Prensa Jundiaí Conectores</v>
          </cell>
          <cell r="H139" t="str">
            <v>Painel elétrico não liga</v>
          </cell>
          <cell r="I139" t="str">
            <v>Corretiva</v>
          </cell>
          <cell r="J139" t="str">
            <v>Sim</v>
          </cell>
          <cell r="K139" t="str">
            <v>Elétrica</v>
          </cell>
          <cell r="L139" t="str">
            <v>Ajuste / Regulagem</v>
          </cell>
          <cell r="M139" t="str">
            <v>Mau contato</v>
          </cell>
          <cell r="N139">
            <v>37761</v>
          </cell>
          <cell r="O139">
            <v>0.69791666666666663</v>
          </cell>
          <cell r="P139">
            <v>37761</v>
          </cell>
          <cell r="Q139">
            <v>0.75</v>
          </cell>
          <cell r="R139">
            <v>37762</v>
          </cell>
          <cell r="S139">
            <v>0.33333333333333331</v>
          </cell>
          <cell r="T139">
            <v>37762</v>
          </cell>
          <cell r="U139">
            <v>0.44791666666666669</v>
          </cell>
          <cell r="V139">
            <v>0</v>
          </cell>
          <cell r="W139">
            <v>0.16666666666666674</v>
          </cell>
          <cell r="X139">
            <v>0.16666666666666674</v>
          </cell>
          <cell r="Y139">
            <v>0.16666666666666674</v>
          </cell>
          <cell r="AB139">
            <v>5</v>
          </cell>
          <cell r="AC139">
            <v>4</v>
          </cell>
          <cell r="AD139">
            <v>0</v>
          </cell>
          <cell r="BF139">
            <v>0</v>
          </cell>
          <cell r="BG139">
            <v>0</v>
          </cell>
          <cell r="BH139">
            <v>0</v>
          </cell>
          <cell r="BI139">
            <v>0</v>
          </cell>
          <cell r="BJ139">
            <v>0</v>
          </cell>
          <cell r="BK139">
            <v>0</v>
          </cell>
          <cell r="BL139">
            <v>0</v>
          </cell>
          <cell r="BM139">
            <v>0</v>
          </cell>
          <cell r="BN139">
            <v>0</v>
          </cell>
          <cell r="BO139">
            <v>0</v>
          </cell>
          <cell r="BP139">
            <v>0</v>
          </cell>
          <cell r="BQ139">
            <v>0</v>
          </cell>
          <cell r="BR139">
            <v>0</v>
          </cell>
          <cell r="BS139">
            <v>0</v>
          </cell>
          <cell r="BT139">
            <v>0</v>
          </cell>
          <cell r="BU139">
            <v>0</v>
          </cell>
          <cell r="BV139">
            <v>0</v>
          </cell>
          <cell r="BW139">
            <v>0</v>
          </cell>
          <cell r="BX139">
            <v>0</v>
          </cell>
          <cell r="BY139">
            <v>0</v>
          </cell>
          <cell r="BZ139">
            <v>5</v>
          </cell>
          <cell r="CA139">
            <v>0</v>
          </cell>
          <cell r="CB139">
            <v>0</v>
          </cell>
          <cell r="CC139">
            <v>0</v>
          </cell>
          <cell r="CD139">
            <v>0</v>
          </cell>
        </row>
        <row r="140">
          <cell r="C140">
            <v>37718</v>
          </cell>
          <cell r="D140">
            <v>37767</v>
          </cell>
          <cell r="E140">
            <v>37764</v>
          </cell>
          <cell r="F140">
            <v>0.4513888888888889</v>
          </cell>
          <cell r="G140" t="str">
            <v>Prensa Jundiaí Conectores</v>
          </cell>
          <cell r="H140" t="str">
            <v>Chave geral do painel está solta</v>
          </cell>
          <cell r="I140" t="str">
            <v>Corretiva</v>
          </cell>
          <cell r="J140" t="str">
            <v>Não</v>
          </cell>
          <cell r="K140" t="str">
            <v>Elétrica</v>
          </cell>
          <cell r="L140" t="str">
            <v>Reparo</v>
          </cell>
          <cell r="M140" t="str">
            <v>Vibração</v>
          </cell>
          <cell r="N140">
            <v>37764</v>
          </cell>
          <cell r="O140">
            <v>0.45833333333333331</v>
          </cell>
          <cell r="P140">
            <v>37764</v>
          </cell>
          <cell r="Q140">
            <v>0.45833333333333331</v>
          </cell>
          <cell r="T140">
            <v>37764</v>
          </cell>
          <cell r="U140">
            <v>0.46875</v>
          </cell>
          <cell r="V140">
            <v>37764</v>
          </cell>
          <cell r="W140">
            <v>0.46875</v>
          </cell>
          <cell r="X140">
            <v>1.0416666666666685E-2</v>
          </cell>
          <cell r="Y140">
            <v>1.0416666666666685E-2</v>
          </cell>
          <cell r="AB140">
            <v>5</v>
          </cell>
          <cell r="AC140">
            <v>4</v>
          </cell>
          <cell r="AD140">
            <v>0</v>
          </cell>
          <cell r="BF140">
            <v>0</v>
          </cell>
          <cell r="BG140">
            <v>0</v>
          </cell>
          <cell r="BH140">
            <v>0</v>
          </cell>
          <cell r="BI140">
            <v>0</v>
          </cell>
          <cell r="BJ140">
            <v>0</v>
          </cell>
          <cell r="BK140">
            <v>0</v>
          </cell>
          <cell r="BL140">
            <v>0</v>
          </cell>
          <cell r="BM140">
            <v>0</v>
          </cell>
          <cell r="BN140">
            <v>0</v>
          </cell>
          <cell r="BO140">
            <v>0</v>
          </cell>
          <cell r="BP140">
            <v>0</v>
          </cell>
          <cell r="BQ140">
            <v>0</v>
          </cell>
          <cell r="BR140">
            <v>0</v>
          </cell>
          <cell r="BS140">
            <v>0</v>
          </cell>
          <cell r="BT140">
            <v>0</v>
          </cell>
          <cell r="BU140">
            <v>0</v>
          </cell>
          <cell r="BV140">
            <v>0</v>
          </cell>
          <cell r="BW140">
            <v>0</v>
          </cell>
          <cell r="BX140">
            <v>0</v>
          </cell>
          <cell r="BY140">
            <v>0</v>
          </cell>
          <cell r="BZ140">
            <v>5</v>
          </cell>
          <cell r="CA140">
            <v>0</v>
          </cell>
          <cell r="CB140">
            <v>0</v>
          </cell>
          <cell r="CC140">
            <v>0</v>
          </cell>
          <cell r="CD140">
            <v>0</v>
          </cell>
        </row>
        <row r="141">
          <cell r="C141">
            <v>37718</v>
          </cell>
          <cell r="D141">
            <v>37769</v>
          </cell>
          <cell r="E141">
            <v>37767</v>
          </cell>
          <cell r="F141">
            <v>0.72916666666666663</v>
          </cell>
          <cell r="G141" t="str">
            <v>Prensa Jundiaí Conectores</v>
          </cell>
          <cell r="H141" t="str">
            <v>Chaveta do Rodilho quebrada</v>
          </cell>
          <cell r="I141" t="str">
            <v>Corretiva</v>
          </cell>
          <cell r="J141" t="str">
            <v>Sim</v>
          </cell>
          <cell r="K141" t="str">
            <v>Mecânica</v>
          </cell>
          <cell r="L141" t="str">
            <v>Melhoria no Sistema de Fixação</v>
          </cell>
          <cell r="M141" t="str">
            <v>Causa não especificada</v>
          </cell>
          <cell r="N141">
            <v>37767</v>
          </cell>
          <cell r="O141">
            <v>0.72916666666666663</v>
          </cell>
          <cell r="P141">
            <v>37767</v>
          </cell>
          <cell r="Q141">
            <v>0.72916666666666663</v>
          </cell>
          <cell r="T141">
            <v>37767</v>
          </cell>
          <cell r="U141">
            <v>0.75</v>
          </cell>
          <cell r="V141">
            <v>37767</v>
          </cell>
          <cell r="W141">
            <v>0.75</v>
          </cell>
          <cell r="X141">
            <v>2.083333333333337E-2</v>
          </cell>
          <cell r="Y141">
            <v>2.083333333333337E-2</v>
          </cell>
          <cell r="AB141">
            <v>5</v>
          </cell>
          <cell r="AC141">
            <v>4</v>
          </cell>
          <cell r="AD141">
            <v>0</v>
          </cell>
          <cell r="BF141">
            <v>0</v>
          </cell>
          <cell r="BG141">
            <v>0</v>
          </cell>
          <cell r="BH141">
            <v>0</v>
          </cell>
          <cell r="BI141">
            <v>0</v>
          </cell>
          <cell r="BJ141">
            <v>0</v>
          </cell>
          <cell r="BK141">
            <v>0</v>
          </cell>
          <cell r="BL141">
            <v>0</v>
          </cell>
          <cell r="BM141">
            <v>0</v>
          </cell>
          <cell r="BN141">
            <v>0</v>
          </cell>
          <cell r="BO141">
            <v>0</v>
          </cell>
          <cell r="BP141">
            <v>0</v>
          </cell>
          <cell r="BQ141">
            <v>0</v>
          </cell>
          <cell r="BR141">
            <v>0</v>
          </cell>
          <cell r="BS141">
            <v>0</v>
          </cell>
          <cell r="BT141">
            <v>0</v>
          </cell>
          <cell r="BU141">
            <v>0</v>
          </cell>
          <cell r="BV141">
            <v>0</v>
          </cell>
          <cell r="BW141">
            <v>0</v>
          </cell>
          <cell r="BX141">
            <v>0</v>
          </cell>
          <cell r="BY141">
            <v>0</v>
          </cell>
          <cell r="BZ141">
            <v>5</v>
          </cell>
          <cell r="CA141">
            <v>0</v>
          </cell>
          <cell r="CB141">
            <v>0</v>
          </cell>
          <cell r="CC141">
            <v>0</v>
          </cell>
          <cell r="CD141">
            <v>0</v>
          </cell>
        </row>
        <row r="142">
          <cell r="C142">
            <v>37718</v>
          </cell>
          <cell r="D142">
            <v>37819</v>
          </cell>
          <cell r="E142">
            <v>37768</v>
          </cell>
          <cell r="F142">
            <v>0.47916666666666669</v>
          </cell>
          <cell r="G142" t="str">
            <v>Prensa Jundiaí Conectores</v>
          </cell>
          <cell r="H142" t="str">
            <v>Motor não mantém velocidade do golpe</v>
          </cell>
          <cell r="I142" t="str">
            <v>Corretiva</v>
          </cell>
          <cell r="J142" t="str">
            <v>Sim</v>
          </cell>
          <cell r="K142" t="str">
            <v>Mecânica</v>
          </cell>
          <cell r="L142" t="str">
            <v>Reaperto dos componentes</v>
          </cell>
          <cell r="M142" t="str">
            <v>Vibração</v>
          </cell>
          <cell r="N142">
            <v>37768</v>
          </cell>
          <cell r="O142">
            <v>0.47916666666666669</v>
          </cell>
          <cell r="P142">
            <v>37768</v>
          </cell>
          <cell r="Q142">
            <v>0.47916666666666669</v>
          </cell>
          <cell r="T142">
            <v>37768</v>
          </cell>
          <cell r="U142">
            <v>0.69444444444444453</v>
          </cell>
          <cell r="V142">
            <v>37768</v>
          </cell>
          <cell r="W142">
            <v>0.69444444444444453</v>
          </cell>
          <cell r="X142">
            <v>0.21527777777777785</v>
          </cell>
          <cell r="Y142">
            <v>0.2152777777785862</v>
          </cell>
          <cell r="AB142">
            <v>5</v>
          </cell>
          <cell r="AC142">
            <v>4</v>
          </cell>
          <cell r="AD142">
            <v>0</v>
          </cell>
          <cell r="BF142">
            <v>0</v>
          </cell>
          <cell r="BG142">
            <v>0</v>
          </cell>
          <cell r="BH142">
            <v>0</v>
          </cell>
          <cell r="BI142">
            <v>0</v>
          </cell>
          <cell r="BJ142">
            <v>0</v>
          </cell>
          <cell r="BK142">
            <v>0</v>
          </cell>
          <cell r="BL142">
            <v>0</v>
          </cell>
          <cell r="BM142">
            <v>0</v>
          </cell>
          <cell r="BN142">
            <v>0</v>
          </cell>
          <cell r="BO142">
            <v>0</v>
          </cell>
          <cell r="BP142">
            <v>0</v>
          </cell>
          <cell r="BQ142">
            <v>0</v>
          </cell>
          <cell r="BR142">
            <v>0</v>
          </cell>
          <cell r="BS142">
            <v>0</v>
          </cell>
          <cell r="BT142">
            <v>0</v>
          </cell>
          <cell r="BU142">
            <v>0</v>
          </cell>
          <cell r="BV142">
            <v>0</v>
          </cell>
          <cell r="BW142">
            <v>0</v>
          </cell>
          <cell r="BX142">
            <v>0</v>
          </cell>
          <cell r="BY142">
            <v>0</v>
          </cell>
          <cell r="BZ142">
            <v>5</v>
          </cell>
          <cell r="CA142">
            <v>0</v>
          </cell>
          <cell r="CB142">
            <v>0</v>
          </cell>
          <cell r="CC142">
            <v>0</v>
          </cell>
          <cell r="CD142">
            <v>0</v>
          </cell>
        </row>
        <row r="143">
          <cell r="C143">
            <v>37718</v>
          </cell>
          <cell r="D143">
            <v>37783</v>
          </cell>
          <cell r="E143">
            <v>37778</v>
          </cell>
          <cell r="F143">
            <v>0.47916666666666669</v>
          </cell>
          <cell r="G143" t="str">
            <v>Prensa Jundiaí Conectores</v>
          </cell>
          <cell r="H143" t="str">
            <v>Ocorre ligeiro travamento da chaveta no desbobinador</v>
          </cell>
          <cell r="I143" t="str">
            <v>Corretiva</v>
          </cell>
          <cell r="J143" t="str">
            <v>Não</v>
          </cell>
          <cell r="K143" t="str">
            <v>Mecânica</v>
          </cell>
          <cell r="L143" t="str">
            <v>O componente foi lixado / ajustado</v>
          </cell>
          <cell r="M143" t="str">
            <v>Falha de Regulagem / Configuração / Dimensionamento</v>
          </cell>
          <cell r="N143">
            <v>37778</v>
          </cell>
          <cell r="O143">
            <v>0.47916666666666669</v>
          </cell>
          <cell r="P143">
            <v>37778</v>
          </cell>
          <cell r="Q143">
            <v>0.47916666666666669</v>
          </cell>
          <cell r="T143">
            <v>37778</v>
          </cell>
          <cell r="U143">
            <v>0.53472222222222221</v>
          </cell>
          <cell r="V143">
            <v>37778</v>
          </cell>
          <cell r="W143">
            <v>0.53472222222222221</v>
          </cell>
          <cell r="X143">
            <v>5.5555555552321778E-2</v>
          </cell>
          <cell r="Y143">
            <v>5.5555555552321778E-2</v>
          </cell>
          <cell r="AB143">
            <v>6</v>
          </cell>
          <cell r="AC143">
            <v>4</v>
          </cell>
          <cell r="AD143">
            <v>0</v>
          </cell>
          <cell r="BF143">
            <v>0</v>
          </cell>
          <cell r="BG143">
            <v>0</v>
          </cell>
          <cell r="BH143">
            <v>0</v>
          </cell>
          <cell r="BI143">
            <v>0</v>
          </cell>
          <cell r="BJ143">
            <v>0</v>
          </cell>
          <cell r="BK143">
            <v>0</v>
          </cell>
          <cell r="BL143">
            <v>0</v>
          </cell>
          <cell r="BM143">
            <v>0</v>
          </cell>
          <cell r="BN143">
            <v>0</v>
          </cell>
          <cell r="BO143">
            <v>0</v>
          </cell>
          <cell r="BP143">
            <v>0</v>
          </cell>
          <cell r="BQ143">
            <v>0</v>
          </cell>
          <cell r="BR143">
            <v>0</v>
          </cell>
          <cell r="BS143">
            <v>0</v>
          </cell>
          <cell r="BT143">
            <v>0</v>
          </cell>
          <cell r="BU143">
            <v>0</v>
          </cell>
          <cell r="BV143">
            <v>0</v>
          </cell>
          <cell r="BW143">
            <v>0</v>
          </cell>
          <cell r="BX143">
            <v>0</v>
          </cell>
          <cell r="BY143">
            <v>0</v>
          </cell>
          <cell r="BZ143">
            <v>6</v>
          </cell>
          <cell r="CA143">
            <v>0</v>
          </cell>
          <cell r="CB143">
            <v>0</v>
          </cell>
          <cell r="CC143">
            <v>0</v>
          </cell>
          <cell r="CD143">
            <v>0</v>
          </cell>
        </row>
        <row r="144">
          <cell r="C144">
            <v>37718</v>
          </cell>
          <cell r="D144">
            <v>37803</v>
          </cell>
          <cell r="E144">
            <v>37795</v>
          </cell>
          <cell r="F144">
            <v>0.375</v>
          </cell>
          <cell r="G144" t="str">
            <v>Prensa Jundiaí Conectores</v>
          </cell>
          <cell r="H144" t="str">
            <v>Conexão de Ar Comprimido quebrada</v>
          </cell>
          <cell r="I144" t="str">
            <v>Corretiva</v>
          </cell>
          <cell r="J144" t="str">
            <v>Não</v>
          </cell>
          <cell r="K144" t="str">
            <v>Mecânica</v>
          </cell>
          <cell r="L144" t="str">
            <v>Substituição do(s) Componente(s)</v>
          </cell>
          <cell r="M144" t="str">
            <v>Defeito de Fabricação</v>
          </cell>
          <cell r="N144">
            <v>37795</v>
          </cell>
          <cell r="O144">
            <v>0.375</v>
          </cell>
          <cell r="P144">
            <v>37795</v>
          </cell>
          <cell r="Q144">
            <v>0.375</v>
          </cell>
          <cell r="T144">
            <v>37795</v>
          </cell>
          <cell r="U144">
            <v>0.39930555555555558</v>
          </cell>
          <cell r="V144">
            <v>37795</v>
          </cell>
          <cell r="W144">
            <v>0.39930555555555558</v>
          </cell>
          <cell r="X144">
            <v>2.4305555554747116E-2</v>
          </cell>
          <cell r="Y144">
            <v>2.4305555554747116E-2</v>
          </cell>
          <cell r="AB144">
            <v>6</v>
          </cell>
          <cell r="AC144">
            <v>4</v>
          </cell>
          <cell r="AD144">
            <v>0</v>
          </cell>
          <cell r="BF144">
            <v>0</v>
          </cell>
          <cell r="BG144">
            <v>0</v>
          </cell>
          <cell r="BH144">
            <v>0</v>
          </cell>
          <cell r="BI144">
            <v>0</v>
          </cell>
          <cell r="BJ144">
            <v>0</v>
          </cell>
          <cell r="BK144">
            <v>0</v>
          </cell>
          <cell r="BL144">
            <v>0</v>
          </cell>
          <cell r="BM144">
            <v>0</v>
          </cell>
          <cell r="BN144">
            <v>0</v>
          </cell>
          <cell r="BO144">
            <v>0</v>
          </cell>
          <cell r="BP144">
            <v>0</v>
          </cell>
          <cell r="BQ144">
            <v>0</v>
          </cell>
          <cell r="BR144">
            <v>0</v>
          </cell>
          <cell r="BS144">
            <v>0</v>
          </cell>
          <cell r="BT144">
            <v>0</v>
          </cell>
          <cell r="BU144">
            <v>0</v>
          </cell>
          <cell r="BV144">
            <v>0</v>
          </cell>
          <cell r="BW144">
            <v>0</v>
          </cell>
          <cell r="BX144">
            <v>0</v>
          </cell>
          <cell r="BY144">
            <v>0</v>
          </cell>
          <cell r="BZ144">
            <v>6</v>
          </cell>
          <cell r="CA144">
            <v>0</v>
          </cell>
          <cell r="CB144">
            <v>0</v>
          </cell>
          <cell r="CC144">
            <v>0</v>
          </cell>
          <cell r="CD144">
            <v>0</v>
          </cell>
        </row>
        <row r="145">
          <cell r="C145">
            <v>37718</v>
          </cell>
          <cell r="D145">
            <v>37803</v>
          </cell>
          <cell r="E145">
            <v>37796</v>
          </cell>
          <cell r="F145">
            <v>0.45833333333333331</v>
          </cell>
          <cell r="G145" t="str">
            <v>Prensa Jundiaí Conectores</v>
          </cell>
          <cell r="H145" t="str">
            <v>Cabo de Fibra Óptica está rompido</v>
          </cell>
          <cell r="I145" t="str">
            <v>Corretiva</v>
          </cell>
          <cell r="J145" t="str">
            <v>Não</v>
          </cell>
          <cell r="K145" t="str">
            <v>Elétrica</v>
          </cell>
          <cell r="L145" t="str">
            <v>Substituição do(s) Componente(s)</v>
          </cell>
          <cell r="M145" t="str">
            <v>Causa não especificada</v>
          </cell>
          <cell r="N145">
            <v>37796</v>
          </cell>
          <cell r="O145">
            <v>0.45833333333333331</v>
          </cell>
          <cell r="P145">
            <v>37796</v>
          </cell>
          <cell r="Q145">
            <v>0.45833333333333331</v>
          </cell>
          <cell r="T145">
            <v>37796</v>
          </cell>
          <cell r="U145">
            <v>0.5</v>
          </cell>
          <cell r="V145">
            <v>37796</v>
          </cell>
          <cell r="W145">
            <v>0.5</v>
          </cell>
          <cell r="X145">
            <v>4.1666666666666685E-2</v>
          </cell>
          <cell r="Y145">
            <v>4.1666666666666685E-2</v>
          </cell>
          <cell r="AB145">
            <v>6</v>
          </cell>
          <cell r="AC145">
            <v>4</v>
          </cell>
          <cell r="AD145">
            <v>0</v>
          </cell>
          <cell r="BF145">
            <v>0</v>
          </cell>
          <cell r="BG145">
            <v>0</v>
          </cell>
          <cell r="BH145">
            <v>0</v>
          </cell>
          <cell r="BI145">
            <v>0</v>
          </cell>
          <cell r="BJ145">
            <v>0</v>
          </cell>
          <cell r="BK145">
            <v>0</v>
          </cell>
          <cell r="BL145">
            <v>0</v>
          </cell>
          <cell r="BM145">
            <v>0</v>
          </cell>
          <cell r="BN145">
            <v>0</v>
          </cell>
          <cell r="BO145">
            <v>0</v>
          </cell>
          <cell r="BP145">
            <v>0</v>
          </cell>
          <cell r="BQ145">
            <v>0</v>
          </cell>
          <cell r="BR145">
            <v>0</v>
          </cell>
          <cell r="BS145">
            <v>0</v>
          </cell>
          <cell r="BT145">
            <v>0</v>
          </cell>
          <cell r="BU145">
            <v>0</v>
          </cell>
          <cell r="BV145">
            <v>0</v>
          </cell>
          <cell r="BW145">
            <v>0</v>
          </cell>
          <cell r="BX145">
            <v>0</v>
          </cell>
          <cell r="BY145">
            <v>0</v>
          </cell>
          <cell r="BZ145">
            <v>6</v>
          </cell>
          <cell r="CA145">
            <v>0</v>
          </cell>
          <cell r="CB145">
            <v>0</v>
          </cell>
          <cell r="CC145">
            <v>0</v>
          </cell>
          <cell r="CD145">
            <v>0</v>
          </cell>
        </row>
        <row r="146">
          <cell r="C146">
            <v>37718</v>
          </cell>
          <cell r="D146">
            <v>37838</v>
          </cell>
          <cell r="E146">
            <v>37830</v>
          </cell>
          <cell r="F146">
            <v>0.55208333333333337</v>
          </cell>
          <cell r="G146" t="str">
            <v>Prensa Jundiaí Conectores</v>
          </cell>
          <cell r="H146" t="str">
            <v>Calço do motor principal quebrado</v>
          </cell>
          <cell r="I146" t="str">
            <v>Corretiva</v>
          </cell>
          <cell r="J146" t="str">
            <v>Sim</v>
          </cell>
          <cell r="K146" t="str">
            <v>Mecânica</v>
          </cell>
          <cell r="L146" t="str">
            <v>Substituição do(s) Componente(s)</v>
          </cell>
          <cell r="M146" t="str">
            <v>Vibração</v>
          </cell>
          <cell r="N146">
            <v>37830</v>
          </cell>
          <cell r="O146">
            <v>0.58333333333333337</v>
          </cell>
          <cell r="P146">
            <v>37830</v>
          </cell>
          <cell r="Q146">
            <v>0.58333333333333337</v>
          </cell>
          <cell r="T146">
            <v>37831</v>
          </cell>
          <cell r="U146">
            <v>0.66666666666666663</v>
          </cell>
          <cell r="V146">
            <v>37831</v>
          </cell>
          <cell r="W146">
            <v>0.66666666666666663</v>
          </cell>
          <cell r="X146">
            <v>0.45833333333333326</v>
          </cell>
          <cell r="Y146">
            <v>0.45833333333090787</v>
          </cell>
          <cell r="AB146">
            <v>7</v>
          </cell>
          <cell r="AC146">
            <v>4</v>
          </cell>
          <cell r="AD146">
            <v>0</v>
          </cell>
          <cell r="BF146">
            <v>0</v>
          </cell>
          <cell r="BG146">
            <v>0</v>
          </cell>
          <cell r="BH146">
            <v>0</v>
          </cell>
          <cell r="BI146">
            <v>0</v>
          </cell>
          <cell r="BJ146">
            <v>0</v>
          </cell>
          <cell r="BK146">
            <v>0</v>
          </cell>
          <cell r="BL146">
            <v>0</v>
          </cell>
          <cell r="BM146">
            <v>0</v>
          </cell>
          <cell r="BN146">
            <v>0</v>
          </cell>
          <cell r="BO146">
            <v>0</v>
          </cell>
          <cell r="BP146">
            <v>0</v>
          </cell>
          <cell r="BQ146">
            <v>0</v>
          </cell>
          <cell r="BR146">
            <v>0</v>
          </cell>
          <cell r="BS146">
            <v>0</v>
          </cell>
          <cell r="BT146">
            <v>0</v>
          </cell>
          <cell r="BU146">
            <v>0</v>
          </cell>
          <cell r="BV146">
            <v>0</v>
          </cell>
          <cell r="BW146">
            <v>0</v>
          </cell>
          <cell r="BX146">
            <v>0</v>
          </cell>
          <cell r="BY146">
            <v>0</v>
          </cell>
          <cell r="BZ146">
            <v>7</v>
          </cell>
          <cell r="CA146">
            <v>0</v>
          </cell>
          <cell r="CB146">
            <v>0</v>
          </cell>
          <cell r="CC146">
            <v>0</v>
          </cell>
          <cell r="CD146">
            <v>0</v>
          </cell>
        </row>
        <row r="147">
          <cell r="C147">
            <v>37718</v>
          </cell>
          <cell r="D147">
            <v>37756</v>
          </cell>
          <cell r="E147">
            <v>37753</v>
          </cell>
          <cell r="F147">
            <v>0.44791666666666669</v>
          </cell>
          <cell r="G147" t="str">
            <v>Serra Elétrica Circular</v>
          </cell>
          <cell r="H147" t="str">
            <v>Serra não liga</v>
          </cell>
          <cell r="I147" t="str">
            <v>Corretiva</v>
          </cell>
          <cell r="J147" t="str">
            <v>Sim</v>
          </cell>
          <cell r="K147" t="str">
            <v>Elétrica</v>
          </cell>
          <cell r="L147" t="str">
            <v>Foi realizada manutenção no motor por terceiros, pois o mesmo encontrava-se queimado</v>
          </cell>
          <cell r="M147" t="str">
            <v>Sobrecarga</v>
          </cell>
          <cell r="N147">
            <v>37753</v>
          </cell>
          <cell r="O147">
            <v>0.47916666666666669</v>
          </cell>
          <cell r="P147">
            <v>37753</v>
          </cell>
          <cell r="Q147">
            <v>0.5625</v>
          </cell>
          <cell r="R147">
            <v>37754</v>
          </cell>
          <cell r="S147">
            <v>0.40972222222222227</v>
          </cell>
          <cell r="T147">
            <v>37754</v>
          </cell>
          <cell r="U147">
            <v>0.49305555555555558</v>
          </cell>
          <cell r="V147">
            <v>3.125E-2</v>
          </cell>
          <cell r="W147">
            <v>0.19791666666666663</v>
          </cell>
          <cell r="X147">
            <v>0.16666666666666663</v>
          </cell>
          <cell r="Y147" t="str">
            <v>Sobrecarga no motor</v>
          </cell>
          <cell r="AB147">
            <v>5</v>
          </cell>
          <cell r="AC147">
            <v>4</v>
          </cell>
          <cell r="AD147">
            <v>0</v>
          </cell>
          <cell r="BF147">
            <v>0</v>
          </cell>
          <cell r="BG147">
            <v>0</v>
          </cell>
          <cell r="BH147">
            <v>0</v>
          </cell>
          <cell r="BI147">
            <v>0</v>
          </cell>
          <cell r="BJ147">
            <v>0</v>
          </cell>
          <cell r="BK147">
            <v>0</v>
          </cell>
          <cell r="BL147">
            <v>0</v>
          </cell>
          <cell r="BM147">
            <v>0</v>
          </cell>
          <cell r="BN147">
            <v>0</v>
          </cell>
          <cell r="BO147">
            <v>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5</v>
          </cell>
        </row>
        <row r="148">
          <cell r="C148">
            <v>37718</v>
          </cell>
          <cell r="D148">
            <v>37756</v>
          </cell>
          <cell r="E148">
            <v>37753</v>
          </cell>
          <cell r="F148">
            <v>0.70833333333333337</v>
          </cell>
          <cell r="G148" t="str">
            <v>Perfiladora Zikeli</v>
          </cell>
          <cell r="H148" t="str">
            <v>Desligamento na chave geral</v>
          </cell>
          <cell r="I148" t="str">
            <v>Corretiva</v>
          </cell>
          <cell r="J148" t="str">
            <v>Sim</v>
          </cell>
          <cell r="K148" t="str">
            <v>Elétrica</v>
          </cell>
          <cell r="L148" t="str">
            <v>Reparo</v>
          </cell>
          <cell r="M148" t="str">
            <v>Sobrecarga</v>
          </cell>
          <cell r="N148">
            <v>37754</v>
          </cell>
          <cell r="O148">
            <v>0.36805555555555558</v>
          </cell>
          <cell r="P148">
            <v>37754</v>
          </cell>
          <cell r="Q148">
            <v>0.36805555555555558</v>
          </cell>
          <cell r="T148">
            <v>37754</v>
          </cell>
          <cell r="U148">
            <v>0.3888888888888889</v>
          </cell>
          <cell r="V148">
            <v>37754</v>
          </cell>
          <cell r="W148">
            <v>0.3888888888888889</v>
          </cell>
          <cell r="X148">
            <v>2.0833333333333315E-2</v>
          </cell>
          <cell r="Y148">
            <v>2.0833333334950188E-2</v>
          </cell>
          <cell r="AB148">
            <v>5</v>
          </cell>
          <cell r="AC148">
            <v>4</v>
          </cell>
          <cell r="AD148">
            <v>0</v>
          </cell>
          <cell r="BF148">
            <v>0</v>
          </cell>
          <cell r="BG148">
            <v>0</v>
          </cell>
          <cell r="BH148">
            <v>0</v>
          </cell>
          <cell r="BI148">
            <v>0</v>
          </cell>
          <cell r="BJ148">
            <v>0</v>
          </cell>
          <cell r="BK148">
            <v>0</v>
          </cell>
          <cell r="BL148">
            <v>0</v>
          </cell>
          <cell r="BM148">
            <v>0</v>
          </cell>
          <cell r="BN148">
            <v>0</v>
          </cell>
          <cell r="BO148">
            <v>0</v>
          </cell>
          <cell r="BP148">
            <v>0</v>
          </cell>
          <cell r="BQ148">
            <v>0</v>
          </cell>
          <cell r="BR148">
            <v>0</v>
          </cell>
          <cell r="BS148">
            <v>0</v>
          </cell>
          <cell r="BT148">
            <v>0</v>
          </cell>
          <cell r="BU148">
            <v>0</v>
          </cell>
          <cell r="BV148">
            <v>0</v>
          </cell>
          <cell r="BW148">
            <v>5</v>
          </cell>
          <cell r="BX148">
            <v>0</v>
          </cell>
          <cell r="BY148">
            <v>0</v>
          </cell>
          <cell r="BZ148">
            <v>0</v>
          </cell>
          <cell r="CA148">
            <v>0</v>
          </cell>
          <cell r="CB148">
            <v>0</v>
          </cell>
          <cell r="CC148">
            <v>0</v>
          </cell>
          <cell r="CD148">
            <v>0</v>
          </cell>
        </row>
        <row r="149">
          <cell r="C149">
            <v>37718</v>
          </cell>
          <cell r="D149">
            <v>37762</v>
          </cell>
          <cell r="E149">
            <v>37761</v>
          </cell>
          <cell r="F149">
            <v>0.375</v>
          </cell>
          <cell r="G149" t="str">
            <v>Perfiladora Zikeli</v>
          </cell>
          <cell r="H149" t="str">
            <v>Impressora não liga</v>
          </cell>
          <cell r="I149" t="str">
            <v>Corretiva</v>
          </cell>
          <cell r="J149" t="str">
            <v>Sim</v>
          </cell>
          <cell r="K149" t="str">
            <v>Elétrica</v>
          </cell>
          <cell r="L149" t="str">
            <v>Foi verificada a tensão na tomada e religado estabilizador da impressora</v>
          </cell>
          <cell r="M149" t="str">
            <v>Sobrecarga</v>
          </cell>
          <cell r="N149">
            <v>37761</v>
          </cell>
          <cell r="O149">
            <v>0.41666666666666669</v>
          </cell>
          <cell r="P149">
            <v>37761</v>
          </cell>
          <cell r="Q149">
            <v>0.41666666666666669</v>
          </cell>
          <cell r="T149">
            <v>37761</v>
          </cell>
          <cell r="U149">
            <v>0.42708333333333331</v>
          </cell>
          <cell r="V149">
            <v>37761</v>
          </cell>
          <cell r="W149">
            <v>0.42708333333333331</v>
          </cell>
          <cell r="X149">
            <v>1.041666666666663E-2</v>
          </cell>
          <cell r="Y149">
            <v>1.0416666669091967E-2</v>
          </cell>
          <cell r="AB149">
            <v>5</v>
          </cell>
          <cell r="AC149">
            <v>4</v>
          </cell>
          <cell r="AD149">
            <v>0</v>
          </cell>
          <cell r="BF149">
            <v>0</v>
          </cell>
          <cell r="BG149">
            <v>0</v>
          </cell>
          <cell r="BH149">
            <v>0</v>
          </cell>
          <cell r="BI149">
            <v>0</v>
          </cell>
          <cell r="BJ149">
            <v>0</v>
          </cell>
          <cell r="BK149">
            <v>0</v>
          </cell>
          <cell r="BL149">
            <v>0</v>
          </cell>
          <cell r="BM149">
            <v>0</v>
          </cell>
          <cell r="BN149">
            <v>0</v>
          </cell>
          <cell r="BO149">
            <v>0</v>
          </cell>
          <cell r="BP149">
            <v>0</v>
          </cell>
          <cell r="BQ149">
            <v>0</v>
          </cell>
          <cell r="BR149">
            <v>0</v>
          </cell>
          <cell r="BS149">
            <v>0</v>
          </cell>
          <cell r="BT149">
            <v>0</v>
          </cell>
          <cell r="BU149">
            <v>0</v>
          </cell>
          <cell r="BV149">
            <v>0</v>
          </cell>
          <cell r="BW149">
            <v>5</v>
          </cell>
          <cell r="BX149">
            <v>0</v>
          </cell>
          <cell r="BY149">
            <v>0</v>
          </cell>
          <cell r="BZ149">
            <v>0</v>
          </cell>
          <cell r="CA149">
            <v>0</v>
          </cell>
          <cell r="CB149">
            <v>0</v>
          </cell>
          <cell r="CC149">
            <v>0</v>
          </cell>
          <cell r="CD149">
            <v>0</v>
          </cell>
        </row>
        <row r="150">
          <cell r="C150">
            <v>37718</v>
          </cell>
          <cell r="D150">
            <v>37762</v>
          </cell>
          <cell r="E150">
            <v>37761</v>
          </cell>
          <cell r="F150">
            <v>0.72916666666666663</v>
          </cell>
          <cell r="G150" t="str">
            <v>Perfiladora Zikeli</v>
          </cell>
          <cell r="H150" t="str">
            <v>Parafuso de aperto hidráulico do desbobinador quebrado</v>
          </cell>
          <cell r="I150" t="str">
            <v>Corretiva</v>
          </cell>
          <cell r="J150" t="str">
            <v>Não</v>
          </cell>
          <cell r="K150" t="str">
            <v>Mecânica</v>
          </cell>
          <cell r="L150" t="str">
            <v>Reparo</v>
          </cell>
          <cell r="M150" t="str">
            <v>Defeito de Fabricação</v>
          </cell>
          <cell r="N150">
            <v>37762</v>
          </cell>
          <cell r="O150">
            <v>0.33333333333333331</v>
          </cell>
          <cell r="P150">
            <v>37762</v>
          </cell>
          <cell r="Q150">
            <v>0.33333333333333331</v>
          </cell>
          <cell r="T150">
            <v>37762</v>
          </cell>
          <cell r="U150">
            <v>0.375</v>
          </cell>
          <cell r="V150">
            <v>37762</v>
          </cell>
          <cell r="W150">
            <v>0.375</v>
          </cell>
          <cell r="X150">
            <v>4.1666666666666685E-2</v>
          </cell>
          <cell r="Y150">
            <v>4.1666666666666685E-2</v>
          </cell>
          <cell r="AB150">
            <v>5</v>
          </cell>
          <cell r="AC150">
            <v>4</v>
          </cell>
          <cell r="AD150">
            <v>0</v>
          </cell>
          <cell r="BF150">
            <v>0</v>
          </cell>
          <cell r="BG150">
            <v>0</v>
          </cell>
          <cell r="BH150">
            <v>0</v>
          </cell>
          <cell r="BI150">
            <v>0</v>
          </cell>
          <cell r="BJ150">
            <v>0</v>
          </cell>
          <cell r="BK150">
            <v>0</v>
          </cell>
          <cell r="BL150">
            <v>0</v>
          </cell>
          <cell r="BM150">
            <v>0</v>
          </cell>
          <cell r="BN150">
            <v>0</v>
          </cell>
          <cell r="BO150">
            <v>0</v>
          </cell>
          <cell r="BP150">
            <v>0</v>
          </cell>
          <cell r="BQ150">
            <v>0</v>
          </cell>
          <cell r="BR150">
            <v>0</v>
          </cell>
          <cell r="BS150">
            <v>0</v>
          </cell>
          <cell r="BT150">
            <v>0</v>
          </cell>
          <cell r="BU150">
            <v>0</v>
          </cell>
          <cell r="BV150">
            <v>0</v>
          </cell>
          <cell r="BW150">
            <v>5</v>
          </cell>
          <cell r="BX150">
            <v>0</v>
          </cell>
          <cell r="BY150">
            <v>0</v>
          </cell>
          <cell r="BZ150">
            <v>0</v>
          </cell>
          <cell r="CA150">
            <v>0</v>
          </cell>
          <cell r="CB150">
            <v>0</v>
          </cell>
          <cell r="CC150">
            <v>0</v>
          </cell>
          <cell r="CD150">
            <v>0</v>
          </cell>
        </row>
        <row r="151">
          <cell r="C151">
            <v>37718</v>
          </cell>
          <cell r="D151">
            <v>37769</v>
          </cell>
          <cell r="E151">
            <v>37767</v>
          </cell>
          <cell r="F151">
            <v>0.57499999999999996</v>
          </cell>
          <cell r="G151" t="str">
            <v>Perfiladora Zikeli</v>
          </cell>
          <cell r="H151" t="str">
            <v>Máquina trabalhando em sentido inverso ao especificado. Perfiladora parada.</v>
          </cell>
          <cell r="I151" t="str">
            <v>Corretiva</v>
          </cell>
          <cell r="J151" t="str">
            <v>Sim</v>
          </cell>
          <cell r="K151" t="str">
            <v>Elétrica</v>
          </cell>
          <cell r="L151" t="str">
            <v>Ajuste / Regulagem</v>
          </cell>
          <cell r="M151" t="str">
            <v>Falha Operacional</v>
          </cell>
          <cell r="N151">
            <v>37767</v>
          </cell>
          <cell r="O151">
            <v>0.65277777777777779</v>
          </cell>
          <cell r="P151">
            <v>37767</v>
          </cell>
          <cell r="Q151">
            <v>0.65277777777777779</v>
          </cell>
          <cell r="T151">
            <v>37767</v>
          </cell>
          <cell r="U151">
            <v>0.6875</v>
          </cell>
          <cell r="V151">
            <v>37767</v>
          </cell>
          <cell r="W151">
            <v>0.6875</v>
          </cell>
          <cell r="X151">
            <v>3.472222222222221E-2</v>
          </cell>
          <cell r="Y151">
            <v>3.472222222222221E-2</v>
          </cell>
          <cell r="AB151">
            <v>5</v>
          </cell>
          <cell r="AC151">
            <v>4</v>
          </cell>
          <cell r="AD151">
            <v>0</v>
          </cell>
          <cell r="BF151">
            <v>0</v>
          </cell>
          <cell r="BG151">
            <v>0</v>
          </cell>
          <cell r="BH151">
            <v>0</v>
          </cell>
          <cell r="BI151">
            <v>0</v>
          </cell>
          <cell r="BJ151">
            <v>0</v>
          </cell>
          <cell r="BK151">
            <v>0</v>
          </cell>
          <cell r="BL151">
            <v>0</v>
          </cell>
          <cell r="BM151">
            <v>0</v>
          </cell>
          <cell r="BN151">
            <v>0</v>
          </cell>
          <cell r="BO151">
            <v>0</v>
          </cell>
          <cell r="BP151">
            <v>0</v>
          </cell>
          <cell r="BQ151">
            <v>0</v>
          </cell>
          <cell r="BR151">
            <v>0</v>
          </cell>
          <cell r="BS151">
            <v>0</v>
          </cell>
          <cell r="BT151">
            <v>0</v>
          </cell>
          <cell r="BU151">
            <v>0</v>
          </cell>
          <cell r="BV151">
            <v>0</v>
          </cell>
          <cell r="BW151">
            <v>5</v>
          </cell>
          <cell r="BX151">
            <v>0</v>
          </cell>
          <cell r="BY151">
            <v>0</v>
          </cell>
          <cell r="BZ151">
            <v>0</v>
          </cell>
          <cell r="CA151">
            <v>0</v>
          </cell>
          <cell r="CB151">
            <v>0</v>
          </cell>
          <cell r="CC151">
            <v>0</v>
          </cell>
          <cell r="CD151">
            <v>0</v>
          </cell>
        </row>
        <row r="152">
          <cell r="C152">
            <v>37718</v>
          </cell>
          <cell r="D152">
            <v>37776</v>
          </cell>
          <cell r="E152">
            <v>37770</v>
          </cell>
          <cell r="F152">
            <v>0.50069444444444444</v>
          </cell>
          <cell r="G152" t="str">
            <v>Perfiladora Zikeli</v>
          </cell>
          <cell r="H152" t="str">
            <v>Alguns parafusos de fixação do braço do desbobinador estão duros e outros espanados</v>
          </cell>
          <cell r="I152" t="str">
            <v>Corretiva</v>
          </cell>
          <cell r="J152" t="str">
            <v>Não</v>
          </cell>
          <cell r="K152" t="str">
            <v>Mecânica</v>
          </cell>
          <cell r="L152" t="str">
            <v>Reparo</v>
          </cell>
          <cell r="M152" t="str">
            <v>Desgaste / Fadiga</v>
          </cell>
          <cell r="N152">
            <v>37770</v>
          </cell>
          <cell r="O152">
            <v>0.62152777777777779</v>
          </cell>
          <cell r="P152">
            <v>37770</v>
          </cell>
          <cell r="Q152">
            <v>0.62152777777777779</v>
          </cell>
          <cell r="T152">
            <v>37770</v>
          </cell>
          <cell r="U152">
            <v>0.75</v>
          </cell>
          <cell r="V152">
            <v>37770</v>
          </cell>
          <cell r="W152">
            <v>0.75</v>
          </cell>
          <cell r="X152">
            <v>0.12847222222222221</v>
          </cell>
          <cell r="Y152">
            <v>0.12847222222222221</v>
          </cell>
          <cell r="AB152">
            <v>5</v>
          </cell>
          <cell r="AC152">
            <v>4</v>
          </cell>
          <cell r="AD152">
            <v>0</v>
          </cell>
          <cell r="BF152">
            <v>0</v>
          </cell>
          <cell r="BG152">
            <v>0</v>
          </cell>
          <cell r="BH152">
            <v>0</v>
          </cell>
          <cell r="BI152">
            <v>0</v>
          </cell>
          <cell r="BJ152">
            <v>0</v>
          </cell>
          <cell r="BK152">
            <v>0</v>
          </cell>
          <cell r="BL152">
            <v>0</v>
          </cell>
          <cell r="BM152">
            <v>0</v>
          </cell>
          <cell r="BN152">
            <v>0</v>
          </cell>
          <cell r="BO152">
            <v>0</v>
          </cell>
          <cell r="BP152">
            <v>0</v>
          </cell>
          <cell r="BQ152">
            <v>0</v>
          </cell>
          <cell r="BR152">
            <v>0</v>
          </cell>
          <cell r="BS152">
            <v>0</v>
          </cell>
          <cell r="BT152">
            <v>0</v>
          </cell>
          <cell r="BU152">
            <v>0</v>
          </cell>
          <cell r="BV152">
            <v>0</v>
          </cell>
          <cell r="BW152">
            <v>5</v>
          </cell>
          <cell r="BX152">
            <v>0</v>
          </cell>
          <cell r="BY152">
            <v>0</v>
          </cell>
          <cell r="BZ152">
            <v>0</v>
          </cell>
          <cell r="CA152">
            <v>0</v>
          </cell>
          <cell r="CB152">
            <v>0</v>
          </cell>
          <cell r="CC152">
            <v>0</v>
          </cell>
          <cell r="CD152">
            <v>0</v>
          </cell>
        </row>
        <row r="153">
          <cell r="C153">
            <v>37718</v>
          </cell>
          <cell r="D153">
            <v>37806</v>
          </cell>
          <cell r="E153">
            <v>37802</v>
          </cell>
          <cell r="F153">
            <v>0.625</v>
          </cell>
          <cell r="G153" t="str">
            <v>Perfiladora Zikeli</v>
          </cell>
          <cell r="H153" t="str">
            <v>Vazamento de Ar no Manômetro</v>
          </cell>
          <cell r="I153" t="str">
            <v>Corretiva</v>
          </cell>
          <cell r="J153" t="str">
            <v>Não</v>
          </cell>
          <cell r="K153" t="str">
            <v>Mecânica</v>
          </cell>
          <cell r="L153" t="str">
            <v>Substituição do(s) Componente(s)</v>
          </cell>
          <cell r="M153" t="str">
            <v>Falha Operacional</v>
          </cell>
          <cell r="N153">
            <v>37802</v>
          </cell>
          <cell r="O153">
            <v>0.6875</v>
          </cell>
          <cell r="P153">
            <v>37802</v>
          </cell>
          <cell r="Q153">
            <v>0.6875</v>
          </cell>
          <cell r="T153">
            <v>37802</v>
          </cell>
          <cell r="U153">
            <v>0.75</v>
          </cell>
          <cell r="V153">
            <v>37802</v>
          </cell>
          <cell r="W153">
            <v>0.75</v>
          </cell>
          <cell r="X153">
            <v>6.25E-2</v>
          </cell>
          <cell r="Y153">
            <v>6.25E-2</v>
          </cell>
          <cell r="AB153">
            <v>6</v>
          </cell>
          <cell r="AC153">
            <v>4</v>
          </cell>
          <cell r="AD153">
            <v>0</v>
          </cell>
          <cell r="BF153">
            <v>0</v>
          </cell>
          <cell r="BG153">
            <v>0</v>
          </cell>
          <cell r="BH153">
            <v>0</v>
          </cell>
          <cell r="BI153">
            <v>0</v>
          </cell>
          <cell r="BJ153">
            <v>0</v>
          </cell>
          <cell r="BK153">
            <v>0</v>
          </cell>
          <cell r="BL153">
            <v>0</v>
          </cell>
          <cell r="BM153">
            <v>0</v>
          </cell>
          <cell r="BN153">
            <v>0</v>
          </cell>
          <cell r="BO153">
            <v>0</v>
          </cell>
          <cell r="BP153">
            <v>0</v>
          </cell>
          <cell r="BQ153">
            <v>0</v>
          </cell>
          <cell r="BR153">
            <v>0</v>
          </cell>
          <cell r="BS153">
            <v>0</v>
          </cell>
          <cell r="BT153">
            <v>0</v>
          </cell>
          <cell r="BU153">
            <v>0</v>
          </cell>
          <cell r="BV153">
            <v>0</v>
          </cell>
          <cell r="BW153">
            <v>6</v>
          </cell>
          <cell r="BX153">
            <v>0</v>
          </cell>
          <cell r="BY153">
            <v>0</v>
          </cell>
          <cell r="BZ153">
            <v>0</v>
          </cell>
          <cell r="CA153">
            <v>0</v>
          </cell>
          <cell r="CB153">
            <v>0</v>
          </cell>
          <cell r="CC153">
            <v>0</v>
          </cell>
          <cell r="CD153">
            <v>0</v>
          </cell>
        </row>
        <row r="154">
          <cell r="C154">
            <v>37718</v>
          </cell>
          <cell r="D154">
            <v>37900</v>
          </cell>
          <cell r="E154">
            <v>37867</v>
          </cell>
          <cell r="F154">
            <v>0.64583333333333337</v>
          </cell>
          <cell r="G154" t="str">
            <v>Perfiladora Fagor Largueros</v>
          </cell>
          <cell r="H154" t="str">
            <v>Guia da Chapa Quebrada</v>
          </cell>
          <cell r="I154" t="str">
            <v>Corretiva</v>
          </cell>
          <cell r="J154" t="str">
            <v>Não</v>
          </cell>
          <cell r="K154" t="str">
            <v>Mecânica</v>
          </cell>
          <cell r="L154" t="str">
            <v>Reparo</v>
          </cell>
          <cell r="M154" t="str">
            <v>Falha de Comando / Sistema</v>
          </cell>
          <cell r="N154">
            <v>37867</v>
          </cell>
          <cell r="O154">
            <v>0.66666666666666663</v>
          </cell>
          <cell r="P154">
            <v>37867</v>
          </cell>
          <cell r="Q154">
            <v>0.66666666666666663</v>
          </cell>
          <cell r="T154">
            <v>37867</v>
          </cell>
          <cell r="U154">
            <v>0.97916666666666663</v>
          </cell>
          <cell r="V154">
            <v>37867</v>
          </cell>
          <cell r="W154">
            <v>0.97916666666666663</v>
          </cell>
          <cell r="X154">
            <v>0.31249999999757472</v>
          </cell>
          <cell r="Y154">
            <v>0.31249999999757472</v>
          </cell>
          <cell r="AB154">
            <v>9</v>
          </cell>
          <cell r="AC154">
            <v>4</v>
          </cell>
          <cell r="AD154">
            <v>0</v>
          </cell>
          <cell r="BF154">
            <v>0</v>
          </cell>
          <cell r="BG154">
            <v>0</v>
          </cell>
          <cell r="BH154">
            <v>0</v>
          </cell>
          <cell r="BI154">
            <v>0</v>
          </cell>
          <cell r="BJ154">
            <v>0</v>
          </cell>
          <cell r="BK154">
            <v>0</v>
          </cell>
          <cell r="BL154">
            <v>0</v>
          </cell>
          <cell r="BM154">
            <v>0</v>
          </cell>
          <cell r="BN154">
            <v>0</v>
          </cell>
          <cell r="BO154">
            <v>0</v>
          </cell>
          <cell r="BP154">
            <v>0</v>
          </cell>
          <cell r="BQ154">
            <v>0</v>
          </cell>
          <cell r="BR154">
            <v>0</v>
          </cell>
          <cell r="BS154">
            <v>0</v>
          </cell>
          <cell r="BT154">
            <v>9</v>
          </cell>
          <cell r="BU154">
            <v>0</v>
          </cell>
          <cell r="BV154">
            <v>0</v>
          </cell>
          <cell r="BW154">
            <v>0</v>
          </cell>
          <cell r="BX154">
            <v>0</v>
          </cell>
          <cell r="BY154">
            <v>0</v>
          </cell>
          <cell r="BZ154">
            <v>0</v>
          </cell>
          <cell r="CA154">
            <v>0</v>
          </cell>
          <cell r="CB154">
            <v>0</v>
          </cell>
          <cell r="CC154">
            <v>0</v>
          </cell>
          <cell r="CD154">
            <v>0</v>
          </cell>
        </row>
        <row r="155">
          <cell r="C155">
            <v>37718</v>
          </cell>
          <cell r="D155">
            <v>37900</v>
          </cell>
          <cell r="E155">
            <v>37873</v>
          </cell>
          <cell r="F155">
            <v>0.47222222222222227</v>
          </cell>
          <cell r="G155" t="str">
            <v>Perfiladora Zikeli</v>
          </cell>
          <cell r="H155" t="str">
            <v>Vibração no Encoder</v>
          </cell>
          <cell r="I155" t="str">
            <v>Corretiva</v>
          </cell>
          <cell r="J155" t="str">
            <v>Não</v>
          </cell>
          <cell r="K155" t="str">
            <v>Mecânica</v>
          </cell>
          <cell r="L155" t="str">
            <v>Reparo</v>
          </cell>
          <cell r="M155" t="str">
            <v>Defeito de Fabricação</v>
          </cell>
          <cell r="N155">
            <v>37873</v>
          </cell>
          <cell r="O155">
            <v>0.47222222222222227</v>
          </cell>
          <cell r="P155">
            <v>37873</v>
          </cell>
          <cell r="Q155">
            <v>0.4861111111111111</v>
          </cell>
          <cell r="R155">
            <v>37876</v>
          </cell>
          <cell r="S155">
            <v>0.94791666666666663</v>
          </cell>
          <cell r="T155">
            <v>37876</v>
          </cell>
          <cell r="U155">
            <v>0.98958333333333337</v>
          </cell>
          <cell r="V155">
            <v>0</v>
          </cell>
          <cell r="W155">
            <v>5.555555555555558E-2</v>
          </cell>
          <cell r="X155">
            <v>5.555555555555558E-2</v>
          </cell>
          <cell r="Y155">
            <v>5.555555555555558E-2</v>
          </cell>
          <cell r="AB155">
            <v>9</v>
          </cell>
          <cell r="AC155">
            <v>4</v>
          </cell>
          <cell r="AD155">
            <v>0</v>
          </cell>
          <cell r="BF155">
            <v>0</v>
          </cell>
          <cell r="BG155">
            <v>0</v>
          </cell>
          <cell r="BH155">
            <v>0</v>
          </cell>
          <cell r="BI155">
            <v>0</v>
          </cell>
          <cell r="BJ155">
            <v>0</v>
          </cell>
          <cell r="BK155">
            <v>0</v>
          </cell>
          <cell r="BL155">
            <v>0</v>
          </cell>
          <cell r="BM155">
            <v>0</v>
          </cell>
          <cell r="BN155">
            <v>0</v>
          </cell>
          <cell r="BO155">
            <v>0</v>
          </cell>
          <cell r="BP155">
            <v>0</v>
          </cell>
          <cell r="BQ155">
            <v>0</v>
          </cell>
          <cell r="BR155">
            <v>0</v>
          </cell>
          <cell r="BS155">
            <v>0</v>
          </cell>
          <cell r="BT155">
            <v>0</v>
          </cell>
          <cell r="BU155">
            <v>0</v>
          </cell>
          <cell r="BV155">
            <v>0</v>
          </cell>
          <cell r="BW155">
            <v>9</v>
          </cell>
          <cell r="BX155">
            <v>0</v>
          </cell>
          <cell r="BY155">
            <v>0</v>
          </cell>
          <cell r="BZ155">
            <v>0</v>
          </cell>
          <cell r="CA155">
            <v>0</v>
          </cell>
          <cell r="CB155">
            <v>0</v>
          </cell>
          <cell r="CC155">
            <v>0</v>
          </cell>
          <cell r="CD155">
            <v>0</v>
          </cell>
        </row>
        <row r="156">
          <cell r="C156">
            <v>37718</v>
          </cell>
          <cell r="D156">
            <v>37866</v>
          </cell>
          <cell r="E156">
            <v>37865</v>
          </cell>
          <cell r="F156">
            <v>0.43055555555555558</v>
          </cell>
          <cell r="G156" t="str">
            <v>Perfiladora Zikeli</v>
          </cell>
          <cell r="H156" t="str">
            <v>Falha no Desbobinador No. 01</v>
          </cell>
          <cell r="I156" t="str">
            <v>Corretiva</v>
          </cell>
          <cell r="J156" t="str">
            <v>Sim</v>
          </cell>
          <cell r="K156" t="str">
            <v>Elétrica</v>
          </cell>
          <cell r="L156" t="str">
            <v>Reinicialização do Equipamento / Componente</v>
          </cell>
          <cell r="M156" t="str">
            <v>Causa não especificada</v>
          </cell>
          <cell r="N156">
            <v>37865</v>
          </cell>
          <cell r="O156">
            <v>0.45833333333333331</v>
          </cell>
          <cell r="P156">
            <v>37865</v>
          </cell>
          <cell r="Q156">
            <v>0.45833333333333331</v>
          </cell>
          <cell r="T156">
            <v>37865</v>
          </cell>
          <cell r="U156">
            <v>0.46875</v>
          </cell>
          <cell r="V156">
            <v>37865</v>
          </cell>
          <cell r="W156">
            <v>0.46875</v>
          </cell>
          <cell r="X156">
            <v>1.0416666666666685E-2</v>
          </cell>
          <cell r="Y156">
            <v>1.0416666666666685E-2</v>
          </cell>
          <cell r="AB156">
            <v>9</v>
          </cell>
          <cell r="AC156">
            <v>4</v>
          </cell>
          <cell r="AD156">
            <v>0</v>
          </cell>
          <cell r="BF156">
            <v>0</v>
          </cell>
          <cell r="BG156">
            <v>0</v>
          </cell>
          <cell r="BH156">
            <v>0</v>
          </cell>
          <cell r="BI156">
            <v>0</v>
          </cell>
          <cell r="BJ156">
            <v>0</v>
          </cell>
          <cell r="BK156">
            <v>0</v>
          </cell>
          <cell r="BL156">
            <v>0</v>
          </cell>
          <cell r="BM156">
            <v>0</v>
          </cell>
          <cell r="BN156">
            <v>0</v>
          </cell>
          <cell r="BO156">
            <v>0</v>
          </cell>
          <cell r="BP156">
            <v>0</v>
          </cell>
          <cell r="BQ156">
            <v>0</v>
          </cell>
          <cell r="BR156">
            <v>0</v>
          </cell>
          <cell r="BS156">
            <v>0</v>
          </cell>
          <cell r="BT156">
            <v>0</v>
          </cell>
          <cell r="BU156">
            <v>0</v>
          </cell>
          <cell r="BV156">
            <v>0</v>
          </cell>
          <cell r="BW156">
            <v>9</v>
          </cell>
          <cell r="BX156">
            <v>0</v>
          </cell>
          <cell r="BY156">
            <v>0</v>
          </cell>
          <cell r="BZ156">
            <v>0</v>
          </cell>
          <cell r="CA156">
            <v>0</v>
          </cell>
          <cell r="CB156">
            <v>0</v>
          </cell>
          <cell r="CC156">
            <v>0</v>
          </cell>
          <cell r="CD156">
            <v>0</v>
          </cell>
        </row>
        <row r="157">
          <cell r="C157">
            <v>37747</v>
          </cell>
          <cell r="D157">
            <v>37756</v>
          </cell>
          <cell r="E157">
            <v>37746</v>
          </cell>
          <cell r="F157">
            <v>0.47916666666666669</v>
          </cell>
          <cell r="G157" t="str">
            <v>Linha de Pintura 15m</v>
          </cell>
          <cell r="H157" t="str">
            <v>Anomalia no elevador de descarga</v>
          </cell>
          <cell r="I157" t="str">
            <v>Corretiva</v>
          </cell>
          <cell r="J157" t="str">
            <v>Sim</v>
          </cell>
          <cell r="K157" t="str">
            <v>Elétrica</v>
          </cell>
          <cell r="L157" t="str">
            <v>Verificação do painel de comando, regulagem no micro e sensor de altura do elevador II</v>
          </cell>
          <cell r="M157" t="str">
            <v>Vibração</v>
          </cell>
          <cell r="N157">
            <v>37746</v>
          </cell>
          <cell r="O157">
            <v>0.4826388888888889</v>
          </cell>
          <cell r="P157">
            <v>37746</v>
          </cell>
          <cell r="Q157">
            <v>0.4826388888888889</v>
          </cell>
          <cell r="T157">
            <v>37746</v>
          </cell>
          <cell r="U157">
            <v>0.52430555555555558</v>
          </cell>
          <cell r="V157">
            <v>37746</v>
          </cell>
          <cell r="W157">
            <v>0.52430555555555558</v>
          </cell>
          <cell r="X157">
            <v>4.1666666666666685E-2</v>
          </cell>
          <cell r="Y157">
            <v>4.1666666665858221E-2</v>
          </cell>
          <cell r="AB157">
            <v>5</v>
          </cell>
          <cell r="AC157">
            <v>5</v>
          </cell>
          <cell r="AD157">
            <v>0</v>
          </cell>
          <cell r="BF157">
            <v>0</v>
          </cell>
          <cell r="BG157">
            <v>0</v>
          </cell>
          <cell r="BH157">
            <v>0</v>
          </cell>
          <cell r="BI157">
            <v>0</v>
          </cell>
          <cell r="BJ157">
            <v>0</v>
          </cell>
          <cell r="BK157">
            <v>0</v>
          </cell>
          <cell r="BL157">
            <v>0</v>
          </cell>
          <cell r="BM157">
            <v>0</v>
          </cell>
          <cell r="BN157">
            <v>5</v>
          </cell>
          <cell r="BO157">
            <v>0</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row>
        <row r="158">
          <cell r="C158">
            <v>37747</v>
          </cell>
          <cell r="D158">
            <v>37756</v>
          </cell>
          <cell r="E158">
            <v>37753</v>
          </cell>
          <cell r="F158">
            <v>0.72916666666666663</v>
          </cell>
          <cell r="G158" t="str">
            <v>Linha de Pintura 15m</v>
          </cell>
          <cell r="H158" t="str">
            <v>Falha no detector do elevador 03</v>
          </cell>
          <cell r="I158" t="str">
            <v>Corretiva</v>
          </cell>
          <cell r="J158" t="str">
            <v>Sim</v>
          </cell>
          <cell r="K158" t="str">
            <v>Mecânica</v>
          </cell>
          <cell r="L158" t="str">
            <v>Regulagem do sensor do elevador 03</v>
          </cell>
          <cell r="M158" t="str">
            <v>Causa não especificada</v>
          </cell>
          <cell r="N158">
            <v>37754</v>
          </cell>
          <cell r="O158">
            <v>0.33333333333333331</v>
          </cell>
          <cell r="P158">
            <v>37754</v>
          </cell>
          <cell r="Q158">
            <v>0.33333333333333331</v>
          </cell>
          <cell r="T158">
            <v>37754</v>
          </cell>
          <cell r="U158">
            <v>0.3611111111111111</v>
          </cell>
          <cell r="V158">
            <v>37754</v>
          </cell>
          <cell r="W158">
            <v>0.3611111111111111</v>
          </cell>
          <cell r="X158">
            <v>2.777777777777779E-2</v>
          </cell>
          <cell r="Y158">
            <v>2.7777777776160917E-2</v>
          </cell>
          <cell r="AB158">
            <v>5</v>
          </cell>
          <cell r="AC158">
            <v>5</v>
          </cell>
          <cell r="AD158">
            <v>0</v>
          </cell>
          <cell r="BF158">
            <v>0</v>
          </cell>
          <cell r="BG158">
            <v>0</v>
          </cell>
          <cell r="BH158">
            <v>0</v>
          </cell>
          <cell r="BI158">
            <v>0</v>
          </cell>
          <cell r="BJ158">
            <v>0</v>
          </cell>
          <cell r="BK158">
            <v>0</v>
          </cell>
          <cell r="BL158">
            <v>0</v>
          </cell>
          <cell r="BM158">
            <v>0</v>
          </cell>
          <cell r="BN158">
            <v>5</v>
          </cell>
          <cell r="BO158">
            <v>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row>
        <row r="159">
          <cell r="C159">
            <v>37747</v>
          </cell>
          <cell r="D159">
            <v>37756</v>
          </cell>
          <cell r="E159">
            <v>37754</v>
          </cell>
          <cell r="F159">
            <v>0.41666666666666669</v>
          </cell>
          <cell r="G159" t="str">
            <v>Linha de Pintura 15m</v>
          </cell>
          <cell r="H159" t="str">
            <v>Exaustor não funciona</v>
          </cell>
          <cell r="I159" t="str">
            <v>Corretiva</v>
          </cell>
          <cell r="J159" t="str">
            <v>Sim</v>
          </cell>
          <cell r="K159" t="str">
            <v>Mecânica</v>
          </cell>
          <cell r="L159" t="str">
            <v>Nova furação e substituição do pulmão completo</v>
          </cell>
          <cell r="M159" t="str">
            <v>Defeito de Fabricação</v>
          </cell>
          <cell r="N159">
            <v>37754</v>
          </cell>
          <cell r="O159">
            <v>0.41666666666666669</v>
          </cell>
          <cell r="P159">
            <v>37754</v>
          </cell>
          <cell r="Q159">
            <v>0.4375</v>
          </cell>
          <cell r="R159">
            <v>37754</v>
          </cell>
          <cell r="S159">
            <v>0.57291666666666663</v>
          </cell>
          <cell r="T159">
            <v>37754</v>
          </cell>
          <cell r="U159">
            <v>0.75</v>
          </cell>
          <cell r="V159">
            <v>0</v>
          </cell>
          <cell r="W159">
            <v>0.19791666666666669</v>
          </cell>
          <cell r="X159">
            <v>0.19791666666666669</v>
          </cell>
          <cell r="Y159">
            <v>0.19791666666666669</v>
          </cell>
          <cell r="AB159">
            <v>5</v>
          </cell>
          <cell r="AC159">
            <v>5</v>
          </cell>
          <cell r="AD159">
            <v>0</v>
          </cell>
          <cell r="BF159">
            <v>0</v>
          </cell>
          <cell r="BG159">
            <v>0</v>
          </cell>
          <cell r="BH159">
            <v>0</v>
          </cell>
          <cell r="BI159">
            <v>0</v>
          </cell>
          <cell r="BJ159">
            <v>0</v>
          </cell>
          <cell r="BK159">
            <v>0</v>
          </cell>
          <cell r="BL159">
            <v>0</v>
          </cell>
          <cell r="BM159">
            <v>0</v>
          </cell>
          <cell r="BN159">
            <v>5</v>
          </cell>
          <cell r="BO159">
            <v>0</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row>
        <row r="160">
          <cell r="C160">
            <v>37747</v>
          </cell>
          <cell r="D160">
            <v>37803</v>
          </cell>
          <cell r="E160">
            <v>37788</v>
          </cell>
          <cell r="F160">
            <v>0.5</v>
          </cell>
          <cell r="G160" t="str">
            <v>Linha de Pintura 15m</v>
          </cell>
          <cell r="H160" t="str">
            <v>Anomalia na estufa de cura: Oscilação constante na temperatura</v>
          </cell>
          <cell r="I160" t="str">
            <v>Corretiva</v>
          </cell>
          <cell r="J160" t="str">
            <v>Não</v>
          </cell>
          <cell r="K160" t="str">
            <v>Elétrica</v>
          </cell>
          <cell r="L160" t="str">
            <v>Correção de mau contato</v>
          </cell>
          <cell r="M160" t="str">
            <v>Vibração</v>
          </cell>
          <cell r="N160">
            <v>37788</v>
          </cell>
          <cell r="O160">
            <v>0.5</v>
          </cell>
          <cell r="P160">
            <v>37788</v>
          </cell>
          <cell r="Q160">
            <v>0.5</v>
          </cell>
          <cell r="T160">
            <v>37788</v>
          </cell>
          <cell r="U160">
            <v>0.58333333333333337</v>
          </cell>
          <cell r="V160">
            <v>37788</v>
          </cell>
          <cell r="W160">
            <v>0.58333333333333337</v>
          </cell>
          <cell r="X160">
            <v>8.3333333335758653E-2</v>
          </cell>
          <cell r="Y160">
            <v>8.3333333335758653E-2</v>
          </cell>
          <cell r="AB160">
            <v>6</v>
          </cell>
          <cell r="AC160">
            <v>5</v>
          </cell>
          <cell r="AD160">
            <v>0</v>
          </cell>
          <cell r="BF160">
            <v>0</v>
          </cell>
          <cell r="BG160">
            <v>0</v>
          </cell>
          <cell r="BH160">
            <v>0</v>
          </cell>
          <cell r="BI160">
            <v>0</v>
          </cell>
          <cell r="BJ160">
            <v>0</v>
          </cell>
          <cell r="BK160">
            <v>0</v>
          </cell>
          <cell r="BL160">
            <v>0</v>
          </cell>
          <cell r="BM160">
            <v>0</v>
          </cell>
          <cell r="BN160">
            <v>6</v>
          </cell>
          <cell r="BO160">
            <v>0</v>
          </cell>
          <cell r="BP160">
            <v>0</v>
          </cell>
          <cell r="BQ160">
            <v>0</v>
          </cell>
          <cell r="BR160">
            <v>0</v>
          </cell>
          <cell r="BS160">
            <v>0</v>
          </cell>
          <cell r="BT160">
            <v>0</v>
          </cell>
          <cell r="BU160">
            <v>0</v>
          </cell>
          <cell r="BV160">
            <v>0</v>
          </cell>
          <cell r="BW160">
            <v>0</v>
          </cell>
          <cell r="BX160">
            <v>0</v>
          </cell>
          <cell r="BY160">
            <v>0</v>
          </cell>
          <cell r="BZ160">
            <v>0</v>
          </cell>
          <cell r="CA160">
            <v>0</v>
          </cell>
          <cell r="CB160">
            <v>0</v>
          </cell>
          <cell r="CC160">
            <v>0</v>
          </cell>
          <cell r="CD160">
            <v>0</v>
          </cell>
        </row>
        <row r="161">
          <cell r="C161">
            <v>37747</v>
          </cell>
          <cell r="D161">
            <v>37756</v>
          </cell>
          <cell r="E161">
            <v>37755</v>
          </cell>
          <cell r="F161">
            <v>0.35416666666666669</v>
          </cell>
          <cell r="G161" t="str">
            <v>Linha de Pintura 15m</v>
          </cell>
          <cell r="H161" t="str">
            <v>Anomalia no elevador</v>
          </cell>
          <cell r="I161" t="str">
            <v>Corretiva</v>
          </cell>
          <cell r="J161" t="str">
            <v>Sim</v>
          </cell>
          <cell r="K161" t="str">
            <v>Elétrica</v>
          </cell>
          <cell r="L161" t="str">
            <v>Rearme do relé térmico, verificação da carga e alinhamento dos elevadores</v>
          </cell>
          <cell r="M161" t="str">
            <v>Sobrecarga</v>
          </cell>
          <cell r="N161">
            <v>37755</v>
          </cell>
          <cell r="O161">
            <v>0.35416666666666669</v>
          </cell>
          <cell r="P161">
            <v>37755</v>
          </cell>
          <cell r="Q161">
            <v>0.35416666666666669</v>
          </cell>
          <cell r="T161">
            <v>37755</v>
          </cell>
          <cell r="U161">
            <v>0.39583333333333331</v>
          </cell>
          <cell r="V161">
            <v>37755</v>
          </cell>
          <cell r="W161">
            <v>0.39583333333333331</v>
          </cell>
          <cell r="X161">
            <v>4.166666666666663E-2</v>
          </cell>
          <cell r="Y161">
            <v>4.1666666669091967E-2</v>
          </cell>
          <cell r="AB161">
            <v>5</v>
          </cell>
          <cell r="AC161">
            <v>5</v>
          </cell>
          <cell r="AD161">
            <v>0</v>
          </cell>
          <cell r="BF161">
            <v>0</v>
          </cell>
          <cell r="BG161">
            <v>0</v>
          </cell>
          <cell r="BH161">
            <v>0</v>
          </cell>
          <cell r="BI161">
            <v>0</v>
          </cell>
          <cell r="BJ161">
            <v>0</v>
          </cell>
          <cell r="BK161">
            <v>0</v>
          </cell>
          <cell r="BL161">
            <v>0</v>
          </cell>
          <cell r="BM161">
            <v>0</v>
          </cell>
          <cell r="BN161">
            <v>5</v>
          </cell>
          <cell r="BO161">
            <v>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row>
        <row r="162">
          <cell r="C162">
            <v>37747</v>
          </cell>
          <cell r="D162">
            <v>37763</v>
          </cell>
          <cell r="E162">
            <v>37755</v>
          </cell>
          <cell r="F162">
            <v>0.4375</v>
          </cell>
          <cell r="G162" t="str">
            <v>Equipamentos diversos</v>
          </cell>
          <cell r="H162" t="str">
            <v>Não há tração da fita</v>
          </cell>
          <cell r="I162" t="str">
            <v>Corretiva</v>
          </cell>
          <cell r="J162" t="str">
            <v>Não</v>
          </cell>
          <cell r="K162" t="str">
            <v>Mecânica</v>
          </cell>
          <cell r="L162" t="str">
            <v>Substituição do(s) Componente(s)</v>
          </cell>
          <cell r="M162" t="str">
            <v>Desgaste / Fadiga</v>
          </cell>
          <cell r="N162">
            <v>37755</v>
          </cell>
          <cell r="O162">
            <v>0.4375</v>
          </cell>
          <cell r="P162">
            <v>37755</v>
          </cell>
          <cell r="Q162">
            <v>0.75</v>
          </cell>
          <cell r="R162">
            <v>37762</v>
          </cell>
          <cell r="S162">
            <v>0.33333333333333331</v>
          </cell>
          <cell r="T162">
            <v>37762</v>
          </cell>
          <cell r="U162">
            <v>0.33333333333333331</v>
          </cell>
          <cell r="V162">
            <v>0</v>
          </cell>
          <cell r="W162">
            <v>0.3125</v>
          </cell>
          <cell r="X162">
            <v>0.3125</v>
          </cell>
          <cell r="Y162">
            <v>0.3125</v>
          </cell>
          <cell r="AB162">
            <v>5</v>
          </cell>
          <cell r="AC162">
            <v>5</v>
          </cell>
          <cell r="AD162">
            <v>0</v>
          </cell>
          <cell r="BF162">
            <v>0</v>
          </cell>
          <cell r="BG162">
            <v>0</v>
          </cell>
          <cell r="BH162">
            <v>0</v>
          </cell>
          <cell r="BI162">
            <v>0</v>
          </cell>
          <cell r="BJ162">
            <v>5</v>
          </cell>
          <cell r="BK162">
            <v>0</v>
          </cell>
          <cell r="BL162">
            <v>0</v>
          </cell>
          <cell r="BM162">
            <v>0</v>
          </cell>
          <cell r="BN162">
            <v>0</v>
          </cell>
          <cell r="BO162">
            <v>0</v>
          </cell>
          <cell r="BP162">
            <v>0</v>
          </cell>
          <cell r="BQ162">
            <v>0</v>
          </cell>
          <cell r="BR162">
            <v>0</v>
          </cell>
          <cell r="BS162">
            <v>0</v>
          </cell>
          <cell r="BT162">
            <v>0</v>
          </cell>
          <cell r="BU162">
            <v>0</v>
          </cell>
          <cell r="BV162">
            <v>0</v>
          </cell>
          <cell r="BW162">
            <v>0</v>
          </cell>
          <cell r="BX162">
            <v>0</v>
          </cell>
          <cell r="BY162">
            <v>0</v>
          </cell>
          <cell r="BZ162">
            <v>0</v>
          </cell>
          <cell r="CA162">
            <v>0</v>
          </cell>
          <cell r="CB162">
            <v>0</v>
          </cell>
          <cell r="CC162">
            <v>0</v>
          </cell>
          <cell r="CD162">
            <v>0</v>
          </cell>
        </row>
        <row r="163">
          <cell r="C163">
            <v>37747</v>
          </cell>
          <cell r="D163">
            <v>37762</v>
          </cell>
          <cell r="E163">
            <v>37757</v>
          </cell>
          <cell r="F163">
            <v>0.58333333333333337</v>
          </cell>
          <cell r="G163" t="str">
            <v>Linha de Pintura 15m</v>
          </cell>
          <cell r="H163" t="str">
            <v>Anomalia no elevador</v>
          </cell>
          <cell r="I163" t="str">
            <v>Corretiva</v>
          </cell>
          <cell r="J163" t="str">
            <v>Sim</v>
          </cell>
          <cell r="K163" t="str">
            <v>Elétrica</v>
          </cell>
          <cell r="L163" t="str">
            <v>Regulagem do micro do Elevador 03</v>
          </cell>
          <cell r="M163" t="str">
            <v>Falha de Regulagem / Configuração / Dimensionamento</v>
          </cell>
          <cell r="N163">
            <v>37757</v>
          </cell>
          <cell r="O163">
            <v>0.58333333333333337</v>
          </cell>
          <cell r="P163">
            <v>37757</v>
          </cell>
          <cell r="Q163">
            <v>0.58333333333333337</v>
          </cell>
          <cell r="T163">
            <v>37757</v>
          </cell>
          <cell r="U163">
            <v>0.61805555555555558</v>
          </cell>
          <cell r="V163">
            <v>37757</v>
          </cell>
          <cell r="W163">
            <v>0.61805555555555558</v>
          </cell>
          <cell r="X163">
            <v>3.472222222222221E-2</v>
          </cell>
          <cell r="Y163">
            <v>3.4722222221413745E-2</v>
          </cell>
          <cell r="AB163">
            <v>5</v>
          </cell>
          <cell r="AC163">
            <v>5</v>
          </cell>
          <cell r="AD163">
            <v>0</v>
          </cell>
          <cell r="BF163">
            <v>0</v>
          </cell>
          <cell r="BG163">
            <v>0</v>
          </cell>
          <cell r="BH163">
            <v>0</v>
          </cell>
          <cell r="BI163">
            <v>0</v>
          </cell>
          <cell r="BJ163">
            <v>0</v>
          </cell>
          <cell r="BK163">
            <v>0</v>
          </cell>
          <cell r="BL163">
            <v>0</v>
          </cell>
          <cell r="BM163">
            <v>0</v>
          </cell>
          <cell r="BN163">
            <v>5</v>
          </cell>
          <cell r="BO163">
            <v>0</v>
          </cell>
          <cell r="BP163">
            <v>0</v>
          </cell>
          <cell r="BQ163">
            <v>0</v>
          </cell>
          <cell r="BR163">
            <v>0</v>
          </cell>
          <cell r="BS163">
            <v>0</v>
          </cell>
          <cell r="BT163">
            <v>0</v>
          </cell>
          <cell r="BU163">
            <v>0</v>
          </cell>
          <cell r="BV163">
            <v>0</v>
          </cell>
          <cell r="BW163">
            <v>0</v>
          </cell>
          <cell r="BX163">
            <v>0</v>
          </cell>
          <cell r="BY163">
            <v>0</v>
          </cell>
          <cell r="BZ163">
            <v>0</v>
          </cell>
          <cell r="CA163">
            <v>0</v>
          </cell>
          <cell r="CB163">
            <v>0</v>
          </cell>
          <cell r="CC163">
            <v>0</v>
          </cell>
          <cell r="CD163">
            <v>0</v>
          </cell>
        </row>
        <row r="164">
          <cell r="C164">
            <v>37747</v>
          </cell>
          <cell r="D164">
            <v>37762</v>
          </cell>
          <cell r="E164">
            <v>37761</v>
          </cell>
          <cell r="F164">
            <v>0.63541666666666663</v>
          </cell>
          <cell r="G164" t="str">
            <v>Linha de Pintura 15m</v>
          </cell>
          <cell r="H164" t="str">
            <v>Anomalia no variador VI</v>
          </cell>
          <cell r="I164" t="str">
            <v>Corretiva</v>
          </cell>
          <cell r="J164" t="str">
            <v>Sim</v>
          </cell>
          <cell r="K164" t="str">
            <v>Mecânica</v>
          </cell>
          <cell r="L164" t="str">
            <v>Substituição do(s) Componente(s)</v>
          </cell>
          <cell r="M164" t="str">
            <v>Travamento de Componente</v>
          </cell>
          <cell r="N164">
            <v>37761</v>
          </cell>
          <cell r="O164">
            <v>0.63888888888888895</v>
          </cell>
          <cell r="P164">
            <v>37761</v>
          </cell>
          <cell r="Q164">
            <v>0.63888888888888895</v>
          </cell>
          <cell r="T164">
            <v>37761</v>
          </cell>
          <cell r="U164">
            <v>0.67361111111111116</v>
          </cell>
          <cell r="V164">
            <v>37761</v>
          </cell>
          <cell r="W164">
            <v>0.67361111111111116</v>
          </cell>
          <cell r="X164">
            <v>3.472222222222221E-2</v>
          </cell>
          <cell r="Y164">
            <v>3.4722222220605281E-2</v>
          </cell>
          <cell r="AB164">
            <v>5</v>
          </cell>
          <cell r="AC164">
            <v>5</v>
          </cell>
          <cell r="AD164">
            <v>0</v>
          </cell>
          <cell r="BF164">
            <v>0</v>
          </cell>
          <cell r="BG164">
            <v>0</v>
          </cell>
          <cell r="BH164">
            <v>0</v>
          </cell>
          <cell r="BI164">
            <v>0</v>
          </cell>
          <cell r="BJ164">
            <v>0</v>
          </cell>
          <cell r="BK164">
            <v>0</v>
          </cell>
          <cell r="BL164">
            <v>0</v>
          </cell>
          <cell r="BM164">
            <v>0</v>
          </cell>
          <cell r="BN164">
            <v>5</v>
          </cell>
          <cell r="BO164">
            <v>0</v>
          </cell>
          <cell r="BP164">
            <v>0</v>
          </cell>
          <cell r="BQ164">
            <v>0</v>
          </cell>
          <cell r="BR164">
            <v>0</v>
          </cell>
          <cell r="BS164">
            <v>0</v>
          </cell>
          <cell r="BT164">
            <v>0</v>
          </cell>
          <cell r="BU164">
            <v>0</v>
          </cell>
          <cell r="BV164">
            <v>0</v>
          </cell>
          <cell r="BW164">
            <v>0</v>
          </cell>
          <cell r="BX164">
            <v>0</v>
          </cell>
          <cell r="BY164">
            <v>0</v>
          </cell>
          <cell r="BZ164">
            <v>0</v>
          </cell>
          <cell r="CA164">
            <v>0</v>
          </cell>
          <cell r="CB164">
            <v>0</v>
          </cell>
          <cell r="CC164">
            <v>0</v>
          </cell>
          <cell r="CD164">
            <v>0</v>
          </cell>
        </row>
        <row r="165">
          <cell r="C165">
            <v>37747</v>
          </cell>
          <cell r="D165">
            <v>37767</v>
          </cell>
          <cell r="E165">
            <v>37763</v>
          </cell>
          <cell r="F165">
            <v>0.58333333333333337</v>
          </cell>
          <cell r="G165" t="str">
            <v>Linha de Pintura 15m</v>
          </cell>
          <cell r="H165" t="str">
            <v>Alça do tanque de fosfato quebrou-se</v>
          </cell>
          <cell r="I165" t="str">
            <v>Corretiva</v>
          </cell>
          <cell r="J165" t="str">
            <v>Não</v>
          </cell>
          <cell r="K165" t="str">
            <v>Mecânica</v>
          </cell>
          <cell r="L165" t="str">
            <v>Substituição do(s) Componente(s)</v>
          </cell>
          <cell r="M165" t="str">
            <v>Defeito de Fabricação</v>
          </cell>
          <cell r="N165">
            <v>37763</v>
          </cell>
          <cell r="O165">
            <v>0.66666666666666663</v>
          </cell>
          <cell r="P165">
            <v>37763</v>
          </cell>
          <cell r="Q165">
            <v>0.66666666666666663</v>
          </cell>
          <cell r="T165">
            <v>37763</v>
          </cell>
          <cell r="U165">
            <v>0.75</v>
          </cell>
          <cell r="V165">
            <v>37763</v>
          </cell>
          <cell r="W165">
            <v>0.75</v>
          </cell>
          <cell r="X165">
            <v>8.333333333333337E-2</v>
          </cell>
          <cell r="Y165">
            <v>8.333333333333337E-2</v>
          </cell>
          <cell r="AB165">
            <v>5</v>
          </cell>
          <cell r="AC165">
            <v>5</v>
          </cell>
          <cell r="AD165">
            <v>0</v>
          </cell>
          <cell r="BF165">
            <v>0</v>
          </cell>
          <cell r="BG165">
            <v>0</v>
          </cell>
          <cell r="BH165">
            <v>0</v>
          </cell>
          <cell r="BI165">
            <v>0</v>
          </cell>
          <cell r="BJ165">
            <v>0</v>
          </cell>
          <cell r="BK165">
            <v>0</v>
          </cell>
          <cell r="BL165">
            <v>0</v>
          </cell>
          <cell r="BM165">
            <v>0</v>
          </cell>
          <cell r="BN165">
            <v>5</v>
          </cell>
          <cell r="BO165">
            <v>0</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row>
        <row r="166">
          <cell r="C166">
            <v>37747</v>
          </cell>
          <cell r="D166">
            <v>37769</v>
          </cell>
          <cell r="E166">
            <v>37767</v>
          </cell>
          <cell r="F166">
            <v>0.4861111111111111</v>
          </cell>
          <cell r="G166" t="str">
            <v>Linha de Pintura 15m</v>
          </cell>
          <cell r="H166" t="str">
            <v>Vazamento de fosfato na lateral do tanque</v>
          </cell>
          <cell r="I166" t="str">
            <v>Corretiva</v>
          </cell>
          <cell r="J166" t="str">
            <v>Sim</v>
          </cell>
          <cell r="K166" t="str">
            <v>Mecânica</v>
          </cell>
          <cell r="L166" t="str">
            <v>Contenção do vazamento</v>
          </cell>
          <cell r="M166" t="str">
            <v>Falha de Montagem / Preparação</v>
          </cell>
          <cell r="N166">
            <v>37767</v>
          </cell>
          <cell r="O166">
            <v>0.5</v>
          </cell>
          <cell r="P166">
            <v>37767</v>
          </cell>
          <cell r="Q166">
            <v>0.5</v>
          </cell>
          <cell r="T166">
            <v>37767</v>
          </cell>
          <cell r="U166">
            <v>0.70833333333333337</v>
          </cell>
          <cell r="V166">
            <v>37767</v>
          </cell>
          <cell r="W166">
            <v>0.70833333333333337</v>
          </cell>
          <cell r="X166">
            <v>0.20833333333333337</v>
          </cell>
          <cell r="Y166">
            <v>0.20833333333575865</v>
          </cell>
          <cell r="AB166">
            <v>5</v>
          </cell>
          <cell r="AC166">
            <v>5</v>
          </cell>
          <cell r="AD166">
            <v>0</v>
          </cell>
          <cell r="BF166">
            <v>0</v>
          </cell>
          <cell r="BG166">
            <v>0</v>
          </cell>
          <cell r="BH166">
            <v>0</v>
          </cell>
          <cell r="BI166">
            <v>0</v>
          </cell>
          <cell r="BJ166">
            <v>0</v>
          </cell>
          <cell r="BK166">
            <v>0</v>
          </cell>
          <cell r="BL166">
            <v>0</v>
          </cell>
          <cell r="BM166">
            <v>0</v>
          </cell>
          <cell r="BN166">
            <v>5</v>
          </cell>
          <cell r="BO166">
            <v>0</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row>
        <row r="167">
          <cell r="C167">
            <v>37755</v>
          </cell>
          <cell r="I167">
            <v>0</v>
          </cell>
          <cell r="N167">
            <v>0</v>
          </cell>
          <cell r="P167">
            <v>0</v>
          </cell>
          <cell r="T167">
            <v>0</v>
          </cell>
          <cell r="V167">
            <v>0</v>
          </cell>
          <cell r="W167">
            <v>0</v>
          </cell>
          <cell r="X167">
            <v>0</v>
          </cell>
          <cell r="Y167">
            <v>0</v>
          </cell>
          <cell r="AB167">
            <v>0</v>
          </cell>
          <cell r="AC167">
            <v>5</v>
          </cell>
          <cell r="AD167">
            <v>0</v>
          </cell>
          <cell r="BF167">
            <v>0</v>
          </cell>
          <cell r="BG167">
            <v>0</v>
          </cell>
          <cell r="BH167">
            <v>0</v>
          </cell>
          <cell r="BI167">
            <v>0</v>
          </cell>
          <cell r="BJ167">
            <v>0</v>
          </cell>
          <cell r="BK167">
            <v>0</v>
          </cell>
          <cell r="BL167">
            <v>0</v>
          </cell>
          <cell r="BM167">
            <v>0</v>
          </cell>
          <cell r="BN167">
            <v>0</v>
          </cell>
          <cell r="BO167">
            <v>0</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row>
        <row r="168">
          <cell r="C168">
            <v>37755</v>
          </cell>
          <cell r="I168">
            <v>0</v>
          </cell>
          <cell r="N168">
            <v>0</v>
          </cell>
          <cell r="P168">
            <v>0</v>
          </cell>
          <cell r="T168">
            <v>0</v>
          </cell>
          <cell r="V168">
            <v>0</v>
          </cell>
          <cell r="W168">
            <v>0</v>
          </cell>
          <cell r="X168">
            <v>0</v>
          </cell>
          <cell r="Y168">
            <v>0</v>
          </cell>
          <cell r="AB168">
            <v>0</v>
          </cell>
          <cell r="AC168">
            <v>5</v>
          </cell>
          <cell r="AD168">
            <v>0</v>
          </cell>
          <cell r="BF168">
            <v>0</v>
          </cell>
          <cell r="BG168">
            <v>0</v>
          </cell>
          <cell r="BH168">
            <v>0</v>
          </cell>
          <cell r="BI168">
            <v>0</v>
          </cell>
          <cell r="BJ168">
            <v>0</v>
          </cell>
          <cell r="BK168">
            <v>0</v>
          </cell>
          <cell r="BL168">
            <v>0</v>
          </cell>
          <cell r="BM168">
            <v>0</v>
          </cell>
          <cell r="BN168">
            <v>0</v>
          </cell>
          <cell r="BO168">
            <v>0</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row>
        <row r="169">
          <cell r="C169">
            <v>37755</v>
          </cell>
          <cell r="I169">
            <v>0</v>
          </cell>
          <cell r="N169">
            <v>0</v>
          </cell>
          <cell r="P169">
            <v>0</v>
          </cell>
          <cell r="T169">
            <v>0</v>
          </cell>
          <cell r="V169">
            <v>0</v>
          </cell>
          <cell r="W169">
            <v>0</v>
          </cell>
          <cell r="X169">
            <v>0</v>
          </cell>
          <cell r="Y169">
            <v>0</v>
          </cell>
          <cell r="AB169">
            <v>0</v>
          </cell>
          <cell r="AC169">
            <v>5</v>
          </cell>
          <cell r="AD169">
            <v>0</v>
          </cell>
          <cell r="BF169">
            <v>0</v>
          </cell>
          <cell r="BG169">
            <v>0</v>
          </cell>
          <cell r="BH169">
            <v>0</v>
          </cell>
          <cell r="BI169">
            <v>0</v>
          </cell>
          <cell r="BJ169">
            <v>0</v>
          </cell>
          <cell r="BK169">
            <v>0</v>
          </cell>
          <cell r="BL169">
            <v>0</v>
          </cell>
          <cell r="BM169">
            <v>0</v>
          </cell>
          <cell r="BN169">
            <v>0</v>
          </cell>
          <cell r="BO169">
            <v>0</v>
          </cell>
          <cell r="BP169">
            <v>0</v>
          </cell>
          <cell r="BQ169">
            <v>0</v>
          </cell>
          <cell r="BR169">
            <v>0</v>
          </cell>
          <cell r="BS169">
            <v>0</v>
          </cell>
          <cell r="BT169">
            <v>0</v>
          </cell>
          <cell r="BU169">
            <v>0</v>
          </cell>
          <cell r="BV169">
            <v>0</v>
          </cell>
          <cell r="BW169">
            <v>0</v>
          </cell>
          <cell r="BX169">
            <v>0</v>
          </cell>
          <cell r="BY169">
            <v>0</v>
          </cell>
          <cell r="BZ169">
            <v>0</v>
          </cell>
          <cell r="CA169">
            <v>0</v>
          </cell>
          <cell r="CB169">
            <v>0</v>
          </cell>
          <cell r="CC169">
            <v>0</v>
          </cell>
          <cell r="CD169">
            <v>0</v>
          </cell>
        </row>
        <row r="170">
          <cell r="C170">
            <v>37755</v>
          </cell>
          <cell r="I170">
            <v>0</v>
          </cell>
          <cell r="N170">
            <v>0</v>
          </cell>
          <cell r="P170">
            <v>0</v>
          </cell>
          <cell r="T170">
            <v>0</v>
          </cell>
          <cell r="V170">
            <v>0</v>
          </cell>
          <cell r="W170">
            <v>0</v>
          </cell>
          <cell r="X170">
            <v>0</v>
          </cell>
          <cell r="Y170">
            <v>0</v>
          </cell>
          <cell r="AB170">
            <v>0</v>
          </cell>
          <cell r="AC170">
            <v>5</v>
          </cell>
          <cell r="AD170">
            <v>0</v>
          </cell>
          <cell r="BF170">
            <v>0</v>
          </cell>
          <cell r="BG170">
            <v>0</v>
          </cell>
          <cell r="BH170">
            <v>0</v>
          </cell>
          <cell r="BI170">
            <v>0</v>
          </cell>
          <cell r="BJ170">
            <v>0</v>
          </cell>
          <cell r="BK170">
            <v>0</v>
          </cell>
          <cell r="BL170">
            <v>0</v>
          </cell>
          <cell r="BM170">
            <v>0</v>
          </cell>
          <cell r="BN170">
            <v>0</v>
          </cell>
          <cell r="BO170">
            <v>0</v>
          </cell>
          <cell r="BP170">
            <v>0</v>
          </cell>
          <cell r="BQ170">
            <v>0</v>
          </cell>
          <cell r="BR170">
            <v>0</v>
          </cell>
          <cell r="BS170">
            <v>0</v>
          </cell>
          <cell r="BT170">
            <v>0</v>
          </cell>
          <cell r="BU170">
            <v>0</v>
          </cell>
          <cell r="BV170">
            <v>0</v>
          </cell>
          <cell r="BW170">
            <v>0</v>
          </cell>
          <cell r="BX170">
            <v>0</v>
          </cell>
          <cell r="BY170">
            <v>0</v>
          </cell>
          <cell r="BZ170">
            <v>0</v>
          </cell>
          <cell r="CA170">
            <v>0</v>
          </cell>
          <cell r="CB170">
            <v>0</v>
          </cell>
          <cell r="CC170">
            <v>0</v>
          </cell>
          <cell r="CD170">
            <v>0</v>
          </cell>
        </row>
        <row r="171">
          <cell r="C171">
            <v>37755</v>
          </cell>
          <cell r="I171">
            <v>0</v>
          </cell>
          <cell r="N171">
            <v>0</v>
          </cell>
          <cell r="P171">
            <v>0</v>
          </cell>
          <cell r="T171">
            <v>0</v>
          </cell>
          <cell r="V171">
            <v>0</v>
          </cell>
          <cell r="W171">
            <v>0</v>
          </cell>
          <cell r="X171">
            <v>0</v>
          </cell>
          <cell r="Y171">
            <v>0</v>
          </cell>
          <cell r="AB171">
            <v>0</v>
          </cell>
          <cell r="AC171">
            <v>5</v>
          </cell>
          <cell r="AD171">
            <v>0</v>
          </cell>
          <cell r="BF171">
            <v>0</v>
          </cell>
          <cell r="BG171">
            <v>0</v>
          </cell>
          <cell r="BH171">
            <v>0</v>
          </cell>
          <cell r="BI171">
            <v>0</v>
          </cell>
          <cell r="BJ171">
            <v>0</v>
          </cell>
          <cell r="BK171">
            <v>0</v>
          </cell>
          <cell r="BL171">
            <v>0</v>
          </cell>
          <cell r="BM171">
            <v>0</v>
          </cell>
          <cell r="BN171">
            <v>0</v>
          </cell>
          <cell r="BO171">
            <v>0</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row>
        <row r="172">
          <cell r="C172">
            <v>37755</v>
          </cell>
          <cell r="D172">
            <v>37902</v>
          </cell>
          <cell r="E172">
            <v>37901</v>
          </cell>
          <cell r="F172">
            <v>0.25</v>
          </cell>
          <cell r="G172" t="str">
            <v>Perfiladora Zikeli</v>
          </cell>
          <cell r="H172" t="str">
            <v>Encosto da bobina está solto</v>
          </cell>
          <cell r="I172" t="str">
            <v>Corretiva</v>
          </cell>
          <cell r="J172" t="str">
            <v>Sim</v>
          </cell>
          <cell r="K172" t="str">
            <v>Mecânica</v>
          </cell>
          <cell r="L172" t="str">
            <v>Reparo</v>
          </cell>
          <cell r="M172" t="str">
            <v>Falha Operacional</v>
          </cell>
          <cell r="N172">
            <v>37901</v>
          </cell>
          <cell r="O172">
            <v>0.25</v>
          </cell>
          <cell r="P172">
            <v>37901</v>
          </cell>
          <cell r="Q172">
            <v>0.25</v>
          </cell>
          <cell r="T172">
            <v>37901</v>
          </cell>
          <cell r="U172">
            <v>0.29166666666666669</v>
          </cell>
          <cell r="V172">
            <v>37901</v>
          </cell>
          <cell r="W172">
            <v>0.29166666666666669</v>
          </cell>
          <cell r="X172">
            <v>4.1666666666666685E-2</v>
          </cell>
          <cell r="Y172">
            <v>4.1666666664241347E-2</v>
          </cell>
          <cell r="AB172">
            <v>10</v>
          </cell>
          <cell r="AC172">
            <v>5</v>
          </cell>
          <cell r="AD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10</v>
          </cell>
          <cell r="BX172">
            <v>0</v>
          </cell>
          <cell r="BY172">
            <v>0</v>
          </cell>
          <cell r="BZ172">
            <v>0</v>
          </cell>
          <cell r="CA172">
            <v>0</v>
          </cell>
          <cell r="CB172">
            <v>0</v>
          </cell>
          <cell r="CC172">
            <v>0</v>
          </cell>
          <cell r="CD172">
            <v>0</v>
          </cell>
        </row>
        <row r="173">
          <cell r="C173">
            <v>37755</v>
          </cell>
          <cell r="D173">
            <v>37915</v>
          </cell>
          <cell r="E173">
            <v>37900</v>
          </cell>
          <cell r="F173">
            <v>0.25</v>
          </cell>
          <cell r="G173" t="str">
            <v>Perfiladora Zikeli</v>
          </cell>
          <cell r="H173" t="str">
            <v>Vazamento de óleo no desbobinador</v>
          </cell>
          <cell r="I173" t="str">
            <v>Corretiva</v>
          </cell>
          <cell r="J173" t="str">
            <v>Sim</v>
          </cell>
          <cell r="K173" t="str">
            <v>Mecânica</v>
          </cell>
          <cell r="L173" t="str">
            <v>Contenção do vazamento</v>
          </cell>
          <cell r="M173" t="str">
            <v>Desgaste / Fadiga</v>
          </cell>
          <cell r="N173">
            <v>37900</v>
          </cell>
          <cell r="O173">
            <v>0.25</v>
          </cell>
          <cell r="P173">
            <v>37900</v>
          </cell>
          <cell r="Q173">
            <v>0.29166666666666669</v>
          </cell>
          <cell r="R173">
            <v>37900</v>
          </cell>
          <cell r="S173">
            <v>0.625</v>
          </cell>
          <cell r="T173">
            <v>37900</v>
          </cell>
          <cell r="U173">
            <v>0.70833333333333337</v>
          </cell>
          <cell r="V173">
            <v>0</v>
          </cell>
          <cell r="W173">
            <v>0.12500000000000006</v>
          </cell>
          <cell r="X173">
            <v>0.12500000000000006</v>
          </cell>
          <cell r="Y173">
            <v>0.12500000000000006</v>
          </cell>
          <cell r="AB173">
            <v>10</v>
          </cell>
          <cell r="AC173">
            <v>5</v>
          </cell>
          <cell r="AD173">
            <v>0</v>
          </cell>
          <cell r="BF173">
            <v>0</v>
          </cell>
          <cell r="BG173">
            <v>0</v>
          </cell>
          <cell r="BH173">
            <v>0</v>
          </cell>
          <cell r="BI173">
            <v>0</v>
          </cell>
          <cell r="BJ173">
            <v>0</v>
          </cell>
          <cell r="BK173">
            <v>0</v>
          </cell>
          <cell r="BL173">
            <v>0</v>
          </cell>
          <cell r="BM173">
            <v>0</v>
          </cell>
          <cell r="BN173">
            <v>0</v>
          </cell>
          <cell r="BO173">
            <v>0</v>
          </cell>
          <cell r="BP173">
            <v>0</v>
          </cell>
          <cell r="BQ173">
            <v>0</v>
          </cell>
          <cell r="BR173">
            <v>0</v>
          </cell>
          <cell r="BS173">
            <v>0</v>
          </cell>
          <cell r="BT173">
            <v>0</v>
          </cell>
          <cell r="BU173">
            <v>0</v>
          </cell>
          <cell r="BV173">
            <v>0</v>
          </cell>
          <cell r="BW173">
            <v>10</v>
          </cell>
          <cell r="BX173">
            <v>0</v>
          </cell>
          <cell r="BY173">
            <v>0</v>
          </cell>
          <cell r="BZ173">
            <v>0</v>
          </cell>
          <cell r="CA173">
            <v>0</v>
          </cell>
          <cell r="CB173">
            <v>0</v>
          </cell>
          <cell r="CC173">
            <v>0</v>
          </cell>
          <cell r="CD173">
            <v>0</v>
          </cell>
        </row>
        <row r="174">
          <cell r="C174">
            <v>37755</v>
          </cell>
          <cell r="D174">
            <v>37783</v>
          </cell>
          <cell r="E174">
            <v>37777</v>
          </cell>
          <cell r="F174">
            <v>0.58333333333333337</v>
          </cell>
          <cell r="G174" t="str">
            <v>Empilhadeira</v>
          </cell>
          <cell r="H174" t="str">
            <v>Suporte de trava da bateria está travado</v>
          </cell>
          <cell r="I174" t="str">
            <v>Corretiva</v>
          </cell>
          <cell r="J174" t="str">
            <v>Não</v>
          </cell>
          <cell r="K174" t="str">
            <v>Mecânica</v>
          </cell>
          <cell r="L174" t="str">
            <v>O componente foi aquecido, foi desentortado o pino e ajuste do ângulo da cantoneira para 90°</v>
          </cell>
          <cell r="M174" t="str">
            <v>Falha Operacional</v>
          </cell>
          <cell r="N174">
            <v>37777</v>
          </cell>
          <cell r="O174">
            <v>0.66666666666666663</v>
          </cell>
          <cell r="P174">
            <v>37777</v>
          </cell>
          <cell r="Q174">
            <v>0.66666666666666663</v>
          </cell>
          <cell r="T174">
            <v>37777</v>
          </cell>
          <cell r="U174">
            <v>0.70833333333333337</v>
          </cell>
          <cell r="V174">
            <v>37777</v>
          </cell>
          <cell r="W174">
            <v>0.70833333333333337</v>
          </cell>
          <cell r="X174">
            <v>4.1666666669092023E-2</v>
          </cell>
          <cell r="Y174">
            <v>4.1666666669092023E-2</v>
          </cell>
          <cell r="AB174">
            <v>6</v>
          </cell>
          <cell r="AC174">
            <v>5</v>
          </cell>
          <cell r="AD174">
            <v>0</v>
          </cell>
          <cell r="BF174">
            <v>0</v>
          </cell>
          <cell r="BG174">
            <v>0</v>
          </cell>
          <cell r="BH174">
            <v>0</v>
          </cell>
          <cell r="BI174">
            <v>6</v>
          </cell>
          <cell r="BJ174">
            <v>0</v>
          </cell>
          <cell r="BK174">
            <v>0</v>
          </cell>
          <cell r="BL174">
            <v>0</v>
          </cell>
          <cell r="BM174">
            <v>0</v>
          </cell>
          <cell r="BN174">
            <v>0</v>
          </cell>
          <cell r="BO174">
            <v>0</v>
          </cell>
          <cell r="BP174">
            <v>0</v>
          </cell>
          <cell r="BQ174">
            <v>0</v>
          </cell>
          <cell r="BR174">
            <v>0</v>
          </cell>
          <cell r="BS174">
            <v>0</v>
          </cell>
          <cell r="BT174">
            <v>0</v>
          </cell>
          <cell r="BU174">
            <v>0</v>
          </cell>
          <cell r="BV174">
            <v>0</v>
          </cell>
          <cell r="BW174">
            <v>0</v>
          </cell>
          <cell r="BX174">
            <v>0</v>
          </cell>
          <cell r="BY174">
            <v>0</v>
          </cell>
          <cell r="BZ174">
            <v>0</v>
          </cell>
          <cell r="CA174">
            <v>0</v>
          </cell>
          <cell r="CB174">
            <v>0</v>
          </cell>
          <cell r="CC174">
            <v>0</v>
          </cell>
          <cell r="CD174">
            <v>0</v>
          </cell>
        </row>
        <row r="175">
          <cell r="C175">
            <v>37755</v>
          </cell>
          <cell r="D175">
            <v>37776</v>
          </cell>
          <cell r="E175">
            <v>37775</v>
          </cell>
          <cell r="F175">
            <v>0.66666666666666663</v>
          </cell>
          <cell r="G175" t="str">
            <v>Prensa Jundiaí Conectores</v>
          </cell>
          <cell r="H175" t="str">
            <v>Máquina acusando falha de lubrificação</v>
          </cell>
          <cell r="I175" t="str">
            <v>Corretiva</v>
          </cell>
          <cell r="J175" t="str">
            <v>Sim</v>
          </cell>
          <cell r="K175" t="str">
            <v>Mecânica</v>
          </cell>
          <cell r="L175" t="str">
            <v>Ajustes e limpeza da bomba de graxa</v>
          </cell>
          <cell r="M175" t="str">
            <v>Defeito de Fabricação</v>
          </cell>
          <cell r="N175">
            <v>37775</v>
          </cell>
          <cell r="O175">
            <v>0.66666666666666663</v>
          </cell>
          <cell r="P175">
            <v>37775</v>
          </cell>
          <cell r="Q175">
            <v>0.83333333333333337</v>
          </cell>
          <cell r="R175">
            <v>37776</v>
          </cell>
          <cell r="S175">
            <v>0.4375</v>
          </cell>
          <cell r="T175">
            <v>37776</v>
          </cell>
          <cell r="U175">
            <v>0.52777777777777779</v>
          </cell>
          <cell r="V175">
            <v>0</v>
          </cell>
          <cell r="W175">
            <v>0.25694444444444453</v>
          </cell>
          <cell r="X175">
            <v>0.25694444444444453</v>
          </cell>
          <cell r="Y175">
            <v>0.25694444444444453</v>
          </cell>
          <cell r="AB175">
            <v>6</v>
          </cell>
          <cell r="AC175">
            <v>5</v>
          </cell>
          <cell r="AD175">
            <v>0</v>
          </cell>
          <cell r="BF175">
            <v>0</v>
          </cell>
          <cell r="BG175">
            <v>0</v>
          </cell>
          <cell r="BH175">
            <v>0</v>
          </cell>
          <cell r="BI175">
            <v>0</v>
          </cell>
          <cell r="BJ175">
            <v>0</v>
          </cell>
          <cell r="BK175">
            <v>0</v>
          </cell>
          <cell r="BL175">
            <v>0</v>
          </cell>
          <cell r="BM175">
            <v>0</v>
          </cell>
          <cell r="BN175">
            <v>0</v>
          </cell>
          <cell r="BO175">
            <v>0</v>
          </cell>
          <cell r="BP175">
            <v>0</v>
          </cell>
          <cell r="BQ175">
            <v>0</v>
          </cell>
          <cell r="BR175">
            <v>0</v>
          </cell>
          <cell r="BS175">
            <v>0</v>
          </cell>
          <cell r="BT175">
            <v>0</v>
          </cell>
          <cell r="BU175">
            <v>0</v>
          </cell>
          <cell r="BV175">
            <v>0</v>
          </cell>
          <cell r="BW175">
            <v>0</v>
          </cell>
          <cell r="BX175">
            <v>0</v>
          </cell>
          <cell r="BY175">
            <v>0</v>
          </cell>
          <cell r="BZ175">
            <v>6</v>
          </cell>
          <cell r="CA175">
            <v>0</v>
          </cell>
          <cell r="CB175">
            <v>0</v>
          </cell>
          <cell r="CC175">
            <v>0</v>
          </cell>
          <cell r="CD175">
            <v>0</v>
          </cell>
        </row>
        <row r="176">
          <cell r="C176">
            <v>37755</v>
          </cell>
          <cell r="D176">
            <v>37776</v>
          </cell>
          <cell r="E176">
            <v>37775</v>
          </cell>
          <cell r="F176">
            <v>0.33333333333333331</v>
          </cell>
          <cell r="G176" t="str">
            <v>Perfiladora Fagor Montantes</v>
          </cell>
          <cell r="H176" t="str">
            <v>Eixos de travamento das porcas nos varões roscados da Câmara de perfilação estão rompidos</v>
          </cell>
          <cell r="I176" t="str">
            <v>Corretiva</v>
          </cell>
          <cell r="J176" t="str">
            <v>Não</v>
          </cell>
          <cell r="K176" t="str">
            <v>Mecânica</v>
          </cell>
          <cell r="L176" t="str">
            <v>Melhoria no Sistema de Fixação</v>
          </cell>
          <cell r="M176" t="str">
            <v>Defeito de Fabricação</v>
          </cell>
          <cell r="N176">
            <v>37775</v>
          </cell>
          <cell r="O176">
            <v>0.33333333333333331</v>
          </cell>
          <cell r="P176">
            <v>37775</v>
          </cell>
          <cell r="Q176">
            <v>0.33333333333333331</v>
          </cell>
          <cell r="T176">
            <v>37775</v>
          </cell>
          <cell r="U176">
            <v>0.57291666666666663</v>
          </cell>
          <cell r="V176">
            <v>37775</v>
          </cell>
          <cell r="W176">
            <v>0.57291666666666663</v>
          </cell>
          <cell r="X176">
            <v>0.23958333333090803</v>
          </cell>
          <cell r="Y176">
            <v>0.23958333333090803</v>
          </cell>
          <cell r="AB176">
            <v>6</v>
          </cell>
          <cell r="AC176">
            <v>5</v>
          </cell>
          <cell r="AD176">
            <v>0</v>
          </cell>
          <cell r="BF176">
            <v>0</v>
          </cell>
          <cell r="BG176">
            <v>0</v>
          </cell>
          <cell r="BH176">
            <v>0</v>
          </cell>
          <cell r="BI176">
            <v>0</v>
          </cell>
          <cell r="BJ176">
            <v>0</v>
          </cell>
          <cell r="BK176">
            <v>0</v>
          </cell>
          <cell r="BL176">
            <v>0</v>
          </cell>
          <cell r="BM176">
            <v>0</v>
          </cell>
          <cell r="BN176">
            <v>0</v>
          </cell>
          <cell r="BO176">
            <v>0</v>
          </cell>
          <cell r="BP176">
            <v>0</v>
          </cell>
          <cell r="BQ176">
            <v>0</v>
          </cell>
          <cell r="BR176">
            <v>0</v>
          </cell>
          <cell r="BS176">
            <v>0</v>
          </cell>
          <cell r="BT176">
            <v>0</v>
          </cell>
          <cell r="BU176">
            <v>6</v>
          </cell>
          <cell r="BV176">
            <v>0</v>
          </cell>
          <cell r="BW176">
            <v>0</v>
          </cell>
          <cell r="BX176">
            <v>0</v>
          </cell>
          <cell r="BY176">
            <v>0</v>
          </cell>
          <cell r="BZ176">
            <v>0</v>
          </cell>
          <cell r="CA176">
            <v>0</v>
          </cell>
          <cell r="CB176">
            <v>0</v>
          </cell>
          <cell r="CC176">
            <v>0</v>
          </cell>
          <cell r="CD176">
            <v>0</v>
          </cell>
        </row>
        <row r="177">
          <cell r="C177">
            <v>37755</v>
          </cell>
          <cell r="D177">
            <v>37775</v>
          </cell>
          <cell r="E177">
            <v>37762</v>
          </cell>
          <cell r="F177">
            <v>0.54166666666666663</v>
          </cell>
          <cell r="G177" t="str">
            <v>Perfiladora Fagor Largueros</v>
          </cell>
          <cell r="H177" t="str">
            <v>Solenóide não funciona: A Água está sendo completada manualmente. Há um vazamento no tanque de fosfato.</v>
          </cell>
          <cell r="I177" t="str">
            <v>Corretiva</v>
          </cell>
          <cell r="J177" t="str">
            <v>Não</v>
          </cell>
          <cell r="K177" t="str">
            <v>Mecânica</v>
          </cell>
          <cell r="L177" t="str">
            <v>Solenóide: não havia problemas no mesmo: apenas foi aberto o registro. Serpentina: Substituída pela Deltec</v>
          </cell>
          <cell r="M177" t="str">
            <v>Defeito de Fabricação</v>
          </cell>
          <cell r="N177">
            <v>37762</v>
          </cell>
          <cell r="O177">
            <v>0.54166666666666663</v>
          </cell>
          <cell r="P177">
            <v>37762</v>
          </cell>
          <cell r="Q177">
            <v>0.5625</v>
          </cell>
          <cell r="R177">
            <v>37771</v>
          </cell>
          <cell r="S177">
            <v>0.33333333333333331</v>
          </cell>
          <cell r="T177">
            <v>37773</v>
          </cell>
          <cell r="U177">
            <v>0.70833333333333337</v>
          </cell>
          <cell r="V177">
            <v>0</v>
          </cell>
          <cell r="W177">
            <v>2.3958333333333335</v>
          </cell>
          <cell r="X177">
            <v>2.3958333333333335</v>
          </cell>
          <cell r="Y177">
            <v>0.72916666666666696</v>
          </cell>
          <cell r="AB177">
            <v>6</v>
          </cell>
          <cell r="AC177">
            <v>5</v>
          </cell>
          <cell r="AD177">
            <v>0</v>
          </cell>
          <cell r="BF177">
            <v>0</v>
          </cell>
          <cell r="BG177">
            <v>0</v>
          </cell>
          <cell r="BH177">
            <v>0</v>
          </cell>
          <cell r="BI177">
            <v>0</v>
          </cell>
          <cell r="BJ177">
            <v>0</v>
          </cell>
          <cell r="BK177">
            <v>0</v>
          </cell>
          <cell r="BL177">
            <v>0</v>
          </cell>
          <cell r="BM177">
            <v>0</v>
          </cell>
          <cell r="BN177">
            <v>0</v>
          </cell>
          <cell r="BO177">
            <v>0</v>
          </cell>
          <cell r="BP177">
            <v>0</v>
          </cell>
          <cell r="BQ177">
            <v>0</v>
          </cell>
          <cell r="BR177">
            <v>0</v>
          </cell>
          <cell r="BS177">
            <v>0</v>
          </cell>
          <cell r="BT177">
            <v>6</v>
          </cell>
          <cell r="BU177">
            <v>0</v>
          </cell>
          <cell r="BV177">
            <v>0</v>
          </cell>
          <cell r="BW177">
            <v>0</v>
          </cell>
          <cell r="BX177">
            <v>0</v>
          </cell>
          <cell r="BY177">
            <v>0</v>
          </cell>
          <cell r="BZ177">
            <v>0</v>
          </cell>
          <cell r="CA177">
            <v>0</v>
          </cell>
          <cell r="CB177">
            <v>0</v>
          </cell>
          <cell r="CC177">
            <v>0</v>
          </cell>
          <cell r="CD177">
            <v>0</v>
          </cell>
        </row>
        <row r="178">
          <cell r="C178">
            <v>37755</v>
          </cell>
          <cell r="I178">
            <v>0</v>
          </cell>
          <cell r="N178">
            <v>0</v>
          </cell>
          <cell r="P178">
            <v>0</v>
          </cell>
          <cell r="T178">
            <v>0</v>
          </cell>
          <cell r="V178">
            <v>0</v>
          </cell>
          <cell r="W178">
            <v>0</v>
          </cell>
          <cell r="X178">
            <v>0</v>
          </cell>
          <cell r="Y178">
            <v>0</v>
          </cell>
          <cell r="AB178">
            <v>0</v>
          </cell>
          <cell r="AC178">
            <v>5</v>
          </cell>
          <cell r="AD178">
            <v>0</v>
          </cell>
          <cell r="BF178">
            <v>0</v>
          </cell>
          <cell r="BG178">
            <v>0</v>
          </cell>
          <cell r="BH178">
            <v>0</v>
          </cell>
          <cell r="BI178">
            <v>0</v>
          </cell>
          <cell r="BJ178">
            <v>0</v>
          </cell>
          <cell r="BK178">
            <v>0</v>
          </cell>
          <cell r="BL178">
            <v>0</v>
          </cell>
          <cell r="BM178">
            <v>0</v>
          </cell>
          <cell r="BN178">
            <v>0</v>
          </cell>
          <cell r="BO178">
            <v>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row>
        <row r="179">
          <cell r="C179">
            <v>37755</v>
          </cell>
          <cell r="I179">
            <v>0</v>
          </cell>
          <cell r="N179">
            <v>0</v>
          </cell>
          <cell r="P179">
            <v>0</v>
          </cell>
          <cell r="T179">
            <v>0</v>
          </cell>
          <cell r="V179">
            <v>0</v>
          </cell>
          <cell r="W179">
            <v>0</v>
          </cell>
          <cell r="X179">
            <v>0</v>
          </cell>
          <cell r="Y179">
            <v>0</v>
          </cell>
          <cell r="AB179">
            <v>0</v>
          </cell>
          <cell r="AC179">
            <v>5</v>
          </cell>
          <cell r="AD179">
            <v>0</v>
          </cell>
          <cell r="BF179">
            <v>0</v>
          </cell>
          <cell r="BG179">
            <v>0</v>
          </cell>
          <cell r="BH179">
            <v>0</v>
          </cell>
          <cell r="BI179">
            <v>0</v>
          </cell>
          <cell r="BJ179">
            <v>0</v>
          </cell>
          <cell r="BK179">
            <v>0</v>
          </cell>
          <cell r="BL179">
            <v>0</v>
          </cell>
          <cell r="BM179">
            <v>0</v>
          </cell>
          <cell r="BN179">
            <v>0</v>
          </cell>
          <cell r="BO179">
            <v>0</v>
          </cell>
          <cell r="BP179">
            <v>0</v>
          </cell>
          <cell r="BQ179">
            <v>0</v>
          </cell>
          <cell r="BR179">
            <v>0</v>
          </cell>
          <cell r="BS179">
            <v>0</v>
          </cell>
          <cell r="BT179">
            <v>0</v>
          </cell>
          <cell r="BU179">
            <v>0</v>
          </cell>
          <cell r="BV179">
            <v>0</v>
          </cell>
          <cell r="BW179">
            <v>0</v>
          </cell>
          <cell r="BX179">
            <v>0</v>
          </cell>
          <cell r="BY179">
            <v>0</v>
          </cell>
          <cell r="BZ179">
            <v>0</v>
          </cell>
          <cell r="CA179">
            <v>0</v>
          </cell>
          <cell r="CB179">
            <v>0</v>
          </cell>
          <cell r="CC179">
            <v>0</v>
          </cell>
          <cell r="CD179">
            <v>0</v>
          </cell>
        </row>
        <row r="180">
          <cell r="C180">
            <v>37755</v>
          </cell>
          <cell r="D180">
            <v>37858</v>
          </cell>
          <cell r="E180">
            <v>37847</v>
          </cell>
          <cell r="F180">
            <v>0.54166666666666663</v>
          </cell>
          <cell r="G180" t="str">
            <v>Linha de Pintura 3,2m</v>
          </cell>
          <cell r="H180" t="str">
            <v>Mangueira de ar comprimido está furada</v>
          </cell>
          <cell r="I180" t="str">
            <v>Corretiva</v>
          </cell>
          <cell r="J180" t="str">
            <v>Não</v>
          </cell>
          <cell r="K180" t="str">
            <v>Mecânica</v>
          </cell>
          <cell r="L180" t="str">
            <v>Substituição do(s) Componente(s)</v>
          </cell>
          <cell r="M180" t="str">
            <v>Desgaste / Fadiga</v>
          </cell>
          <cell r="N180">
            <v>37847</v>
          </cell>
          <cell r="O180">
            <v>0.625</v>
          </cell>
          <cell r="P180">
            <v>37847</v>
          </cell>
          <cell r="Q180">
            <v>0.625</v>
          </cell>
          <cell r="T180">
            <v>37847</v>
          </cell>
          <cell r="U180">
            <v>0.66666666666666663</v>
          </cell>
          <cell r="V180">
            <v>37847</v>
          </cell>
          <cell r="W180">
            <v>0.66666666666666663</v>
          </cell>
          <cell r="X180">
            <v>4.1666666664241347E-2</v>
          </cell>
          <cell r="Y180">
            <v>4.1666666664241347E-2</v>
          </cell>
          <cell r="AB180">
            <v>8</v>
          </cell>
          <cell r="AC180">
            <v>5</v>
          </cell>
          <cell r="AD180">
            <v>0</v>
          </cell>
          <cell r="BF180">
            <v>0</v>
          </cell>
          <cell r="BG180">
            <v>0</v>
          </cell>
          <cell r="BH180">
            <v>0</v>
          </cell>
          <cell r="BI180">
            <v>0</v>
          </cell>
          <cell r="BJ180">
            <v>0</v>
          </cell>
          <cell r="BK180">
            <v>0</v>
          </cell>
          <cell r="BL180">
            <v>0</v>
          </cell>
          <cell r="BM180">
            <v>0</v>
          </cell>
          <cell r="BN180">
            <v>0</v>
          </cell>
          <cell r="BO180">
            <v>8</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row>
        <row r="181">
          <cell r="C181">
            <v>37755</v>
          </cell>
          <cell r="D181">
            <v>37858</v>
          </cell>
          <cell r="E181">
            <v>37848</v>
          </cell>
          <cell r="F181">
            <v>0.41666666666666669</v>
          </cell>
          <cell r="G181" t="str">
            <v>Linha de Pintura 3,2m</v>
          </cell>
          <cell r="H181" t="str">
            <v>Pistola de retoque está em posição incorreta</v>
          </cell>
          <cell r="I181" t="str">
            <v>Melhoria</v>
          </cell>
          <cell r="J181" t="str">
            <v>Não</v>
          </cell>
          <cell r="K181" t="str">
            <v>Mecânica</v>
          </cell>
          <cell r="L181" t="str">
            <v>Montagem / Instalação</v>
          </cell>
          <cell r="M181" t="str">
            <v>Falha de Projeto</v>
          </cell>
          <cell r="N181">
            <v>37848</v>
          </cell>
          <cell r="O181">
            <v>0.41666666666666669</v>
          </cell>
          <cell r="P181">
            <v>37848</v>
          </cell>
          <cell r="Q181">
            <v>0.41666666666666669</v>
          </cell>
          <cell r="T181">
            <v>37848</v>
          </cell>
          <cell r="U181">
            <v>0.70833333333333337</v>
          </cell>
          <cell r="V181">
            <v>37848</v>
          </cell>
          <cell r="W181">
            <v>0.70833333333333337</v>
          </cell>
          <cell r="X181">
            <v>0.29166666666909197</v>
          </cell>
          <cell r="Y181">
            <v>0.29166666666909197</v>
          </cell>
          <cell r="AB181">
            <v>8</v>
          </cell>
          <cell r="AC181">
            <v>5</v>
          </cell>
          <cell r="AD181">
            <v>0</v>
          </cell>
          <cell r="BF181">
            <v>0</v>
          </cell>
          <cell r="BG181">
            <v>0</v>
          </cell>
          <cell r="BH181">
            <v>0</v>
          </cell>
          <cell r="BI181">
            <v>0</v>
          </cell>
          <cell r="BJ181">
            <v>0</v>
          </cell>
          <cell r="BK181">
            <v>0</v>
          </cell>
          <cell r="BL181">
            <v>0</v>
          </cell>
          <cell r="BM181">
            <v>0</v>
          </cell>
          <cell r="BN181">
            <v>0</v>
          </cell>
          <cell r="BO181">
            <v>8</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row>
        <row r="182">
          <cell r="C182">
            <v>37755</v>
          </cell>
          <cell r="D182">
            <v>37858</v>
          </cell>
          <cell r="E182">
            <v>37851</v>
          </cell>
          <cell r="F182">
            <v>0.375</v>
          </cell>
          <cell r="G182" t="str">
            <v>Linha de Pintura 3,2m</v>
          </cell>
          <cell r="H182" t="str">
            <v>Pistola de Retoque não magnetiza</v>
          </cell>
          <cell r="I182" t="str">
            <v>Corretiva</v>
          </cell>
          <cell r="J182" t="str">
            <v>Sim</v>
          </cell>
          <cell r="K182" t="str">
            <v>Elétrica</v>
          </cell>
          <cell r="L182" t="str">
            <v>Correção da Montagem</v>
          </cell>
          <cell r="M182" t="str">
            <v>Falha de Montagem / Preparação</v>
          </cell>
          <cell r="N182">
            <v>37851</v>
          </cell>
          <cell r="O182">
            <v>0.38194444444444442</v>
          </cell>
          <cell r="P182">
            <v>37851</v>
          </cell>
          <cell r="Q182">
            <v>0.38194444444444442</v>
          </cell>
          <cell r="T182">
            <v>37851</v>
          </cell>
          <cell r="U182">
            <v>0.40277777777777773</v>
          </cell>
          <cell r="V182">
            <v>37851</v>
          </cell>
          <cell r="W182">
            <v>0.40277777777777773</v>
          </cell>
          <cell r="X182">
            <v>2.0833333333333315E-2</v>
          </cell>
          <cell r="Y182">
            <v>2.0833333336567117E-2</v>
          </cell>
          <cell r="AB182">
            <v>8</v>
          </cell>
          <cell r="AC182">
            <v>5</v>
          </cell>
          <cell r="AD182">
            <v>0</v>
          </cell>
          <cell r="BF182">
            <v>0</v>
          </cell>
          <cell r="BG182">
            <v>0</v>
          </cell>
          <cell r="BH182">
            <v>0</v>
          </cell>
          <cell r="BI182">
            <v>0</v>
          </cell>
          <cell r="BJ182">
            <v>0</v>
          </cell>
          <cell r="BK182">
            <v>0</v>
          </cell>
          <cell r="BL182">
            <v>0</v>
          </cell>
          <cell r="BM182">
            <v>0</v>
          </cell>
          <cell r="BN182">
            <v>0</v>
          </cell>
          <cell r="BO182">
            <v>8</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row>
        <row r="183">
          <cell r="C183">
            <v>37755</v>
          </cell>
          <cell r="D183">
            <v>37900</v>
          </cell>
          <cell r="E183">
            <v>37867</v>
          </cell>
          <cell r="F183">
            <v>0.60416666666666663</v>
          </cell>
          <cell r="G183" t="str">
            <v>Linha de Pintura 3,2m</v>
          </cell>
          <cell r="H183" t="str">
            <v>Peneira do Recuperador de pó rompida</v>
          </cell>
          <cell r="I183" t="str">
            <v>Corretiva</v>
          </cell>
          <cell r="J183" t="str">
            <v>Não</v>
          </cell>
          <cell r="K183" t="str">
            <v>Mecânica</v>
          </cell>
          <cell r="L183" t="str">
            <v>Substituição do(s) Componente(s)</v>
          </cell>
          <cell r="M183" t="str">
            <v>Desgaste / Fadiga</v>
          </cell>
          <cell r="N183">
            <v>37867</v>
          </cell>
          <cell r="O183">
            <v>0.63541666666666663</v>
          </cell>
          <cell r="P183">
            <v>37867</v>
          </cell>
          <cell r="Q183">
            <v>0.63541666666666663</v>
          </cell>
          <cell r="T183">
            <v>37867</v>
          </cell>
          <cell r="U183">
            <v>0.66666666666666663</v>
          </cell>
          <cell r="V183">
            <v>37867</v>
          </cell>
          <cell r="W183">
            <v>0.66666666666666663</v>
          </cell>
          <cell r="X183">
            <v>3.1249999997574718E-2</v>
          </cell>
          <cell r="Y183">
            <v>3.1249999997574718E-2</v>
          </cell>
          <cell r="AB183">
            <v>9</v>
          </cell>
          <cell r="AC183">
            <v>5</v>
          </cell>
          <cell r="AD183">
            <v>0</v>
          </cell>
          <cell r="BF183">
            <v>0</v>
          </cell>
          <cell r="BG183">
            <v>0</v>
          </cell>
          <cell r="BH183">
            <v>0</v>
          </cell>
          <cell r="BI183">
            <v>0</v>
          </cell>
          <cell r="BJ183">
            <v>0</v>
          </cell>
          <cell r="BK183">
            <v>0</v>
          </cell>
          <cell r="BL183">
            <v>0</v>
          </cell>
          <cell r="BM183">
            <v>0</v>
          </cell>
          <cell r="BN183">
            <v>0</v>
          </cell>
          <cell r="BO183">
            <v>9</v>
          </cell>
          <cell r="BP183">
            <v>0</v>
          </cell>
          <cell r="BQ183">
            <v>0</v>
          </cell>
          <cell r="BR183">
            <v>0</v>
          </cell>
          <cell r="BS183">
            <v>0</v>
          </cell>
          <cell r="BT183">
            <v>0</v>
          </cell>
          <cell r="BU183">
            <v>0</v>
          </cell>
          <cell r="BV183">
            <v>0</v>
          </cell>
          <cell r="BW183">
            <v>0</v>
          </cell>
          <cell r="BX183">
            <v>0</v>
          </cell>
          <cell r="BY183">
            <v>0</v>
          </cell>
          <cell r="BZ183">
            <v>0</v>
          </cell>
          <cell r="CA183">
            <v>0</v>
          </cell>
          <cell r="CB183">
            <v>0</v>
          </cell>
          <cell r="CC183">
            <v>0</v>
          </cell>
          <cell r="CD183">
            <v>0</v>
          </cell>
        </row>
        <row r="184">
          <cell r="C184">
            <v>37755</v>
          </cell>
          <cell r="D184">
            <v>37881</v>
          </cell>
          <cell r="E184">
            <v>37868</v>
          </cell>
          <cell r="F184">
            <v>0.5625</v>
          </cell>
          <cell r="G184" t="str">
            <v>Linha de Pintura 3,2m</v>
          </cell>
          <cell r="H184" t="str">
            <v>Pistola de Retoque não magnetiza</v>
          </cell>
          <cell r="I184" t="str">
            <v>Corretiva</v>
          </cell>
          <cell r="J184" t="str">
            <v>Sim</v>
          </cell>
          <cell r="K184" t="str">
            <v>Elétrica</v>
          </cell>
          <cell r="L184" t="str">
            <v>Reparo</v>
          </cell>
          <cell r="M184" t="str">
            <v>Desgaste / Fadiga</v>
          </cell>
          <cell r="N184">
            <v>37868</v>
          </cell>
          <cell r="O184">
            <v>0.56597222222222221</v>
          </cell>
          <cell r="P184">
            <v>37868</v>
          </cell>
          <cell r="Q184">
            <v>0.56597222222222221</v>
          </cell>
          <cell r="T184">
            <v>37868</v>
          </cell>
          <cell r="U184">
            <v>0.58333333333333337</v>
          </cell>
          <cell r="V184">
            <v>37868</v>
          </cell>
          <cell r="W184">
            <v>0.58333333333333337</v>
          </cell>
          <cell r="X184">
            <v>1.736111111111116E-2</v>
          </cell>
          <cell r="Y184">
            <v>1.7361111113536443E-2</v>
          </cell>
          <cell r="AB184">
            <v>9</v>
          </cell>
          <cell r="AC184">
            <v>5</v>
          </cell>
          <cell r="AD184">
            <v>0</v>
          </cell>
          <cell r="BF184">
            <v>0</v>
          </cell>
          <cell r="BG184">
            <v>0</v>
          </cell>
          <cell r="BH184">
            <v>0</v>
          </cell>
          <cell r="BI184">
            <v>0</v>
          </cell>
          <cell r="BJ184">
            <v>0</v>
          </cell>
          <cell r="BK184">
            <v>0</v>
          </cell>
          <cell r="BL184">
            <v>0</v>
          </cell>
          <cell r="BM184">
            <v>0</v>
          </cell>
          <cell r="BN184">
            <v>0</v>
          </cell>
          <cell r="BO184">
            <v>9</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row>
        <row r="185">
          <cell r="C185">
            <v>37755</v>
          </cell>
          <cell r="D185">
            <v>37900</v>
          </cell>
          <cell r="E185">
            <v>37875</v>
          </cell>
          <cell r="F185">
            <v>0.5</v>
          </cell>
          <cell r="G185" t="str">
            <v>Linha de Pintura 3,2m</v>
          </cell>
          <cell r="H185" t="str">
            <v>Vazamento na válvula do enxágue 02</v>
          </cell>
          <cell r="I185" t="str">
            <v>Corretiva</v>
          </cell>
          <cell r="J185" t="str">
            <v>Não</v>
          </cell>
          <cell r="K185" t="str">
            <v>Mecânica</v>
          </cell>
          <cell r="L185" t="str">
            <v>Contenção do vazamento</v>
          </cell>
          <cell r="M185" t="str">
            <v>Desgaste / Fadiga</v>
          </cell>
          <cell r="N185">
            <v>37894</v>
          </cell>
          <cell r="O185">
            <v>0.4375</v>
          </cell>
          <cell r="P185">
            <v>37894</v>
          </cell>
          <cell r="Q185">
            <v>0.4375</v>
          </cell>
          <cell r="T185">
            <v>37894</v>
          </cell>
          <cell r="U185">
            <v>0.52083333333333337</v>
          </cell>
          <cell r="V185">
            <v>37894</v>
          </cell>
          <cell r="W185">
            <v>0.52083333333333337</v>
          </cell>
          <cell r="X185">
            <v>8.3333333335758653E-2</v>
          </cell>
          <cell r="Y185">
            <v>8.3333333335758653E-2</v>
          </cell>
          <cell r="AB185">
            <v>9</v>
          </cell>
          <cell r="AC185">
            <v>5</v>
          </cell>
          <cell r="AD185">
            <v>0</v>
          </cell>
          <cell r="BF185">
            <v>0</v>
          </cell>
          <cell r="BG185">
            <v>0</v>
          </cell>
          <cell r="BH185">
            <v>0</v>
          </cell>
          <cell r="BI185">
            <v>0</v>
          </cell>
          <cell r="BJ185">
            <v>0</v>
          </cell>
          <cell r="BK185">
            <v>0</v>
          </cell>
          <cell r="BL185">
            <v>0</v>
          </cell>
          <cell r="BM185">
            <v>0</v>
          </cell>
          <cell r="BN185">
            <v>0</v>
          </cell>
          <cell r="BO185">
            <v>9</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row>
        <row r="186">
          <cell r="C186">
            <v>37755</v>
          </cell>
          <cell r="D186">
            <v>37810</v>
          </cell>
          <cell r="E186">
            <v>37799</v>
          </cell>
          <cell r="F186">
            <v>0.34027777777777773</v>
          </cell>
          <cell r="G186" t="str">
            <v>Linha de Pintura 3,2m</v>
          </cell>
          <cell r="H186" t="str">
            <v>Pistola da Cabine de Pintura não está liberando pó</v>
          </cell>
          <cell r="I186" t="str">
            <v>Corretiva</v>
          </cell>
          <cell r="J186" t="str">
            <v>Não</v>
          </cell>
          <cell r="K186" t="str">
            <v>Mecânica</v>
          </cell>
          <cell r="L186" t="str">
            <v>Limpeza interna e verificação dos contatos</v>
          </cell>
          <cell r="M186" t="str">
            <v>Mau contato</v>
          </cell>
          <cell r="N186">
            <v>37799</v>
          </cell>
          <cell r="O186">
            <v>0.34027777777777773</v>
          </cell>
          <cell r="P186">
            <v>37799</v>
          </cell>
          <cell r="Q186">
            <v>0.34027777777777773</v>
          </cell>
          <cell r="T186">
            <v>37799</v>
          </cell>
          <cell r="U186">
            <v>0.375</v>
          </cell>
          <cell r="V186">
            <v>37799</v>
          </cell>
          <cell r="W186">
            <v>0.375</v>
          </cell>
          <cell r="X186">
            <v>3.4722222222222265E-2</v>
          </cell>
          <cell r="Y186">
            <v>3.4722222222222265E-2</v>
          </cell>
          <cell r="AB186">
            <v>6</v>
          </cell>
          <cell r="AC186">
            <v>5</v>
          </cell>
          <cell r="AD186">
            <v>0</v>
          </cell>
          <cell r="BF186">
            <v>0</v>
          </cell>
          <cell r="BG186">
            <v>0</v>
          </cell>
          <cell r="BH186">
            <v>0</v>
          </cell>
          <cell r="BI186">
            <v>0</v>
          </cell>
          <cell r="BJ186">
            <v>0</v>
          </cell>
          <cell r="BK186">
            <v>0</v>
          </cell>
          <cell r="BL186">
            <v>0</v>
          </cell>
          <cell r="BM186">
            <v>0</v>
          </cell>
          <cell r="BN186">
            <v>0</v>
          </cell>
          <cell r="BO186">
            <v>6</v>
          </cell>
          <cell r="BP186">
            <v>0</v>
          </cell>
          <cell r="BQ186">
            <v>0</v>
          </cell>
          <cell r="BR186">
            <v>0</v>
          </cell>
          <cell r="BS186">
            <v>0</v>
          </cell>
          <cell r="BT186">
            <v>0</v>
          </cell>
          <cell r="BU186">
            <v>0</v>
          </cell>
          <cell r="BV186">
            <v>0</v>
          </cell>
          <cell r="BW186">
            <v>0</v>
          </cell>
          <cell r="BX186">
            <v>0</v>
          </cell>
          <cell r="BY186">
            <v>0</v>
          </cell>
          <cell r="BZ186">
            <v>0</v>
          </cell>
          <cell r="CA186">
            <v>0</v>
          </cell>
          <cell r="CB186">
            <v>0</v>
          </cell>
          <cell r="CC186">
            <v>0</v>
          </cell>
          <cell r="CD186">
            <v>0</v>
          </cell>
        </row>
        <row r="187">
          <cell r="C187">
            <v>37755</v>
          </cell>
          <cell r="D187">
            <v>37756</v>
          </cell>
          <cell r="E187">
            <v>37754</v>
          </cell>
          <cell r="F187">
            <v>0.33333333333333331</v>
          </cell>
          <cell r="G187" t="str">
            <v>Linha de Pintura 8,5m</v>
          </cell>
          <cell r="H187" t="str">
            <v>Problema no filtro de ar</v>
          </cell>
          <cell r="I187" t="str">
            <v>Corretiva</v>
          </cell>
          <cell r="J187" t="str">
            <v>Não</v>
          </cell>
          <cell r="K187" t="str">
            <v>Mecânica</v>
          </cell>
          <cell r="L187" t="str">
            <v>Substituição do(s) Componente(s)</v>
          </cell>
          <cell r="M187" t="str">
            <v>Desgaste / Fadiga</v>
          </cell>
          <cell r="N187">
            <v>37754</v>
          </cell>
          <cell r="O187">
            <v>0.41666666666666669</v>
          </cell>
          <cell r="P187">
            <v>37754</v>
          </cell>
          <cell r="Q187">
            <v>0.41666666666666669</v>
          </cell>
          <cell r="T187">
            <v>37754</v>
          </cell>
          <cell r="U187">
            <v>0.5</v>
          </cell>
          <cell r="V187">
            <v>37754</v>
          </cell>
          <cell r="W187">
            <v>0.5</v>
          </cell>
          <cell r="X187">
            <v>8.3333333333333315E-2</v>
          </cell>
          <cell r="Y187">
            <v>8.3333333333333315E-2</v>
          </cell>
          <cell r="AB187">
            <v>5</v>
          </cell>
          <cell r="AC187">
            <v>5</v>
          </cell>
          <cell r="AD187">
            <v>0</v>
          </cell>
          <cell r="BF187">
            <v>0</v>
          </cell>
          <cell r="BG187">
            <v>0</v>
          </cell>
          <cell r="BH187">
            <v>0</v>
          </cell>
          <cell r="BI187">
            <v>0</v>
          </cell>
          <cell r="BJ187">
            <v>0</v>
          </cell>
          <cell r="BK187">
            <v>0</v>
          </cell>
          <cell r="BL187">
            <v>0</v>
          </cell>
          <cell r="BM187">
            <v>0</v>
          </cell>
          <cell r="BN187">
            <v>0</v>
          </cell>
          <cell r="BO187">
            <v>0</v>
          </cell>
          <cell r="BP187">
            <v>5</v>
          </cell>
          <cell r="BQ187">
            <v>0</v>
          </cell>
          <cell r="BR187">
            <v>0</v>
          </cell>
          <cell r="BS187">
            <v>0</v>
          </cell>
          <cell r="BT187">
            <v>0</v>
          </cell>
          <cell r="BU187">
            <v>0</v>
          </cell>
          <cell r="BV187">
            <v>0</v>
          </cell>
          <cell r="BW187">
            <v>0</v>
          </cell>
          <cell r="BX187">
            <v>0</v>
          </cell>
          <cell r="BY187">
            <v>0</v>
          </cell>
          <cell r="BZ187">
            <v>0</v>
          </cell>
          <cell r="CA187">
            <v>0</v>
          </cell>
          <cell r="CB187">
            <v>0</v>
          </cell>
          <cell r="CC187">
            <v>0</v>
          </cell>
          <cell r="CD187">
            <v>0</v>
          </cell>
        </row>
        <row r="188">
          <cell r="C188">
            <v>37755</v>
          </cell>
          <cell r="D188">
            <v>37810</v>
          </cell>
          <cell r="E188">
            <v>37762</v>
          </cell>
          <cell r="F188">
            <v>0.44097222222222227</v>
          </cell>
          <cell r="G188" t="str">
            <v>Linha de Pintura 8,5m</v>
          </cell>
          <cell r="H188" t="str">
            <v>Elevador Parado</v>
          </cell>
          <cell r="I188" t="str">
            <v>Corretiva</v>
          </cell>
          <cell r="J188" t="str">
            <v>Sim</v>
          </cell>
          <cell r="K188" t="str">
            <v>Mecânica</v>
          </cell>
          <cell r="L188" t="str">
            <v>Regulagem da altura do Elevador</v>
          </cell>
          <cell r="M188" t="str">
            <v>Vibração</v>
          </cell>
          <cell r="N188">
            <v>37762</v>
          </cell>
          <cell r="O188">
            <v>0.68055555555555547</v>
          </cell>
          <cell r="P188">
            <v>37762</v>
          </cell>
          <cell r="Q188">
            <v>0.68055555555555547</v>
          </cell>
          <cell r="T188">
            <v>37762</v>
          </cell>
          <cell r="U188">
            <v>0.71527777777777779</v>
          </cell>
          <cell r="V188">
            <v>37762</v>
          </cell>
          <cell r="W188">
            <v>0.71527777777777779</v>
          </cell>
          <cell r="X188">
            <v>3.4722222222222321E-2</v>
          </cell>
          <cell r="Y188">
            <v>3.4722222225456068E-2</v>
          </cell>
          <cell r="AB188">
            <v>5</v>
          </cell>
          <cell r="AC188">
            <v>5</v>
          </cell>
          <cell r="AD188">
            <v>0</v>
          </cell>
          <cell r="BF188">
            <v>0</v>
          </cell>
          <cell r="BG188">
            <v>0</v>
          </cell>
          <cell r="BH188">
            <v>0</v>
          </cell>
          <cell r="BI188">
            <v>0</v>
          </cell>
          <cell r="BJ188">
            <v>0</v>
          </cell>
          <cell r="BK188">
            <v>0</v>
          </cell>
          <cell r="BL188">
            <v>0</v>
          </cell>
          <cell r="BM188">
            <v>0</v>
          </cell>
          <cell r="BN188">
            <v>0</v>
          </cell>
          <cell r="BO188">
            <v>0</v>
          </cell>
          <cell r="BP188">
            <v>5</v>
          </cell>
          <cell r="BQ188">
            <v>0</v>
          </cell>
          <cell r="BR188">
            <v>0</v>
          </cell>
          <cell r="BS188">
            <v>0</v>
          </cell>
          <cell r="BT188">
            <v>0</v>
          </cell>
          <cell r="BU188">
            <v>0</v>
          </cell>
          <cell r="BV188">
            <v>0</v>
          </cell>
          <cell r="BW188">
            <v>0</v>
          </cell>
          <cell r="BX188">
            <v>0</v>
          </cell>
          <cell r="BY188">
            <v>0</v>
          </cell>
          <cell r="BZ188">
            <v>0</v>
          </cell>
          <cell r="CA188">
            <v>0</v>
          </cell>
          <cell r="CB188">
            <v>0</v>
          </cell>
          <cell r="CC188">
            <v>0</v>
          </cell>
          <cell r="CD188">
            <v>0</v>
          </cell>
        </row>
        <row r="189">
          <cell r="C189">
            <v>37755</v>
          </cell>
          <cell r="D189">
            <v>37769</v>
          </cell>
          <cell r="E189">
            <v>37767</v>
          </cell>
          <cell r="F189">
            <v>0.35416666666666669</v>
          </cell>
          <cell r="G189" t="str">
            <v>Linha de Pintura 8,5m</v>
          </cell>
          <cell r="H189" t="str">
            <v>Motor não funciona</v>
          </cell>
          <cell r="I189" t="str">
            <v>Corretiva</v>
          </cell>
          <cell r="J189" t="str">
            <v>Sim</v>
          </cell>
          <cell r="K189" t="str">
            <v>Elétrica</v>
          </cell>
          <cell r="L189" t="str">
            <v>Substituição do(s) Componente(s)</v>
          </cell>
          <cell r="M189" t="str">
            <v>Mau contato</v>
          </cell>
          <cell r="N189">
            <v>37767</v>
          </cell>
          <cell r="O189">
            <v>0.35416666666666669</v>
          </cell>
          <cell r="P189">
            <v>37767</v>
          </cell>
          <cell r="Q189">
            <v>0.35416666666666669</v>
          </cell>
          <cell r="T189">
            <v>37767</v>
          </cell>
          <cell r="U189">
            <v>0.4597222222222222</v>
          </cell>
          <cell r="V189">
            <v>37767</v>
          </cell>
          <cell r="W189">
            <v>0.4597222222222222</v>
          </cell>
          <cell r="X189">
            <v>0.10555555555555551</v>
          </cell>
          <cell r="Y189">
            <v>0.10555555555523216</v>
          </cell>
          <cell r="AB189">
            <v>5</v>
          </cell>
          <cell r="AC189">
            <v>5</v>
          </cell>
          <cell r="AD189">
            <v>0</v>
          </cell>
          <cell r="BF189">
            <v>0</v>
          </cell>
          <cell r="BG189">
            <v>0</v>
          </cell>
          <cell r="BH189">
            <v>0</v>
          </cell>
          <cell r="BI189">
            <v>0</v>
          </cell>
          <cell r="BJ189">
            <v>0</v>
          </cell>
          <cell r="BK189">
            <v>0</v>
          </cell>
          <cell r="BL189">
            <v>0</v>
          </cell>
          <cell r="BM189">
            <v>0</v>
          </cell>
          <cell r="BN189">
            <v>0</v>
          </cell>
          <cell r="BO189">
            <v>0</v>
          </cell>
          <cell r="BP189">
            <v>5</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row>
        <row r="190">
          <cell r="C190">
            <v>37755</v>
          </cell>
          <cell r="I190">
            <v>0</v>
          </cell>
          <cell r="N190">
            <v>0</v>
          </cell>
          <cell r="P190">
            <v>0</v>
          </cell>
          <cell r="T190">
            <v>0</v>
          </cell>
          <cell r="V190">
            <v>0</v>
          </cell>
          <cell r="W190">
            <v>0</v>
          </cell>
          <cell r="X190">
            <v>0</v>
          </cell>
          <cell r="Y190">
            <v>0</v>
          </cell>
          <cell r="AB190">
            <v>0</v>
          </cell>
          <cell r="AC190">
            <v>5</v>
          </cell>
          <cell r="AD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0</v>
          </cell>
          <cell r="BY190">
            <v>0</v>
          </cell>
          <cell r="BZ190">
            <v>0</v>
          </cell>
          <cell r="CA190">
            <v>0</v>
          </cell>
          <cell r="CB190">
            <v>0</v>
          </cell>
          <cell r="CC190">
            <v>0</v>
          </cell>
          <cell r="CD190">
            <v>0</v>
          </cell>
        </row>
        <row r="191">
          <cell r="C191">
            <v>37755</v>
          </cell>
          <cell r="D191">
            <v>37785</v>
          </cell>
          <cell r="E191">
            <v>37776</v>
          </cell>
          <cell r="F191">
            <v>0.57291666666666663</v>
          </cell>
          <cell r="G191" t="str">
            <v>Linha de Pintura 15m</v>
          </cell>
          <cell r="H191" t="str">
            <v>Exaustão da cabine não funciona</v>
          </cell>
          <cell r="I191" t="str">
            <v>Corretiva</v>
          </cell>
          <cell r="J191" t="str">
            <v>Sim</v>
          </cell>
          <cell r="K191" t="str">
            <v>Elétrica</v>
          </cell>
          <cell r="L191" t="str">
            <v>Substituição do(s) Componente(s)</v>
          </cell>
          <cell r="M191" t="str">
            <v>Sobrecarga</v>
          </cell>
          <cell r="N191">
            <v>37776</v>
          </cell>
          <cell r="O191">
            <v>0.625</v>
          </cell>
          <cell r="P191">
            <v>37776</v>
          </cell>
          <cell r="Q191">
            <v>0.625</v>
          </cell>
          <cell r="T191">
            <v>37776</v>
          </cell>
          <cell r="U191">
            <v>0.64930555555555558</v>
          </cell>
          <cell r="V191">
            <v>37776</v>
          </cell>
          <cell r="W191">
            <v>0.64930555555555558</v>
          </cell>
          <cell r="X191">
            <v>2.430555555555558E-2</v>
          </cell>
          <cell r="Y191">
            <v>2.4305555554747116E-2</v>
          </cell>
          <cell r="AB191">
            <v>6</v>
          </cell>
          <cell r="AC191">
            <v>5</v>
          </cell>
          <cell r="AD191">
            <v>0</v>
          </cell>
          <cell r="BF191">
            <v>0</v>
          </cell>
          <cell r="BG191">
            <v>0</v>
          </cell>
          <cell r="BH191">
            <v>0</v>
          </cell>
          <cell r="BI191">
            <v>0</v>
          </cell>
          <cell r="BJ191">
            <v>0</v>
          </cell>
          <cell r="BK191">
            <v>0</v>
          </cell>
          <cell r="BL191">
            <v>0</v>
          </cell>
          <cell r="BM191">
            <v>0</v>
          </cell>
          <cell r="BN191">
            <v>6</v>
          </cell>
          <cell r="BO191">
            <v>0</v>
          </cell>
          <cell r="BP191">
            <v>0</v>
          </cell>
          <cell r="BQ191">
            <v>0</v>
          </cell>
          <cell r="BR191">
            <v>0</v>
          </cell>
          <cell r="BS191">
            <v>0</v>
          </cell>
          <cell r="BT191">
            <v>0</v>
          </cell>
          <cell r="BU191">
            <v>0</v>
          </cell>
          <cell r="BV191">
            <v>0</v>
          </cell>
          <cell r="BW191">
            <v>0</v>
          </cell>
          <cell r="BX191">
            <v>0</v>
          </cell>
          <cell r="BY191">
            <v>0</v>
          </cell>
          <cell r="BZ191">
            <v>0</v>
          </cell>
          <cell r="CA191">
            <v>0</v>
          </cell>
          <cell r="CB191">
            <v>0</v>
          </cell>
          <cell r="CC191">
            <v>0</v>
          </cell>
          <cell r="CD191">
            <v>0</v>
          </cell>
        </row>
        <row r="192">
          <cell r="C192">
            <v>37755</v>
          </cell>
          <cell r="D192">
            <v>37881</v>
          </cell>
          <cell r="E192">
            <v>37795</v>
          </cell>
          <cell r="F192">
            <v>0.375</v>
          </cell>
          <cell r="G192" t="str">
            <v>Linha de Pintura 8,5m</v>
          </cell>
          <cell r="H192" t="str">
            <v>Vazamento na válvula de fechamento do tanque de enxágue 01</v>
          </cell>
          <cell r="I192" t="str">
            <v>Corretiva</v>
          </cell>
          <cell r="J192" t="str">
            <v>Não</v>
          </cell>
          <cell r="K192" t="str">
            <v>Mecânica</v>
          </cell>
          <cell r="L192" t="str">
            <v>Reparo</v>
          </cell>
          <cell r="M192" t="str">
            <v>Defeito de Fabricação</v>
          </cell>
          <cell r="N192">
            <v>37876</v>
          </cell>
          <cell r="O192">
            <v>0.3125</v>
          </cell>
          <cell r="P192">
            <v>37876</v>
          </cell>
          <cell r="Q192">
            <v>0.3125</v>
          </cell>
          <cell r="T192">
            <v>37876</v>
          </cell>
          <cell r="U192">
            <v>0.39583333333333331</v>
          </cell>
          <cell r="V192">
            <v>37876</v>
          </cell>
          <cell r="W192">
            <v>0.39583333333333331</v>
          </cell>
          <cell r="X192">
            <v>8.3333333335758653E-2</v>
          </cell>
          <cell r="Y192">
            <v>8.3333333335758653E-2</v>
          </cell>
          <cell r="AB192">
            <v>9</v>
          </cell>
          <cell r="AC192">
            <v>5</v>
          </cell>
          <cell r="AD192">
            <v>0</v>
          </cell>
          <cell r="BF192">
            <v>0</v>
          </cell>
          <cell r="BG192">
            <v>0</v>
          </cell>
          <cell r="BH192">
            <v>0</v>
          </cell>
          <cell r="BI192">
            <v>0</v>
          </cell>
          <cell r="BJ192">
            <v>0</v>
          </cell>
          <cell r="BK192">
            <v>0</v>
          </cell>
          <cell r="BL192">
            <v>0</v>
          </cell>
          <cell r="BM192">
            <v>0</v>
          </cell>
          <cell r="BN192">
            <v>0</v>
          </cell>
          <cell r="BO192">
            <v>0</v>
          </cell>
          <cell r="BP192">
            <v>9</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row>
        <row r="193">
          <cell r="C193">
            <v>37755</v>
          </cell>
          <cell r="D193">
            <v>37803</v>
          </cell>
          <cell r="E193">
            <v>37795</v>
          </cell>
          <cell r="F193">
            <v>0.54166666666666663</v>
          </cell>
          <cell r="G193" t="str">
            <v>Linha de Pintura 8,5m</v>
          </cell>
          <cell r="H193" t="str">
            <v>Fusível de Exaustão queimado</v>
          </cell>
          <cell r="I193" t="str">
            <v>Corretiva</v>
          </cell>
          <cell r="J193" t="str">
            <v>Sim</v>
          </cell>
          <cell r="K193" t="str">
            <v>Elétrica</v>
          </cell>
          <cell r="L193" t="str">
            <v>Substituição do(s) Componente(s)</v>
          </cell>
          <cell r="M193" t="str">
            <v>Sobrecarga</v>
          </cell>
          <cell r="N193">
            <v>37795</v>
          </cell>
          <cell r="O193">
            <v>0.58333333333333337</v>
          </cell>
          <cell r="P193">
            <v>37795</v>
          </cell>
          <cell r="Q193">
            <v>0.58333333333333337</v>
          </cell>
          <cell r="T193">
            <v>37795</v>
          </cell>
          <cell r="U193">
            <v>0.60069444444444442</v>
          </cell>
          <cell r="V193">
            <v>37795</v>
          </cell>
          <cell r="W193">
            <v>0.60069444444444442</v>
          </cell>
          <cell r="X193">
            <v>1.7361111111111049E-2</v>
          </cell>
          <cell r="Y193">
            <v>1.7361111111919514E-2</v>
          </cell>
          <cell r="AB193">
            <v>6</v>
          </cell>
          <cell r="AC193">
            <v>5</v>
          </cell>
          <cell r="AD193">
            <v>0</v>
          </cell>
          <cell r="BF193">
            <v>0</v>
          </cell>
          <cell r="BG193">
            <v>0</v>
          </cell>
          <cell r="BH193">
            <v>0</v>
          </cell>
          <cell r="BI193">
            <v>0</v>
          </cell>
          <cell r="BJ193">
            <v>0</v>
          </cell>
          <cell r="BK193">
            <v>0</v>
          </cell>
          <cell r="BL193">
            <v>0</v>
          </cell>
          <cell r="BM193">
            <v>0</v>
          </cell>
          <cell r="BN193">
            <v>0</v>
          </cell>
          <cell r="BO193">
            <v>0</v>
          </cell>
          <cell r="BP193">
            <v>6</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cell r="CD193">
            <v>0</v>
          </cell>
        </row>
        <row r="194">
          <cell r="C194">
            <v>37755</v>
          </cell>
          <cell r="D194">
            <v>37803</v>
          </cell>
          <cell r="E194">
            <v>37802</v>
          </cell>
          <cell r="F194">
            <v>0.41666666666666669</v>
          </cell>
          <cell r="G194" t="str">
            <v>Linha de Pintura 8,5m</v>
          </cell>
          <cell r="H194" t="str">
            <v>Parada constante no bastidor da entrada da secagem</v>
          </cell>
          <cell r="I194" t="str">
            <v>Corretiva</v>
          </cell>
          <cell r="J194" t="str">
            <v>Sim</v>
          </cell>
          <cell r="K194" t="str">
            <v>Mecânica</v>
          </cell>
          <cell r="L194" t="str">
            <v>O Parô estava com a porca e o eixo do pistão solto</v>
          </cell>
          <cell r="M194" t="str">
            <v>Vibração</v>
          </cell>
          <cell r="N194">
            <v>37802</v>
          </cell>
          <cell r="O194">
            <v>0.53125</v>
          </cell>
          <cell r="P194">
            <v>37802</v>
          </cell>
          <cell r="Q194">
            <v>0.53125</v>
          </cell>
          <cell r="T194">
            <v>37802</v>
          </cell>
          <cell r="U194">
            <v>0.5625</v>
          </cell>
          <cell r="V194">
            <v>37802</v>
          </cell>
          <cell r="W194">
            <v>0.5625</v>
          </cell>
          <cell r="X194">
            <v>3.125E-2</v>
          </cell>
          <cell r="Y194">
            <v>3.125E-2</v>
          </cell>
          <cell r="AB194">
            <v>6</v>
          </cell>
          <cell r="AC194">
            <v>5</v>
          </cell>
          <cell r="AD194">
            <v>0</v>
          </cell>
          <cell r="BF194">
            <v>0</v>
          </cell>
          <cell r="BG194">
            <v>0</v>
          </cell>
          <cell r="BH194">
            <v>0</v>
          </cell>
          <cell r="BI194">
            <v>0</v>
          </cell>
          <cell r="BJ194">
            <v>0</v>
          </cell>
          <cell r="BK194">
            <v>0</v>
          </cell>
          <cell r="BL194">
            <v>0</v>
          </cell>
          <cell r="BM194">
            <v>0</v>
          </cell>
          <cell r="BN194">
            <v>0</v>
          </cell>
          <cell r="BO194">
            <v>0</v>
          </cell>
          <cell r="BP194">
            <v>6</v>
          </cell>
          <cell r="BQ194">
            <v>0</v>
          </cell>
          <cell r="BR194">
            <v>0</v>
          </cell>
          <cell r="BS194">
            <v>0</v>
          </cell>
          <cell r="BT194">
            <v>0</v>
          </cell>
          <cell r="BU194">
            <v>0</v>
          </cell>
          <cell r="BV194">
            <v>0</v>
          </cell>
          <cell r="BW194">
            <v>0</v>
          </cell>
          <cell r="BX194">
            <v>0</v>
          </cell>
          <cell r="BY194">
            <v>0</v>
          </cell>
          <cell r="BZ194">
            <v>0</v>
          </cell>
          <cell r="CA194">
            <v>0</v>
          </cell>
          <cell r="CB194">
            <v>0</v>
          </cell>
          <cell r="CC194">
            <v>0</v>
          </cell>
          <cell r="CD194">
            <v>0</v>
          </cell>
        </row>
        <row r="195">
          <cell r="C195">
            <v>37755</v>
          </cell>
          <cell r="D195">
            <v>37819</v>
          </cell>
          <cell r="E195">
            <v>37814</v>
          </cell>
          <cell r="F195">
            <v>0.54166666666666663</v>
          </cell>
          <cell r="G195" t="str">
            <v>Linha de Pintura 8,5m</v>
          </cell>
          <cell r="H195" t="str">
            <v>Suporte do braço da pistola quebrado</v>
          </cell>
          <cell r="I195" t="str">
            <v>Corretiva</v>
          </cell>
          <cell r="J195" t="str">
            <v>Não</v>
          </cell>
          <cell r="K195" t="str">
            <v>Mecânica</v>
          </cell>
          <cell r="L195" t="str">
            <v>Substituição do(s) Componente(s)</v>
          </cell>
          <cell r="M195" t="str">
            <v>Defeito de Fabricação</v>
          </cell>
          <cell r="N195">
            <v>37816</v>
          </cell>
          <cell r="O195">
            <v>0.41666666666666669</v>
          </cell>
          <cell r="P195">
            <v>37816</v>
          </cell>
          <cell r="Q195">
            <v>0.41666666666666669</v>
          </cell>
          <cell r="T195">
            <v>37816</v>
          </cell>
          <cell r="U195">
            <v>0.45833333333333331</v>
          </cell>
          <cell r="V195">
            <v>37816</v>
          </cell>
          <cell r="W195">
            <v>0.45833333333333331</v>
          </cell>
          <cell r="X195">
            <v>4.166666666666663E-2</v>
          </cell>
          <cell r="Y195">
            <v>4.1666666669091967E-2</v>
          </cell>
          <cell r="AB195">
            <v>7</v>
          </cell>
          <cell r="AC195">
            <v>5</v>
          </cell>
          <cell r="AD195">
            <v>0</v>
          </cell>
          <cell r="BF195">
            <v>0</v>
          </cell>
          <cell r="BG195">
            <v>0</v>
          </cell>
          <cell r="BH195">
            <v>0</v>
          </cell>
          <cell r="BI195">
            <v>0</v>
          </cell>
          <cell r="BJ195">
            <v>0</v>
          </cell>
          <cell r="BK195">
            <v>0</v>
          </cell>
          <cell r="BL195">
            <v>0</v>
          </cell>
          <cell r="BM195">
            <v>0</v>
          </cell>
          <cell r="BN195">
            <v>0</v>
          </cell>
          <cell r="BO195">
            <v>0</v>
          </cell>
          <cell r="BP195">
            <v>7</v>
          </cell>
          <cell r="BQ195">
            <v>0</v>
          </cell>
          <cell r="BR195">
            <v>0</v>
          </cell>
          <cell r="BS195">
            <v>0</v>
          </cell>
          <cell r="BT195">
            <v>0</v>
          </cell>
          <cell r="BU195">
            <v>0</v>
          </cell>
          <cell r="BV195">
            <v>0</v>
          </cell>
          <cell r="BW195">
            <v>0</v>
          </cell>
          <cell r="BX195">
            <v>0</v>
          </cell>
          <cell r="BY195">
            <v>0</v>
          </cell>
          <cell r="BZ195">
            <v>0</v>
          </cell>
          <cell r="CA195">
            <v>0</v>
          </cell>
          <cell r="CB195">
            <v>0</v>
          </cell>
          <cell r="CC195">
            <v>0</v>
          </cell>
          <cell r="CD195">
            <v>0</v>
          </cell>
        </row>
        <row r="196">
          <cell r="C196">
            <v>37755</v>
          </cell>
          <cell r="D196">
            <v>37838</v>
          </cell>
          <cell r="E196">
            <v>37816</v>
          </cell>
          <cell r="F196">
            <v>0.41666666666666669</v>
          </cell>
          <cell r="G196" t="str">
            <v>Linha de Pintura 8,5m</v>
          </cell>
          <cell r="H196" t="str">
            <v>Acúmulo de pó no reservatório, gerando transbordamento</v>
          </cell>
          <cell r="I196" t="str">
            <v>Melhoria</v>
          </cell>
          <cell r="J196" t="str">
            <v>Não</v>
          </cell>
          <cell r="K196" t="str">
            <v>Mecânica</v>
          </cell>
          <cell r="L196" t="str">
            <v>Substituição do(s) Componente(s)</v>
          </cell>
          <cell r="M196" t="str">
            <v>Falha de Projeto</v>
          </cell>
          <cell r="N196">
            <v>37826</v>
          </cell>
          <cell r="O196">
            <v>0.33333333333333331</v>
          </cell>
          <cell r="P196">
            <v>37826</v>
          </cell>
          <cell r="Q196">
            <v>0.33333333333333331</v>
          </cell>
          <cell r="T196">
            <v>37826</v>
          </cell>
          <cell r="U196">
            <v>0.5</v>
          </cell>
          <cell r="V196">
            <v>37826</v>
          </cell>
          <cell r="W196">
            <v>0.5</v>
          </cell>
          <cell r="X196">
            <v>0.16666666666666669</v>
          </cell>
          <cell r="Y196">
            <v>0.16666666666666669</v>
          </cell>
          <cell r="AB196">
            <v>7</v>
          </cell>
          <cell r="AC196">
            <v>5</v>
          </cell>
          <cell r="AD196">
            <v>0</v>
          </cell>
          <cell r="BF196">
            <v>0</v>
          </cell>
          <cell r="BG196">
            <v>0</v>
          </cell>
          <cell r="BH196">
            <v>0</v>
          </cell>
          <cell r="BI196">
            <v>0</v>
          </cell>
          <cell r="BJ196">
            <v>0</v>
          </cell>
          <cell r="BK196">
            <v>0</v>
          </cell>
          <cell r="BL196">
            <v>0</v>
          </cell>
          <cell r="BM196">
            <v>0</v>
          </cell>
          <cell r="BN196">
            <v>0</v>
          </cell>
          <cell r="BO196">
            <v>0</v>
          </cell>
          <cell r="BP196">
            <v>7</v>
          </cell>
          <cell r="BQ196">
            <v>0</v>
          </cell>
          <cell r="BR196">
            <v>0</v>
          </cell>
          <cell r="BS196">
            <v>0</v>
          </cell>
          <cell r="BT196">
            <v>0</v>
          </cell>
          <cell r="BU196">
            <v>0</v>
          </cell>
          <cell r="BV196">
            <v>0</v>
          </cell>
          <cell r="BW196">
            <v>0</v>
          </cell>
          <cell r="BX196">
            <v>0</v>
          </cell>
          <cell r="BY196">
            <v>0</v>
          </cell>
          <cell r="BZ196">
            <v>0</v>
          </cell>
          <cell r="CA196">
            <v>0</v>
          </cell>
          <cell r="CB196">
            <v>0</v>
          </cell>
          <cell r="CC196">
            <v>0</v>
          </cell>
          <cell r="CD196">
            <v>0</v>
          </cell>
        </row>
        <row r="197">
          <cell r="C197">
            <v>37755</v>
          </cell>
          <cell r="D197">
            <v>37803</v>
          </cell>
          <cell r="E197">
            <v>37789</v>
          </cell>
          <cell r="F197">
            <v>0.69097222222222221</v>
          </cell>
          <cell r="G197" t="str">
            <v>Linha de Pintura 15m</v>
          </cell>
          <cell r="H197" t="str">
            <v>Elevador de carga desnivelado</v>
          </cell>
          <cell r="I197" t="str">
            <v>Corretiva</v>
          </cell>
          <cell r="J197" t="str">
            <v>Sim</v>
          </cell>
          <cell r="K197" t="str">
            <v>Elétrica</v>
          </cell>
          <cell r="L197" t="str">
            <v>Regulagem do Componente</v>
          </cell>
          <cell r="M197" t="str">
            <v>Desgaste / Fadiga</v>
          </cell>
          <cell r="N197">
            <v>37789</v>
          </cell>
          <cell r="O197">
            <v>0.69444444444444453</v>
          </cell>
          <cell r="P197">
            <v>37789</v>
          </cell>
          <cell r="Q197">
            <v>0.69444444444444453</v>
          </cell>
          <cell r="T197">
            <v>37789</v>
          </cell>
          <cell r="U197">
            <v>0.70486111111111116</v>
          </cell>
          <cell r="V197">
            <v>37789</v>
          </cell>
          <cell r="W197">
            <v>0.70486111111111116</v>
          </cell>
          <cell r="X197">
            <v>1.041666666666663E-2</v>
          </cell>
          <cell r="Y197">
            <v>1.0416666665049701E-2</v>
          </cell>
          <cell r="AB197">
            <v>6</v>
          </cell>
          <cell r="AC197">
            <v>5</v>
          </cell>
          <cell r="AD197">
            <v>0</v>
          </cell>
          <cell r="BF197">
            <v>0</v>
          </cell>
          <cell r="BG197">
            <v>0</v>
          </cell>
          <cell r="BH197">
            <v>0</v>
          </cell>
          <cell r="BI197">
            <v>0</v>
          </cell>
          <cell r="BJ197">
            <v>0</v>
          </cell>
          <cell r="BK197">
            <v>0</v>
          </cell>
          <cell r="BL197">
            <v>0</v>
          </cell>
          <cell r="BM197">
            <v>0</v>
          </cell>
          <cell r="BN197">
            <v>6</v>
          </cell>
          <cell r="BO197">
            <v>0</v>
          </cell>
          <cell r="BP197">
            <v>0</v>
          </cell>
          <cell r="BQ197">
            <v>0</v>
          </cell>
          <cell r="BR197">
            <v>0</v>
          </cell>
          <cell r="BS197">
            <v>0</v>
          </cell>
          <cell r="BT197">
            <v>0</v>
          </cell>
          <cell r="BU197">
            <v>0</v>
          </cell>
          <cell r="BV197">
            <v>0</v>
          </cell>
          <cell r="BW197">
            <v>0</v>
          </cell>
          <cell r="BX197">
            <v>0</v>
          </cell>
          <cell r="BY197">
            <v>0</v>
          </cell>
          <cell r="BZ197">
            <v>0</v>
          </cell>
          <cell r="CA197">
            <v>0</v>
          </cell>
          <cell r="CB197">
            <v>0</v>
          </cell>
          <cell r="CC197">
            <v>0</v>
          </cell>
          <cell r="CD197">
            <v>0</v>
          </cell>
        </row>
        <row r="198">
          <cell r="C198">
            <v>37755</v>
          </cell>
          <cell r="D198">
            <v>37785</v>
          </cell>
          <cell r="E198">
            <v>37782</v>
          </cell>
          <cell r="F198">
            <v>0.5</v>
          </cell>
          <cell r="G198" t="str">
            <v>Linha de Pintura 15m</v>
          </cell>
          <cell r="H198" t="str">
            <v>Parafusos do suporte do transportador soltos</v>
          </cell>
          <cell r="I198" t="str">
            <v>Corretiva</v>
          </cell>
          <cell r="J198" t="str">
            <v>Não</v>
          </cell>
          <cell r="K198" t="str">
            <v>Mecânica</v>
          </cell>
          <cell r="L198" t="str">
            <v>Reaperto dos componentes</v>
          </cell>
          <cell r="M198" t="str">
            <v>Vibração</v>
          </cell>
          <cell r="N198">
            <v>37783</v>
          </cell>
          <cell r="O198">
            <v>0.64583333333333337</v>
          </cell>
          <cell r="P198">
            <v>37783</v>
          </cell>
          <cell r="Q198">
            <v>0.64583333333333337</v>
          </cell>
          <cell r="T198">
            <v>37783</v>
          </cell>
          <cell r="U198">
            <v>0.66666666666666663</v>
          </cell>
          <cell r="V198">
            <v>37783</v>
          </cell>
          <cell r="W198">
            <v>0.66666666666666663</v>
          </cell>
          <cell r="X198">
            <v>2.0833333330907977E-2</v>
          </cell>
          <cell r="Y198">
            <v>2.0833333330907977E-2</v>
          </cell>
          <cell r="AB198">
            <v>6</v>
          </cell>
          <cell r="AC198">
            <v>5</v>
          </cell>
          <cell r="AD198">
            <v>0</v>
          </cell>
          <cell r="BF198">
            <v>0</v>
          </cell>
          <cell r="BG198">
            <v>0</v>
          </cell>
          <cell r="BH198">
            <v>0</v>
          </cell>
          <cell r="BI198">
            <v>0</v>
          </cell>
          <cell r="BJ198">
            <v>0</v>
          </cell>
          <cell r="BK198">
            <v>0</v>
          </cell>
          <cell r="BL198">
            <v>0</v>
          </cell>
          <cell r="BM198">
            <v>0</v>
          </cell>
          <cell r="BN198">
            <v>6</v>
          </cell>
          <cell r="BO198">
            <v>0</v>
          </cell>
          <cell r="BP198">
            <v>0</v>
          </cell>
          <cell r="BQ198">
            <v>0</v>
          </cell>
          <cell r="BR198">
            <v>0</v>
          </cell>
          <cell r="BS198">
            <v>0</v>
          </cell>
          <cell r="BT198">
            <v>0</v>
          </cell>
          <cell r="BU198">
            <v>0</v>
          </cell>
          <cell r="BV198">
            <v>0</v>
          </cell>
          <cell r="BW198">
            <v>0</v>
          </cell>
          <cell r="BX198">
            <v>0</v>
          </cell>
          <cell r="BY198">
            <v>0</v>
          </cell>
          <cell r="BZ198">
            <v>0</v>
          </cell>
          <cell r="CA198">
            <v>0</v>
          </cell>
          <cell r="CB198">
            <v>0</v>
          </cell>
          <cell r="CC198">
            <v>0</v>
          </cell>
          <cell r="CD198">
            <v>0</v>
          </cell>
        </row>
        <row r="199">
          <cell r="C199">
            <v>37755</v>
          </cell>
          <cell r="D199">
            <v>37785</v>
          </cell>
          <cell r="E199">
            <v>37784</v>
          </cell>
          <cell r="F199">
            <v>0.65277777777777779</v>
          </cell>
          <cell r="G199" t="str">
            <v>Linha de Pintura 15m</v>
          </cell>
          <cell r="H199" t="str">
            <v>Elevador de carga desnivelado</v>
          </cell>
          <cell r="I199" t="str">
            <v>Corretiva</v>
          </cell>
          <cell r="J199" t="str">
            <v>Sim</v>
          </cell>
          <cell r="K199" t="str">
            <v>Elétrica</v>
          </cell>
          <cell r="L199" t="str">
            <v>Regulagem do sensor, ajustes na máquina e no encoder. Nivelamento dos elevadores</v>
          </cell>
          <cell r="M199" t="str">
            <v>Vibração</v>
          </cell>
          <cell r="N199">
            <v>37784</v>
          </cell>
          <cell r="O199">
            <v>0.65277777777777779</v>
          </cell>
          <cell r="P199">
            <v>37784</v>
          </cell>
          <cell r="Q199">
            <v>0.65277777777777779</v>
          </cell>
          <cell r="T199">
            <v>37784</v>
          </cell>
          <cell r="U199">
            <v>0.67013888888888884</v>
          </cell>
          <cell r="V199">
            <v>37784</v>
          </cell>
          <cell r="W199">
            <v>0.67013888888888884</v>
          </cell>
          <cell r="X199">
            <v>1.7361111111111049E-2</v>
          </cell>
          <cell r="Y199">
            <v>1.7361111112727978E-2</v>
          </cell>
          <cell r="AB199">
            <v>6</v>
          </cell>
          <cell r="AC199">
            <v>5</v>
          </cell>
          <cell r="AD199">
            <v>0</v>
          </cell>
          <cell r="BF199">
            <v>0</v>
          </cell>
          <cell r="BG199">
            <v>0</v>
          </cell>
          <cell r="BH199">
            <v>0</v>
          </cell>
          <cell r="BI199">
            <v>0</v>
          </cell>
          <cell r="BJ199">
            <v>0</v>
          </cell>
          <cell r="BK199">
            <v>0</v>
          </cell>
          <cell r="BL199">
            <v>0</v>
          </cell>
          <cell r="BM199">
            <v>0</v>
          </cell>
          <cell r="BN199">
            <v>6</v>
          </cell>
          <cell r="BO199">
            <v>0</v>
          </cell>
          <cell r="BP199">
            <v>0</v>
          </cell>
          <cell r="BQ199">
            <v>0</v>
          </cell>
          <cell r="BR199">
            <v>0</v>
          </cell>
          <cell r="BS199">
            <v>0</v>
          </cell>
          <cell r="BT199">
            <v>0</v>
          </cell>
          <cell r="BU199">
            <v>0</v>
          </cell>
          <cell r="BV199">
            <v>0</v>
          </cell>
          <cell r="BW199">
            <v>0</v>
          </cell>
          <cell r="BX199">
            <v>0</v>
          </cell>
          <cell r="BY199">
            <v>0</v>
          </cell>
          <cell r="BZ199">
            <v>0</v>
          </cell>
          <cell r="CA199">
            <v>0</v>
          </cell>
          <cell r="CB199">
            <v>0</v>
          </cell>
          <cell r="CC199">
            <v>0</v>
          </cell>
          <cell r="CD199">
            <v>0</v>
          </cell>
        </row>
        <row r="200">
          <cell r="C200">
            <v>37755</v>
          </cell>
          <cell r="I200">
            <v>0</v>
          </cell>
          <cell r="N200">
            <v>0</v>
          </cell>
          <cell r="P200">
            <v>0</v>
          </cell>
          <cell r="T200">
            <v>0</v>
          </cell>
          <cell r="V200">
            <v>0</v>
          </cell>
          <cell r="W200">
            <v>0</v>
          </cell>
          <cell r="X200">
            <v>0</v>
          </cell>
          <cell r="Y200">
            <v>0</v>
          </cell>
          <cell r="AB200">
            <v>0</v>
          </cell>
          <cell r="AC200">
            <v>5</v>
          </cell>
          <cell r="AD200">
            <v>0</v>
          </cell>
          <cell r="BF200">
            <v>0</v>
          </cell>
          <cell r="BG200">
            <v>0</v>
          </cell>
          <cell r="BH200">
            <v>0</v>
          </cell>
          <cell r="BI200">
            <v>0</v>
          </cell>
          <cell r="BJ200">
            <v>0</v>
          </cell>
          <cell r="BK200">
            <v>0</v>
          </cell>
          <cell r="BL200">
            <v>0</v>
          </cell>
          <cell r="BM200">
            <v>0</v>
          </cell>
          <cell r="BN200">
            <v>0</v>
          </cell>
          <cell r="BO200">
            <v>0</v>
          </cell>
          <cell r="BP200">
            <v>0</v>
          </cell>
          <cell r="BQ200">
            <v>0</v>
          </cell>
          <cell r="BR200">
            <v>0</v>
          </cell>
          <cell r="BS200">
            <v>0</v>
          </cell>
          <cell r="BT200">
            <v>0</v>
          </cell>
          <cell r="BU200">
            <v>0</v>
          </cell>
          <cell r="BV200">
            <v>0</v>
          </cell>
          <cell r="BW200">
            <v>0</v>
          </cell>
          <cell r="BX200">
            <v>0</v>
          </cell>
          <cell r="BY200">
            <v>0</v>
          </cell>
          <cell r="BZ200">
            <v>0</v>
          </cell>
          <cell r="CA200">
            <v>0</v>
          </cell>
          <cell r="CB200">
            <v>0</v>
          </cell>
          <cell r="CC200">
            <v>0</v>
          </cell>
          <cell r="CD200">
            <v>0</v>
          </cell>
        </row>
        <row r="201">
          <cell r="C201">
            <v>37755</v>
          </cell>
          <cell r="D201">
            <v>37803</v>
          </cell>
          <cell r="E201">
            <v>37798</v>
          </cell>
          <cell r="F201">
            <v>0.66666666666666663</v>
          </cell>
          <cell r="G201" t="str">
            <v>Linha de Pintura 15m</v>
          </cell>
          <cell r="H201" t="str">
            <v>Conector de Ar do Reservatório de pó quebrado; Bicos do Fosfatado desregulados</v>
          </cell>
          <cell r="I201" t="str">
            <v>Corretiva</v>
          </cell>
          <cell r="J201" t="str">
            <v>Não</v>
          </cell>
          <cell r="K201" t="str">
            <v>Mecânica</v>
          </cell>
          <cell r="L201" t="str">
            <v>Substituição do(s) Componente(s)</v>
          </cell>
          <cell r="M201" t="str">
            <v>Desgaste / Fadiga</v>
          </cell>
          <cell r="N201">
            <v>37798</v>
          </cell>
          <cell r="O201">
            <v>0.66666666666666663</v>
          </cell>
          <cell r="P201">
            <v>37798</v>
          </cell>
          <cell r="Q201">
            <v>0.66666666666666663</v>
          </cell>
          <cell r="T201">
            <v>37798</v>
          </cell>
          <cell r="U201">
            <v>0.6875</v>
          </cell>
          <cell r="V201">
            <v>37798</v>
          </cell>
          <cell r="W201">
            <v>0.6875</v>
          </cell>
          <cell r="X201">
            <v>2.083333333333337E-2</v>
          </cell>
          <cell r="Y201">
            <v>2.083333333333337E-2</v>
          </cell>
          <cell r="AB201">
            <v>6</v>
          </cell>
          <cell r="AC201">
            <v>5</v>
          </cell>
          <cell r="AD201">
            <v>0</v>
          </cell>
          <cell r="BF201">
            <v>0</v>
          </cell>
          <cell r="BG201">
            <v>0</v>
          </cell>
          <cell r="BH201">
            <v>0</v>
          </cell>
          <cell r="BI201">
            <v>0</v>
          </cell>
          <cell r="BJ201">
            <v>0</v>
          </cell>
          <cell r="BK201">
            <v>0</v>
          </cell>
          <cell r="BL201">
            <v>0</v>
          </cell>
          <cell r="BM201">
            <v>0</v>
          </cell>
          <cell r="BN201">
            <v>6</v>
          </cell>
          <cell r="BO201">
            <v>0</v>
          </cell>
          <cell r="BP201">
            <v>0</v>
          </cell>
          <cell r="BQ201">
            <v>0</v>
          </cell>
          <cell r="BR201">
            <v>0</v>
          </cell>
          <cell r="BS201">
            <v>0</v>
          </cell>
          <cell r="BT201">
            <v>0</v>
          </cell>
          <cell r="BU201">
            <v>0</v>
          </cell>
          <cell r="BV201">
            <v>0</v>
          </cell>
          <cell r="BW201">
            <v>0</v>
          </cell>
          <cell r="BX201">
            <v>0</v>
          </cell>
          <cell r="BY201">
            <v>0</v>
          </cell>
          <cell r="BZ201">
            <v>0</v>
          </cell>
          <cell r="CA201">
            <v>0</v>
          </cell>
          <cell r="CB201">
            <v>0</v>
          </cell>
          <cell r="CC201">
            <v>0</v>
          </cell>
          <cell r="CD201">
            <v>0</v>
          </cell>
        </row>
        <row r="202">
          <cell r="C202">
            <v>37755</v>
          </cell>
          <cell r="D202">
            <v>37806</v>
          </cell>
          <cell r="E202">
            <v>37803</v>
          </cell>
          <cell r="F202">
            <v>0.33333333333333331</v>
          </cell>
          <cell r="G202" t="str">
            <v>Linha de Pintura 15m</v>
          </cell>
          <cell r="H202" t="str">
            <v>Variador 01 de carga/descarga apresenta funcionamento inadequado</v>
          </cell>
          <cell r="I202" t="str">
            <v>Corretiva</v>
          </cell>
          <cell r="J202" t="str">
            <v>Sim</v>
          </cell>
          <cell r="K202" t="str">
            <v>Mecânica</v>
          </cell>
          <cell r="L202" t="str">
            <v>Substituição do(s) Componente(s)</v>
          </cell>
          <cell r="M202" t="str">
            <v>Desgaste / Fadiga</v>
          </cell>
          <cell r="N202">
            <v>37803</v>
          </cell>
          <cell r="O202">
            <v>0.33333333333333331</v>
          </cell>
          <cell r="P202">
            <v>37803</v>
          </cell>
          <cell r="Q202">
            <v>0.33333333333333331</v>
          </cell>
          <cell r="T202">
            <v>37803</v>
          </cell>
          <cell r="U202">
            <v>0.3611111111111111</v>
          </cell>
          <cell r="V202">
            <v>37803</v>
          </cell>
          <cell r="W202">
            <v>0.3611111111111111</v>
          </cell>
          <cell r="X202">
            <v>2.777777777777779E-2</v>
          </cell>
          <cell r="Y202">
            <v>2.7777777776160917E-2</v>
          </cell>
          <cell r="AB202">
            <v>7</v>
          </cell>
          <cell r="AC202">
            <v>5</v>
          </cell>
          <cell r="AD202">
            <v>0</v>
          </cell>
          <cell r="BF202">
            <v>0</v>
          </cell>
          <cell r="BG202">
            <v>0</v>
          </cell>
          <cell r="BH202">
            <v>0</v>
          </cell>
          <cell r="BI202">
            <v>0</v>
          </cell>
          <cell r="BJ202">
            <v>0</v>
          </cell>
          <cell r="BK202">
            <v>0</v>
          </cell>
          <cell r="BL202">
            <v>0</v>
          </cell>
          <cell r="BM202">
            <v>0</v>
          </cell>
          <cell r="BN202">
            <v>7</v>
          </cell>
          <cell r="BO202">
            <v>0</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row>
        <row r="203">
          <cell r="C203">
            <v>37755</v>
          </cell>
          <cell r="D203">
            <v>37810</v>
          </cell>
          <cell r="E203">
            <v>37805</v>
          </cell>
          <cell r="F203">
            <v>0.6875</v>
          </cell>
          <cell r="G203" t="str">
            <v>Linha de Pintura 15m</v>
          </cell>
          <cell r="H203" t="str">
            <v>Exaustor não funciona</v>
          </cell>
          <cell r="I203" t="str">
            <v>Corretiva</v>
          </cell>
          <cell r="J203" t="str">
            <v>Sim</v>
          </cell>
          <cell r="K203" t="str">
            <v>Elétrica</v>
          </cell>
          <cell r="L203" t="str">
            <v>Substituição do(s) Componente(s)</v>
          </cell>
          <cell r="M203" t="str">
            <v>Causa não especificada</v>
          </cell>
          <cell r="N203">
            <v>37805</v>
          </cell>
          <cell r="O203">
            <v>0.6875</v>
          </cell>
          <cell r="P203">
            <v>37805</v>
          </cell>
          <cell r="Q203">
            <v>0.6875</v>
          </cell>
          <cell r="T203">
            <v>37805</v>
          </cell>
          <cell r="U203">
            <v>0.70833333333333337</v>
          </cell>
          <cell r="V203">
            <v>37805</v>
          </cell>
          <cell r="W203">
            <v>0.70833333333333337</v>
          </cell>
          <cell r="X203">
            <v>2.083333333333337E-2</v>
          </cell>
          <cell r="Y203">
            <v>2.0833333335758653E-2</v>
          </cell>
          <cell r="AB203">
            <v>7</v>
          </cell>
          <cell r="AC203">
            <v>5</v>
          </cell>
          <cell r="AD203">
            <v>0</v>
          </cell>
          <cell r="BF203">
            <v>0</v>
          </cell>
          <cell r="BG203">
            <v>0</v>
          </cell>
          <cell r="BH203">
            <v>0</v>
          </cell>
          <cell r="BI203">
            <v>0</v>
          </cell>
          <cell r="BJ203">
            <v>0</v>
          </cell>
          <cell r="BK203">
            <v>0</v>
          </cell>
          <cell r="BL203">
            <v>0</v>
          </cell>
          <cell r="BM203">
            <v>0</v>
          </cell>
          <cell r="BN203">
            <v>7</v>
          </cell>
          <cell r="BO203">
            <v>0</v>
          </cell>
          <cell r="BP203">
            <v>0</v>
          </cell>
          <cell r="BQ203">
            <v>0</v>
          </cell>
          <cell r="BR203">
            <v>0</v>
          </cell>
          <cell r="BS203">
            <v>0</v>
          </cell>
          <cell r="BT203">
            <v>0</v>
          </cell>
          <cell r="BU203">
            <v>0</v>
          </cell>
          <cell r="BV203">
            <v>0</v>
          </cell>
          <cell r="BW203">
            <v>0</v>
          </cell>
          <cell r="BX203">
            <v>0</v>
          </cell>
          <cell r="BY203">
            <v>0</v>
          </cell>
          <cell r="BZ203">
            <v>0</v>
          </cell>
          <cell r="CA203">
            <v>0</v>
          </cell>
          <cell r="CB203">
            <v>0</v>
          </cell>
          <cell r="CC203">
            <v>0</v>
          </cell>
          <cell r="CD203">
            <v>0</v>
          </cell>
        </row>
        <row r="204">
          <cell r="C204">
            <v>37755</v>
          </cell>
          <cell r="D204">
            <v>37790</v>
          </cell>
          <cell r="E204">
            <v>37789</v>
          </cell>
          <cell r="F204">
            <v>0.375</v>
          </cell>
          <cell r="G204" t="str">
            <v>Linha de Pintura 15m</v>
          </cell>
          <cell r="H204" t="str">
            <v>O aterramento das gancheiras não funciona adequadamente</v>
          </cell>
          <cell r="I204" t="str">
            <v>Corretiva</v>
          </cell>
          <cell r="J204" t="str">
            <v>Não</v>
          </cell>
          <cell r="K204" t="str">
            <v>Elétrica</v>
          </cell>
          <cell r="L204" t="str">
            <v>Foi instalado um fio conectado a um suporte metálico para condução de corrente na gancheira</v>
          </cell>
          <cell r="M204" t="str">
            <v>Melhoria Técnica</v>
          </cell>
          <cell r="N204">
            <v>37789</v>
          </cell>
          <cell r="O204">
            <v>0.375</v>
          </cell>
          <cell r="P204">
            <v>37789</v>
          </cell>
          <cell r="Q204">
            <v>0.375</v>
          </cell>
          <cell r="T204">
            <v>37789</v>
          </cell>
          <cell r="U204">
            <v>0.4375</v>
          </cell>
          <cell r="V204">
            <v>37789</v>
          </cell>
          <cell r="W204">
            <v>0.4375</v>
          </cell>
          <cell r="X204">
            <v>6.25E-2</v>
          </cell>
          <cell r="Y204">
            <v>6.25E-2</v>
          </cell>
          <cell r="AB204">
            <v>6</v>
          </cell>
          <cell r="AC204">
            <v>5</v>
          </cell>
          <cell r="AD204">
            <v>0</v>
          </cell>
          <cell r="BF204">
            <v>0</v>
          </cell>
          <cell r="BG204">
            <v>0</v>
          </cell>
          <cell r="BH204">
            <v>0</v>
          </cell>
          <cell r="BI204">
            <v>0</v>
          </cell>
          <cell r="BJ204">
            <v>0</v>
          </cell>
          <cell r="BK204">
            <v>0</v>
          </cell>
          <cell r="BL204">
            <v>0</v>
          </cell>
          <cell r="BM204">
            <v>0</v>
          </cell>
          <cell r="BN204">
            <v>6</v>
          </cell>
          <cell r="BO204">
            <v>0</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C204">
            <v>0</v>
          </cell>
          <cell r="CD204">
            <v>0</v>
          </cell>
        </row>
        <row r="205">
          <cell r="C205">
            <v>37755</v>
          </cell>
          <cell r="D205">
            <v>37803</v>
          </cell>
          <cell r="E205">
            <v>37785</v>
          </cell>
          <cell r="F205">
            <v>0.40277777777777773</v>
          </cell>
          <cell r="G205" t="str">
            <v>Linha de Pintura 15m</v>
          </cell>
          <cell r="H205" t="str">
            <v>Elevador de carga desnivelado</v>
          </cell>
          <cell r="I205" t="str">
            <v>Corretiva</v>
          </cell>
          <cell r="J205" t="str">
            <v>Sim</v>
          </cell>
          <cell r="K205" t="str">
            <v>Elétrica</v>
          </cell>
          <cell r="L205" t="str">
            <v>Ajuste / Regulagem</v>
          </cell>
          <cell r="M205" t="str">
            <v>Falha de Comando / Sistema</v>
          </cell>
          <cell r="N205">
            <v>37785</v>
          </cell>
          <cell r="O205">
            <v>0.40277777777777773</v>
          </cell>
          <cell r="P205">
            <v>37785</v>
          </cell>
          <cell r="Q205">
            <v>0.40277777777777773</v>
          </cell>
          <cell r="T205">
            <v>37785</v>
          </cell>
          <cell r="U205">
            <v>0.41666666666666669</v>
          </cell>
          <cell r="V205">
            <v>37785</v>
          </cell>
          <cell r="W205">
            <v>0.41666666666666669</v>
          </cell>
          <cell r="X205">
            <v>1.3888888888888951E-2</v>
          </cell>
          <cell r="Y205">
            <v>1.3888888886463613E-2</v>
          </cell>
          <cell r="AB205">
            <v>6</v>
          </cell>
          <cell r="AC205">
            <v>5</v>
          </cell>
          <cell r="AD205">
            <v>0</v>
          </cell>
          <cell r="BF205">
            <v>0</v>
          </cell>
          <cell r="BG205">
            <v>0</v>
          </cell>
          <cell r="BH205">
            <v>0</v>
          </cell>
          <cell r="BI205">
            <v>0</v>
          </cell>
          <cell r="BJ205">
            <v>0</v>
          </cell>
          <cell r="BK205">
            <v>0</v>
          </cell>
          <cell r="BL205">
            <v>0</v>
          </cell>
          <cell r="BM205">
            <v>0</v>
          </cell>
          <cell r="BN205">
            <v>6</v>
          </cell>
          <cell r="BO205">
            <v>0</v>
          </cell>
          <cell r="BP205">
            <v>0</v>
          </cell>
          <cell r="BQ205">
            <v>0</v>
          </cell>
          <cell r="BR205">
            <v>0</v>
          </cell>
          <cell r="BS205">
            <v>0</v>
          </cell>
          <cell r="BT205">
            <v>0</v>
          </cell>
          <cell r="BU205">
            <v>0</v>
          </cell>
          <cell r="BV205">
            <v>0</v>
          </cell>
          <cell r="BW205">
            <v>0</v>
          </cell>
          <cell r="BX205">
            <v>0</v>
          </cell>
          <cell r="BY205">
            <v>0</v>
          </cell>
          <cell r="BZ205">
            <v>0</v>
          </cell>
          <cell r="CA205">
            <v>0</v>
          </cell>
          <cell r="CB205">
            <v>0</v>
          </cell>
          <cell r="CC205">
            <v>0</v>
          </cell>
          <cell r="CD205">
            <v>0</v>
          </cell>
        </row>
        <row r="206">
          <cell r="C206">
            <v>37755</v>
          </cell>
          <cell r="D206">
            <v>37785</v>
          </cell>
          <cell r="E206">
            <v>37781</v>
          </cell>
          <cell r="F206">
            <v>0.33333333333333331</v>
          </cell>
          <cell r="G206" t="str">
            <v>Linha de Pintura 8,5m</v>
          </cell>
          <cell r="H206" t="str">
            <v>Pistola manual não funciona</v>
          </cell>
          <cell r="I206" t="str">
            <v>Corretiva</v>
          </cell>
          <cell r="J206" t="str">
            <v>Não</v>
          </cell>
          <cell r="K206" t="str">
            <v>Elétrica</v>
          </cell>
          <cell r="L206" t="str">
            <v>Substituição do(s) Componente(s)</v>
          </cell>
          <cell r="M206" t="str">
            <v>Elétrica</v>
          </cell>
          <cell r="N206">
            <v>37784</v>
          </cell>
          <cell r="O206">
            <v>0.375</v>
          </cell>
          <cell r="P206">
            <v>37784</v>
          </cell>
          <cell r="Q206">
            <v>0.375</v>
          </cell>
          <cell r="R206">
            <v>37784</v>
          </cell>
          <cell r="S206">
            <v>0.375</v>
          </cell>
          <cell r="V206">
            <v>0</v>
          </cell>
          <cell r="W206">
            <v>0</v>
          </cell>
          <cell r="X206">
            <v>0</v>
          </cell>
          <cell r="Y206">
            <v>0</v>
          </cell>
          <cell r="AB206">
            <v>0</v>
          </cell>
          <cell r="AC206">
            <v>5</v>
          </cell>
          <cell r="AD206">
            <v>0</v>
          </cell>
          <cell r="BF206">
            <v>0</v>
          </cell>
          <cell r="BG206">
            <v>0</v>
          </cell>
          <cell r="BH206">
            <v>0</v>
          </cell>
          <cell r="BI206">
            <v>0</v>
          </cell>
          <cell r="BJ206">
            <v>0</v>
          </cell>
          <cell r="BK206">
            <v>0</v>
          </cell>
          <cell r="BL206">
            <v>0</v>
          </cell>
          <cell r="BM206">
            <v>0</v>
          </cell>
          <cell r="BN206">
            <v>0</v>
          </cell>
          <cell r="BO206">
            <v>0</v>
          </cell>
          <cell r="BP206">
            <v>1</v>
          </cell>
          <cell r="BQ206">
            <v>0</v>
          </cell>
          <cell r="BR206">
            <v>0</v>
          </cell>
          <cell r="BS206">
            <v>0</v>
          </cell>
          <cell r="BT206">
            <v>0</v>
          </cell>
          <cell r="BU206">
            <v>0</v>
          </cell>
          <cell r="BV206">
            <v>0</v>
          </cell>
          <cell r="BW206">
            <v>0</v>
          </cell>
          <cell r="BX206">
            <v>0</v>
          </cell>
          <cell r="BY206">
            <v>0</v>
          </cell>
          <cell r="BZ206">
            <v>0</v>
          </cell>
          <cell r="CA206">
            <v>0</v>
          </cell>
          <cell r="CB206">
            <v>0</v>
          </cell>
          <cell r="CC206">
            <v>0</v>
          </cell>
          <cell r="CD206">
            <v>0</v>
          </cell>
        </row>
        <row r="207">
          <cell r="C207">
            <v>37795</v>
          </cell>
          <cell r="D207">
            <v>37803</v>
          </cell>
          <cell r="E207">
            <v>37796</v>
          </cell>
          <cell r="F207">
            <v>0.70833333333333337</v>
          </cell>
          <cell r="G207" t="str">
            <v>Perfiladora Dimeco Travesaños</v>
          </cell>
          <cell r="H207" t="str">
            <v>Desbobinador travado; pino guia do cassete</v>
          </cell>
          <cell r="I207" t="str">
            <v>Corretiva</v>
          </cell>
          <cell r="J207" t="str">
            <v>Não</v>
          </cell>
          <cell r="K207" t="str">
            <v>Mecânica</v>
          </cell>
          <cell r="L207" t="str">
            <v>Reparo</v>
          </cell>
          <cell r="M207" t="str">
            <v>Falha de Montagem / Preparação</v>
          </cell>
          <cell r="N207">
            <v>37800</v>
          </cell>
          <cell r="O207">
            <v>0.33333333333333331</v>
          </cell>
          <cell r="P207">
            <v>37800</v>
          </cell>
          <cell r="Q207">
            <v>0.33333333333333331</v>
          </cell>
          <cell r="T207">
            <v>37800</v>
          </cell>
          <cell r="U207">
            <v>0.58333333333333337</v>
          </cell>
          <cell r="V207">
            <v>37800</v>
          </cell>
          <cell r="W207">
            <v>0.58333333333333337</v>
          </cell>
          <cell r="X207">
            <v>0.25000000000242534</v>
          </cell>
          <cell r="Y207">
            <v>0.25000000000242534</v>
          </cell>
          <cell r="AB207">
            <v>6</v>
          </cell>
          <cell r="AC207">
            <v>6</v>
          </cell>
          <cell r="AD207">
            <v>0</v>
          </cell>
          <cell r="BF207">
            <v>0</v>
          </cell>
          <cell r="BG207">
            <v>0</v>
          </cell>
          <cell r="BH207">
            <v>0</v>
          </cell>
          <cell r="BI207">
            <v>0</v>
          </cell>
          <cell r="BJ207">
            <v>0</v>
          </cell>
          <cell r="BK207">
            <v>0</v>
          </cell>
          <cell r="BL207">
            <v>0</v>
          </cell>
          <cell r="BM207">
            <v>0</v>
          </cell>
          <cell r="BN207">
            <v>0</v>
          </cell>
          <cell r="BO207">
            <v>0</v>
          </cell>
          <cell r="BP207">
            <v>0</v>
          </cell>
          <cell r="BQ207">
            <v>0</v>
          </cell>
          <cell r="BR207">
            <v>0</v>
          </cell>
          <cell r="BS207">
            <v>6</v>
          </cell>
          <cell r="BT207">
            <v>0</v>
          </cell>
          <cell r="BU207">
            <v>0</v>
          </cell>
          <cell r="BV207">
            <v>0</v>
          </cell>
          <cell r="BW207">
            <v>0</v>
          </cell>
          <cell r="BX207">
            <v>0</v>
          </cell>
          <cell r="BY207">
            <v>0</v>
          </cell>
          <cell r="BZ207">
            <v>0</v>
          </cell>
          <cell r="CA207">
            <v>0</v>
          </cell>
          <cell r="CB207">
            <v>0</v>
          </cell>
          <cell r="CC207">
            <v>0</v>
          </cell>
          <cell r="CD207">
            <v>0</v>
          </cell>
        </row>
        <row r="208">
          <cell r="C208">
            <v>37795</v>
          </cell>
          <cell r="D208">
            <v>37803</v>
          </cell>
          <cell r="E208">
            <v>37797</v>
          </cell>
          <cell r="F208">
            <v>0.42708333333333331</v>
          </cell>
          <cell r="G208" t="str">
            <v>Perfiladora Dimeco Travesaños</v>
          </cell>
          <cell r="H208" t="str">
            <v>Disjuntor desarmado</v>
          </cell>
          <cell r="I208" t="str">
            <v>Corretiva</v>
          </cell>
          <cell r="J208" t="str">
            <v>Sim</v>
          </cell>
          <cell r="K208" t="str">
            <v>Elétrica</v>
          </cell>
          <cell r="L208" t="str">
            <v>Reinicialização do Equipamento / Componente</v>
          </cell>
          <cell r="M208" t="str">
            <v>Travamento de Componente</v>
          </cell>
          <cell r="N208">
            <v>37797</v>
          </cell>
          <cell r="O208">
            <v>0.43611111111111112</v>
          </cell>
          <cell r="P208">
            <v>37797</v>
          </cell>
          <cell r="Q208">
            <v>0.43611111111111112</v>
          </cell>
          <cell r="T208">
            <v>37797</v>
          </cell>
          <cell r="U208">
            <v>0.45</v>
          </cell>
          <cell r="V208">
            <v>37797</v>
          </cell>
          <cell r="W208">
            <v>0.45</v>
          </cell>
          <cell r="X208">
            <v>1.3888888888888895E-2</v>
          </cell>
          <cell r="Y208">
            <v>1.3888888885978501E-2</v>
          </cell>
          <cell r="AB208">
            <v>6</v>
          </cell>
          <cell r="AC208">
            <v>6</v>
          </cell>
          <cell r="AD208">
            <v>0</v>
          </cell>
          <cell r="BF208">
            <v>0</v>
          </cell>
          <cell r="BG208">
            <v>0</v>
          </cell>
          <cell r="BH208">
            <v>0</v>
          </cell>
          <cell r="BI208">
            <v>0</v>
          </cell>
          <cell r="BJ208">
            <v>0</v>
          </cell>
          <cell r="BK208">
            <v>0</v>
          </cell>
          <cell r="BL208">
            <v>0</v>
          </cell>
          <cell r="BM208">
            <v>0</v>
          </cell>
          <cell r="BN208">
            <v>0</v>
          </cell>
          <cell r="BO208">
            <v>0</v>
          </cell>
          <cell r="BP208">
            <v>0</v>
          </cell>
          <cell r="BQ208">
            <v>0</v>
          </cell>
          <cell r="BR208">
            <v>0</v>
          </cell>
          <cell r="BS208">
            <v>6</v>
          </cell>
          <cell r="BT208">
            <v>0</v>
          </cell>
          <cell r="BU208">
            <v>0</v>
          </cell>
          <cell r="BV208">
            <v>0</v>
          </cell>
          <cell r="BW208">
            <v>0</v>
          </cell>
          <cell r="BX208">
            <v>0</v>
          </cell>
          <cell r="BY208">
            <v>0</v>
          </cell>
          <cell r="BZ208">
            <v>0</v>
          </cell>
          <cell r="CA208">
            <v>0</v>
          </cell>
          <cell r="CB208">
            <v>0</v>
          </cell>
          <cell r="CC208">
            <v>0</v>
          </cell>
          <cell r="CD208">
            <v>0</v>
          </cell>
        </row>
        <row r="209">
          <cell r="C209">
            <v>37795</v>
          </cell>
          <cell r="D209">
            <v>37803</v>
          </cell>
          <cell r="E209">
            <v>37797</v>
          </cell>
          <cell r="F209">
            <v>0.73611111111111116</v>
          </cell>
          <cell r="G209" t="str">
            <v>Perfiladora Dimeco Travesaños</v>
          </cell>
          <cell r="H209" t="str">
            <v>Pistola da Mangueira de ar com defeito</v>
          </cell>
          <cell r="I209" t="str">
            <v>Corretiva</v>
          </cell>
          <cell r="J209" t="str">
            <v>Não</v>
          </cell>
          <cell r="K209" t="str">
            <v>Mecânica</v>
          </cell>
          <cell r="L209" t="str">
            <v>Substituição do(s) Componente(s)</v>
          </cell>
          <cell r="M209" t="str">
            <v>Defeito de Fabricação</v>
          </cell>
          <cell r="N209">
            <v>37797</v>
          </cell>
          <cell r="O209">
            <v>0.73611111111111116</v>
          </cell>
          <cell r="P209">
            <v>37797</v>
          </cell>
          <cell r="Q209">
            <v>0.73611111111111116</v>
          </cell>
          <cell r="T209">
            <v>37797</v>
          </cell>
          <cell r="U209">
            <v>0.75</v>
          </cell>
          <cell r="V209">
            <v>37797</v>
          </cell>
          <cell r="W209">
            <v>0.75</v>
          </cell>
          <cell r="X209">
            <v>1.388888888888884E-2</v>
          </cell>
          <cell r="Y209">
            <v>1.388888888888884E-2</v>
          </cell>
          <cell r="AB209">
            <v>6</v>
          </cell>
          <cell r="AC209">
            <v>6</v>
          </cell>
          <cell r="AD209">
            <v>0</v>
          </cell>
          <cell r="BF209">
            <v>0</v>
          </cell>
          <cell r="BG209">
            <v>0</v>
          </cell>
          <cell r="BH209">
            <v>0</v>
          </cell>
          <cell r="BI209">
            <v>0</v>
          </cell>
          <cell r="BJ209">
            <v>0</v>
          </cell>
          <cell r="BK209">
            <v>0</v>
          </cell>
          <cell r="BL209">
            <v>0</v>
          </cell>
          <cell r="BM209">
            <v>0</v>
          </cell>
          <cell r="BN209">
            <v>0</v>
          </cell>
          <cell r="BO209">
            <v>0</v>
          </cell>
          <cell r="BP209">
            <v>0</v>
          </cell>
          <cell r="BQ209">
            <v>0</v>
          </cell>
          <cell r="BR209">
            <v>0</v>
          </cell>
          <cell r="BS209">
            <v>6</v>
          </cell>
          <cell r="BT209">
            <v>0</v>
          </cell>
          <cell r="BU209">
            <v>0</v>
          </cell>
          <cell r="BV209">
            <v>0</v>
          </cell>
          <cell r="BW209">
            <v>0</v>
          </cell>
          <cell r="BX209">
            <v>0</v>
          </cell>
          <cell r="BY209">
            <v>0</v>
          </cell>
          <cell r="BZ209">
            <v>0</v>
          </cell>
          <cell r="CA209">
            <v>0</v>
          </cell>
          <cell r="CB209">
            <v>0</v>
          </cell>
          <cell r="CC209">
            <v>0</v>
          </cell>
          <cell r="CD209">
            <v>0</v>
          </cell>
        </row>
        <row r="210">
          <cell r="C210">
            <v>37795</v>
          </cell>
          <cell r="D210">
            <v>37803</v>
          </cell>
          <cell r="E210">
            <v>37799</v>
          </cell>
          <cell r="F210">
            <v>0.57499999999999996</v>
          </cell>
          <cell r="G210" t="str">
            <v>Perfiladora Dimeco Travesaños</v>
          </cell>
          <cell r="H210" t="str">
            <v>Disco de Serra danificado</v>
          </cell>
          <cell r="I210" t="str">
            <v>Corretiva</v>
          </cell>
          <cell r="J210" t="str">
            <v>Não</v>
          </cell>
          <cell r="K210" t="str">
            <v>Mecânica</v>
          </cell>
          <cell r="L210" t="str">
            <v>Substituição do(s) Componente(s)</v>
          </cell>
          <cell r="M210" t="str">
            <v>Defeito de Fabricação</v>
          </cell>
          <cell r="N210">
            <v>37799</v>
          </cell>
          <cell r="O210">
            <v>0.57499999999999996</v>
          </cell>
          <cell r="P210">
            <v>37799</v>
          </cell>
          <cell r="Q210">
            <v>0.57499999999999996</v>
          </cell>
          <cell r="T210">
            <v>37799</v>
          </cell>
          <cell r="U210">
            <v>0.60416666666666663</v>
          </cell>
          <cell r="V210">
            <v>37799</v>
          </cell>
          <cell r="W210">
            <v>0.60416666666666663</v>
          </cell>
          <cell r="X210">
            <v>2.9166666664241392E-2</v>
          </cell>
          <cell r="Y210">
            <v>2.9166666664241392E-2</v>
          </cell>
          <cell r="AB210">
            <v>6</v>
          </cell>
          <cell r="AC210">
            <v>6</v>
          </cell>
          <cell r="AD210">
            <v>0</v>
          </cell>
          <cell r="BF210">
            <v>0</v>
          </cell>
          <cell r="BG210">
            <v>0</v>
          </cell>
          <cell r="BH210">
            <v>0</v>
          </cell>
          <cell r="BI210">
            <v>0</v>
          </cell>
          <cell r="BJ210">
            <v>0</v>
          </cell>
          <cell r="BK210">
            <v>0</v>
          </cell>
          <cell r="BL210">
            <v>0</v>
          </cell>
          <cell r="BM210">
            <v>0</v>
          </cell>
          <cell r="BN210">
            <v>0</v>
          </cell>
          <cell r="BO210">
            <v>0</v>
          </cell>
          <cell r="BP210">
            <v>0</v>
          </cell>
          <cell r="BQ210">
            <v>0</v>
          </cell>
          <cell r="BR210">
            <v>0</v>
          </cell>
          <cell r="BS210">
            <v>6</v>
          </cell>
          <cell r="BT210">
            <v>0</v>
          </cell>
          <cell r="BU210">
            <v>0</v>
          </cell>
          <cell r="BV210">
            <v>0</v>
          </cell>
          <cell r="BW210">
            <v>0</v>
          </cell>
          <cell r="BX210">
            <v>0</v>
          </cell>
          <cell r="BY210">
            <v>0</v>
          </cell>
          <cell r="BZ210">
            <v>0</v>
          </cell>
          <cell r="CA210">
            <v>0</v>
          </cell>
          <cell r="CB210">
            <v>0</v>
          </cell>
          <cell r="CC210">
            <v>0</v>
          </cell>
          <cell r="CD210">
            <v>0</v>
          </cell>
        </row>
        <row r="211">
          <cell r="C211">
            <v>37795</v>
          </cell>
          <cell r="D211">
            <v>37810</v>
          </cell>
          <cell r="E211">
            <v>37805</v>
          </cell>
          <cell r="F211">
            <v>0.38194444444444442</v>
          </cell>
          <cell r="G211" t="str">
            <v>Perfiladora Dimeco Travesaños</v>
          </cell>
          <cell r="H211" t="str">
            <v>Problema no desbobinador</v>
          </cell>
          <cell r="I211" t="str">
            <v>Corretiva</v>
          </cell>
          <cell r="J211" t="str">
            <v>Não</v>
          </cell>
          <cell r="K211" t="str">
            <v>Mecânica</v>
          </cell>
          <cell r="L211" t="str">
            <v>Regulagem no Sistema Hidráulico</v>
          </cell>
          <cell r="M211" t="str">
            <v>Falha de Montagem / Preparação</v>
          </cell>
          <cell r="N211">
            <v>37805</v>
          </cell>
          <cell r="O211">
            <v>0.61458333333333337</v>
          </cell>
          <cell r="P211">
            <v>37805</v>
          </cell>
          <cell r="Q211">
            <v>0.61458333333333337</v>
          </cell>
          <cell r="T211">
            <v>37805</v>
          </cell>
          <cell r="U211">
            <v>0.75</v>
          </cell>
          <cell r="V211">
            <v>37805</v>
          </cell>
          <cell r="W211">
            <v>0.75</v>
          </cell>
          <cell r="X211">
            <v>0.13541666666666663</v>
          </cell>
          <cell r="Y211">
            <v>0.13541666666666663</v>
          </cell>
          <cell r="AB211">
            <v>7</v>
          </cell>
          <cell r="AC211">
            <v>6</v>
          </cell>
          <cell r="AD211">
            <v>0</v>
          </cell>
          <cell r="BF211">
            <v>0</v>
          </cell>
          <cell r="BG211">
            <v>0</v>
          </cell>
          <cell r="BH211">
            <v>0</v>
          </cell>
          <cell r="BI211">
            <v>0</v>
          </cell>
          <cell r="BJ211">
            <v>0</v>
          </cell>
          <cell r="BK211">
            <v>0</v>
          </cell>
          <cell r="BL211">
            <v>0</v>
          </cell>
          <cell r="BM211">
            <v>0</v>
          </cell>
          <cell r="BN211">
            <v>0</v>
          </cell>
          <cell r="BO211">
            <v>0</v>
          </cell>
          <cell r="BP211">
            <v>0</v>
          </cell>
          <cell r="BQ211">
            <v>0</v>
          </cell>
          <cell r="BR211">
            <v>0</v>
          </cell>
          <cell r="BS211">
            <v>7</v>
          </cell>
          <cell r="BT211">
            <v>0</v>
          </cell>
          <cell r="BU211">
            <v>0</v>
          </cell>
          <cell r="BV211">
            <v>0</v>
          </cell>
          <cell r="BW211">
            <v>0</v>
          </cell>
          <cell r="BX211">
            <v>0</v>
          </cell>
          <cell r="BY211">
            <v>0</v>
          </cell>
          <cell r="BZ211">
            <v>0</v>
          </cell>
          <cell r="CA211">
            <v>0</v>
          </cell>
          <cell r="CB211">
            <v>0</v>
          </cell>
          <cell r="CC211">
            <v>0</v>
          </cell>
          <cell r="CD211">
            <v>0</v>
          </cell>
        </row>
        <row r="212">
          <cell r="C212">
            <v>37795</v>
          </cell>
          <cell r="D212">
            <v>37819</v>
          </cell>
          <cell r="E212">
            <v>37816</v>
          </cell>
          <cell r="F212">
            <v>0.70833333333333337</v>
          </cell>
          <cell r="G212" t="str">
            <v>Perfiladora Dimeco Travesaños</v>
          </cell>
          <cell r="H212" t="str">
            <v>Vazamento em conexão do Sistema Hidráulico</v>
          </cell>
          <cell r="I212" t="str">
            <v>Corretiva</v>
          </cell>
          <cell r="J212" t="str">
            <v>Não</v>
          </cell>
          <cell r="K212" t="str">
            <v>Mecânica</v>
          </cell>
          <cell r="L212" t="str">
            <v>Limpeza e reaperto das conexões</v>
          </cell>
          <cell r="M212" t="str">
            <v>Vibração</v>
          </cell>
          <cell r="N212">
            <v>37816</v>
          </cell>
          <cell r="O212">
            <v>0.70833333333333337</v>
          </cell>
          <cell r="P212">
            <v>37816</v>
          </cell>
          <cell r="Q212">
            <v>0.70833333333333337</v>
          </cell>
          <cell r="T212">
            <v>37816</v>
          </cell>
          <cell r="U212">
            <v>0.75</v>
          </cell>
          <cell r="V212">
            <v>37816</v>
          </cell>
          <cell r="W212">
            <v>0.75</v>
          </cell>
          <cell r="X212">
            <v>4.166666666666663E-2</v>
          </cell>
          <cell r="Y212">
            <v>4.166666666666663E-2</v>
          </cell>
          <cell r="AB212">
            <v>7</v>
          </cell>
          <cell r="AC212">
            <v>6</v>
          </cell>
          <cell r="AD212">
            <v>0</v>
          </cell>
          <cell r="BF212">
            <v>0</v>
          </cell>
          <cell r="BG212">
            <v>0</v>
          </cell>
          <cell r="BH212">
            <v>0</v>
          </cell>
          <cell r="BI212">
            <v>0</v>
          </cell>
          <cell r="BJ212">
            <v>0</v>
          </cell>
          <cell r="BK212">
            <v>0</v>
          </cell>
          <cell r="BL212">
            <v>0</v>
          </cell>
          <cell r="BM212">
            <v>0</v>
          </cell>
          <cell r="BN212">
            <v>0</v>
          </cell>
          <cell r="BO212">
            <v>0</v>
          </cell>
          <cell r="BP212">
            <v>0</v>
          </cell>
          <cell r="BQ212">
            <v>0</v>
          </cell>
          <cell r="BR212">
            <v>0</v>
          </cell>
          <cell r="BS212">
            <v>7</v>
          </cell>
          <cell r="BT212">
            <v>0</v>
          </cell>
          <cell r="BU212">
            <v>0</v>
          </cell>
          <cell r="BV212">
            <v>0</v>
          </cell>
          <cell r="BW212">
            <v>0</v>
          </cell>
          <cell r="BX212">
            <v>0</v>
          </cell>
          <cell r="BY212">
            <v>0</v>
          </cell>
          <cell r="BZ212">
            <v>0</v>
          </cell>
          <cell r="CA212">
            <v>0</v>
          </cell>
          <cell r="CB212">
            <v>0</v>
          </cell>
          <cell r="CC212">
            <v>0</v>
          </cell>
          <cell r="CD212">
            <v>0</v>
          </cell>
        </row>
        <row r="213">
          <cell r="C213">
            <v>37795</v>
          </cell>
          <cell r="D213">
            <v>37819</v>
          </cell>
          <cell r="E213">
            <v>37817</v>
          </cell>
          <cell r="F213">
            <v>0.75</v>
          </cell>
          <cell r="G213" t="str">
            <v>Perfiladora Dimeco Travesaños</v>
          </cell>
          <cell r="H213" t="str">
            <v>Chaveta do Desbobinador travada</v>
          </cell>
          <cell r="I213" t="str">
            <v>Corretiva</v>
          </cell>
          <cell r="J213" t="str">
            <v>Não</v>
          </cell>
          <cell r="K213" t="str">
            <v>Mecânica</v>
          </cell>
          <cell r="L213" t="str">
            <v>Ajuste / Regulagem</v>
          </cell>
          <cell r="M213" t="str">
            <v>Falha de Regulagem / Configuração / Dimensionamento</v>
          </cell>
          <cell r="N213">
            <v>37817</v>
          </cell>
          <cell r="O213">
            <v>0.75</v>
          </cell>
          <cell r="P213">
            <v>37817</v>
          </cell>
          <cell r="Q213">
            <v>0.75</v>
          </cell>
          <cell r="T213">
            <v>37817</v>
          </cell>
          <cell r="U213">
            <v>0.83333333333333337</v>
          </cell>
          <cell r="V213">
            <v>37817</v>
          </cell>
          <cell r="W213">
            <v>0.83333333333333337</v>
          </cell>
          <cell r="X213">
            <v>8.3333333335758653E-2</v>
          </cell>
          <cell r="Y213">
            <v>8.3333333335758653E-2</v>
          </cell>
          <cell r="AB213">
            <v>7</v>
          </cell>
          <cell r="AC213">
            <v>6</v>
          </cell>
          <cell r="AD213">
            <v>0</v>
          </cell>
          <cell r="BF213">
            <v>0</v>
          </cell>
          <cell r="BG213">
            <v>0</v>
          </cell>
          <cell r="BH213">
            <v>0</v>
          </cell>
          <cell r="BI213">
            <v>0</v>
          </cell>
          <cell r="BJ213">
            <v>0</v>
          </cell>
          <cell r="BK213">
            <v>0</v>
          </cell>
          <cell r="BL213">
            <v>0</v>
          </cell>
          <cell r="BM213">
            <v>0</v>
          </cell>
          <cell r="BN213">
            <v>0</v>
          </cell>
          <cell r="BO213">
            <v>0</v>
          </cell>
          <cell r="BP213">
            <v>0</v>
          </cell>
          <cell r="BQ213">
            <v>0</v>
          </cell>
          <cell r="BR213">
            <v>0</v>
          </cell>
          <cell r="BS213">
            <v>7</v>
          </cell>
          <cell r="BT213">
            <v>0</v>
          </cell>
          <cell r="BU213">
            <v>0</v>
          </cell>
          <cell r="BV213">
            <v>0</v>
          </cell>
          <cell r="BW213">
            <v>0</v>
          </cell>
          <cell r="BX213">
            <v>0</v>
          </cell>
          <cell r="BY213">
            <v>0</v>
          </cell>
          <cell r="BZ213">
            <v>0</v>
          </cell>
          <cell r="CA213">
            <v>0</v>
          </cell>
          <cell r="CB213">
            <v>0</v>
          </cell>
          <cell r="CC213">
            <v>0</v>
          </cell>
          <cell r="CD213">
            <v>0</v>
          </cell>
        </row>
        <row r="214">
          <cell r="C214">
            <v>37795</v>
          </cell>
          <cell r="D214">
            <v>37831</v>
          </cell>
          <cell r="E214">
            <v>37818</v>
          </cell>
          <cell r="F214">
            <v>0.33333333333333331</v>
          </cell>
          <cell r="G214" t="str">
            <v>Perfiladora Dimeco Travesaños</v>
          </cell>
          <cell r="H214" t="str">
            <v>Falha no painel Bimanual</v>
          </cell>
          <cell r="I214" t="str">
            <v>Corretiva</v>
          </cell>
          <cell r="J214" t="str">
            <v>Sim</v>
          </cell>
          <cell r="K214" t="str">
            <v>Elétrica</v>
          </cell>
          <cell r="L214" t="str">
            <v>Substituição do(s) Componente(s)</v>
          </cell>
          <cell r="M214" t="str">
            <v>Causa não especificada</v>
          </cell>
          <cell r="N214">
            <v>37818</v>
          </cell>
          <cell r="O214">
            <v>0.44444444444444442</v>
          </cell>
          <cell r="P214">
            <v>37818</v>
          </cell>
          <cell r="Q214">
            <v>0.44444444444444442</v>
          </cell>
          <cell r="T214">
            <v>37818</v>
          </cell>
          <cell r="U214">
            <v>0.4826388888888889</v>
          </cell>
          <cell r="V214">
            <v>37818</v>
          </cell>
          <cell r="W214">
            <v>0.4826388888888889</v>
          </cell>
          <cell r="X214">
            <v>3.8194444444444475E-2</v>
          </cell>
          <cell r="Y214">
            <v>3.8194444446061349E-2</v>
          </cell>
          <cell r="AB214">
            <v>7</v>
          </cell>
          <cell r="AC214">
            <v>6</v>
          </cell>
          <cell r="AD214">
            <v>0</v>
          </cell>
          <cell r="BF214">
            <v>0</v>
          </cell>
          <cell r="BG214">
            <v>0</v>
          </cell>
          <cell r="BH214">
            <v>0</v>
          </cell>
          <cell r="BI214">
            <v>0</v>
          </cell>
          <cell r="BJ214">
            <v>0</v>
          </cell>
          <cell r="BK214">
            <v>0</v>
          </cell>
          <cell r="BL214">
            <v>0</v>
          </cell>
          <cell r="BM214">
            <v>0</v>
          </cell>
          <cell r="BN214">
            <v>0</v>
          </cell>
          <cell r="BO214">
            <v>0</v>
          </cell>
          <cell r="BP214">
            <v>0</v>
          </cell>
          <cell r="BQ214">
            <v>0</v>
          </cell>
          <cell r="BR214">
            <v>0</v>
          </cell>
          <cell r="BS214">
            <v>7</v>
          </cell>
          <cell r="BT214">
            <v>0</v>
          </cell>
          <cell r="BU214">
            <v>0</v>
          </cell>
          <cell r="BV214">
            <v>0</v>
          </cell>
          <cell r="BW214">
            <v>0</v>
          </cell>
          <cell r="BX214">
            <v>0</v>
          </cell>
          <cell r="BY214">
            <v>0</v>
          </cell>
          <cell r="BZ214">
            <v>0</v>
          </cell>
          <cell r="CA214">
            <v>0</v>
          </cell>
          <cell r="CB214">
            <v>0</v>
          </cell>
          <cell r="CC214">
            <v>0</v>
          </cell>
          <cell r="CD214">
            <v>0</v>
          </cell>
        </row>
        <row r="215">
          <cell r="C215">
            <v>37795</v>
          </cell>
          <cell r="D215">
            <v>37831</v>
          </cell>
          <cell r="E215">
            <v>37818</v>
          </cell>
          <cell r="F215">
            <v>0.63194444444444442</v>
          </cell>
          <cell r="G215" t="str">
            <v>Perfiladora Dimeco Travesaños</v>
          </cell>
          <cell r="H215" t="str">
            <v>Guias do mordente mal fixadas e peça enroscando na ferramenta</v>
          </cell>
          <cell r="I215" t="str">
            <v>Corretiva</v>
          </cell>
          <cell r="J215" t="str">
            <v>Sim</v>
          </cell>
          <cell r="K215" t="str">
            <v>Mecânica</v>
          </cell>
          <cell r="L215" t="str">
            <v>Substituição do(s) Componente(s)</v>
          </cell>
          <cell r="M215" t="str">
            <v>Vibração</v>
          </cell>
          <cell r="N215">
            <v>37818</v>
          </cell>
          <cell r="O215">
            <v>0.63194444444444442</v>
          </cell>
          <cell r="P215">
            <v>37818</v>
          </cell>
          <cell r="Q215">
            <v>0.63194444444444442</v>
          </cell>
          <cell r="T215">
            <v>37818</v>
          </cell>
          <cell r="U215">
            <v>0.75</v>
          </cell>
          <cell r="V215">
            <v>37818</v>
          </cell>
          <cell r="W215">
            <v>0.75</v>
          </cell>
          <cell r="X215">
            <v>0.11805555555555558</v>
          </cell>
          <cell r="Y215">
            <v>0.11805555555555558</v>
          </cell>
          <cell r="AB215">
            <v>7</v>
          </cell>
          <cell r="AC215">
            <v>6</v>
          </cell>
          <cell r="AD215">
            <v>0</v>
          </cell>
          <cell r="BF215">
            <v>0</v>
          </cell>
          <cell r="BG215">
            <v>0</v>
          </cell>
          <cell r="BH215">
            <v>0</v>
          </cell>
          <cell r="BI215">
            <v>0</v>
          </cell>
          <cell r="BJ215">
            <v>0</v>
          </cell>
          <cell r="BK215">
            <v>0</v>
          </cell>
          <cell r="BL215">
            <v>0</v>
          </cell>
          <cell r="BM215">
            <v>0</v>
          </cell>
          <cell r="BN215">
            <v>0</v>
          </cell>
          <cell r="BO215">
            <v>0</v>
          </cell>
          <cell r="BP215">
            <v>0</v>
          </cell>
          <cell r="BQ215">
            <v>0</v>
          </cell>
          <cell r="BR215">
            <v>0</v>
          </cell>
          <cell r="BS215">
            <v>7</v>
          </cell>
          <cell r="BT215">
            <v>0</v>
          </cell>
          <cell r="BU215">
            <v>0</v>
          </cell>
          <cell r="BV215">
            <v>0</v>
          </cell>
          <cell r="BW215">
            <v>0</v>
          </cell>
          <cell r="BX215">
            <v>0</v>
          </cell>
          <cell r="BY215">
            <v>0</v>
          </cell>
          <cell r="BZ215">
            <v>0</v>
          </cell>
          <cell r="CA215">
            <v>0</v>
          </cell>
          <cell r="CB215">
            <v>0</v>
          </cell>
          <cell r="CC215">
            <v>0</v>
          </cell>
          <cell r="CD215">
            <v>0</v>
          </cell>
        </row>
        <row r="216">
          <cell r="C216">
            <v>37795</v>
          </cell>
          <cell r="D216">
            <v>37824</v>
          </cell>
          <cell r="E216">
            <v>37818</v>
          </cell>
          <cell r="F216">
            <v>0.53819444444444442</v>
          </cell>
          <cell r="G216" t="str">
            <v>Perfiladora Dimeco Travesaños</v>
          </cell>
          <cell r="H216" t="str">
            <v>Problema no Motor do Sistema Hidráulico</v>
          </cell>
          <cell r="I216" t="str">
            <v>Corretiva</v>
          </cell>
          <cell r="J216" t="str">
            <v>Não</v>
          </cell>
          <cell r="K216" t="str">
            <v>Elétrica</v>
          </cell>
          <cell r="L216" t="str">
            <v>Rearme do relé térmico</v>
          </cell>
          <cell r="M216" t="str">
            <v>Sobrecarga</v>
          </cell>
          <cell r="N216">
            <v>37824</v>
          </cell>
          <cell r="O216">
            <v>0.54166666666666663</v>
          </cell>
          <cell r="P216">
            <v>37824</v>
          </cell>
          <cell r="Q216">
            <v>0.54166666666666663</v>
          </cell>
          <cell r="T216">
            <v>37824</v>
          </cell>
          <cell r="U216">
            <v>0.54861111111111105</v>
          </cell>
          <cell r="V216">
            <v>37824</v>
          </cell>
          <cell r="W216">
            <v>0.54861111111111105</v>
          </cell>
          <cell r="X216">
            <v>6.9444444444444198E-3</v>
          </cell>
          <cell r="Y216">
            <v>6.944444442827602E-3</v>
          </cell>
          <cell r="AB216">
            <v>7</v>
          </cell>
          <cell r="AC216">
            <v>6</v>
          </cell>
          <cell r="AD216">
            <v>0</v>
          </cell>
          <cell r="BF216">
            <v>0</v>
          </cell>
          <cell r="BG216">
            <v>0</v>
          </cell>
          <cell r="BH216">
            <v>0</v>
          </cell>
          <cell r="BI216">
            <v>0</v>
          </cell>
          <cell r="BJ216">
            <v>0</v>
          </cell>
          <cell r="BK216">
            <v>0</v>
          </cell>
          <cell r="BL216">
            <v>0</v>
          </cell>
          <cell r="BM216">
            <v>0</v>
          </cell>
          <cell r="BN216">
            <v>0</v>
          </cell>
          <cell r="BO216">
            <v>0</v>
          </cell>
          <cell r="BP216">
            <v>0</v>
          </cell>
          <cell r="BQ216">
            <v>0</v>
          </cell>
          <cell r="BR216">
            <v>0</v>
          </cell>
          <cell r="BS216">
            <v>7</v>
          </cell>
          <cell r="BT216">
            <v>0</v>
          </cell>
          <cell r="BU216">
            <v>0</v>
          </cell>
          <cell r="BV216">
            <v>0</v>
          </cell>
          <cell r="BW216">
            <v>0</v>
          </cell>
          <cell r="BX216">
            <v>0</v>
          </cell>
          <cell r="BY216">
            <v>0</v>
          </cell>
          <cell r="BZ216">
            <v>0</v>
          </cell>
          <cell r="CA216">
            <v>0</v>
          </cell>
          <cell r="CB216">
            <v>0</v>
          </cell>
          <cell r="CC216">
            <v>0</v>
          </cell>
          <cell r="CD216">
            <v>0</v>
          </cell>
        </row>
        <row r="217">
          <cell r="C217">
            <v>37798</v>
          </cell>
          <cell r="I217">
            <v>0</v>
          </cell>
          <cell r="N217">
            <v>0</v>
          </cell>
          <cell r="P217">
            <v>0</v>
          </cell>
          <cell r="T217">
            <v>0</v>
          </cell>
          <cell r="V217">
            <v>0</v>
          </cell>
          <cell r="W217">
            <v>0</v>
          </cell>
          <cell r="X217">
            <v>0</v>
          </cell>
          <cell r="Y217">
            <v>0</v>
          </cell>
          <cell r="AB217">
            <v>0</v>
          </cell>
          <cell r="AC217">
            <v>6</v>
          </cell>
          <cell r="AD217">
            <v>0</v>
          </cell>
          <cell r="BF217">
            <v>0</v>
          </cell>
          <cell r="BG217">
            <v>0</v>
          </cell>
          <cell r="BH217">
            <v>0</v>
          </cell>
          <cell r="BI217">
            <v>0</v>
          </cell>
          <cell r="BJ217">
            <v>0</v>
          </cell>
          <cell r="BK217">
            <v>0</v>
          </cell>
          <cell r="BL217">
            <v>0</v>
          </cell>
          <cell r="BM217">
            <v>0</v>
          </cell>
          <cell r="BN217">
            <v>0</v>
          </cell>
          <cell r="BO217">
            <v>0</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row>
        <row r="218">
          <cell r="C218">
            <v>37798</v>
          </cell>
          <cell r="D218">
            <v>37970</v>
          </cell>
          <cell r="E218">
            <v>37797</v>
          </cell>
          <cell r="F218">
            <v>37797</v>
          </cell>
          <cell r="G218">
            <v>0.54166666666666663</v>
          </cell>
          <cell r="H218" t="str">
            <v>Desarme constante do Cortador</v>
          </cell>
          <cell r="I218">
            <v>0</v>
          </cell>
          <cell r="J218" t="str">
            <v>Sim</v>
          </cell>
          <cell r="K218" t="str">
            <v>Mecânica</v>
          </cell>
          <cell r="L218" t="str">
            <v>Sim</v>
          </cell>
          <cell r="M218" t="str">
            <v>Desgaste / Fadiga</v>
          </cell>
          <cell r="N218">
            <v>37797</v>
          </cell>
          <cell r="O218">
            <v>0.58333333333333337</v>
          </cell>
          <cell r="P218">
            <v>37797</v>
          </cell>
          <cell r="Q218">
            <v>0.58333333333333337</v>
          </cell>
          <cell r="T218">
            <v>37797</v>
          </cell>
          <cell r="U218">
            <v>0.625</v>
          </cell>
          <cell r="V218">
            <v>37797</v>
          </cell>
          <cell r="W218">
            <v>0.625</v>
          </cell>
          <cell r="X218">
            <v>4.166666666666663E-2</v>
          </cell>
          <cell r="Y218">
            <v>4.166666666666663E-2</v>
          </cell>
          <cell r="AB218">
            <v>6</v>
          </cell>
          <cell r="AC218">
            <v>6</v>
          </cell>
          <cell r="AD218">
            <v>0</v>
          </cell>
          <cell r="BF218">
            <v>0</v>
          </cell>
          <cell r="BG218">
            <v>0</v>
          </cell>
          <cell r="BH218">
            <v>0</v>
          </cell>
          <cell r="BI218">
            <v>0</v>
          </cell>
          <cell r="BJ218">
            <v>0</v>
          </cell>
          <cell r="BK218">
            <v>0</v>
          </cell>
          <cell r="BL218">
            <v>0</v>
          </cell>
          <cell r="BM218">
            <v>0</v>
          </cell>
          <cell r="BN218">
            <v>0</v>
          </cell>
          <cell r="BO218">
            <v>0</v>
          </cell>
          <cell r="BP218">
            <v>0</v>
          </cell>
          <cell r="BQ218">
            <v>0</v>
          </cell>
          <cell r="BR218">
            <v>0</v>
          </cell>
          <cell r="BS218">
            <v>0</v>
          </cell>
          <cell r="BT218">
            <v>0</v>
          </cell>
          <cell r="BU218">
            <v>0</v>
          </cell>
          <cell r="BV218">
            <v>6</v>
          </cell>
          <cell r="BW218">
            <v>0</v>
          </cell>
          <cell r="BX218">
            <v>0</v>
          </cell>
          <cell r="BY218">
            <v>0</v>
          </cell>
          <cell r="BZ218">
            <v>0</v>
          </cell>
          <cell r="CA218">
            <v>0</v>
          </cell>
          <cell r="CB218">
            <v>0</v>
          </cell>
          <cell r="CC218">
            <v>0</v>
          </cell>
          <cell r="CD218">
            <v>0</v>
          </cell>
        </row>
        <row r="219">
          <cell r="C219">
            <v>37798</v>
          </cell>
          <cell r="D219">
            <v>37803</v>
          </cell>
          <cell r="E219">
            <v>37797</v>
          </cell>
          <cell r="F219">
            <v>0.54166666666666663</v>
          </cell>
          <cell r="G219" t="str">
            <v>Perfiladora Gasparini</v>
          </cell>
          <cell r="H219" t="str">
            <v>Freio do Desbobinador não funciona corretamente</v>
          </cell>
          <cell r="I219" t="str">
            <v>Corretiva</v>
          </cell>
          <cell r="J219" t="str">
            <v>Não</v>
          </cell>
          <cell r="K219" t="str">
            <v>Mecânica</v>
          </cell>
          <cell r="L219" t="str">
            <v>Sistema de Freio OK, mas havia muitos danos no rolo de entrada</v>
          </cell>
          <cell r="M219" t="str">
            <v>Defeito de Fabricação</v>
          </cell>
          <cell r="N219">
            <v>37802</v>
          </cell>
          <cell r="O219">
            <v>0.5</v>
          </cell>
          <cell r="P219">
            <v>37802</v>
          </cell>
          <cell r="Q219">
            <v>0.5</v>
          </cell>
          <cell r="T219">
            <v>37802</v>
          </cell>
          <cell r="U219">
            <v>0.58333333333333337</v>
          </cell>
          <cell r="V219">
            <v>37802</v>
          </cell>
          <cell r="W219">
            <v>0.58333333333333337</v>
          </cell>
          <cell r="X219">
            <v>8.3333333335758653E-2</v>
          </cell>
          <cell r="Y219">
            <v>8.3333333335758653E-2</v>
          </cell>
          <cell r="AB219">
            <v>6</v>
          </cell>
          <cell r="AC219">
            <v>6</v>
          </cell>
          <cell r="AD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6</v>
          </cell>
          <cell r="BW219">
            <v>0</v>
          </cell>
          <cell r="BX219">
            <v>0</v>
          </cell>
          <cell r="BY219">
            <v>0</v>
          </cell>
          <cell r="BZ219">
            <v>0</v>
          </cell>
          <cell r="CA219">
            <v>0</v>
          </cell>
          <cell r="CB219">
            <v>0</v>
          </cell>
          <cell r="CC219">
            <v>0</v>
          </cell>
          <cell r="CD219">
            <v>0</v>
          </cell>
        </row>
        <row r="220">
          <cell r="C220">
            <v>37798</v>
          </cell>
          <cell r="D220">
            <v>37806</v>
          </cell>
          <cell r="E220">
            <v>37797</v>
          </cell>
          <cell r="F220">
            <v>0.54166666666666663</v>
          </cell>
          <cell r="G220" t="str">
            <v>Perfiladora Gasparini</v>
          </cell>
          <cell r="H220" t="str">
            <v>Parafuso do braço do Desbobinador deformado</v>
          </cell>
          <cell r="I220" t="str">
            <v>Corretiva</v>
          </cell>
          <cell r="J220" t="str">
            <v>Não</v>
          </cell>
          <cell r="K220" t="str">
            <v>Mecânica</v>
          </cell>
          <cell r="L220" t="str">
            <v>Substituição do(s) Componente(s)</v>
          </cell>
          <cell r="M220" t="str">
            <v>Defeito de Fabricação</v>
          </cell>
          <cell r="N220">
            <v>37802</v>
          </cell>
          <cell r="O220">
            <v>0.625</v>
          </cell>
          <cell r="P220">
            <v>37802</v>
          </cell>
          <cell r="Q220">
            <v>0.625</v>
          </cell>
          <cell r="T220">
            <v>37802</v>
          </cell>
          <cell r="U220">
            <v>0.6875</v>
          </cell>
          <cell r="V220">
            <v>37802</v>
          </cell>
          <cell r="W220">
            <v>0.6875</v>
          </cell>
          <cell r="X220">
            <v>6.25E-2</v>
          </cell>
          <cell r="Y220">
            <v>6.25E-2</v>
          </cell>
          <cell r="AB220">
            <v>6</v>
          </cell>
          <cell r="AC220">
            <v>6</v>
          </cell>
          <cell r="AD220">
            <v>0</v>
          </cell>
          <cell r="BF220">
            <v>0</v>
          </cell>
          <cell r="BG220">
            <v>0</v>
          </cell>
          <cell r="BH220">
            <v>0</v>
          </cell>
          <cell r="BI220">
            <v>0</v>
          </cell>
          <cell r="BJ220">
            <v>0</v>
          </cell>
          <cell r="BK220">
            <v>0</v>
          </cell>
          <cell r="BL220">
            <v>0</v>
          </cell>
          <cell r="BM220">
            <v>0</v>
          </cell>
          <cell r="BN220">
            <v>0</v>
          </cell>
          <cell r="BO220">
            <v>0</v>
          </cell>
          <cell r="BP220">
            <v>0</v>
          </cell>
          <cell r="BQ220">
            <v>0</v>
          </cell>
          <cell r="BR220">
            <v>0</v>
          </cell>
          <cell r="BS220">
            <v>0</v>
          </cell>
          <cell r="BT220">
            <v>0</v>
          </cell>
          <cell r="BU220">
            <v>0</v>
          </cell>
          <cell r="BV220">
            <v>6</v>
          </cell>
          <cell r="BW220">
            <v>0</v>
          </cell>
          <cell r="BX220">
            <v>0</v>
          </cell>
          <cell r="BY220">
            <v>0</v>
          </cell>
          <cell r="BZ220">
            <v>0</v>
          </cell>
          <cell r="CA220">
            <v>0</v>
          </cell>
          <cell r="CB220">
            <v>0</v>
          </cell>
          <cell r="CC220">
            <v>0</v>
          </cell>
          <cell r="CD220">
            <v>0</v>
          </cell>
        </row>
        <row r="221">
          <cell r="C221">
            <v>37798</v>
          </cell>
          <cell r="D221">
            <v>37873</v>
          </cell>
          <cell r="E221">
            <v>37798</v>
          </cell>
          <cell r="F221">
            <v>0.54166666666666663</v>
          </cell>
          <cell r="G221" t="str">
            <v>Perfiladora Gasparini</v>
          </cell>
          <cell r="H221" t="str">
            <v>Rolo de Alinhamento danificado</v>
          </cell>
          <cell r="I221" t="str">
            <v>Corretiva</v>
          </cell>
          <cell r="J221" t="str">
            <v>Não</v>
          </cell>
          <cell r="K221" t="str">
            <v>Mecânica</v>
          </cell>
          <cell r="L221" t="str">
            <v>Substituição do(s) Componente(s)</v>
          </cell>
          <cell r="M221" t="str">
            <v>Defeito de Fabricação</v>
          </cell>
          <cell r="N221">
            <v>37799</v>
          </cell>
          <cell r="O221">
            <v>0.375</v>
          </cell>
          <cell r="P221">
            <v>37799</v>
          </cell>
          <cell r="Q221">
            <v>0.39583333333333331</v>
          </cell>
          <cell r="R221">
            <v>37822</v>
          </cell>
          <cell r="S221">
            <v>0.625</v>
          </cell>
          <cell r="T221">
            <v>37822</v>
          </cell>
          <cell r="U221">
            <v>0.66666666666666663</v>
          </cell>
          <cell r="V221">
            <v>0</v>
          </cell>
          <cell r="W221">
            <v>6.2499999999999944E-2</v>
          </cell>
          <cell r="X221">
            <v>6.2499999999999944E-2</v>
          </cell>
          <cell r="Y221" t="str">
            <v>Material na Garantia</v>
          </cell>
          <cell r="AB221">
            <v>7</v>
          </cell>
          <cell r="AC221">
            <v>6</v>
          </cell>
          <cell r="AD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7</v>
          </cell>
          <cell r="BW221">
            <v>0</v>
          </cell>
          <cell r="BX221">
            <v>0</v>
          </cell>
          <cell r="BY221">
            <v>0</v>
          </cell>
          <cell r="BZ221">
            <v>0</v>
          </cell>
          <cell r="CA221">
            <v>0</v>
          </cell>
          <cell r="CB221">
            <v>0</v>
          </cell>
          <cell r="CC221">
            <v>0</v>
          </cell>
          <cell r="CD221">
            <v>0</v>
          </cell>
        </row>
        <row r="222">
          <cell r="C222">
            <v>37798</v>
          </cell>
          <cell r="D222">
            <v>37803</v>
          </cell>
          <cell r="E222">
            <v>37798</v>
          </cell>
          <cell r="F222">
            <v>0.70833333333333337</v>
          </cell>
          <cell r="G222" t="str">
            <v>Perfiladora Gasparini</v>
          </cell>
          <cell r="H222" t="str">
            <v>Roscas do Parafuso das Roldanas danificadas (03 peças)</v>
          </cell>
          <cell r="I222" t="str">
            <v>Corretiva</v>
          </cell>
          <cell r="J222" t="str">
            <v>Não</v>
          </cell>
          <cell r="K222" t="str">
            <v>Mecânica</v>
          </cell>
          <cell r="L222" t="str">
            <v>Reparo</v>
          </cell>
          <cell r="M222" t="str">
            <v>Defeito de Fabricação</v>
          </cell>
          <cell r="N222">
            <v>37798</v>
          </cell>
          <cell r="O222">
            <v>0.375</v>
          </cell>
          <cell r="P222">
            <v>37798</v>
          </cell>
          <cell r="Q222">
            <v>0.375</v>
          </cell>
          <cell r="T222">
            <v>37798</v>
          </cell>
          <cell r="U222">
            <v>0.47916666666666669</v>
          </cell>
          <cell r="V222">
            <v>37798</v>
          </cell>
          <cell r="W222">
            <v>0.47916666666666669</v>
          </cell>
          <cell r="X222">
            <v>0.10416666666424135</v>
          </cell>
          <cell r="Y222">
            <v>0.10416666666424135</v>
          </cell>
          <cell r="AB222">
            <v>6</v>
          </cell>
          <cell r="AC222">
            <v>6</v>
          </cell>
          <cell r="AD222">
            <v>0</v>
          </cell>
          <cell r="BF222">
            <v>0</v>
          </cell>
          <cell r="BG222">
            <v>0</v>
          </cell>
          <cell r="BH222">
            <v>0</v>
          </cell>
          <cell r="BI222">
            <v>0</v>
          </cell>
          <cell r="BJ222">
            <v>0</v>
          </cell>
          <cell r="BK222">
            <v>0</v>
          </cell>
          <cell r="BL222">
            <v>0</v>
          </cell>
          <cell r="BM222">
            <v>0</v>
          </cell>
          <cell r="BN222">
            <v>0</v>
          </cell>
          <cell r="BO222">
            <v>0</v>
          </cell>
          <cell r="BP222">
            <v>0</v>
          </cell>
          <cell r="BQ222">
            <v>0</v>
          </cell>
          <cell r="BR222">
            <v>0</v>
          </cell>
          <cell r="BS222">
            <v>0</v>
          </cell>
          <cell r="BT222">
            <v>0</v>
          </cell>
          <cell r="BU222">
            <v>0</v>
          </cell>
          <cell r="BV222">
            <v>6</v>
          </cell>
          <cell r="BW222">
            <v>0</v>
          </cell>
          <cell r="BX222">
            <v>0</v>
          </cell>
          <cell r="BY222">
            <v>0</v>
          </cell>
          <cell r="BZ222">
            <v>0</v>
          </cell>
          <cell r="CA222">
            <v>0</v>
          </cell>
          <cell r="CB222">
            <v>0</v>
          </cell>
          <cell r="CC222">
            <v>0</v>
          </cell>
          <cell r="CD222">
            <v>0</v>
          </cell>
        </row>
        <row r="223">
          <cell r="C223">
            <v>37798</v>
          </cell>
          <cell r="D223">
            <v>37803</v>
          </cell>
          <cell r="E223">
            <v>37798</v>
          </cell>
          <cell r="F223">
            <v>0.58333333333333337</v>
          </cell>
          <cell r="G223" t="str">
            <v>Perfiladora Gasparini</v>
          </cell>
          <cell r="H223" t="str">
            <v>Parafuso do Rolo Guia da Perfiladora está quebrado</v>
          </cell>
          <cell r="I223" t="str">
            <v>Corretiva</v>
          </cell>
          <cell r="J223" t="str">
            <v>Não</v>
          </cell>
          <cell r="K223" t="str">
            <v>Mecânica</v>
          </cell>
          <cell r="L223" t="str">
            <v>Substituição do(s) Componente(s)</v>
          </cell>
          <cell r="M223" t="str">
            <v>Falha de Regulagem / Configuração / Dimensionamento</v>
          </cell>
          <cell r="N223">
            <v>37799</v>
          </cell>
          <cell r="O223">
            <v>0.45833333333333331</v>
          </cell>
          <cell r="P223">
            <v>37799</v>
          </cell>
          <cell r="Q223">
            <v>0.45833333333333331</v>
          </cell>
          <cell r="T223">
            <v>37799</v>
          </cell>
          <cell r="U223">
            <v>0.53125</v>
          </cell>
          <cell r="V223">
            <v>37799</v>
          </cell>
          <cell r="W223">
            <v>0.53125</v>
          </cell>
          <cell r="X223">
            <v>7.2916666666666685E-2</v>
          </cell>
          <cell r="Y223">
            <v>7.2916666666666685E-2</v>
          </cell>
          <cell r="AB223">
            <v>6</v>
          </cell>
          <cell r="AC223">
            <v>6</v>
          </cell>
          <cell r="AD223">
            <v>0</v>
          </cell>
          <cell r="BF223">
            <v>0</v>
          </cell>
          <cell r="BG223">
            <v>0</v>
          </cell>
          <cell r="BH223">
            <v>0</v>
          </cell>
          <cell r="BI223">
            <v>0</v>
          </cell>
          <cell r="BJ223">
            <v>0</v>
          </cell>
          <cell r="BK223">
            <v>0</v>
          </cell>
          <cell r="BL223">
            <v>0</v>
          </cell>
          <cell r="BM223">
            <v>0</v>
          </cell>
          <cell r="BN223">
            <v>0</v>
          </cell>
          <cell r="BO223">
            <v>0</v>
          </cell>
          <cell r="BP223">
            <v>0</v>
          </cell>
          <cell r="BQ223">
            <v>0</v>
          </cell>
          <cell r="BR223">
            <v>0</v>
          </cell>
          <cell r="BS223">
            <v>0</v>
          </cell>
          <cell r="BT223">
            <v>0</v>
          </cell>
          <cell r="BU223">
            <v>0</v>
          </cell>
          <cell r="BV223">
            <v>6</v>
          </cell>
          <cell r="BW223">
            <v>0</v>
          </cell>
          <cell r="BX223">
            <v>0</v>
          </cell>
          <cell r="BY223">
            <v>0</v>
          </cell>
          <cell r="BZ223">
            <v>0</v>
          </cell>
          <cell r="CA223">
            <v>0</v>
          </cell>
          <cell r="CB223">
            <v>0</v>
          </cell>
          <cell r="CC223">
            <v>0</v>
          </cell>
          <cell r="CD223">
            <v>0</v>
          </cell>
        </row>
        <row r="224">
          <cell r="C224">
            <v>37798</v>
          </cell>
          <cell r="I224">
            <v>0</v>
          </cell>
          <cell r="N224">
            <v>0</v>
          </cell>
          <cell r="P224">
            <v>0</v>
          </cell>
          <cell r="T224">
            <v>0</v>
          </cell>
          <cell r="V224">
            <v>0</v>
          </cell>
          <cell r="W224">
            <v>0</v>
          </cell>
          <cell r="X224">
            <v>0</v>
          </cell>
          <cell r="Y224">
            <v>0</v>
          </cell>
          <cell r="AB224">
            <v>0</v>
          </cell>
          <cell r="AC224">
            <v>6</v>
          </cell>
          <cell r="AD224">
            <v>0</v>
          </cell>
          <cell r="BF224">
            <v>0</v>
          </cell>
          <cell r="BG224">
            <v>0</v>
          </cell>
          <cell r="BH224">
            <v>0</v>
          </cell>
          <cell r="BI224">
            <v>0</v>
          </cell>
          <cell r="BJ224">
            <v>0</v>
          </cell>
          <cell r="BK224">
            <v>0</v>
          </cell>
          <cell r="BL224">
            <v>0</v>
          </cell>
          <cell r="BM224">
            <v>0</v>
          </cell>
          <cell r="BN224">
            <v>0</v>
          </cell>
          <cell r="BO224">
            <v>0</v>
          </cell>
          <cell r="BP224">
            <v>0</v>
          </cell>
          <cell r="BQ224">
            <v>0</v>
          </cell>
          <cell r="BR224">
            <v>0</v>
          </cell>
          <cell r="BS224">
            <v>0</v>
          </cell>
          <cell r="BT224">
            <v>0</v>
          </cell>
          <cell r="BU224">
            <v>0</v>
          </cell>
          <cell r="BV224">
            <v>0</v>
          </cell>
          <cell r="BW224">
            <v>0</v>
          </cell>
          <cell r="BX224">
            <v>0</v>
          </cell>
          <cell r="BY224">
            <v>0</v>
          </cell>
          <cell r="BZ224">
            <v>0</v>
          </cell>
          <cell r="CA224">
            <v>0</v>
          </cell>
          <cell r="CB224">
            <v>0</v>
          </cell>
          <cell r="CC224">
            <v>0</v>
          </cell>
          <cell r="CD224">
            <v>0</v>
          </cell>
        </row>
        <row r="225">
          <cell r="C225">
            <v>37798</v>
          </cell>
          <cell r="D225">
            <v>37881</v>
          </cell>
          <cell r="E225">
            <v>37810</v>
          </cell>
          <cell r="F225">
            <v>0.33333333333333331</v>
          </cell>
          <cell r="G225" t="str">
            <v>Perfiladora Gasparini</v>
          </cell>
          <cell r="H225" t="str">
            <v>Mesa coletora do perfil danificada</v>
          </cell>
          <cell r="I225" t="str">
            <v>Corretiva</v>
          </cell>
          <cell r="J225" t="str">
            <v>Não</v>
          </cell>
          <cell r="K225" t="str">
            <v>Mecânica</v>
          </cell>
          <cell r="L225" t="str">
            <v>Reparo</v>
          </cell>
          <cell r="M225" t="str">
            <v>Falha Operacional</v>
          </cell>
          <cell r="N225">
            <v>37851</v>
          </cell>
          <cell r="O225">
            <v>0.875</v>
          </cell>
          <cell r="P225">
            <v>37851</v>
          </cell>
          <cell r="Q225">
            <v>0.875</v>
          </cell>
          <cell r="T225">
            <v>37851</v>
          </cell>
          <cell r="U225">
            <v>0.96875</v>
          </cell>
          <cell r="V225">
            <v>37851</v>
          </cell>
          <cell r="W225">
            <v>0.96875</v>
          </cell>
          <cell r="X225">
            <v>9.375E-2</v>
          </cell>
          <cell r="Y225">
            <v>9.375E-2</v>
          </cell>
          <cell r="AB225">
            <v>8</v>
          </cell>
          <cell r="AC225">
            <v>6</v>
          </cell>
          <cell r="AD225">
            <v>0</v>
          </cell>
          <cell r="BF225">
            <v>0</v>
          </cell>
          <cell r="BG225">
            <v>0</v>
          </cell>
          <cell r="BH225">
            <v>0</v>
          </cell>
          <cell r="BI225">
            <v>0</v>
          </cell>
          <cell r="BJ225">
            <v>0</v>
          </cell>
          <cell r="BK225">
            <v>0</v>
          </cell>
          <cell r="BL225">
            <v>0</v>
          </cell>
          <cell r="BM225">
            <v>0</v>
          </cell>
          <cell r="BN225">
            <v>0</v>
          </cell>
          <cell r="BO225">
            <v>0</v>
          </cell>
          <cell r="BP225">
            <v>0</v>
          </cell>
          <cell r="BQ225">
            <v>0</v>
          </cell>
          <cell r="BR225">
            <v>0</v>
          </cell>
          <cell r="BS225">
            <v>0</v>
          </cell>
          <cell r="BT225">
            <v>0</v>
          </cell>
          <cell r="BU225">
            <v>0</v>
          </cell>
          <cell r="BV225">
            <v>8</v>
          </cell>
          <cell r="BW225">
            <v>0</v>
          </cell>
          <cell r="BX225">
            <v>0</v>
          </cell>
          <cell r="BY225">
            <v>0</v>
          </cell>
          <cell r="BZ225">
            <v>0</v>
          </cell>
          <cell r="CA225">
            <v>0</v>
          </cell>
          <cell r="CB225">
            <v>0</v>
          </cell>
          <cell r="CC225">
            <v>0</v>
          </cell>
          <cell r="CD225">
            <v>0</v>
          </cell>
        </row>
        <row r="226">
          <cell r="C226">
            <v>37798</v>
          </cell>
          <cell r="D226">
            <v>37819</v>
          </cell>
          <cell r="E226">
            <v>37810</v>
          </cell>
          <cell r="F226">
            <v>0.33333333333333331</v>
          </cell>
          <cell r="G226" t="str">
            <v>Perfiladora Gasparini</v>
          </cell>
          <cell r="H226" t="str">
            <v>Cabos e calhas que passam por baixo da mesa do coletor estão danificados</v>
          </cell>
          <cell r="I226" t="str">
            <v>Corretiva</v>
          </cell>
          <cell r="J226" t="str">
            <v>Sim</v>
          </cell>
          <cell r="K226" t="str">
            <v>Elétrica</v>
          </cell>
          <cell r="L226" t="str">
            <v>Substituição do(s) Componente(s)</v>
          </cell>
          <cell r="M226" t="str">
            <v>Falha Operacional</v>
          </cell>
          <cell r="N226">
            <v>37810</v>
          </cell>
          <cell r="O226">
            <v>0.34375</v>
          </cell>
          <cell r="P226">
            <v>37810</v>
          </cell>
          <cell r="Q226">
            <v>0.34375</v>
          </cell>
          <cell r="T226">
            <v>37810</v>
          </cell>
          <cell r="U226">
            <v>0.41666666666666669</v>
          </cell>
          <cell r="V226">
            <v>37810</v>
          </cell>
          <cell r="W226">
            <v>0.41666666666666669</v>
          </cell>
          <cell r="X226">
            <v>7.2916666666666685E-2</v>
          </cell>
          <cell r="Y226">
            <v>7.2916666664241347E-2</v>
          </cell>
          <cell r="AB226">
            <v>7</v>
          </cell>
          <cell r="AC226">
            <v>6</v>
          </cell>
          <cell r="AD226">
            <v>0</v>
          </cell>
          <cell r="BF226">
            <v>0</v>
          </cell>
          <cell r="BG226">
            <v>0</v>
          </cell>
          <cell r="BH226">
            <v>0</v>
          </cell>
          <cell r="BI226">
            <v>0</v>
          </cell>
          <cell r="BJ226">
            <v>0</v>
          </cell>
          <cell r="BK226">
            <v>0</v>
          </cell>
          <cell r="BL226">
            <v>0</v>
          </cell>
          <cell r="BM226">
            <v>0</v>
          </cell>
          <cell r="BN226">
            <v>0</v>
          </cell>
          <cell r="BO226">
            <v>0</v>
          </cell>
          <cell r="BP226">
            <v>0</v>
          </cell>
          <cell r="BQ226">
            <v>0</v>
          </cell>
          <cell r="BR226">
            <v>0</v>
          </cell>
          <cell r="BS226">
            <v>0</v>
          </cell>
          <cell r="BT226">
            <v>0</v>
          </cell>
          <cell r="BU226">
            <v>0</v>
          </cell>
          <cell r="BV226">
            <v>7</v>
          </cell>
          <cell r="BW226">
            <v>0</v>
          </cell>
          <cell r="BX226">
            <v>0</v>
          </cell>
          <cell r="BY226">
            <v>0</v>
          </cell>
          <cell r="BZ226">
            <v>0</v>
          </cell>
          <cell r="CA226">
            <v>0</v>
          </cell>
          <cell r="CB226">
            <v>0</v>
          </cell>
          <cell r="CC226">
            <v>0</v>
          </cell>
          <cell r="CD226">
            <v>0</v>
          </cell>
        </row>
        <row r="227">
          <cell r="C227">
            <v>37798</v>
          </cell>
          <cell r="D227">
            <v>37838</v>
          </cell>
          <cell r="E227">
            <v>37834</v>
          </cell>
          <cell r="F227">
            <v>0.625</v>
          </cell>
          <cell r="G227" t="str">
            <v>Perfiladora Fagor Largueros</v>
          </cell>
          <cell r="H227" t="str">
            <v>Guia de chapa está quebrada</v>
          </cell>
          <cell r="I227" t="str">
            <v>Corretiva</v>
          </cell>
          <cell r="J227" t="str">
            <v>Sim</v>
          </cell>
          <cell r="K227" t="str">
            <v>Mecânica</v>
          </cell>
          <cell r="L227" t="str">
            <v>Substituição do(s) Componente(s)</v>
          </cell>
          <cell r="M227" t="str">
            <v>Falha de Comando / Sistema</v>
          </cell>
          <cell r="N227">
            <v>37834</v>
          </cell>
          <cell r="O227">
            <v>0.625</v>
          </cell>
          <cell r="P227">
            <v>37834</v>
          </cell>
          <cell r="Q227">
            <v>0.625</v>
          </cell>
          <cell r="T227">
            <v>37834</v>
          </cell>
          <cell r="U227">
            <v>0.75</v>
          </cell>
          <cell r="V227">
            <v>37834</v>
          </cell>
          <cell r="W227">
            <v>0.75</v>
          </cell>
          <cell r="X227">
            <v>0.125</v>
          </cell>
          <cell r="Y227">
            <v>0.125</v>
          </cell>
          <cell r="AB227">
            <v>8</v>
          </cell>
          <cell r="AC227">
            <v>6</v>
          </cell>
          <cell r="AD227">
            <v>0</v>
          </cell>
          <cell r="BF227">
            <v>0</v>
          </cell>
          <cell r="BG227">
            <v>0</v>
          </cell>
          <cell r="BH227">
            <v>0</v>
          </cell>
          <cell r="BI227">
            <v>0</v>
          </cell>
          <cell r="BJ227">
            <v>0</v>
          </cell>
          <cell r="BK227">
            <v>0</v>
          </cell>
          <cell r="BL227">
            <v>0</v>
          </cell>
          <cell r="BM227">
            <v>0</v>
          </cell>
          <cell r="BN227">
            <v>0</v>
          </cell>
          <cell r="BO227">
            <v>0</v>
          </cell>
          <cell r="BP227">
            <v>0</v>
          </cell>
          <cell r="BQ227">
            <v>0</v>
          </cell>
          <cell r="BR227">
            <v>0</v>
          </cell>
          <cell r="BS227">
            <v>0</v>
          </cell>
          <cell r="BT227">
            <v>8</v>
          </cell>
          <cell r="BU227">
            <v>0</v>
          </cell>
          <cell r="BV227">
            <v>0</v>
          </cell>
          <cell r="BW227">
            <v>0</v>
          </cell>
          <cell r="BX227">
            <v>0</v>
          </cell>
          <cell r="BY227">
            <v>0</v>
          </cell>
          <cell r="BZ227">
            <v>0</v>
          </cell>
          <cell r="CA227">
            <v>0</v>
          </cell>
          <cell r="CB227">
            <v>0</v>
          </cell>
          <cell r="CC227">
            <v>0</v>
          </cell>
          <cell r="CD227">
            <v>0</v>
          </cell>
        </row>
        <row r="228">
          <cell r="C228">
            <v>37798</v>
          </cell>
          <cell r="D228">
            <v>37858</v>
          </cell>
          <cell r="E228">
            <v>37848</v>
          </cell>
          <cell r="F228">
            <v>0.66666666666666663</v>
          </cell>
          <cell r="G228" t="str">
            <v>Perfiladora Fagor Largueros</v>
          </cell>
          <cell r="H228" t="str">
            <v>Parafusos de sustentação da Guia estão quebrados</v>
          </cell>
          <cell r="I228" t="str">
            <v>Corretiva</v>
          </cell>
          <cell r="J228" t="str">
            <v>Não</v>
          </cell>
          <cell r="K228" t="str">
            <v>Mecânica</v>
          </cell>
          <cell r="L228" t="str">
            <v>Substituição do(s) Componente(s)</v>
          </cell>
          <cell r="M228" t="str">
            <v>Falha de Comando / Sistema</v>
          </cell>
          <cell r="N228">
            <v>37848</v>
          </cell>
          <cell r="O228">
            <v>0.66666666666666663</v>
          </cell>
          <cell r="P228">
            <v>37848</v>
          </cell>
          <cell r="Q228">
            <v>0.66666666666666663</v>
          </cell>
          <cell r="T228">
            <v>37848</v>
          </cell>
          <cell r="U228">
            <v>0.69444444444444453</v>
          </cell>
          <cell r="V228">
            <v>37848</v>
          </cell>
          <cell r="W228">
            <v>0.69444444444444453</v>
          </cell>
          <cell r="X228">
            <v>2.7777777778586255E-2</v>
          </cell>
          <cell r="Y228">
            <v>2.7777777778586255E-2</v>
          </cell>
          <cell r="AB228">
            <v>8</v>
          </cell>
          <cell r="AC228">
            <v>6</v>
          </cell>
          <cell r="AD228">
            <v>0</v>
          </cell>
          <cell r="BF228">
            <v>0</v>
          </cell>
          <cell r="BG228">
            <v>0</v>
          </cell>
          <cell r="BH228">
            <v>0</v>
          </cell>
          <cell r="BI228">
            <v>0</v>
          </cell>
          <cell r="BJ228">
            <v>0</v>
          </cell>
          <cell r="BK228">
            <v>0</v>
          </cell>
          <cell r="BL228">
            <v>0</v>
          </cell>
          <cell r="BM228">
            <v>0</v>
          </cell>
          <cell r="BN228">
            <v>0</v>
          </cell>
          <cell r="BO228">
            <v>0</v>
          </cell>
          <cell r="BP228">
            <v>0</v>
          </cell>
          <cell r="BQ228">
            <v>0</v>
          </cell>
          <cell r="BR228">
            <v>0</v>
          </cell>
          <cell r="BS228">
            <v>0</v>
          </cell>
          <cell r="BT228">
            <v>8</v>
          </cell>
          <cell r="BU228">
            <v>0</v>
          </cell>
          <cell r="BV228">
            <v>0</v>
          </cell>
          <cell r="BW228">
            <v>0</v>
          </cell>
          <cell r="BX228">
            <v>0</v>
          </cell>
          <cell r="BY228">
            <v>0</v>
          </cell>
          <cell r="BZ228">
            <v>0</v>
          </cell>
          <cell r="CA228">
            <v>0</v>
          </cell>
          <cell r="CB228">
            <v>0</v>
          </cell>
          <cell r="CC228">
            <v>0</v>
          </cell>
          <cell r="CD228">
            <v>0</v>
          </cell>
        </row>
        <row r="229">
          <cell r="C229">
            <v>37798</v>
          </cell>
          <cell r="D229">
            <v>37858</v>
          </cell>
          <cell r="E229">
            <v>37853</v>
          </cell>
          <cell r="F229">
            <v>0.41666666666666669</v>
          </cell>
          <cell r="G229" t="str">
            <v>Perfiladora Fagor Largueros</v>
          </cell>
          <cell r="H229" t="str">
            <v>Máquina desarmando constantemente</v>
          </cell>
          <cell r="I229" t="str">
            <v>Corretiva</v>
          </cell>
          <cell r="J229" t="str">
            <v>Não</v>
          </cell>
          <cell r="K229" t="str">
            <v>Elétrica</v>
          </cell>
          <cell r="L229" t="str">
            <v>Reinicialização do Equipamento / Componente</v>
          </cell>
          <cell r="M229" t="str">
            <v>Causa não especificada</v>
          </cell>
          <cell r="N229">
            <v>37853</v>
          </cell>
          <cell r="O229">
            <v>0.4236111111111111</v>
          </cell>
          <cell r="P229">
            <v>37853</v>
          </cell>
          <cell r="Q229">
            <v>0.4236111111111111</v>
          </cell>
          <cell r="T229">
            <v>37853</v>
          </cell>
          <cell r="U229">
            <v>0.47916666666666669</v>
          </cell>
          <cell r="V229">
            <v>37853</v>
          </cell>
          <cell r="W229">
            <v>0.47916666666666669</v>
          </cell>
          <cell r="X229">
            <v>5.5555555553130243E-2</v>
          </cell>
          <cell r="Y229">
            <v>5.5555555553130243E-2</v>
          </cell>
          <cell r="AB229">
            <v>8</v>
          </cell>
          <cell r="AC229">
            <v>6</v>
          </cell>
          <cell r="AD229">
            <v>0</v>
          </cell>
          <cell r="BF229">
            <v>0</v>
          </cell>
          <cell r="BG229">
            <v>0</v>
          </cell>
          <cell r="BH229">
            <v>0</v>
          </cell>
          <cell r="BI229">
            <v>0</v>
          </cell>
          <cell r="BJ229">
            <v>0</v>
          </cell>
          <cell r="BK229">
            <v>0</v>
          </cell>
          <cell r="BL229">
            <v>0</v>
          </cell>
          <cell r="BM229">
            <v>0</v>
          </cell>
          <cell r="BN229">
            <v>0</v>
          </cell>
          <cell r="BO229">
            <v>0</v>
          </cell>
          <cell r="BP229">
            <v>0</v>
          </cell>
          <cell r="BQ229">
            <v>0</v>
          </cell>
          <cell r="BR229">
            <v>0</v>
          </cell>
          <cell r="BS229">
            <v>0</v>
          </cell>
          <cell r="BT229">
            <v>8</v>
          </cell>
          <cell r="BU229">
            <v>0</v>
          </cell>
          <cell r="BV229">
            <v>0</v>
          </cell>
          <cell r="BW229">
            <v>0</v>
          </cell>
          <cell r="BX229">
            <v>0</v>
          </cell>
          <cell r="BY229">
            <v>0</v>
          </cell>
          <cell r="BZ229">
            <v>0</v>
          </cell>
          <cell r="CA229">
            <v>0</v>
          </cell>
          <cell r="CB229">
            <v>0</v>
          </cell>
          <cell r="CC229">
            <v>0</v>
          </cell>
          <cell r="CD229">
            <v>0</v>
          </cell>
        </row>
        <row r="230">
          <cell r="C230">
            <v>37798</v>
          </cell>
          <cell r="D230">
            <v>37858</v>
          </cell>
          <cell r="E230">
            <v>37854</v>
          </cell>
          <cell r="F230">
            <v>0.35416666666666669</v>
          </cell>
          <cell r="G230" t="str">
            <v>Perfiladora Fagor Largueros</v>
          </cell>
          <cell r="H230" t="str">
            <v>Parafusos de sustentação da Guia estão quebrados</v>
          </cell>
          <cell r="I230" t="str">
            <v>Corretiva</v>
          </cell>
          <cell r="J230" t="str">
            <v>Sim</v>
          </cell>
          <cell r="K230" t="str">
            <v>Mecânica</v>
          </cell>
          <cell r="L230" t="str">
            <v>Substituição do(s) Componente(s)</v>
          </cell>
          <cell r="M230" t="str">
            <v>Causa não especificada</v>
          </cell>
          <cell r="N230">
            <v>37854</v>
          </cell>
          <cell r="O230">
            <v>0.35416666666666669</v>
          </cell>
          <cell r="P230">
            <v>37854</v>
          </cell>
          <cell r="Q230">
            <v>0.35416666666666669</v>
          </cell>
          <cell r="T230">
            <v>37854</v>
          </cell>
          <cell r="U230">
            <v>0.375</v>
          </cell>
          <cell r="V230">
            <v>37854</v>
          </cell>
          <cell r="W230">
            <v>0.375</v>
          </cell>
          <cell r="X230">
            <v>2.0833333333333315E-2</v>
          </cell>
          <cell r="Y230">
            <v>2.0833333333333315E-2</v>
          </cell>
          <cell r="AB230">
            <v>8</v>
          </cell>
          <cell r="AC230">
            <v>6</v>
          </cell>
          <cell r="AD230">
            <v>0</v>
          </cell>
          <cell r="BF230">
            <v>0</v>
          </cell>
          <cell r="BG230">
            <v>0</v>
          </cell>
          <cell r="BH230">
            <v>0</v>
          </cell>
          <cell r="BI230">
            <v>0</v>
          </cell>
          <cell r="BJ230">
            <v>0</v>
          </cell>
          <cell r="BK230">
            <v>0</v>
          </cell>
          <cell r="BL230">
            <v>0</v>
          </cell>
          <cell r="BM230">
            <v>0</v>
          </cell>
          <cell r="BN230">
            <v>0</v>
          </cell>
          <cell r="BO230">
            <v>0</v>
          </cell>
          <cell r="BP230">
            <v>0</v>
          </cell>
          <cell r="BQ230">
            <v>0</v>
          </cell>
          <cell r="BR230">
            <v>0</v>
          </cell>
          <cell r="BS230">
            <v>0</v>
          </cell>
          <cell r="BT230">
            <v>8</v>
          </cell>
          <cell r="BU230">
            <v>0</v>
          </cell>
          <cell r="BV230">
            <v>0</v>
          </cell>
          <cell r="BW230">
            <v>0</v>
          </cell>
          <cell r="BX230">
            <v>0</v>
          </cell>
          <cell r="BY230">
            <v>0</v>
          </cell>
          <cell r="BZ230">
            <v>0</v>
          </cell>
          <cell r="CA230">
            <v>0</v>
          </cell>
          <cell r="CB230">
            <v>0</v>
          </cell>
          <cell r="CC230">
            <v>0</v>
          </cell>
          <cell r="CD230">
            <v>0</v>
          </cell>
        </row>
        <row r="231">
          <cell r="C231">
            <v>37798</v>
          </cell>
          <cell r="D231">
            <v>37858</v>
          </cell>
          <cell r="E231">
            <v>37854</v>
          </cell>
          <cell r="F231">
            <v>0.57638888888888895</v>
          </cell>
          <cell r="G231" t="str">
            <v>Perfiladora Fagor Largueros</v>
          </cell>
          <cell r="H231" t="str">
            <v>Guias desalinhadas</v>
          </cell>
          <cell r="I231" t="str">
            <v>Corretiva</v>
          </cell>
          <cell r="J231" t="str">
            <v>Não</v>
          </cell>
          <cell r="K231" t="str">
            <v>Mecânica</v>
          </cell>
          <cell r="L231" t="str">
            <v>Regulagem das guias da chapa</v>
          </cell>
          <cell r="M231" t="str">
            <v>Falha de Comando / Sistema</v>
          </cell>
          <cell r="N231">
            <v>37854</v>
          </cell>
          <cell r="O231">
            <v>0.58333333333333337</v>
          </cell>
          <cell r="P231">
            <v>37854</v>
          </cell>
          <cell r="Q231">
            <v>0.58333333333333337</v>
          </cell>
          <cell r="T231">
            <v>37854</v>
          </cell>
          <cell r="U231">
            <v>0.60416666666666663</v>
          </cell>
          <cell r="V231">
            <v>37854</v>
          </cell>
          <cell r="W231">
            <v>0.60416666666666663</v>
          </cell>
          <cell r="X231">
            <v>2.0833333330907977E-2</v>
          </cell>
          <cell r="Y231">
            <v>2.0833333330907977E-2</v>
          </cell>
          <cell r="AB231">
            <v>8</v>
          </cell>
          <cell r="AC231">
            <v>6</v>
          </cell>
          <cell r="AD231">
            <v>0</v>
          </cell>
          <cell r="BF231">
            <v>0</v>
          </cell>
          <cell r="BG231">
            <v>0</v>
          </cell>
          <cell r="BH231">
            <v>0</v>
          </cell>
          <cell r="BI231">
            <v>0</v>
          </cell>
          <cell r="BJ231">
            <v>0</v>
          </cell>
          <cell r="BK231">
            <v>0</v>
          </cell>
          <cell r="BL231">
            <v>0</v>
          </cell>
          <cell r="BM231">
            <v>0</v>
          </cell>
          <cell r="BN231">
            <v>0</v>
          </cell>
          <cell r="BO231">
            <v>0</v>
          </cell>
          <cell r="BP231">
            <v>0</v>
          </cell>
          <cell r="BQ231">
            <v>0</v>
          </cell>
          <cell r="BR231">
            <v>0</v>
          </cell>
          <cell r="BS231">
            <v>0</v>
          </cell>
          <cell r="BT231">
            <v>8</v>
          </cell>
          <cell r="BU231">
            <v>0</v>
          </cell>
          <cell r="BV231">
            <v>0</v>
          </cell>
          <cell r="BW231">
            <v>0</v>
          </cell>
          <cell r="BX231">
            <v>0</v>
          </cell>
          <cell r="BY231">
            <v>0</v>
          </cell>
          <cell r="BZ231">
            <v>0</v>
          </cell>
          <cell r="CA231">
            <v>0</v>
          </cell>
          <cell r="CB231">
            <v>0</v>
          </cell>
          <cell r="CC231">
            <v>0</v>
          </cell>
          <cell r="CD231">
            <v>0</v>
          </cell>
        </row>
        <row r="232">
          <cell r="C232">
            <v>37798</v>
          </cell>
          <cell r="I232">
            <v>0</v>
          </cell>
          <cell r="N232">
            <v>0</v>
          </cell>
          <cell r="P232">
            <v>0</v>
          </cell>
          <cell r="T232">
            <v>0</v>
          </cell>
          <cell r="V232">
            <v>0</v>
          </cell>
          <cell r="W232">
            <v>0</v>
          </cell>
          <cell r="X232">
            <v>0</v>
          </cell>
          <cell r="Y232">
            <v>0</v>
          </cell>
          <cell r="AB232">
            <v>0</v>
          </cell>
          <cell r="AC232">
            <v>6</v>
          </cell>
          <cell r="AD232">
            <v>0</v>
          </cell>
          <cell r="BF232">
            <v>0</v>
          </cell>
          <cell r="BG232">
            <v>0</v>
          </cell>
          <cell r="BH232">
            <v>0</v>
          </cell>
          <cell r="BI232">
            <v>0</v>
          </cell>
          <cell r="BJ232">
            <v>0</v>
          </cell>
          <cell r="BK232">
            <v>0</v>
          </cell>
          <cell r="BL232">
            <v>0</v>
          </cell>
          <cell r="BM232">
            <v>0</v>
          </cell>
          <cell r="BN232">
            <v>0</v>
          </cell>
          <cell r="BO232">
            <v>0</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row>
        <row r="233">
          <cell r="C233">
            <v>37798</v>
          </cell>
          <cell r="D233">
            <v>37867</v>
          </cell>
          <cell r="E233">
            <v>37860</v>
          </cell>
          <cell r="F233">
            <v>0.91666666666666663</v>
          </cell>
          <cell r="G233" t="str">
            <v>Perfiladora Fagor Largueros</v>
          </cell>
          <cell r="H233" t="str">
            <v>Parafuso danificado</v>
          </cell>
          <cell r="I233" t="str">
            <v>Corretiva</v>
          </cell>
          <cell r="J233" t="str">
            <v>Sim</v>
          </cell>
          <cell r="K233" t="str">
            <v>Mecânica</v>
          </cell>
          <cell r="L233" t="str">
            <v>Substituição do(s) Componente(s)</v>
          </cell>
          <cell r="M233" t="str">
            <v>Falha Operacional</v>
          </cell>
          <cell r="N233">
            <v>37860</v>
          </cell>
          <cell r="O233">
            <v>0.91666666666666663</v>
          </cell>
          <cell r="P233">
            <v>37860</v>
          </cell>
          <cell r="Q233">
            <v>0.91666666666666663</v>
          </cell>
          <cell r="T233">
            <v>37860</v>
          </cell>
          <cell r="U233">
            <v>0.95833333333333337</v>
          </cell>
          <cell r="V233">
            <v>37860</v>
          </cell>
          <cell r="W233">
            <v>0.95833333333333337</v>
          </cell>
          <cell r="X233">
            <v>4.1666666666666741E-2</v>
          </cell>
          <cell r="Y233">
            <v>4.1666666669092023E-2</v>
          </cell>
          <cell r="AB233">
            <v>8</v>
          </cell>
          <cell r="AC233">
            <v>6</v>
          </cell>
          <cell r="AD233">
            <v>0</v>
          </cell>
          <cell r="BF233">
            <v>0</v>
          </cell>
          <cell r="BG233">
            <v>0</v>
          </cell>
          <cell r="BH233">
            <v>0</v>
          </cell>
          <cell r="BI233">
            <v>0</v>
          </cell>
          <cell r="BJ233">
            <v>0</v>
          </cell>
          <cell r="BK233">
            <v>0</v>
          </cell>
          <cell r="BL233">
            <v>0</v>
          </cell>
          <cell r="BM233">
            <v>0</v>
          </cell>
          <cell r="BN233">
            <v>0</v>
          </cell>
          <cell r="BO233">
            <v>0</v>
          </cell>
          <cell r="BP233">
            <v>0</v>
          </cell>
          <cell r="BQ233">
            <v>0</v>
          </cell>
          <cell r="BR233">
            <v>0</v>
          </cell>
          <cell r="BS233">
            <v>0</v>
          </cell>
          <cell r="BT233">
            <v>8</v>
          </cell>
          <cell r="BU233">
            <v>0</v>
          </cell>
          <cell r="BV233">
            <v>0</v>
          </cell>
          <cell r="BW233">
            <v>0</v>
          </cell>
          <cell r="BX233">
            <v>0</v>
          </cell>
          <cell r="BY233">
            <v>0</v>
          </cell>
          <cell r="BZ233">
            <v>0</v>
          </cell>
          <cell r="CA233">
            <v>0</v>
          </cell>
          <cell r="CB233">
            <v>0</v>
          </cell>
          <cell r="CC233">
            <v>0</v>
          </cell>
          <cell r="CD233">
            <v>0</v>
          </cell>
        </row>
        <row r="234">
          <cell r="C234">
            <v>37798</v>
          </cell>
          <cell r="D234">
            <v>37900</v>
          </cell>
          <cell r="E234">
            <v>37869</v>
          </cell>
          <cell r="F234">
            <v>0.58333333333333337</v>
          </cell>
          <cell r="G234" t="str">
            <v>Perfiladora Fagor Largueros</v>
          </cell>
          <cell r="H234" t="str">
            <v>Guia da Chapa Quebrada</v>
          </cell>
          <cell r="I234" t="str">
            <v>Corretiva</v>
          </cell>
          <cell r="J234" t="str">
            <v>Sim</v>
          </cell>
          <cell r="K234" t="str">
            <v>Mecânica</v>
          </cell>
          <cell r="L234" t="str">
            <v>Substituição do(s) Componente(s)</v>
          </cell>
          <cell r="M234" t="str">
            <v>Falha de Comando / Sistema</v>
          </cell>
          <cell r="N234">
            <v>37869</v>
          </cell>
          <cell r="O234">
            <v>0.58333333333333337</v>
          </cell>
          <cell r="P234">
            <v>37869</v>
          </cell>
          <cell r="Q234">
            <v>0.61805555555555558</v>
          </cell>
          <cell r="R234">
            <v>37869</v>
          </cell>
          <cell r="S234">
            <v>0.625</v>
          </cell>
          <cell r="T234">
            <v>37869</v>
          </cell>
          <cell r="U234">
            <v>0.66666666666666663</v>
          </cell>
          <cell r="V234">
            <v>0</v>
          </cell>
          <cell r="W234">
            <v>7.638888888888884E-2</v>
          </cell>
          <cell r="X234">
            <v>7.638888888888884E-2</v>
          </cell>
          <cell r="Y234">
            <v>7.638888888888884E-2</v>
          </cell>
          <cell r="AB234">
            <v>9</v>
          </cell>
          <cell r="AC234">
            <v>6</v>
          </cell>
          <cell r="AD234">
            <v>0</v>
          </cell>
          <cell r="BF234">
            <v>0</v>
          </cell>
          <cell r="BG234">
            <v>0</v>
          </cell>
          <cell r="BH234">
            <v>0</v>
          </cell>
          <cell r="BI234">
            <v>0</v>
          </cell>
          <cell r="BJ234">
            <v>0</v>
          </cell>
          <cell r="BK234">
            <v>0</v>
          </cell>
          <cell r="BL234">
            <v>0</v>
          </cell>
          <cell r="BM234">
            <v>0</v>
          </cell>
          <cell r="BN234">
            <v>0</v>
          </cell>
          <cell r="BO234">
            <v>0</v>
          </cell>
          <cell r="BP234">
            <v>0</v>
          </cell>
          <cell r="BQ234">
            <v>0</v>
          </cell>
          <cell r="BR234">
            <v>0</v>
          </cell>
          <cell r="BS234">
            <v>0</v>
          </cell>
          <cell r="BT234">
            <v>9</v>
          </cell>
          <cell r="BU234">
            <v>0</v>
          </cell>
          <cell r="BV234">
            <v>0</v>
          </cell>
          <cell r="BW234">
            <v>0</v>
          </cell>
          <cell r="BX234">
            <v>0</v>
          </cell>
          <cell r="BY234">
            <v>0</v>
          </cell>
          <cell r="BZ234">
            <v>0</v>
          </cell>
          <cell r="CA234">
            <v>0</v>
          </cell>
          <cell r="CB234">
            <v>0</v>
          </cell>
          <cell r="CC234">
            <v>0</v>
          </cell>
          <cell r="CD234">
            <v>0</v>
          </cell>
        </row>
        <row r="235">
          <cell r="C235">
            <v>37798</v>
          </cell>
          <cell r="D235">
            <v>37915</v>
          </cell>
          <cell r="E235">
            <v>37879</v>
          </cell>
          <cell r="F235">
            <v>0.25694444444444448</v>
          </cell>
          <cell r="G235" t="str">
            <v>Perfiladora Fagor Largueros</v>
          </cell>
          <cell r="H235" t="str">
            <v>A perfiladora não dá permissão para o comando do Robô</v>
          </cell>
          <cell r="I235" t="str">
            <v>Corretiva</v>
          </cell>
          <cell r="J235" t="str">
            <v>Não</v>
          </cell>
          <cell r="K235" t="str">
            <v>Elétrica</v>
          </cell>
          <cell r="L235" t="str">
            <v>Substituição do(s) Componente(s)</v>
          </cell>
          <cell r="M235" t="str">
            <v>Falha de Comando / Sistema</v>
          </cell>
          <cell r="N235">
            <v>37882</v>
          </cell>
          <cell r="O235">
            <v>0.25694444444444448</v>
          </cell>
          <cell r="P235">
            <v>37882</v>
          </cell>
          <cell r="Q235">
            <v>0.625</v>
          </cell>
          <cell r="R235">
            <v>37886</v>
          </cell>
          <cell r="S235">
            <v>0.625</v>
          </cell>
          <cell r="T235">
            <v>37886</v>
          </cell>
          <cell r="U235">
            <v>0.625</v>
          </cell>
          <cell r="V235">
            <v>0</v>
          </cell>
          <cell r="W235">
            <v>0.36805555555555552</v>
          </cell>
          <cell r="X235">
            <v>0.36805555555555552</v>
          </cell>
          <cell r="Y235">
            <v>0.36805555555555552</v>
          </cell>
          <cell r="AB235">
            <v>9</v>
          </cell>
          <cell r="AC235">
            <v>6</v>
          </cell>
          <cell r="AD235">
            <v>0</v>
          </cell>
          <cell r="BF235">
            <v>0</v>
          </cell>
          <cell r="BG235">
            <v>0</v>
          </cell>
          <cell r="BH235">
            <v>0</v>
          </cell>
          <cell r="BI235">
            <v>0</v>
          </cell>
          <cell r="BJ235">
            <v>0</v>
          </cell>
          <cell r="BK235">
            <v>0</v>
          </cell>
          <cell r="BL235">
            <v>0</v>
          </cell>
          <cell r="BM235">
            <v>0</v>
          </cell>
          <cell r="BN235">
            <v>0</v>
          </cell>
          <cell r="BO235">
            <v>0</v>
          </cell>
          <cell r="BP235">
            <v>0</v>
          </cell>
          <cell r="BQ235">
            <v>0</v>
          </cell>
          <cell r="BR235">
            <v>0</v>
          </cell>
          <cell r="BS235">
            <v>0</v>
          </cell>
          <cell r="BT235">
            <v>9</v>
          </cell>
          <cell r="BU235">
            <v>0</v>
          </cell>
          <cell r="BV235">
            <v>0</v>
          </cell>
          <cell r="BW235">
            <v>0</v>
          </cell>
          <cell r="BX235">
            <v>0</v>
          </cell>
          <cell r="BY235">
            <v>0</v>
          </cell>
          <cell r="BZ235">
            <v>0</v>
          </cell>
          <cell r="CA235">
            <v>0</v>
          </cell>
          <cell r="CB235">
            <v>0</v>
          </cell>
          <cell r="CC235">
            <v>0</v>
          </cell>
          <cell r="CD235">
            <v>0</v>
          </cell>
        </row>
        <row r="236">
          <cell r="C236">
            <v>37798</v>
          </cell>
          <cell r="D236">
            <v>37868</v>
          </cell>
          <cell r="E236">
            <v>37867</v>
          </cell>
          <cell r="F236">
            <v>0.52083333333333337</v>
          </cell>
          <cell r="G236" t="str">
            <v>Perfiladora Fagor Largueros</v>
          </cell>
          <cell r="H236" t="str">
            <v>Suporte do guia de entrada da chapa está torto</v>
          </cell>
          <cell r="I236" t="str">
            <v>Corretiva</v>
          </cell>
          <cell r="J236" t="str">
            <v>Não</v>
          </cell>
          <cell r="K236" t="str">
            <v>Mecânica</v>
          </cell>
          <cell r="L236" t="str">
            <v>Ajuste / Regulagem</v>
          </cell>
          <cell r="M236" t="str">
            <v>Falha de Comando / Sistema</v>
          </cell>
          <cell r="N236">
            <v>37867</v>
          </cell>
          <cell r="O236">
            <v>0.51388888888888895</v>
          </cell>
          <cell r="P236">
            <v>37867</v>
          </cell>
          <cell r="Q236">
            <v>0.51388888888888895</v>
          </cell>
          <cell r="T236">
            <v>37867</v>
          </cell>
          <cell r="U236">
            <v>0.54166666666666663</v>
          </cell>
          <cell r="V236">
            <v>37867</v>
          </cell>
          <cell r="W236">
            <v>0.54166666666666663</v>
          </cell>
          <cell r="X236">
            <v>2.7777777775352397E-2</v>
          </cell>
          <cell r="Y236">
            <v>2.7777777775352397E-2</v>
          </cell>
          <cell r="AB236">
            <v>9</v>
          </cell>
          <cell r="AC236">
            <v>6</v>
          </cell>
          <cell r="AD236">
            <v>0</v>
          </cell>
          <cell r="BF236">
            <v>0</v>
          </cell>
          <cell r="BG236">
            <v>0</v>
          </cell>
          <cell r="BH236">
            <v>0</v>
          </cell>
          <cell r="BI236">
            <v>0</v>
          </cell>
          <cell r="BJ236">
            <v>0</v>
          </cell>
          <cell r="BK236">
            <v>0</v>
          </cell>
          <cell r="BL236">
            <v>0</v>
          </cell>
          <cell r="BM236">
            <v>0</v>
          </cell>
          <cell r="BN236">
            <v>0</v>
          </cell>
          <cell r="BO236">
            <v>0</v>
          </cell>
          <cell r="BP236">
            <v>0</v>
          </cell>
          <cell r="BQ236">
            <v>0</v>
          </cell>
          <cell r="BR236">
            <v>0</v>
          </cell>
          <cell r="BS236">
            <v>0</v>
          </cell>
          <cell r="BT236">
            <v>9</v>
          </cell>
          <cell r="BU236">
            <v>0</v>
          </cell>
          <cell r="BV236">
            <v>0</v>
          </cell>
          <cell r="BW236">
            <v>0</v>
          </cell>
          <cell r="BX236">
            <v>0</v>
          </cell>
          <cell r="BY236">
            <v>0</v>
          </cell>
          <cell r="BZ236">
            <v>0</v>
          </cell>
          <cell r="CA236">
            <v>0</v>
          </cell>
          <cell r="CB236">
            <v>0</v>
          </cell>
          <cell r="CC236">
            <v>0</v>
          </cell>
          <cell r="CD236">
            <v>0</v>
          </cell>
        </row>
        <row r="237">
          <cell r="C237">
            <v>37806</v>
          </cell>
          <cell r="D237">
            <v>37819</v>
          </cell>
          <cell r="E237">
            <v>37810</v>
          </cell>
          <cell r="F237">
            <v>0.46736111111111112</v>
          </cell>
          <cell r="G237" t="str">
            <v>Células de Solda Automática</v>
          </cell>
          <cell r="H237" t="str">
            <v>Falha de comunicação com o CLP</v>
          </cell>
          <cell r="I237" t="str">
            <v>Corretiva</v>
          </cell>
          <cell r="J237" t="str">
            <v>Sim</v>
          </cell>
          <cell r="K237" t="str">
            <v>Elétrica</v>
          </cell>
          <cell r="L237" t="str">
            <v>Substituição do(s) Componente(s)</v>
          </cell>
          <cell r="M237" t="str">
            <v>Falha de Comando / Sistema</v>
          </cell>
          <cell r="N237">
            <v>37810</v>
          </cell>
          <cell r="O237">
            <v>0.5</v>
          </cell>
          <cell r="P237">
            <v>37810</v>
          </cell>
          <cell r="Q237">
            <v>0.5</v>
          </cell>
          <cell r="T237">
            <v>37810</v>
          </cell>
          <cell r="U237">
            <v>0.61805555555555558</v>
          </cell>
          <cell r="V237">
            <v>37810</v>
          </cell>
          <cell r="W237">
            <v>0.61805555555555558</v>
          </cell>
          <cell r="X237">
            <v>0.11805555555555558</v>
          </cell>
          <cell r="Y237">
            <v>0.11805555555474712</v>
          </cell>
          <cell r="AB237">
            <v>7</v>
          </cell>
          <cell r="AC237">
            <v>7</v>
          </cell>
          <cell r="AD237">
            <v>0</v>
          </cell>
          <cell r="BF237">
            <v>7</v>
          </cell>
          <cell r="BG237">
            <v>0</v>
          </cell>
          <cell r="BH237">
            <v>0</v>
          </cell>
          <cell r="BI237">
            <v>0</v>
          </cell>
          <cell r="BJ237">
            <v>0</v>
          </cell>
          <cell r="BK237">
            <v>0</v>
          </cell>
          <cell r="BL237">
            <v>0</v>
          </cell>
          <cell r="BM237">
            <v>0</v>
          </cell>
          <cell r="BN237">
            <v>0</v>
          </cell>
          <cell r="BO237">
            <v>0</v>
          </cell>
          <cell r="BP237">
            <v>0</v>
          </cell>
          <cell r="BQ237">
            <v>0</v>
          </cell>
          <cell r="BR237">
            <v>0</v>
          </cell>
          <cell r="BS237">
            <v>0</v>
          </cell>
          <cell r="BT237">
            <v>0</v>
          </cell>
          <cell r="BU237">
            <v>0</v>
          </cell>
          <cell r="BV237">
            <v>0</v>
          </cell>
          <cell r="BW237">
            <v>0</v>
          </cell>
          <cell r="BX237">
            <v>0</v>
          </cell>
          <cell r="BY237">
            <v>0</v>
          </cell>
          <cell r="BZ237">
            <v>0</v>
          </cell>
          <cell r="CA237">
            <v>0</v>
          </cell>
          <cell r="CB237">
            <v>0</v>
          </cell>
          <cell r="CC237">
            <v>0</v>
          </cell>
          <cell r="CD237">
            <v>0</v>
          </cell>
        </row>
        <row r="238">
          <cell r="C238">
            <v>37806</v>
          </cell>
          <cell r="D238">
            <v>37858</v>
          </cell>
          <cell r="E238">
            <v>37831</v>
          </cell>
          <cell r="F238">
            <v>0.40972222222222227</v>
          </cell>
          <cell r="G238" t="str">
            <v>Máquina de Solda MIG</v>
          </cell>
          <cell r="H238" t="str">
            <v>Plug incompatível com a tomada da linha da Solda Manual</v>
          </cell>
          <cell r="I238" t="str">
            <v>Corretiva</v>
          </cell>
          <cell r="J238" t="str">
            <v>Sim</v>
          </cell>
          <cell r="K238" t="str">
            <v>Elétrica</v>
          </cell>
          <cell r="L238" t="str">
            <v>Substituição do(s) Componente(s)</v>
          </cell>
          <cell r="M238" t="str">
            <v>Alteração na Localização da Máquina</v>
          </cell>
          <cell r="N238">
            <v>37831</v>
          </cell>
          <cell r="O238">
            <v>0.41666666666666669</v>
          </cell>
          <cell r="P238">
            <v>37831</v>
          </cell>
          <cell r="Q238">
            <v>0.41666666666666669</v>
          </cell>
          <cell r="T238">
            <v>37831</v>
          </cell>
          <cell r="U238">
            <v>0.4236111111111111</v>
          </cell>
          <cell r="V238">
            <v>37831</v>
          </cell>
          <cell r="W238">
            <v>0.4236111111111111</v>
          </cell>
          <cell r="X238">
            <v>6.9444444444444198E-3</v>
          </cell>
          <cell r="Y238">
            <v>6.9444444428275465E-3</v>
          </cell>
          <cell r="AB238">
            <v>7</v>
          </cell>
          <cell r="AC238">
            <v>7</v>
          </cell>
          <cell r="AD238">
            <v>0</v>
          </cell>
          <cell r="BF238">
            <v>0</v>
          </cell>
          <cell r="BG238">
            <v>0</v>
          </cell>
          <cell r="BH238">
            <v>0</v>
          </cell>
          <cell r="BI238">
            <v>0</v>
          </cell>
          <cell r="BJ238">
            <v>0</v>
          </cell>
          <cell r="BK238">
            <v>0</v>
          </cell>
          <cell r="BL238">
            <v>0</v>
          </cell>
          <cell r="BM238">
            <v>0</v>
          </cell>
          <cell r="BN238">
            <v>0</v>
          </cell>
          <cell r="BO238">
            <v>0</v>
          </cell>
          <cell r="BP238">
            <v>0</v>
          </cell>
          <cell r="BQ238">
            <v>0</v>
          </cell>
          <cell r="BR238">
            <v>7</v>
          </cell>
          <cell r="BS238">
            <v>0</v>
          </cell>
          <cell r="BT238">
            <v>0</v>
          </cell>
          <cell r="BU238">
            <v>0</v>
          </cell>
          <cell r="BV238">
            <v>0</v>
          </cell>
          <cell r="BW238">
            <v>0</v>
          </cell>
          <cell r="BX238">
            <v>0</v>
          </cell>
          <cell r="BY238">
            <v>0</v>
          </cell>
          <cell r="BZ238">
            <v>0</v>
          </cell>
          <cell r="CA238">
            <v>0</v>
          </cell>
          <cell r="CB238">
            <v>0</v>
          </cell>
          <cell r="CC238">
            <v>0</v>
          </cell>
          <cell r="CD238">
            <v>0</v>
          </cell>
        </row>
        <row r="239">
          <cell r="C239">
            <v>37806</v>
          </cell>
          <cell r="D239">
            <v>37858</v>
          </cell>
          <cell r="E239">
            <v>37837</v>
          </cell>
          <cell r="F239">
            <v>0.34375</v>
          </cell>
          <cell r="G239" t="str">
            <v>Máquina de Solda MIG</v>
          </cell>
          <cell r="H239" t="str">
            <v>Plug incompatível com a tomada da linha da Solda Manual</v>
          </cell>
          <cell r="I239" t="str">
            <v>Corretiva</v>
          </cell>
          <cell r="J239" t="str">
            <v>Sim</v>
          </cell>
          <cell r="K239" t="str">
            <v>Elétrica</v>
          </cell>
          <cell r="L239" t="str">
            <v>Substituição do(s) Componente(s)</v>
          </cell>
          <cell r="M239" t="str">
            <v>Alteração na Localização da Máquina</v>
          </cell>
          <cell r="N239">
            <v>37837</v>
          </cell>
          <cell r="O239">
            <v>0.34375</v>
          </cell>
          <cell r="P239">
            <v>37837</v>
          </cell>
          <cell r="Q239">
            <v>0.34375</v>
          </cell>
          <cell r="T239">
            <v>37837</v>
          </cell>
          <cell r="U239">
            <v>0.35069444444444442</v>
          </cell>
          <cell r="V239">
            <v>37837</v>
          </cell>
          <cell r="W239">
            <v>0.35069444444444442</v>
          </cell>
          <cell r="X239">
            <v>6.9444444444444198E-3</v>
          </cell>
          <cell r="Y239">
            <v>6.9444444452528842E-3</v>
          </cell>
          <cell r="AB239">
            <v>8</v>
          </cell>
          <cell r="AC239">
            <v>7</v>
          </cell>
          <cell r="AD239">
            <v>0</v>
          </cell>
          <cell r="BF239">
            <v>0</v>
          </cell>
          <cell r="BG239">
            <v>0</v>
          </cell>
          <cell r="BH239">
            <v>0</v>
          </cell>
          <cell r="BI239">
            <v>0</v>
          </cell>
          <cell r="BJ239">
            <v>0</v>
          </cell>
          <cell r="BK239">
            <v>0</v>
          </cell>
          <cell r="BL239">
            <v>0</v>
          </cell>
          <cell r="BM239">
            <v>0</v>
          </cell>
          <cell r="BN239">
            <v>0</v>
          </cell>
          <cell r="BO239">
            <v>0</v>
          </cell>
          <cell r="BP239">
            <v>0</v>
          </cell>
          <cell r="BQ239">
            <v>0</v>
          </cell>
          <cell r="BR239">
            <v>8</v>
          </cell>
          <cell r="BS239">
            <v>0</v>
          </cell>
          <cell r="BT239">
            <v>0</v>
          </cell>
          <cell r="BU239">
            <v>0</v>
          </cell>
          <cell r="BV239">
            <v>0</v>
          </cell>
          <cell r="BW239">
            <v>0</v>
          </cell>
          <cell r="BX239">
            <v>0</v>
          </cell>
          <cell r="BY239">
            <v>0</v>
          </cell>
          <cell r="BZ239">
            <v>0</v>
          </cell>
          <cell r="CA239">
            <v>0</v>
          </cell>
          <cell r="CB239">
            <v>0</v>
          </cell>
          <cell r="CC239">
            <v>0</v>
          </cell>
          <cell r="CD239">
            <v>0</v>
          </cell>
        </row>
        <row r="240">
          <cell r="C240">
            <v>37806</v>
          </cell>
          <cell r="D240">
            <v>37858</v>
          </cell>
          <cell r="E240">
            <v>37840</v>
          </cell>
          <cell r="F240">
            <v>0.33333333333333331</v>
          </cell>
          <cell r="G240" t="str">
            <v>Células de Solda Automática</v>
          </cell>
          <cell r="H240" t="str">
            <v>A fresa de limpeza da tocha não está jogando óleo (anti-respingos)</v>
          </cell>
          <cell r="I240" t="str">
            <v>Corretiva</v>
          </cell>
          <cell r="J240" t="str">
            <v>Não</v>
          </cell>
          <cell r="K240" t="str">
            <v>Mecânica</v>
          </cell>
          <cell r="L240" t="str">
            <v>Limpeza e Regulagem</v>
          </cell>
          <cell r="M240" t="str">
            <v>Sujeira em excesso</v>
          </cell>
          <cell r="N240">
            <v>37840</v>
          </cell>
          <cell r="O240">
            <v>0.33333333333333331</v>
          </cell>
          <cell r="P240">
            <v>37840</v>
          </cell>
          <cell r="Q240">
            <v>0.33333333333333331</v>
          </cell>
          <cell r="T240">
            <v>37840</v>
          </cell>
          <cell r="U240">
            <v>0.4375</v>
          </cell>
          <cell r="V240">
            <v>37840</v>
          </cell>
          <cell r="W240">
            <v>0.4375</v>
          </cell>
          <cell r="X240">
            <v>0.10416666666666669</v>
          </cell>
          <cell r="Y240">
            <v>0.10416666666666669</v>
          </cell>
          <cell r="AB240">
            <v>8</v>
          </cell>
          <cell r="AC240">
            <v>7</v>
          </cell>
          <cell r="AD240">
            <v>0</v>
          </cell>
          <cell r="BF240">
            <v>8</v>
          </cell>
          <cell r="BG240">
            <v>0</v>
          </cell>
          <cell r="BH240">
            <v>0</v>
          </cell>
          <cell r="BI240">
            <v>0</v>
          </cell>
          <cell r="BJ240">
            <v>0</v>
          </cell>
          <cell r="BK240">
            <v>0</v>
          </cell>
          <cell r="BL240">
            <v>0</v>
          </cell>
          <cell r="BM240">
            <v>0</v>
          </cell>
          <cell r="BN240">
            <v>0</v>
          </cell>
          <cell r="BO240">
            <v>0</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row>
        <row r="241">
          <cell r="C241">
            <v>37806</v>
          </cell>
          <cell r="D241">
            <v>37900</v>
          </cell>
          <cell r="E241">
            <v>37888</v>
          </cell>
          <cell r="F241">
            <v>0.75</v>
          </cell>
          <cell r="G241" t="str">
            <v>Células de Solda Automática</v>
          </cell>
          <cell r="H241" t="str">
            <v>A fresa de limpeza da tocha não funciona</v>
          </cell>
          <cell r="I241" t="str">
            <v>Corretiva</v>
          </cell>
          <cell r="J241" t="str">
            <v>Sim</v>
          </cell>
          <cell r="K241" t="str">
            <v>Mecânica</v>
          </cell>
          <cell r="L241" t="str">
            <v>Reparo</v>
          </cell>
          <cell r="M241" t="str">
            <v>Sujeira em excesso</v>
          </cell>
          <cell r="N241">
            <v>37888</v>
          </cell>
          <cell r="O241">
            <v>0.75</v>
          </cell>
          <cell r="P241">
            <v>37888</v>
          </cell>
          <cell r="Q241">
            <v>0.75</v>
          </cell>
          <cell r="T241">
            <v>37888</v>
          </cell>
          <cell r="U241">
            <v>0.875</v>
          </cell>
          <cell r="V241">
            <v>37888</v>
          </cell>
          <cell r="W241">
            <v>0.875</v>
          </cell>
          <cell r="X241">
            <v>0.125</v>
          </cell>
          <cell r="Y241">
            <v>0.125</v>
          </cell>
          <cell r="AB241">
            <v>9</v>
          </cell>
          <cell r="AC241">
            <v>7</v>
          </cell>
          <cell r="AD241">
            <v>0</v>
          </cell>
          <cell r="BF241">
            <v>9</v>
          </cell>
          <cell r="BG241">
            <v>0</v>
          </cell>
          <cell r="BH241">
            <v>0</v>
          </cell>
          <cell r="BI241">
            <v>0</v>
          </cell>
          <cell r="BJ241">
            <v>0</v>
          </cell>
          <cell r="BK241">
            <v>0</v>
          </cell>
          <cell r="BL241">
            <v>0</v>
          </cell>
          <cell r="BM241">
            <v>0</v>
          </cell>
          <cell r="BN241">
            <v>0</v>
          </cell>
          <cell r="BO241">
            <v>0</v>
          </cell>
          <cell r="BP241">
            <v>0</v>
          </cell>
          <cell r="BQ241">
            <v>0</v>
          </cell>
          <cell r="BR241">
            <v>0</v>
          </cell>
          <cell r="BS241">
            <v>0</v>
          </cell>
          <cell r="BT241">
            <v>0</v>
          </cell>
          <cell r="BU241">
            <v>0</v>
          </cell>
          <cell r="BV241">
            <v>0</v>
          </cell>
          <cell r="BW241">
            <v>0</v>
          </cell>
          <cell r="BX241">
            <v>0</v>
          </cell>
          <cell r="BY241">
            <v>0</v>
          </cell>
          <cell r="BZ241">
            <v>0</v>
          </cell>
          <cell r="CA241">
            <v>0</v>
          </cell>
          <cell r="CB241">
            <v>0</v>
          </cell>
          <cell r="CC241">
            <v>0</v>
          </cell>
          <cell r="CD241">
            <v>0</v>
          </cell>
        </row>
        <row r="242">
          <cell r="C242">
            <v>37806</v>
          </cell>
          <cell r="D242">
            <v>37900</v>
          </cell>
          <cell r="E242">
            <v>37875</v>
          </cell>
          <cell r="F242">
            <v>0.83333333333333337</v>
          </cell>
          <cell r="G242" t="str">
            <v>Células de Solda Automática</v>
          </cell>
          <cell r="H242" t="str">
            <v>Pistôes do Parô quebrados (Robô España)</v>
          </cell>
          <cell r="I242" t="str">
            <v>Corretiva</v>
          </cell>
          <cell r="J242" t="str">
            <v>Sim</v>
          </cell>
          <cell r="K242" t="str">
            <v>Mecânica</v>
          </cell>
          <cell r="L242" t="str">
            <v>Reaperto dos componentes</v>
          </cell>
          <cell r="M242" t="str">
            <v>Vibração</v>
          </cell>
          <cell r="N242">
            <v>37875</v>
          </cell>
          <cell r="O242">
            <v>0.83333333333333337</v>
          </cell>
          <cell r="P242">
            <v>37875</v>
          </cell>
          <cell r="Q242">
            <v>0.83333333333333337</v>
          </cell>
          <cell r="T242">
            <v>37875</v>
          </cell>
          <cell r="U242">
            <v>0.875</v>
          </cell>
          <cell r="V242">
            <v>37875</v>
          </cell>
          <cell r="W242">
            <v>0.875</v>
          </cell>
          <cell r="X242">
            <v>4.166666666666663E-2</v>
          </cell>
          <cell r="Y242">
            <v>4.166666666666663E-2</v>
          </cell>
          <cell r="AB242">
            <v>9</v>
          </cell>
          <cell r="AC242">
            <v>7</v>
          </cell>
          <cell r="AD242">
            <v>0</v>
          </cell>
          <cell r="BF242">
            <v>9</v>
          </cell>
          <cell r="BG242">
            <v>0</v>
          </cell>
          <cell r="BH242">
            <v>0</v>
          </cell>
          <cell r="BI242">
            <v>0</v>
          </cell>
          <cell r="BJ242">
            <v>0</v>
          </cell>
          <cell r="BK242">
            <v>0</v>
          </cell>
          <cell r="BL242">
            <v>0</v>
          </cell>
          <cell r="BM242">
            <v>0</v>
          </cell>
          <cell r="BN242">
            <v>0</v>
          </cell>
          <cell r="BO242">
            <v>0</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row>
        <row r="243">
          <cell r="C243">
            <v>37806</v>
          </cell>
          <cell r="D243">
            <v>37918</v>
          </cell>
          <cell r="E243">
            <v>37887</v>
          </cell>
          <cell r="F243">
            <v>0.66666666666666663</v>
          </cell>
          <cell r="G243" t="str">
            <v>Células de Solda Automática</v>
          </cell>
          <cell r="H243" t="str">
            <v>Falha no sinal de partida do robô de manipulação</v>
          </cell>
          <cell r="I243" t="str">
            <v>Corretiva</v>
          </cell>
          <cell r="J243" t="str">
            <v>Sim</v>
          </cell>
          <cell r="K243" t="str">
            <v>Elétrica</v>
          </cell>
          <cell r="L243" t="str">
            <v>Correção de mau contato</v>
          </cell>
          <cell r="M243" t="str">
            <v>Desgaste / Fadiga</v>
          </cell>
          <cell r="N243">
            <v>37887</v>
          </cell>
          <cell r="O243">
            <v>0.75</v>
          </cell>
          <cell r="P243">
            <v>37887</v>
          </cell>
          <cell r="Q243">
            <v>0.75</v>
          </cell>
          <cell r="T243">
            <v>37887</v>
          </cell>
          <cell r="U243">
            <v>0.78819444444444453</v>
          </cell>
          <cell r="V243">
            <v>37887</v>
          </cell>
          <cell r="W243">
            <v>0.78819444444444453</v>
          </cell>
          <cell r="X243">
            <v>3.8194444444444531E-2</v>
          </cell>
          <cell r="Y243">
            <v>3.8194444445252884E-2</v>
          </cell>
          <cell r="AB243">
            <v>9</v>
          </cell>
          <cell r="AC243">
            <v>7</v>
          </cell>
          <cell r="AD243">
            <v>0</v>
          </cell>
          <cell r="BF243">
            <v>9</v>
          </cell>
          <cell r="BG243">
            <v>0</v>
          </cell>
          <cell r="BH243">
            <v>0</v>
          </cell>
          <cell r="BI243">
            <v>0</v>
          </cell>
          <cell r="BJ243">
            <v>0</v>
          </cell>
          <cell r="BK243">
            <v>0</v>
          </cell>
          <cell r="BL243">
            <v>0</v>
          </cell>
          <cell r="BM243">
            <v>0</v>
          </cell>
          <cell r="BN243">
            <v>0</v>
          </cell>
          <cell r="BO243">
            <v>0</v>
          </cell>
          <cell r="BP243">
            <v>0</v>
          </cell>
          <cell r="BQ243">
            <v>0</v>
          </cell>
          <cell r="BR243">
            <v>0</v>
          </cell>
          <cell r="BS243">
            <v>0</v>
          </cell>
          <cell r="BT243">
            <v>0</v>
          </cell>
          <cell r="BU243">
            <v>0</v>
          </cell>
          <cell r="BV243">
            <v>0</v>
          </cell>
          <cell r="BW243">
            <v>0</v>
          </cell>
          <cell r="BX243">
            <v>0</v>
          </cell>
          <cell r="BY243">
            <v>0</v>
          </cell>
          <cell r="BZ243">
            <v>0</v>
          </cell>
          <cell r="CA243">
            <v>0</v>
          </cell>
          <cell r="CB243">
            <v>0</v>
          </cell>
          <cell r="CC243">
            <v>0</v>
          </cell>
          <cell r="CD243">
            <v>0</v>
          </cell>
        </row>
        <row r="244">
          <cell r="C244">
            <v>37806</v>
          </cell>
          <cell r="I244">
            <v>0</v>
          </cell>
          <cell r="N244">
            <v>0</v>
          </cell>
          <cell r="P244">
            <v>0</v>
          </cell>
          <cell r="T244">
            <v>0</v>
          </cell>
          <cell r="V244">
            <v>0</v>
          </cell>
          <cell r="W244">
            <v>0</v>
          </cell>
          <cell r="X244">
            <v>0</v>
          </cell>
          <cell r="Y244">
            <v>0</v>
          </cell>
          <cell r="AB244">
            <v>0</v>
          </cell>
          <cell r="AC244">
            <v>7</v>
          </cell>
          <cell r="AD244">
            <v>0</v>
          </cell>
          <cell r="BF244">
            <v>0</v>
          </cell>
          <cell r="BG244">
            <v>0</v>
          </cell>
          <cell r="BH244">
            <v>0</v>
          </cell>
          <cell r="BI244">
            <v>0</v>
          </cell>
          <cell r="BJ244">
            <v>0</v>
          </cell>
          <cell r="BK244">
            <v>0</v>
          </cell>
          <cell r="BL244">
            <v>0</v>
          </cell>
          <cell r="BM244">
            <v>0</v>
          </cell>
          <cell r="BN244">
            <v>0</v>
          </cell>
          <cell r="BO244">
            <v>0</v>
          </cell>
          <cell r="BP244">
            <v>0</v>
          </cell>
          <cell r="BQ244">
            <v>0</v>
          </cell>
          <cell r="BR244">
            <v>0</v>
          </cell>
          <cell r="BS244">
            <v>0</v>
          </cell>
          <cell r="BT244">
            <v>0</v>
          </cell>
          <cell r="BU244">
            <v>0</v>
          </cell>
          <cell r="BV244">
            <v>0</v>
          </cell>
          <cell r="BW244">
            <v>0</v>
          </cell>
          <cell r="BX244">
            <v>0</v>
          </cell>
          <cell r="BY244">
            <v>0</v>
          </cell>
          <cell r="BZ244">
            <v>0</v>
          </cell>
          <cell r="CA244">
            <v>0</v>
          </cell>
          <cell r="CB244">
            <v>0</v>
          </cell>
          <cell r="CC244">
            <v>0</v>
          </cell>
          <cell r="CD244">
            <v>0</v>
          </cell>
        </row>
        <row r="245">
          <cell r="C245">
            <v>37806</v>
          </cell>
          <cell r="D245">
            <v>37900</v>
          </cell>
          <cell r="E245">
            <v>37890</v>
          </cell>
          <cell r="F245">
            <v>0.44444444444444442</v>
          </cell>
          <cell r="G245" t="str">
            <v>Células de Solda Automática</v>
          </cell>
          <cell r="H245" t="str">
            <v>Pistão da mesa de entrada está solto</v>
          </cell>
          <cell r="I245" t="str">
            <v>Corretiva</v>
          </cell>
          <cell r="J245" t="str">
            <v>Sim</v>
          </cell>
          <cell r="K245" t="str">
            <v>Mecânica</v>
          </cell>
          <cell r="L245" t="str">
            <v>Reparo</v>
          </cell>
          <cell r="M245" t="str">
            <v>Falha de Projeto</v>
          </cell>
          <cell r="N245">
            <v>37890</v>
          </cell>
          <cell r="O245">
            <v>0.44444444444444442</v>
          </cell>
          <cell r="P245">
            <v>37890</v>
          </cell>
          <cell r="Q245">
            <v>0.44444444444444442</v>
          </cell>
          <cell r="T245">
            <v>37890</v>
          </cell>
          <cell r="U245">
            <v>0.50694444444444442</v>
          </cell>
          <cell r="V245">
            <v>37890</v>
          </cell>
          <cell r="W245">
            <v>0.50694444444444442</v>
          </cell>
          <cell r="X245">
            <v>6.25E-2</v>
          </cell>
          <cell r="Y245">
            <v>6.2500000000808464E-2</v>
          </cell>
          <cell r="AB245">
            <v>9</v>
          </cell>
          <cell r="AC245">
            <v>7</v>
          </cell>
          <cell r="AD245">
            <v>0</v>
          </cell>
          <cell r="BF245">
            <v>9</v>
          </cell>
          <cell r="BG245">
            <v>0</v>
          </cell>
          <cell r="BH245">
            <v>0</v>
          </cell>
          <cell r="BI245">
            <v>0</v>
          </cell>
          <cell r="BJ245">
            <v>0</v>
          </cell>
          <cell r="BK245">
            <v>0</v>
          </cell>
          <cell r="BL245">
            <v>0</v>
          </cell>
          <cell r="BM245">
            <v>0</v>
          </cell>
          <cell r="BN245">
            <v>0</v>
          </cell>
          <cell r="BO245">
            <v>0</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row>
        <row r="246">
          <cell r="C246">
            <v>37806</v>
          </cell>
          <cell r="D246">
            <v>37900</v>
          </cell>
          <cell r="E246">
            <v>37890</v>
          </cell>
          <cell r="F246">
            <v>0.625</v>
          </cell>
          <cell r="G246" t="str">
            <v>Células de Solda Automática</v>
          </cell>
          <cell r="H246" t="str">
            <v>A fresa de limpeza da tocha não funciona</v>
          </cell>
          <cell r="I246" t="str">
            <v>Corretiva</v>
          </cell>
          <cell r="J246" t="str">
            <v>Não</v>
          </cell>
          <cell r="K246" t="str">
            <v>Mecânica</v>
          </cell>
          <cell r="L246" t="str">
            <v>Reparo</v>
          </cell>
          <cell r="M246" t="str">
            <v>Causa não especificada</v>
          </cell>
          <cell r="N246">
            <v>37890</v>
          </cell>
          <cell r="O246">
            <v>0.625</v>
          </cell>
          <cell r="P246">
            <v>37890</v>
          </cell>
          <cell r="Q246">
            <v>0.625</v>
          </cell>
          <cell r="T246">
            <v>37890</v>
          </cell>
          <cell r="U246">
            <v>0.91666666666666663</v>
          </cell>
          <cell r="V246">
            <v>37890</v>
          </cell>
          <cell r="W246">
            <v>0.91666666666666663</v>
          </cell>
          <cell r="X246">
            <v>0.29166666666424135</v>
          </cell>
          <cell r="Y246">
            <v>0.29166666666424135</v>
          </cell>
          <cell r="AB246">
            <v>9</v>
          </cell>
          <cell r="AC246">
            <v>7</v>
          </cell>
          <cell r="AD246">
            <v>0</v>
          </cell>
          <cell r="BF246">
            <v>9</v>
          </cell>
          <cell r="BG246">
            <v>0</v>
          </cell>
          <cell r="BH246">
            <v>0</v>
          </cell>
          <cell r="BI246">
            <v>0</v>
          </cell>
          <cell r="BJ246">
            <v>0</v>
          </cell>
          <cell r="BK246">
            <v>0</v>
          </cell>
          <cell r="BL246">
            <v>0</v>
          </cell>
          <cell r="BM246">
            <v>0</v>
          </cell>
          <cell r="BN246">
            <v>0</v>
          </cell>
          <cell r="BO246">
            <v>0</v>
          </cell>
          <cell r="BP246">
            <v>0</v>
          </cell>
          <cell r="BQ246">
            <v>0</v>
          </cell>
          <cell r="BR246">
            <v>0</v>
          </cell>
          <cell r="BS246">
            <v>0</v>
          </cell>
          <cell r="BT246">
            <v>0</v>
          </cell>
          <cell r="BU246">
            <v>0</v>
          </cell>
          <cell r="BV246">
            <v>0</v>
          </cell>
          <cell r="BW246">
            <v>0</v>
          </cell>
          <cell r="BX246">
            <v>0</v>
          </cell>
          <cell r="BY246">
            <v>0</v>
          </cell>
          <cell r="BZ246">
            <v>0</v>
          </cell>
          <cell r="CA246">
            <v>0</v>
          </cell>
          <cell r="CB246">
            <v>0</v>
          </cell>
          <cell r="CC246">
            <v>0</v>
          </cell>
          <cell r="CD246">
            <v>0</v>
          </cell>
        </row>
        <row r="247">
          <cell r="C247">
            <v>37816</v>
          </cell>
          <cell r="D247">
            <v>37858</v>
          </cell>
          <cell r="E247">
            <v>37831</v>
          </cell>
          <cell r="F247">
            <v>0.5</v>
          </cell>
          <cell r="G247" t="str">
            <v>Linha de Pintura 15m</v>
          </cell>
          <cell r="H247" t="str">
            <v>Eixo do Bastidor está torto</v>
          </cell>
          <cell r="I247" t="str">
            <v>Corretiva</v>
          </cell>
          <cell r="J247" t="str">
            <v>Não</v>
          </cell>
          <cell r="K247" t="str">
            <v>Mecânica</v>
          </cell>
          <cell r="L247" t="str">
            <v>Substituição do(s) Componente(s)</v>
          </cell>
          <cell r="M247" t="str">
            <v>Falha Operacional</v>
          </cell>
          <cell r="N247">
            <v>37847</v>
          </cell>
          <cell r="O247">
            <v>0.35416666666666669</v>
          </cell>
          <cell r="P247">
            <v>37847</v>
          </cell>
          <cell r="Q247">
            <v>0.35416666666666669</v>
          </cell>
          <cell r="T247">
            <v>37847</v>
          </cell>
          <cell r="U247">
            <v>0.52083333333333337</v>
          </cell>
          <cell r="V247">
            <v>37847</v>
          </cell>
          <cell r="W247">
            <v>0.52083333333333337</v>
          </cell>
          <cell r="X247">
            <v>0.16666666666909197</v>
          </cell>
          <cell r="Y247">
            <v>0.16666666666909197</v>
          </cell>
          <cell r="AB247">
            <v>8</v>
          </cell>
          <cell r="AC247">
            <v>7</v>
          </cell>
          <cell r="AD247">
            <v>0</v>
          </cell>
          <cell r="BF247">
            <v>0</v>
          </cell>
          <cell r="BG247">
            <v>0</v>
          </cell>
          <cell r="BH247">
            <v>0</v>
          </cell>
          <cell r="BI247">
            <v>0</v>
          </cell>
          <cell r="BJ247">
            <v>0</v>
          </cell>
          <cell r="BK247">
            <v>0</v>
          </cell>
          <cell r="BL247">
            <v>0</v>
          </cell>
          <cell r="BM247">
            <v>0</v>
          </cell>
          <cell r="BN247">
            <v>8</v>
          </cell>
          <cell r="BO247">
            <v>0</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C247">
            <v>0</v>
          </cell>
          <cell r="CD247">
            <v>0</v>
          </cell>
        </row>
        <row r="248">
          <cell r="C248">
            <v>37816</v>
          </cell>
          <cell r="D248">
            <v>37838</v>
          </cell>
          <cell r="E248">
            <v>37828</v>
          </cell>
          <cell r="F248">
            <v>0.33333333333333331</v>
          </cell>
          <cell r="G248" t="str">
            <v>Linha de Pintura 15m</v>
          </cell>
          <cell r="H248" t="str">
            <v>Válvula de ar do Transportador (Stock 07) apresenta funcionamento irregular</v>
          </cell>
          <cell r="I248" t="str">
            <v>Corretiva</v>
          </cell>
          <cell r="J248" t="str">
            <v>Não</v>
          </cell>
          <cell r="K248" t="str">
            <v>Elétrica</v>
          </cell>
          <cell r="L248" t="str">
            <v>Substituição do(s) Componente(s)</v>
          </cell>
          <cell r="M248" t="str">
            <v>Desgaste / Fadiga</v>
          </cell>
          <cell r="N248">
            <v>37828</v>
          </cell>
          <cell r="O248">
            <v>0.33333333333333331</v>
          </cell>
          <cell r="P248">
            <v>37828</v>
          </cell>
          <cell r="Q248">
            <v>0.33333333333333331</v>
          </cell>
          <cell r="T248">
            <v>37828</v>
          </cell>
          <cell r="U248">
            <v>0.41666666666666669</v>
          </cell>
          <cell r="V248">
            <v>37828</v>
          </cell>
          <cell r="W248">
            <v>0.41666666666666669</v>
          </cell>
          <cell r="X248">
            <v>8.3333333330908033E-2</v>
          </cell>
          <cell r="Y248">
            <v>8.3333333330908033E-2</v>
          </cell>
          <cell r="AB248">
            <v>7</v>
          </cell>
          <cell r="AC248">
            <v>7</v>
          </cell>
          <cell r="AD248">
            <v>0</v>
          </cell>
          <cell r="BF248">
            <v>0</v>
          </cell>
          <cell r="BG248">
            <v>0</v>
          </cell>
          <cell r="BH248">
            <v>0</v>
          </cell>
          <cell r="BI248">
            <v>0</v>
          </cell>
          <cell r="BJ248">
            <v>0</v>
          </cell>
          <cell r="BK248">
            <v>0</v>
          </cell>
          <cell r="BL248">
            <v>0</v>
          </cell>
          <cell r="BM248">
            <v>0</v>
          </cell>
          <cell r="BN248">
            <v>7</v>
          </cell>
          <cell r="BO248">
            <v>0</v>
          </cell>
          <cell r="BP248">
            <v>0</v>
          </cell>
          <cell r="BQ248">
            <v>0</v>
          </cell>
          <cell r="BR248">
            <v>0</v>
          </cell>
          <cell r="BS248">
            <v>0</v>
          </cell>
          <cell r="BT248">
            <v>0</v>
          </cell>
          <cell r="BU248">
            <v>0</v>
          </cell>
          <cell r="BV248">
            <v>0</v>
          </cell>
          <cell r="BW248">
            <v>0</v>
          </cell>
          <cell r="BX248">
            <v>0</v>
          </cell>
          <cell r="BY248">
            <v>0</v>
          </cell>
          <cell r="BZ248">
            <v>0</v>
          </cell>
          <cell r="CA248">
            <v>0</v>
          </cell>
          <cell r="CB248">
            <v>0</v>
          </cell>
          <cell r="CC248">
            <v>0</v>
          </cell>
          <cell r="CD248">
            <v>0</v>
          </cell>
        </row>
        <row r="249">
          <cell r="C249">
            <v>37816</v>
          </cell>
          <cell r="D249">
            <v>37838</v>
          </cell>
          <cell r="E249">
            <v>37837</v>
          </cell>
          <cell r="F249">
            <v>0.57638888888888895</v>
          </cell>
          <cell r="G249" t="str">
            <v>Linha de Pintura 15m</v>
          </cell>
          <cell r="H249" t="str">
            <v>Variador 01 de carga/descarga apresenta funcionamento inadequado</v>
          </cell>
          <cell r="I249" t="str">
            <v>Corretiva</v>
          </cell>
          <cell r="J249" t="str">
            <v>Sim</v>
          </cell>
          <cell r="K249" t="str">
            <v>Elétrica</v>
          </cell>
          <cell r="L249" t="str">
            <v>Substituição do(s) Componente(s)</v>
          </cell>
          <cell r="M249" t="str">
            <v>Desgaste / Fadiga</v>
          </cell>
          <cell r="N249">
            <v>37837</v>
          </cell>
          <cell r="O249">
            <v>0.57638888888888895</v>
          </cell>
          <cell r="P249">
            <v>37837</v>
          </cell>
          <cell r="Q249">
            <v>0.57638888888888895</v>
          </cell>
          <cell r="T249">
            <v>37837</v>
          </cell>
          <cell r="U249">
            <v>0.59027777777777779</v>
          </cell>
          <cell r="V249">
            <v>37837</v>
          </cell>
          <cell r="W249">
            <v>0.59027777777777779</v>
          </cell>
          <cell r="X249">
            <v>1.388888888888884E-2</v>
          </cell>
          <cell r="Y249">
            <v>1.3888888892122586E-2</v>
          </cell>
          <cell r="AB249">
            <v>8</v>
          </cell>
          <cell r="AC249">
            <v>7</v>
          </cell>
          <cell r="AD249">
            <v>0</v>
          </cell>
          <cell r="BF249">
            <v>0</v>
          </cell>
          <cell r="BG249">
            <v>0</v>
          </cell>
          <cell r="BH249">
            <v>0</v>
          </cell>
          <cell r="BI249">
            <v>0</v>
          </cell>
          <cell r="BJ249">
            <v>0</v>
          </cell>
          <cell r="BK249">
            <v>0</v>
          </cell>
          <cell r="BL249">
            <v>0</v>
          </cell>
          <cell r="BM249">
            <v>0</v>
          </cell>
          <cell r="BN249">
            <v>8</v>
          </cell>
          <cell r="BO249">
            <v>0</v>
          </cell>
          <cell r="BP249">
            <v>0</v>
          </cell>
          <cell r="BQ249">
            <v>0</v>
          </cell>
          <cell r="BR249">
            <v>0</v>
          </cell>
          <cell r="BS249">
            <v>0</v>
          </cell>
          <cell r="BT249">
            <v>0</v>
          </cell>
          <cell r="BU249">
            <v>0</v>
          </cell>
          <cell r="BV249">
            <v>0</v>
          </cell>
          <cell r="BW249">
            <v>0</v>
          </cell>
          <cell r="BX249">
            <v>0</v>
          </cell>
          <cell r="BY249">
            <v>0</v>
          </cell>
          <cell r="BZ249">
            <v>0</v>
          </cell>
          <cell r="CA249">
            <v>0</v>
          </cell>
          <cell r="CB249">
            <v>0</v>
          </cell>
          <cell r="CC249">
            <v>0</v>
          </cell>
          <cell r="CD249">
            <v>0</v>
          </cell>
        </row>
        <row r="250">
          <cell r="C250">
            <v>37816</v>
          </cell>
          <cell r="D250">
            <v>37858</v>
          </cell>
          <cell r="E250">
            <v>37840</v>
          </cell>
          <cell r="F250">
            <v>0.35416666666666669</v>
          </cell>
          <cell r="G250" t="str">
            <v>Linha de Pintura 15m</v>
          </cell>
          <cell r="H250" t="str">
            <v>Bomba do Fosfato apresenta constante queda de pressão</v>
          </cell>
          <cell r="I250" t="str">
            <v>Corretiva</v>
          </cell>
          <cell r="J250" t="str">
            <v>Não</v>
          </cell>
          <cell r="K250" t="str">
            <v>Elétrica</v>
          </cell>
          <cell r="L250" t="str">
            <v>Regulagem do Componente</v>
          </cell>
          <cell r="M250" t="str">
            <v>Falha de Regulagem / Configuração / Dimensionamento</v>
          </cell>
          <cell r="N250">
            <v>37842</v>
          </cell>
          <cell r="O250">
            <v>0.625</v>
          </cell>
          <cell r="P250">
            <v>37842</v>
          </cell>
          <cell r="Q250">
            <v>0.625</v>
          </cell>
          <cell r="T250">
            <v>37842</v>
          </cell>
          <cell r="U250">
            <v>0.75</v>
          </cell>
          <cell r="V250">
            <v>37842</v>
          </cell>
          <cell r="W250">
            <v>0.75</v>
          </cell>
          <cell r="X250">
            <v>0.125</v>
          </cell>
          <cell r="Y250">
            <v>0.125</v>
          </cell>
          <cell r="AB250">
            <v>8</v>
          </cell>
          <cell r="AC250">
            <v>7</v>
          </cell>
          <cell r="AD250">
            <v>0</v>
          </cell>
          <cell r="BF250">
            <v>0</v>
          </cell>
          <cell r="BG250">
            <v>0</v>
          </cell>
          <cell r="BH250">
            <v>0</v>
          </cell>
          <cell r="BI250">
            <v>0</v>
          </cell>
          <cell r="BJ250">
            <v>0</v>
          </cell>
          <cell r="BK250">
            <v>0</v>
          </cell>
          <cell r="BL250">
            <v>0</v>
          </cell>
          <cell r="BM250">
            <v>0</v>
          </cell>
          <cell r="BN250">
            <v>8</v>
          </cell>
          <cell r="BO250">
            <v>0</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row>
        <row r="251">
          <cell r="C251">
            <v>37816</v>
          </cell>
          <cell r="I251">
            <v>0</v>
          </cell>
          <cell r="N251">
            <v>0</v>
          </cell>
          <cell r="P251">
            <v>0</v>
          </cell>
          <cell r="T251">
            <v>0</v>
          </cell>
          <cell r="V251">
            <v>0</v>
          </cell>
          <cell r="W251">
            <v>0</v>
          </cell>
          <cell r="X251">
            <v>0</v>
          </cell>
          <cell r="Y251">
            <v>0</v>
          </cell>
          <cell r="AB251">
            <v>0</v>
          </cell>
          <cell r="AC251">
            <v>7</v>
          </cell>
          <cell r="AD251">
            <v>0</v>
          </cell>
          <cell r="BF251">
            <v>0</v>
          </cell>
          <cell r="BG251">
            <v>0</v>
          </cell>
          <cell r="BH251">
            <v>0</v>
          </cell>
          <cell r="BI251">
            <v>0</v>
          </cell>
          <cell r="BJ251">
            <v>0</v>
          </cell>
          <cell r="BK251">
            <v>0</v>
          </cell>
          <cell r="BL251">
            <v>0</v>
          </cell>
          <cell r="BM251">
            <v>0</v>
          </cell>
          <cell r="BN251">
            <v>0</v>
          </cell>
          <cell r="BO251">
            <v>0</v>
          </cell>
          <cell r="BP251">
            <v>0</v>
          </cell>
          <cell r="BQ251">
            <v>0</v>
          </cell>
          <cell r="BR251">
            <v>0</v>
          </cell>
          <cell r="BS251">
            <v>0</v>
          </cell>
          <cell r="BT251">
            <v>0</v>
          </cell>
          <cell r="BU251">
            <v>0</v>
          </cell>
          <cell r="BV251">
            <v>0</v>
          </cell>
          <cell r="BW251">
            <v>0</v>
          </cell>
          <cell r="BX251">
            <v>0</v>
          </cell>
          <cell r="BY251">
            <v>0</v>
          </cell>
          <cell r="BZ251">
            <v>0</v>
          </cell>
          <cell r="CA251">
            <v>0</v>
          </cell>
          <cell r="CB251">
            <v>0</v>
          </cell>
          <cell r="CC251">
            <v>0</v>
          </cell>
          <cell r="CD251">
            <v>0</v>
          </cell>
        </row>
        <row r="252">
          <cell r="C252">
            <v>37816</v>
          </cell>
          <cell r="D252">
            <v>37858</v>
          </cell>
          <cell r="E252">
            <v>37841</v>
          </cell>
          <cell r="F252">
            <v>0.51388888888888895</v>
          </cell>
          <cell r="G252" t="str">
            <v>Linha de Pintura 15m</v>
          </cell>
          <cell r="H252" t="str">
            <v>Exaustão não funciona</v>
          </cell>
          <cell r="I252" t="str">
            <v>Corretiva</v>
          </cell>
          <cell r="J252" t="str">
            <v>Sim</v>
          </cell>
          <cell r="K252" t="str">
            <v>Elétrica</v>
          </cell>
          <cell r="L252" t="str">
            <v>Substituição do(s) Componente(s)</v>
          </cell>
          <cell r="M252" t="str">
            <v>Sobrecarga</v>
          </cell>
          <cell r="N252">
            <v>37841</v>
          </cell>
          <cell r="O252">
            <v>0.51388888888888895</v>
          </cell>
          <cell r="P252">
            <v>37841</v>
          </cell>
          <cell r="Q252">
            <v>0.51388888888888895</v>
          </cell>
          <cell r="T252">
            <v>37841</v>
          </cell>
          <cell r="U252">
            <v>0.52430555555555558</v>
          </cell>
          <cell r="V252">
            <v>37841</v>
          </cell>
          <cell r="W252">
            <v>0.52430555555555558</v>
          </cell>
          <cell r="X252">
            <v>1.041666666666663E-2</v>
          </cell>
          <cell r="Y252">
            <v>1.0416666665858165E-2</v>
          </cell>
          <cell r="AB252">
            <v>8</v>
          </cell>
          <cell r="AC252">
            <v>7</v>
          </cell>
          <cell r="AD252">
            <v>0</v>
          </cell>
          <cell r="BF252">
            <v>0</v>
          </cell>
          <cell r="BG252">
            <v>0</v>
          </cell>
          <cell r="BH252">
            <v>0</v>
          </cell>
          <cell r="BI252">
            <v>0</v>
          </cell>
          <cell r="BJ252">
            <v>0</v>
          </cell>
          <cell r="BK252">
            <v>0</v>
          </cell>
          <cell r="BL252">
            <v>0</v>
          </cell>
          <cell r="BM252">
            <v>0</v>
          </cell>
          <cell r="BN252">
            <v>8</v>
          </cell>
          <cell r="BO252">
            <v>0</v>
          </cell>
          <cell r="BP252">
            <v>0</v>
          </cell>
          <cell r="BQ252">
            <v>0</v>
          </cell>
          <cell r="BR252">
            <v>0</v>
          </cell>
          <cell r="BS252">
            <v>0</v>
          </cell>
          <cell r="BT252">
            <v>0</v>
          </cell>
          <cell r="BU252">
            <v>0</v>
          </cell>
          <cell r="BV252">
            <v>0</v>
          </cell>
          <cell r="BW252">
            <v>0</v>
          </cell>
          <cell r="BX252">
            <v>0</v>
          </cell>
          <cell r="BY252">
            <v>0</v>
          </cell>
          <cell r="BZ252">
            <v>0</v>
          </cell>
          <cell r="CA252">
            <v>0</v>
          </cell>
          <cell r="CB252">
            <v>0</v>
          </cell>
          <cell r="CC252">
            <v>0</v>
          </cell>
          <cell r="CD252">
            <v>0</v>
          </cell>
        </row>
        <row r="253">
          <cell r="C253">
            <v>37816</v>
          </cell>
          <cell r="D253">
            <v>37858</v>
          </cell>
          <cell r="E253">
            <v>37847</v>
          </cell>
          <cell r="F253">
            <v>0.33333333333333331</v>
          </cell>
          <cell r="G253" t="str">
            <v>Linha de Pintura 15m</v>
          </cell>
          <cell r="H253" t="str">
            <v>Mangueiras de Recuperação de pó estão furadas</v>
          </cell>
          <cell r="I253" t="str">
            <v>Corretiva</v>
          </cell>
          <cell r="J253" t="str">
            <v>Não</v>
          </cell>
          <cell r="K253" t="str">
            <v>Mecânica</v>
          </cell>
          <cell r="L253" t="str">
            <v>Substituição do(s) Componente(s)</v>
          </cell>
          <cell r="M253" t="str">
            <v>Defeito de Fabricação</v>
          </cell>
          <cell r="N253">
            <v>37847</v>
          </cell>
          <cell r="O253">
            <v>0.33333333333333331</v>
          </cell>
          <cell r="P253">
            <v>37847</v>
          </cell>
          <cell r="Q253">
            <v>0.33333333333333331</v>
          </cell>
          <cell r="T253">
            <v>37847</v>
          </cell>
          <cell r="U253">
            <v>0.39583333333333331</v>
          </cell>
          <cell r="V253">
            <v>37847</v>
          </cell>
          <cell r="W253">
            <v>0.39583333333333331</v>
          </cell>
          <cell r="X253">
            <v>6.2500000002425338E-2</v>
          </cell>
          <cell r="Y253">
            <v>6.2500000002425338E-2</v>
          </cell>
          <cell r="AB253">
            <v>8</v>
          </cell>
          <cell r="AC253">
            <v>7</v>
          </cell>
          <cell r="AD253">
            <v>0</v>
          </cell>
          <cell r="BF253">
            <v>0</v>
          </cell>
          <cell r="BG253">
            <v>0</v>
          </cell>
          <cell r="BH253">
            <v>0</v>
          </cell>
          <cell r="BI253">
            <v>0</v>
          </cell>
          <cell r="BJ253">
            <v>0</v>
          </cell>
          <cell r="BK253">
            <v>0</v>
          </cell>
          <cell r="BL253">
            <v>0</v>
          </cell>
          <cell r="BM253">
            <v>0</v>
          </cell>
          <cell r="BN253">
            <v>8</v>
          </cell>
          <cell r="BO253">
            <v>0</v>
          </cell>
          <cell r="BP253">
            <v>0</v>
          </cell>
          <cell r="BQ253">
            <v>0</v>
          </cell>
          <cell r="BR253">
            <v>0</v>
          </cell>
          <cell r="BS253">
            <v>0</v>
          </cell>
          <cell r="BT253">
            <v>0</v>
          </cell>
          <cell r="BU253">
            <v>0</v>
          </cell>
          <cell r="BV253">
            <v>0</v>
          </cell>
          <cell r="BW253">
            <v>0</v>
          </cell>
          <cell r="BX253">
            <v>0</v>
          </cell>
          <cell r="BY253">
            <v>0</v>
          </cell>
          <cell r="BZ253">
            <v>0</v>
          </cell>
          <cell r="CA253">
            <v>0</v>
          </cell>
          <cell r="CB253">
            <v>0</v>
          </cell>
          <cell r="CC253">
            <v>0</v>
          </cell>
          <cell r="CD253">
            <v>0</v>
          </cell>
        </row>
        <row r="254">
          <cell r="C254">
            <v>37816</v>
          </cell>
          <cell r="D254">
            <v>37858</v>
          </cell>
          <cell r="E254">
            <v>37848</v>
          </cell>
          <cell r="F254">
            <v>0.33333333333333331</v>
          </cell>
          <cell r="G254" t="str">
            <v>Linha de Pintura 15m</v>
          </cell>
          <cell r="H254" t="str">
            <v>Visor de nível do enxágüe 01 está opaco</v>
          </cell>
          <cell r="I254" t="str">
            <v>Corretiva</v>
          </cell>
          <cell r="J254" t="str">
            <v>Não</v>
          </cell>
          <cell r="K254" t="str">
            <v>Mecânica</v>
          </cell>
          <cell r="L254" t="str">
            <v>Limpeza do Equipamento / Componente</v>
          </cell>
          <cell r="M254" t="str">
            <v>Sujeira em excesso</v>
          </cell>
          <cell r="N254">
            <v>37855</v>
          </cell>
          <cell r="O254">
            <v>0.45833333333333331</v>
          </cell>
          <cell r="P254">
            <v>37855</v>
          </cell>
          <cell r="Q254">
            <v>0.45833333333333331</v>
          </cell>
          <cell r="T254">
            <v>37855</v>
          </cell>
          <cell r="U254">
            <v>0.5</v>
          </cell>
          <cell r="V254">
            <v>37855</v>
          </cell>
          <cell r="W254">
            <v>0.5</v>
          </cell>
          <cell r="X254">
            <v>4.1666666666666685E-2</v>
          </cell>
          <cell r="Y254">
            <v>4.1666666666666685E-2</v>
          </cell>
          <cell r="AB254">
            <v>8</v>
          </cell>
          <cell r="AC254">
            <v>7</v>
          </cell>
          <cell r="AD254">
            <v>0</v>
          </cell>
          <cell r="BF254">
            <v>0</v>
          </cell>
          <cell r="BG254">
            <v>0</v>
          </cell>
          <cell r="BH254">
            <v>0</v>
          </cell>
          <cell r="BI254">
            <v>0</v>
          </cell>
          <cell r="BJ254">
            <v>0</v>
          </cell>
          <cell r="BK254">
            <v>0</v>
          </cell>
          <cell r="BL254">
            <v>0</v>
          </cell>
          <cell r="BM254">
            <v>0</v>
          </cell>
          <cell r="BN254">
            <v>8</v>
          </cell>
          <cell r="BO254">
            <v>0</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row>
        <row r="255">
          <cell r="C255">
            <v>37816</v>
          </cell>
          <cell r="D255">
            <v>37865</v>
          </cell>
          <cell r="E255">
            <v>37848</v>
          </cell>
          <cell r="F255">
            <v>0.33333333333333331</v>
          </cell>
          <cell r="G255" t="str">
            <v>Linha de Pintura 15m</v>
          </cell>
          <cell r="H255" t="str">
            <v>Vazamento de água do abastecedor do enxágüe 02</v>
          </cell>
          <cell r="I255" t="str">
            <v>Corretiva</v>
          </cell>
          <cell r="J255" t="str">
            <v>Não</v>
          </cell>
          <cell r="K255" t="str">
            <v>Mecânica</v>
          </cell>
          <cell r="L255" t="str">
            <v>Contenção do vazamento</v>
          </cell>
          <cell r="M255" t="str">
            <v>Desgaste / Fadiga</v>
          </cell>
          <cell r="N255">
            <v>37861</v>
          </cell>
          <cell r="O255">
            <v>0.58333333333333337</v>
          </cell>
          <cell r="P255">
            <v>37861</v>
          </cell>
          <cell r="Q255">
            <v>0.58333333333333337</v>
          </cell>
          <cell r="T255">
            <v>37861</v>
          </cell>
          <cell r="U255">
            <v>0.625</v>
          </cell>
          <cell r="V255">
            <v>37861</v>
          </cell>
          <cell r="W255">
            <v>0.625</v>
          </cell>
          <cell r="X255">
            <v>4.166666666666663E-2</v>
          </cell>
          <cell r="Y255">
            <v>4.166666666666663E-2</v>
          </cell>
          <cell r="AB255">
            <v>8</v>
          </cell>
          <cell r="AC255">
            <v>7</v>
          </cell>
          <cell r="AD255">
            <v>0</v>
          </cell>
          <cell r="BF255">
            <v>0</v>
          </cell>
          <cell r="BG255">
            <v>0</v>
          </cell>
          <cell r="BH255">
            <v>0</v>
          </cell>
          <cell r="BI255">
            <v>0</v>
          </cell>
          <cell r="BJ255">
            <v>0</v>
          </cell>
          <cell r="BK255">
            <v>0</v>
          </cell>
          <cell r="BL255">
            <v>0</v>
          </cell>
          <cell r="BM255">
            <v>0</v>
          </cell>
          <cell r="BN255">
            <v>8</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row>
        <row r="256">
          <cell r="C256">
            <v>37816</v>
          </cell>
          <cell r="D256">
            <v>37858</v>
          </cell>
          <cell r="E256">
            <v>37855</v>
          </cell>
          <cell r="F256">
            <v>0.25</v>
          </cell>
          <cell r="G256" t="str">
            <v>Linha de Pintura 15m</v>
          </cell>
          <cell r="H256" t="str">
            <v>Conector de engate rápido não funciona</v>
          </cell>
          <cell r="I256" t="str">
            <v>Corretiva</v>
          </cell>
          <cell r="J256" t="str">
            <v>Sim</v>
          </cell>
          <cell r="K256" t="str">
            <v>Mecânica</v>
          </cell>
          <cell r="L256" t="str">
            <v>Substituição do(s) Componente(s)</v>
          </cell>
          <cell r="M256" t="str">
            <v>Desgaste / Fadiga</v>
          </cell>
          <cell r="N256">
            <v>37855</v>
          </cell>
          <cell r="O256">
            <v>0.29166666666666669</v>
          </cell>
          <cell r="P256">
            <v>37855</v>
          </cell>
          <cell r="Q256">
            <v>0.29166666666666669</v>
          </cell>
          <cell r="T256">
            <v>37855</v>
          </cell>
          <cell r="U256">
            <v>0.3125</v>
          </cell>
          <cell r="V256">
            <v>37855</v>
          </cell>
          <cell r="W256">
            <v>0.3125</v>
          </cell>
          <cell r="X256">
            <v>2.0833333333333315E-2</v>
          </cell>
          <cell r="Y256">
            <v>2.0833333333333315E-2</v>
          </cell>
          <cell r="AB256">
            <v>8</v>
          </cell>
          <cell r="AC256">
            <v>7</v>
          </cell>
          <cell r="AD256">
            <v>0</v>
          </cell>
          <cell r="BF256">
            <v>0</v>
          </cell>
          <cell r="BG256">
            <v>0</v>
          </cell>
          <cell r="BH256">
            <v>0</v>
          </cell>
          <cell r="BI256">
            <v>0</v>
          </cell>
          <cell r="BJ256">
            <v>0</v>
          </cell>
          <cell r="BK256">
            <v>0</v>
          </cell>
          <cell r="BL256">
            <v>0</v>
          </cell>
          <cell r="BM256">
            <v>0</v>
          </cell>
          <cell r="BN256">
            <v>8</v>
          </cell>
          <cell r="BO256">
            <v>0</v>
          </cell>
          <cell r="BP256">
            <v>0</v>
          </cell>
          <cell r="BQ256">
            <v>0</v>
          </cell>
          <cell r="BR256">
            <v>0</v>
          </cell>
          <cell r="BS256">
            <v>0</v>
          </cell>
          <cell r="BT256">
            <v>0</v>
          </cell>
          <cell r="BU256">
            <v>0</v>
          </cell>
          <cell r="BV256">
            <v>0</v>
          </cell>
          <cell r="BW256">
            <v>0</v>
          </cell>
          <cell r="BX256">
            <v>0</v>
          </cell>
          <cell r="BY256">
            <v>0</v>
          </cell>
          <cell r="BZ256">
            <v>0</v>
          </cell>
          <cell r="CA256">
            <v>0</v>
          </cell>
          <cell r="CB256">
            <v>0</v>
          </cell>
          <cell r="CC256">
            <v>0</v>
          </cell>
          <cell r="CD256">
            <v>0</v>
          </cell>
        </row>
        <row r="257">
          <cell r="C257">
            <v>37816</v>
          </cell>
          <cell r="D257">
            <v>37819</v>
          </cell>
          <cell r="E257">
            <v>37816</v>
          </cell>
          <cell r="F257">
            <v>0.46527777777777773</v>
          </cell>
          <cell r="G257" t="str">
            <v>Prensa Jundiaí</v>
          </cell>
          <cell r="H257" t="str">
            <v>Sensores apresentam leitura incorreta</v>
          </cell>
          <cell r="I257" t="str">
            <v>Corretiva</v>
          </cell>
          <cell r="J257" t="str">
            <v>Sim</v>
          </cell>
          <cell r="K257" t="str">
            <v>Elétrica</v>
          </cell>
          <cell r="L257" t="str">
            <v>Regulagem dos cames dos sensores</v>
          </cell>
          <cell r="M257" t="str">
            <v>Vibração</v>
          </cell>
          <cell r="N257">
            <v>37816</v>
          </cell>
          <cell r="O257">
            <v>0.46527777777777773</v>
          </cell>
          <cell r="P257">
            <v>37816</v>
          </cell>
          <cell r="Q257">
            <v>0.46527777777777773</v>
          </cell>
          <cell r="T257">
            <v>37816</v>
          </cell>
          <cell r="U257">
            <v>0.47916666666666669</v>
          </cell>
          <cell r="V257">
            <v>37816</v>
          </cell>
          <cell r="W257">
            <v>0.47916666666666669</v>
          </cell>
          <cell r="X257">
            <v>1.3888888888888951E-2</v>
          </cell>
          <cell r="Y257">
            <v>1.3888888886463613E-2</v>
          </cell>
          <cell r="AB257">
            <v>7</v>
          </cell>
          <cell r="AC257">
            <v>7</v>
          </cell>
          <cell r="AD257">
            <v>0</v>
          </cell>
          <cell r="BF257">
            <v>0</v>
          </cell>
          <cell r="BG257">
            <v>0</v>
          </cell>
          <cell r="BH257">
            <v>0</v>
          </cell>
          <cell r="BI257">
            <v>0</v>
          </cell>
          <cell r="BJ257">
            <v>0</v>
          </cell>
          <cell r="BK257">
            <v>0</v>
          </cell>
          <cell r="BL257">
            <v>0</v>
          </cell>
          <cell r="BM257">
            <v>0</v>
          </cell>
          <cell r="BN257">
            <v>0</v>
          </cell>
          <cell r="BO257">
            <v>0</v>
          </cell>
          <cell r="BP257">
            <v>0</v>
          </cell>
          <cell r="BQ257">
            <v>0</v>
          </cell>
          <cell r="BR257">
            <v>0</v>
          </cell>
          <cell r="BS257">
            <v>0</v>
          </cell>
          <cell r="BT257">
            <v>0</v>
          </cell>
          <cell r="BU257">
            <v>0</v>
          </cell>
          <cell r="BV257">
            <v>0</v>
          </cell>
          <cell r="BW257">
            <v>0</v>
          </cell>
          <cell r="BX257">
            <v>0</v>
          </cell>
          <cell r="BY257">
            <v>7</v>
          </cell>
          <cell r="BZ257">
            <v>0</v>
          </cell>
          <cell r="CA257">
            <v>0</v>
          </cell>
          <cell r="CB257">
            <v>0</v>
          </cell>
          <cell r="CC257">
            <v>0</v>
          </cell>
          <cell r="CD257">
            <v>0</v>
          </cell>
        </row>
        <row r="258">
          <cell r="C258">
            <v>37816</v>
          </cell>
          <cell r="D258">
            <v>37819</v>
          </cell>
          <cell r="E258">
            <v>37816</v>
          </cell>
          <cell r="F258">
            <v>0.625</v>
          </cell>
          <cell r="G258" t="str">
            <v>Prensa Jundiaí</v>
          </cell>
          <cell r="H258" t="str">
            <v>Máquina travada pelo IHM</v>
          </cell>
          <cell r="I258" t="str">
            <v>Corretiva</v>
          </cell>
          <cell r="J258" t="str">
            <v>Sim</v>
          </cell>
          <cell r="K258" t="str">
            <v>Elétrica</v>
          </cell>
          <cell r="L258" t="str">
            <v>Substituição do(s) Componente(s)</v>
          </cell>
          <cell r="M258" t="str">
            <v>Falha de Comando / Sistema</v>
          </cell>
          <cell r="N258">
            <v>37816</v>
          </cell>
          <cell r="O258">
            <v>0.625</v>
          </cell>
          <cell r="P258">
            <v>37816</v>
          </cell>
          <cell r="Q258">
            <v>0.64583333333333337</v>
          </cell>
          <cell r="R258">
            <v>37816</v>
          </cell>
          <cell r="S258">
            <v>0.75</v>
          </cell>
          <cell r="T258">
            <v>37816</v>
          </cell>
          <cell r="U258">
            <v>0.80208333333333337</v>
          </cell>
          <cell r="V258">
            <v>0</v>
          </cell>
          <cell r="W258">
            <v>7.2916666666666741E-2</v>
          </cell>
          <cell r="X258">
            <v>7.2916666666666741E-2</v>
          </cell>
          <cell r="Y258" t="str">
            <v>Substituição do CLP</v>
          </cell>
          <cell r="AB258">
            <v>7</v>
          </cell>
          <cell r="AC258">
            <v>7</v>
          </cell>
          <cell r="AD258">
            <v>0</v>
          </cell>
          <cell r="BF258">
            <v>0</v>
          </cell>
          <cell r="BG258">
            <v>0</v>
          </cell>
          <cell r="BH258">
            <v>0</v>
          </cell>
          <cell r="BI258">
            <v>0</v>
          </cell>
          <cell r="BJ258">
            <v>0</v>
          </cell>
          <cell r="BK258">
            <v>0</v>
          </cell>
          <cell r="BL258">
            <v>0</v>
          </cell>
          <cell r="BM258">
            <v>0</v>
          </cell>
          <cell r="BN258">
            <v>0</v>
          </cell>
          <cell r="BO258">
            <v>0</v>
          </cell>
          <cell r="BP258">
            <v>0</v>
          </cell>
          <cell r="BQ258">
            <v>0</v>
          </cell>
          <cell r="BR258">
            <v>0</v>
          </cell>
          <cell r="BS258">
            <v>0</v>
          </cell>
          <cell r="BT258">
            <v>0</v>
          </cell>
          <cell r="BU258">
            <v>0</v>
          </cell>
          <cell r="BV258">
            <v>0</v>
          </cell>
          <cell r="BW258">
            <v>0</v>
          </cell>
          <cell r="BX258">
            <v>0</v>
          </cell>
          <cell r="BY258">
            <v>7</v>
          </cell>
          <cell r="BZ258">
            <v>0</v>
          </cell>
          <cell r="CA258">
            <v>0</v>
          </cell>
          <cell r="CB258">
            <v>0</v>
          </cell>
          <cell r="CC258">
            <v>0</v>
          </cell>
          <cell r="CD258">
            <v>0</v>
          </cell>
        </row>
        <row r="259">
          <cell r="C259">
            <v>37816</v>
          </cell>
          <cell r="D259">
            <v>37831</v>
          </cell>
          <cell r="E259">
            <v>37818</v>
          </cell>
          <cell r="F259">
            <v>0.73611111111111116</v>
          </cell>
          <cell r="G259" t="str">
            <v>Guilhotina Sorg</v>
          </cell>
          <cell r="H259" t="str">
            <v>Máquina não referencia</v>
          </cell>
          <cell r="I259" t="str">
            <v>Corretiva</v>
          </cell>
          <cell r="J259" t="str">
            <v>Sim</v>
          </cell>
          <cell r="K259" t="str">
            <v>Elétrica</v>
          </cell>
          <cell r="L259" t="str">
            <v>Reset no inversor e controlador</v>
          </cell>
          <cell r="M259" t="str">
            <v>Falha de Comando / Sistema</v>
          </cell>
          <cell r="N259">
            <v>37818</v>
          </cell>
          <cell r="O259">
            <v>0.73611111111111116</v>
          </cell>
          <cell r="P259">
            <v>37818</v>
          </cell>
          <cell r="Q259">
            <v>0.73611111111111116</v>
          </cell>
          <cell r="T259">
            <v>37818</v>
          </cell>
          <cell r="U259">
            <v>0.74444444444444446</v>
          </cell>
          <cell r="V259">
            <v>37818</v>
          </cell>
          <cell r="W259">
            <v>0.74444444444444446</v>
          </cell>
          <cell r="X259">
            <v>8.3333333333333037E-3</v>
          </cell>
          <cell r="Y259">
            <v>8.3333333297761492E-3</v>
          </cell>
          <cell r="AB259">
            <v>7</v>
          </cell>
          <cell r="AC259">
            <v>7</v>
          </cell>
          <cell r="AD259">
            <v>0</v>
          </cell>
          <cell r="BF259">
            <v>0</v>
          </cell>
          <cell r="BG259">
            <v>0</v>
          </cell>
          <cell r="BH259">
            <v>0</v>
          </cell>
          <cell r="BI259">
            <v>0</v>
          </cell>
          <cell r="BJ259">
            <v>0</v>
          </cell>
          <cell r="BK259">
            <v>0</v>
          </cell>
          <cell r="BL259">
            <v>0</v>
          </cell>
          <cell r="BM259">
            <v>7</v>
          </cell>
          <cell r="BN259">
            <v>0</v>
          </cell>
          <cell r="BO259">
            <v>0</v>
          </cell>
          <cell r="BP259">
            <v>0</v>
          </cell>
          <cell r="BQ259">
            <v>0</v>
          </cell>
          <cell r="BR259">
            <v>0</v>
          </cell>
          <cell r="BS259">
            <v>0</v>
          </cell>
          <cell r="BT259">
            <v>0</v>
          </cell>
          <cell r="BU259">
            <v>0</v>
          </cell>
          <cell r="BV259">
            <v>0</v>
          </cell>
          <cell r="BW259">
            <v>0</v>
          </cell>
          <cell r="BX259">
            <v>0</v>
          </cell>
          <cell r="BY259">
            <v>0</v>
          </cell>
          <cell r="BZ259">
            <v>0</v>
          </cell>
          <cell r="CA259">
            <v>0</v>
          </cell>
          <cell r="CB259">
            <v>0</v>
          </cell>
          <cell r="CC259">
            <v>0</v>
          </cell>
          <cell r="CD259">
            <v>0</v>
          </cell>
        </row>
        <row r="260">
          <cell r="C260">
            <v>37816</v>
          </cell>
          <cell r="D260">
            <v>37831</v>
          </cell>
          <cell r="E260">
            <v>37823</v>
          </cell>
          <cell r="F260">
            <v>0.38541666666666669</v>
          </cell>
          <cell r="G260" t="str">
            <v>Guilhotina Sorg</v>
          </cell>
          <cell r="H260" t="str">
            <v>Esferas da mesa estão baixas</v>
          </cell>
          <cell r="I260" t="str">
            <v>Corretiva</v>
          </cell>
          <cell r="J260" t="str">
            <v>Sim</v>
          </cell>
          <cell r="K260" t="str">
            <v>Mecânica</v>
          </cell>
          <cell r="L260" t="str">
            <v>Ajuste / Regulagem</v>
          </cell>
          <cell r="M260" t="str">
            <v>Desgaste / Fadiga</v>
          </cell>
          <cell r="N260">
            <v>37823</v>
          </cell>
          <cell r="O260">
            <v>0.38541666666666669</v>
          </cell>
          <cell r="P260">
            <v>37823</v>
          </cell>
          <cell r="Q260">
            <v>0.38541666666666669</v>
          </cell>
          <cell r="T260">
            <v>37823</v>
          </cell>
          <cell r="U260">
            <v>0.42708333333333331</v>
          </cell>
          <cell r="V260">
            <v>37823</v>
          </cell>
          <cell r="W260">
            <v>0.42708333333333331</v>
          </cell>
          <cell r="X260">
            <v>4.166666666666663E-2</v>
          </cell>
          <cell r="Y260">
            <v>4.1666666669091967E-2</v>
          </cell>
          <cell r="AB260">
            <v>7</v>
          </cell>
          <cell r="AC260">
            <v>7</v>
          </cell>
          <cell r="AD260">
            <v>0</v>
          </cell>
          <cell r="BF260">
            <v>0</v>
          </cell>
          <cell r="BG260">
            <v>0</v>
          </cell>
          <cell r="BH260">
            <v>0</v>
          </cell>
          <cell r="BI260">
            <v>0</v>
          </cell>
          <cell r="BJ260">
            <v>0</v>
          </cell>
          <cell r="BK260">
            <v>0</v>
          </cell>
          <cell r="BL260">
            <v>0</v>
          </cell>
          <cell r="BM260">
            <v>7</v>
          </cell>
          <cell r="BN260">
            <v>0</v>
          </cell>
          <cell r="BO260">
            <v>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row>
        <row r="261">
          <cell r="C261">
            <v>37816</v>
          </cell>
          <cell r="D261">
            <v>37831</v>
          </cell>
          <cell r="E261">
            <v>37820</v>
          </cell>
          <cell r="F261">
            <v>0.41666666666666669</v>
          </cell>
          <cell r="G261" t="str">
            <v>Guilhotina Sorg</v>
          </cell>
          <cell r="H261" t="str">
            <v>Régua desregulada</v>
          </cell>
          <cell r="I261" t="str">
            <v>Corretiva</v>
          </cell>
          <cell r="J261" t="str">
            <v>Não</v>
          </cell>
          <cell r="K261" t="str">
            <v>Mecânica</v>
          </cell>
          <cell r="L261" t="str">
            <v>Regulagem das guias da chapa</v>
          </cell>
          <cell r="M261" t="str">
            <v>Defeito de Fabricação</v>
          </cell>
          <cell r="N261">
            <v>37820</v>
          </cell>
          <cell r="O261">
            <v>0.41666666666666669</v>
          </cell>
          <cell r="P261">
            <v>37820</v>
          </cell>
          <cell r="Q261">
            <v>0.41666666666666669</v>
          </cell>
          <cell r="T261">
            <v>37820</v>
          </cell>
          <cell r="U261">
            <v>0.54166666666666663</v>
          </cell>
          <cell r="V261">
            <v>37820</v>
          </cell>
          <cell r="W261">
            <v>0.54166666666666663</v>
          </cell>
          <cell r="X261">
            <v>0.12499999999757466</v>
          </cell>
          <cell r="Y261">
            <v>0.12499999999757466</v>
          </cell>
          <cell r="AB261">
            <v>7</v>
          </cell>
          <cell r="AC261">
            <v>7</v>
          </cell>
          <cell r="AD261">
            <v>0</v>
          </cell>
          <cell r="BF261">
            <v>0</v>
          </cell>
          <cell r="BG261">
            <v>0</v>
          </cell>
          <cell r="BH261">
            <v>0</v>
          </cell>
          <cell r="BI261">
            <v>0</v>
          </cell>
          <cell r="BJ261">
            <v>0</v>
          </cell>
          <cell r="BK261">
            <v>0</v>
          </cell>
          <cell r="BL261">
            <v>0</v>
          </cell>
          <cell r="BM261">
            <v>7</v>
          </cell>
          <cell r="BN261">
            <v>0</v>
          </cell>
          <cell r="BO261">
            <v>0</v>
          </cell>
          <cell r="BP261">
            <v>0</v>
          </cell>
          <cell r="BQ261">
            <v>0</v>
          </cell>
          <cell r="BR261">
            <v>0</v>
          </cell>
          <cell r="BS261">
            <v>0</v>
          </cell>
          <cell r="BT261">
            <v>0</v>
          </cell>
          <cell r="BU261">
            <v>0</v>
          </cell>
          <cell r="BV261">
            <v>0</v>
          </cell>
          <cell r="BW261">
            <v>0</v>
          </cell>
          <cell r="BX261">
            <v>0</v>
          </cell>
          <cell r="BY261">
            <v>0</v>
          </cell>
          <cell r="BZ261">
            <v>0</v>
          </cell>
          <cell r="CA261">
            <v>0</v>
          </cell>
          <cell r="CB261">
            <v>0</v>
          </cell>
          <cell r="CC261">
            <v>0</v>
          </cell>
          <cell r="CD261">
            <v>0</v>
          </cell>
        </row>
        <row r="262">
          <cell r="C262">
            <v>37816</v>
          </cell>
          <cell r="I262">
            <v>0</v>
          </cell>
          <cell r="N262">
            <v>0</v>
          </cell>
          <cell r="P262">
            <v>0</v>
          </cell>
          <cell r="T262">
            <v>0</v>
          </cell>
          <cell r="V262">
            <v>0</v>
          </cell>
          <cell r="W262">
            <v>0</v>
          </cell>
          <cell r="X262">
            <v>0</v>
          </cell>
          <cell r="Y262">
            <v>0</v>
          </cell>
          <cell r="AB262">
            <v>0</v>
          </cell>
          <cell r="AC262">
            <v>7</v>
          </cell>
          <cell r="AD262">
            <v>0</v>
          </cell>
          <cell r="BF262">
            <v>0</v>
          </cell>
          <cell r="BG262">
            <v>0</v>
          </cell>
          <cell r="BH262">
            <v>0</v>
          </cell>
          <cell r="BI262">
            <v>0</v>
          </cell>
          <cell r="BJ262">
            <v>0</v>
          </cell>
          <cell r="BK262">
            <v>0</v>
          </cell>
          <cell r="BL262">
            <v>0</v>
          </cell>
          <cell r="BM262">
            <v>0</v>
          </cell>
          <cell r="BN262">
            <v>0</v>
          </cell>
          <cell r="BO262">
            <v>0</v>
          </cell>
          <cell r="BP262">
            <v>0</v>
          </cell>
          <cell r="BQ262">
            <v>0</v>
          </cell>
          <cell r="BR262">
            <v>0</v>
          </cell>
          <cell r="BS262">
            <v>0</v>
          </cell>
          <cell r="BT262">
            <v>0</v>
          </cell>
          <cell r="BU262">
            <v>0</v>
          </cell>
          <cell r="BV262">
            <v>0</v>
          </cell>
          <cell r="BW262">
            <v>0</v>
          </cell>
          <cell r="BX262">
            <v>0</v>
          </cell>
          <cell r="BY262">
            <v>0</v>
          </cell>
          <cell r="BZ262">
            <v>0</v>
          </cell>
          <cell r="CA262">
            <v>0</v>
          </cell>
          <cell r="CB262">
            <v>0</v>
          </cell>
          <cell r="CC262">
            <v>0</v>
          </cell>
          <cell r="CD262">
            <v>0</v>
          </cell>
        </row>
        <row r="263">
          <cell r="C263">
            <v>37816</v>
          </cell>
          <cell r="D263">
            <v>37858</v>
          </cell>
          <cell r="E263">
            <v>37839</v>
          </cell>
          <cell r="F263">
            <v>0.54166666666666663</v>
          </cell>
          <cell r="G263" t="str">
            <v>Prensa Jundiaí</v>
          </cell>
          <cell r="H263" t="str">
            <v>Motor com rotação invertida</v>
          </cell>
          <cell r="I263" t="str">
            <v>Corretiva</v>
          </cell>
          <cell r="J263" t="str">
            <v>Sim</v>
          </cell>
          <cell r="K263" t="str">
            <v>Elétrica</v>
          </cell>
          <cell r="L263" t="str">
            <v>Ajuste / Regulagem</v>
          </cell>
          <cell r="M263" t="str">
            <v>Travamento de Componente</v>
          </cell>
          <cell r="N263">
            <v>37839</v>
          </cell>
          <cell r="O263">
            <v>0.54166666666666663</v>
          </cell>
          <cell r="P263">
            <v>37839</v>
          </cell>
          <cell r="Q263">
            <v>0.54166666666666663</v>
          </cell>
          <cell r="T263">
            <v>37839</v>
          </cell>
          <cell r="U263">
            <v>0.55208333333333337</v>
          </cell>
          <cell r="V263">
            <v>37839</v>
          </cell>
          <cell r="W263">
            <v>0.55208333333333337</v>
          </cell>
          <cell r="X263">
            <v>1.0416666666666741E-2</v>
          </cell>
          <cell r="Y263">
            <v>1.0416666669092023E-2</v>
          </cell>
          <cell r="AB263">
            <v>8</v>
          </cell>
          <cell r="AC263">
            <v>7</v>
          </cell>
          <cell r="AD263">
            <v>0</v>
          </cell>
          <cell r="BF263">
            <v>0</v>
          </cell>
          <cell r="BG263">
            <v>0</v>
          </cell>
          <cell r="BH263">
            <v>0</v>
          </cell>
          <cell r="BI263">
            <v>0</v>
          </cell>
          <cell r="BJ263">
            <v>0</v>
          </cell>
          <cell r="BK263">
            <v>0</v>
          </cell>
          <cell r="BL263">
            <v>0</v>
          </cell>
          <cell r="BM263">
            <v>0</v>
          </cell>
          <cell r="BN263">
            <v>0</v>
          </cell>
          <cell r="BO263">
            <v>0</v>
          </cell>
          <cell r="BP263">
            <v>0</v>
          </cell>
          <cell r="BQ263">
            <v>0</v>
          </cell>
          <cell r="BR263">
            <v>0</v>
          </cell>
          <cell r="BS263">
            <v>0</v>
          </cell>
          <cell r="BT263">
            <v>0</v>
          </cell>
          <cell r="BU263">
            <v>0</v>
          </cell>
          <cell r="BV263">
            <v>0</v>
          </cell>
          <cell r="BW263">
            <v>0</v>
          </cell>
          <cell r="BX263">
            <v>0</v>
          </cell>
          <cell r="BY263">
            <v>8</v>
          </cell>
          <cell r="BZ263">
            <v>0</v>
          </cell>
          <cell r="CA263">
            <v>0</v>
          </cell>
          <cell r="CB263">
            <v>0</v>
          </cell>
          <cell r="CC263">
            <v>0</v>
          </cell>
          <cell r="CD263">
            <v>0</v>
          </cell>
        </row>
        <row r="264">
          <cell r="C264">
            <v>37816</v>
          </cell>
          <cell r="D264">
            <v>37858</v>
          </cell>
          <cell r="E264">
            <v>37839</v>
          </cell>
          <cell r="F264">
            <v>0.64583333333333337</v>
          </cell>
          <cell r="G264" t="str">
            <v>Prensa Jundiaí</v>
          </cell>
          <cell r="H264" t="str">
            <v>Chaveta para alteração de curso travada</v>
          </cell>
          <cell r="I264" t="str">
            <v>Corretiva</v>
          </cell>
          <cell r="J264" t="str">
            <v>Sim</v>
          </cell>
          <cell r="K264" t="str">
            <v>Mecânica</v>
          </cell>
          <cell r="L264" t="str">
            <v>Ajuste e lubrificação do Componente</v>
          </cell>
          <cell r="M264" t="str">
            <v>Falta de Lubrificação</v>
          </cell>
          <cell r="N264">
            <v>37839</v>
          </cell>
          <cell r="O264">
            <v>0.64583333333333337</v>
          </cell>
          <cell r="P264">
            <v>37839</v>
          </cell>
          <cell r="Q264">
            <v>0.64583333333333337</v>
          </cell>
          <cell r="T264">
            <v>37839</v>
          </cell>
          <cell r="U264">
            <v>0.75</v>
          </cell>
          <cell r="V264">
            <v>37839</v>
          </cell>
          <cell r="W264">
            <v>0.75</v>
          </cell>
          <cell r="X264">
            <v>0.10416666666666663</v>
          </cell>
          <cell r="Y264">
            <v>0.10416666666666663</v>
          </cell>
          <cell r="AB264">
            <v>8</v>
          </cell>
          <cell r="AC264">
            <v>7</v>
          </cell>
          <cell r="AD264">
            <v>0</v>
          </cell>
          <cell r="BF264">
            <v>0</v>
          </cell>
          <cell r="BG264">
            <v>0</v>
          </cell>
          <cell r="BH264">
            <v>0</v>
          </cell>
          <cell r="BI264">
            <v>0</v>
          </cell>
          <cell r="BJ264">
            <v>0</v>
          </cell>
          <cell r="BK264">
            <v>0</v>
          </cell>
          <cell r="BL264">
            <v>0</v>
          </cell>
          <cell r="BM264">
            <v>0</v>
          </cell>
          <cell r="BN264">
            <v>0</v>
          </cell>
          <cell r="BO264">
            <v>0</v>
          </cell>
          <cell r="BP264">
            <v>0</v>
          </cell>
          <cell r="BQ264">
            <v>0</v>
          </cell>
          <cell r="BR264">
            <v>0</v>
          </cell>
          <cell r="BS264">
            <v>0</v>
          </cell>
          <cell r="BT264">
            <v>0</v>
          </cell>
          <cell r="BU264">
            <v>0</v>
          </cell>
          <cell r="BV264">
            <v>0</v>
          </cell>
          <cell r="BW264">
            <v>0</v>
          </cell>
          <cell r="BX264">
            <v>0</v>
          </cell>
          <cell r="BY264">
            <v>8</v>
          </cell>
          <cell r="BZ264">
            <v>0</v>
          </cell>
          <cell r="CA264">
            <v>0</v>
          </cell>
          <cell r="CB264">
            <v>0</v>
          </cell>
          <cell r="CC264">
            <v>0</v>
          </cell>
          <cell r="CD264">
            <v>0</v>
          </cell>
        </row>
        <row r="265">
          <cell r="C265">
            <v>37816</v>
          </cell>
          <cell r="D265">
            <v>37858</v>
          </cell>
          <cell r="E265">
            <v>37852</v>
          </cell>
          <cell r="F265">
            <v>0.33333333333333331</v>
          </cell>
          <cell r="G265" t="str">
            <v>Guilhotina Sorg</v>
          </cell>
          <cell r="H265" t="str">
            <v>Vazamento de óleo</v>
          </cell>
          <cell r="I265" t="str">
            <v>Corretiva</v>
          </cell>
          <cell r="J265" t="str">
            <v>Sim</v>
          </cell>
          <cell r="K265" t="str">
            <v>Mecânica</v>
          </cell>
          <cell r="L265" t="str">
            <v>Substituição do(s) Componente(s)</v>
          </cell>
          <cell r="M265" t="str">
            <v>Defeito de Fabricação</v>
          </cell>
          <cell r="N265">
            <v>37852</v>
          </cell>
          <cell r="O265">
            <v>0.33333333333333331</v>
          </cell>
          <cell r="P265">
            <v>37852</v>
          </cell>
          <cell r="Q265">
            <v>0.33333333333333331</v>
          </cell>
          <cell r="T265">
            <v>37852</v>
          </cell>
          <cell r="U265">
            <v>0.45833333333333331</v>
          </cell>
          <cell r="V265">
            <v>37852</v>
          </cell>
          <cell r="W265">
            <v>0.45833333333333331</v>
          </cell>
          <cell r="X265">
            <v>0.125</v>
          </cell>
          <cell r="Y265">
            <v>0.12500000000242534</v>
          </cell>
          <cell r="AB265">
            <v>8</v>
          </cell>
          <cell r="AC265">
            <v>7</v>
          </cell>
          <cell r="AD265">
            <v>0</v>
          </cell>
          <cell r="BF265">
            <v>0</v>
          </cell>
          <cell r="BG265">
            <v>0</v>
          </cell>
          <cell r="BH265">
            <v>0</v>
          </cell>
          <cell r="BI265">
            <v>0</v>
          </cell>
          <cell r="BJ265">
            <v>0</v>
          </cell>
          <cell r="BK265">
            <v>0</v>
          </cell>
          <cell r="BL265">
            <v>0</v>
          </cell>
          <cell r="BM265">
            <v>8</v>
          </cell>
          <cell r="BN265">
            <v>0</v>
          </cell>
          <cell r="BO265">
            <v>0</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row>
        <row r="266">
          <cell r="C266">
            <v>37816</v>
          </cell>
          <cell r="D266">
            <v>37865</v>
          </cell>
          <cell r="E266">
            <v>37858</v>
          </cell>
          <cell r="F266">
            <v>0.42708333333333331</v>
          </cell>
          <cell r="G266" t="str">
            <v>Guilhotina Sorg</v>
          </cell>
          <cell r="H266" t="str">
            <v>Referência incorreta</v>
          </cell>
          <cell r="I266" t="str">
            <v>Corretiva</v>
          </cell>
          <cell r="J266" t="str">
            <v>Sim</v>
          </cell>
          <cell r="K266" t="str">
            <v>Mecânica</v>
          </cell>
          <cell r="L266" t="str">
            <v>Nova referência no encoder do motor</v>
          </cell>
          <cell r="M266" t="str">
            <v>Causa não especificada</v>
          </cell>
          <cell r="N266">
            <v>37858</v>
          </cell>
          <cell r="O266">
            <v>0.4375</v>
          </cell>
          <cell r="P266">
            <v>37858</v>
          </cell>
          <cell r="Q266">
            <v>0.4375</v>
          </cell>
          <cell r="T266">
            <v>37858</v>
          </cell>
          <cell r="U266">
            <v>0.44791666666666669</v>
          </cell>
          <cell r="V266">
            <v>37858</v>
          </cell>
          <cell r="W266">
            <v>0.44791666666666669</v>
          </cell>
          <cell r="X266">
            <v>1.0416666666666685E-2</v>
          </cell>
          <cell r="Y266">
            <v>1.0416666664241347E-2</v>
          </cell>
          <cell r="AB266">
            <v>8</v>
          </cell>
          <cell r="AC266">
            <v>7</v>
          </cell>
          <cell r="AD266">
            <v>0</v>
          </cell>
          <cell r="BF266">
            <v>0</v>
          </cell>
          <cell r="BG266">
            <v>0</v>
          </cell>
          <cell r="BH266">
            <v>0</v>
          </cell>
          <cell r="BI266">
            <v>0</v>
          </cell>
          <cell r="BJ266">
            <v>0</v>
          </cell>
          <cell r="BK266">
            <v>0</v>
          </cell>
          <cell r="BL266">
            <v>0</v>
          </cell>
          <cell r="BM266">
            <v>8</v>
          </cell>
          <cell r="BN266">
            <v>0</v>
          </cell>
          <cell r="BO266">
            <v>0</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row>
        <row r="267">
          <cell r="C267">
            <v>37816</v>
          </cell>
          <cell r="D267">
            <v>37831</v>
          </cell>
          <cell r="E267">
            <v>37818</v>
          </cell>
          <cell r="F267">
            <v>0.64583333333333337</v>
          </cell>
          <cell r="G267" t="str">
            <v>Perfiladora Gasparini</v>
          </cell>
          <cell r="H267" t="str">
            <v>Parafuso do Rolo Guia da Perfiladora está quebrado</v>
          </cell>
          <cell r="I267" t="str">
            <v>Corretiva</v>
          </cell>
          <cell r="J267" t="str">
            <v>Não</v>
          </cell>
          <cell r="K267" t="str">
            <v>Mecânica</v>
          </cell>
          <cell r="L267" t="str">
            <v>Substituição do(s) Componente(s)</v>
          </cell>
          <cell r="M267" t="str">
            <v>Defeito de Fabricação</v>
          </cell>
          <cell r="N267">
            <v>37818</v>
          </cell>
          <cell r="O267">
            <v>0.75</v>
          </cell>
          <cell r="P267">
            <v>37818</v>
          </cell>
          <cell r="Q267">
            <v>0.75</v>
          </cell>
          <cell r="T267">
            <v>37819</v>
          </cell>
          <cell r="U267">
            <v>0.39583333333333331</v>
          </cell>
          <cell r="V267">
            <v>37819</v>
          </cell>
          <cell r="W267">
            <v>0.39583333333333331</v>
          </cell>
          <cell r="X267">
            <v>0.64583333333575865</v>
          </cell>
          <cell r="Y267">
            <v>0.64583333333575865</v>
          </cell>
          <cell r="AB267">
            <v>7</v>
          </cell>
          <cell r="AC267">
            <v>7</v>
          </cell>
          <cell r="AD267">
            <v>0</v>
          </cell>
          <cell r="BF267">
            <v>0</v>
          </cell>
          <cell r="BG267">
            <v>0</v>
          </cell>
          <cell r="BH267">
            <v>0</v>
          </cell>
          <cell r="BI267">
            <v>0</v>
          </cell>
          <cell r="BJ267">
            <v>0</v>
          </cell>
          <cell r="BK267">
            <v>0</v>
          </cell>
          <cell r="BL267">
            <v>0</v>
          </cell>
          <cell r="BM267">
            <v>0</v>
          </cell>
          <cell r="BN267">
            <v>0</v>
          </cell>
          <cell r="BO267">
            <v>0</v>
          </cell>
          <cell r="BP267">
            <v>0</v>
          </cell>
          <cell r="BQ267">
            <v>0</v>
          </cell>
          <cell r="BR267">
            <v>0</v>
          </cell>
          <cell r="BS267">
            <v>0</v>
          </cell>
          <cell r="BT267">
            <v>0</v>
          </cell>
          <cell r="BU267">
            <v>0</v>
          </cell>
          <cell r="BV267">
            <v>7</v>
          </cell>
          <cell r="BW267">
            <v>0</v>
          </cell>
          <cell r="BX267">
            <v>0</v>
          </cell>
          <cell r="BY267">
            <v>0</v>
          </cell>
          <cell r="BZ267">
            <v>0</v>
          </cell>
          <cell r="CA267">
            <v>0</v>
          </cell>
          <cell r="CB267">
            <v>0</v>
          </cell>
          <cell r="CC267">
            <v>0</v>
          </cell>
          <cell r="CD267">
            <v>0</v>
          </cell>
        </row>
        <row r="268">
          <cell r="C268">
            <v>37816</v>
          </cell>
          <cell r="I268">
            <v>0</v>
          </cell>
          <cell r="N268">
            <v>0</v>
          </cell>
          <cell r="P268">
            <v>0</v>
          </cell>
          <cell r="T268">
            <v>0</v>
          </cell>
          <cell r="V268">
            <v>0</v>
          </cell>
          <cell r="W268">
            <v>0</v>
          </cell>
          <cell r="X268">
            <v>0</v>
          </cell>
          <cell r="Y268">
            <v>0</v>
          </cell>
          <cell r="AB268">
            <v>0</v>
          </cell>
          <cell r="AC268">
            <v>7</v>
          </cell>
          <cell r="AD268">
            <v>0</v>
          </cell>
          <cell r="BF268">
            <v>0</v>
          </cell>
          <cell r="BG268">
            <v>0</v>
          </cell>
          <cell r="BH268">
            <v>0</v>
          </cell>
          <cell r="BI268">
            <v>0</v>
          </cell>
          <cell r="BJ268">
            <v>0</v>
          </cell>
          <cell r="BK268">
            <v>0</v>
          </cell>
          <cell r="BL268">
            <v>0</v>
          </cell>
          <cell r="BM268">
            <v>0</v>
          </cell>
          <cell r="BN268">
            <v>0</v>
          </cell>
          <cell r="BO268">
            <v>0</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row>
        <row r="269">
          <cell r="C269">
            <v>37816</v>
          </cell>
          <cell r="D269">
            <v>37970</v>
          </cell>
          <cell r="E269">
            <v>37847</v>
          </cell>
          <cell r="F269">
            <v>37847</v>
          </cell>
          <cell r="G269">
            <v>0.375</v>
          </cell>
          <cell r="H269" t="str">
            <v>Alarme de Sondas Térmicas</v>
          </cell>
          <cell r="I269">
            <v>0</v>
          </cell>
          <cell r="J269" t="str">
            <v>Sim</v>
          </cell>
          <cell r="K269" t="str">
            <v>Elétrica</v>
          </cell>
          <cell r="L269" t="str">
            <v>Sim</v>
          </cell>
          <cell r="M269" t="str">
            <v>Desgaste / Fadiga</v>
          </cell>
          <cell r="N269">
            <v>37847</v>
          </cell>
          <cell r="O269">
            <v>0.625</v>
          </cell>
          <cell r="P269">
            <v>37847</v>
          </cell>
          <cell r="Q269">
            <v>0.625</v>
          </cell>
          <cell r="T269">
            <v>37847</v>
          </cell>
          <cell r="U269">
            <v>0.70833333333333337</v>
          </cell>
          <cell r="V269">
            <v>37847</v>
          </cell>
          <cell r="W269">
            <v>0.70833333333333337</v>
          </cell>
          <cell r="X269">
            <v>8.333333333333337E-2</v>
          </cell>
          <cell r="Y269">
            <v>8.3333333335758653E-2</v>
          </cell>
          <cell r="AB269">
            <v>8</v>
          </cell>
          <cell r="AC269">
            <v>7</v>
          </cell>
          <cell r="AD269">
            <v>0</v>
          </cell>
          <cell r="BF269">
            <v>0</v>
          </cell>
          <cell r="BG269">
            <v>0</v>
          </cell>
          <cell r="BH269">
            <v>0</v>
          </cell>
          <cell r="BI269">
            <v>0</v>
          </cell>
          <cell r="BJ269">
            <v>0</v>
          </cell>
          <cell r="BK269">
            <v>0</v>
          </cell>
          <cell r="BL269">
            <v>0</v>
          </cell>
          <cell r="BM269">
            <v>0</v>
          </cell>
          <cell r="BN269">
            <v>0</v>
          </cell>
          <cell r="BO269">
            <v>0</v>
          </cell>
          <cell r="BP269">
            <v>0</v>
          </cell>
          <cell r="BQ269">
            <v>0</v>
          </cell>
          <cell r="BR269">
            <v>0</v>
          </cell>
          <cell r="BS269">
            <v>0</v>
          </cell>
          <cell r="BT269">
            <v>0</v>
          </cell>
          <cell r="BU269">
            <v>0</v>
          </cell>
          <cell r="BV269">
            <v>8</v>
          </cell>
          <cell r="BW269">
            <v>0</v>
          </cell>
          <cell r="BX269">
            <v>0</v>
          </cell>
          <cell r="BY269">
            <v>0</v>
          </cell>
          <cell r="BZ269">
            <v>0</v>
          </cell>
          <cell r="CA269">
            <v>0</v>
          </cell>
          <cell r="CB269">
            <v>0</v>
          </cell>
          <cell r="CC269">
            <v>0</v>
          </cell>
          <cell r="CD269">
            <v>0</v>
          </cell>
        </row>
        <row r="270">
          <cell r="C270">
            <v>37816</v>
          </cell>
          <cell r="D270">
            <v>37858</v>
          </cell>
          <cell r="E270">
            <v>37854</v>
          </cell>
          <cell r="F270">
            <v>0.25</v>
          </cell>
          <cell r="G270" t="str">
            <v>Perfiladora Gasparini</v>
          </cell>
          <cell r="H270" t="str">
            <v>Sensores da Prensa desregulados (Parafusos soltos)</v>
          </cell>
          <cell r="I270" t="str">
            <v>Corretiva</v>
          </cell>
          <cell r="J270" t="str">
            <v>Sim</v>
          </cell>
          <cell r="K270" t="str">
            <v>Elétrica</v>
          </cell>
          <cell r="L270" t="str">
            <v>Melhoria no Sistema de Fixação</v>
          </cell>
          <cell r="M270" t="str">
            <v>Vibração</v>
          </cell>
          <cell r="N270">
            <v>37854</v>
          </cell>
          <cell r="O270">
            <v>0.26041666666666669</v>
          </cell>
          <cell r="P270">
            <v>37854</v>
          </cell>
          <cell r="Q270">
            <v>0.26041666666666669</v>
          </cell>
          <cell r="T270">
            <v>37854</v>
          </cell>
          <cell r="U270">
            <v>0.28125</v>
          </cell>
          <cell r="V270">
            <v>37854</v>
          </cell>
          <cell r="W270">
            <v>0.28125</v>
          </cell>
          <cell r="X270">
            <v>2.0833333333333315E-2</v>
          </cell>
          <cell r="Y270">
            <v>2.0833333333333315E-2</v>
          </cell>
          <cell r="AB270">
            <v>8</v>
          </cell>
          <cell r="AC270">
            <v>7</v>
          </cell>
          <cell r="AD270">
            <v>0</v>
          </cell>
          <cell r="BF270">
            <v>0</v>
          </cell>
          <cell r="BG270">
            <v>0</v>
          </cell>
          <cell r="BH270">
            <v>0</v>
          </cell>
          <cell r="BI270">
            <v>0</v>
          </cell>
          <cell r="BJ270">
            <v>0</v>
          </cell>
          <cell r="BK270">
            <v>0</v>
          </cell>
          <cell r="BL270">
            <v>0</v>
          </cell>
          <cell r="BM270">
            <v>0</v>
          </cell>
          <cell r="BN270">
            <v>0</v>
          </cell>
          <cell r="BO270">
            <v>0</v>
          </cell>
          <cell r="BP270">
            <v>0</v>
          </cell>
          <cell r="BQ270">
            <v>0</v>
          </cell>
          <cell r="BR270">
            <v>0</v>
          </cell>
          <cell r="BS270">
            <v>0</v>
          </cell>
          <cell r="BT270">
            <v>0</v>
          </cell>
          <cell r="BU270">
            <v>0</v>
          </cell>
          <cell r="BV270">
            <v>8</v>
          </cell>
          <cell r="BW270">
            <v>0</v>
          </cell>
          <cell r="BX270">
            <v>0</v>
          </cell>
          <cell r="BY270">
            <v>0</v>
          </cell>
          <cell r="BZ270">
            <v>0</v>
          </cell>
          <cell r="CA270">
            <v>0</v>
          </cell>
          <cell r="CB270">
            <v>0</v>
          </cell>
          <cell r="CC270">
            <v>0</v>
          </cell>
          <cell r="CD270">
            <v>0</v>
          </cell>
        </row>
        <row r="271">
          <cell r="C271">
            <v>37816</v>
          </cell>
          <cell r="D271">
            <v>37865</v>
          </cell>
          <cell r="E271">
            <v>37858</v>
          </cell>
          <cell r="F271">
            <v>0.45833333333333331</v>
          </cell>
          <cell r="G271" t="str">
            <v>Perfiladora Gasparini</v>
          </cell>
          <cell r="H271" t="str">
            <v>Máquina não funciona</v>
          </cell>
          <cell r="I271" t="str">
            <v>Corretiva</v>
          </cell>
          <cell r="J271" t="str">
            <v>Sim</v>
          </cell>
          <cell r="K271" t="str">
            <v>Elétrica</v>
          </cell>
          <cell r="L271" t="str">
            <v>Substituição do(s) Componente(s)</v>
          </cell>
          <cell r="M271" t="str">
            <v>Sobrecarga</v>
          </cell>
          <cell r="N271">
            <v>37858</v>
          </cell>
          <cell r="O271">
            <v>0.46875</v>
          </cell>
          <cell r="P271">
            <v>37858</v>
          </cell>
          <cell r="Q271">
            <v>0.46875</v>
          </cell>
          <cell r="T271">
            <v>37858</v>
          </cell>
          <cell r="U271">
            <v>0.4861111111111111</v>
          </cell>
          <cell r="V271">
            <v>37858</v>
          </cell>
          <cell r="W271">
            <v>0.4861111111111111</v>
          </cell>
          <cell r="X271">
            <v>1.7361111111111105E-2</v>
          </cell>
          <cell r="Y271">
            <v>1.7361111109494232E-2</v>
          </cell>
          <cell r="AB271">
            <v>8</v>
          </cell>
          <cell r="AC271">
            <v>7</v>
          </cell>
          <cell r="AD271">
            <v>0</v>
          </cell>
          <cell r="BF271">
            <v>0</v>
          </cell>
          <cell r="BG271">
            <v>0</v>
          </cell>
          <cell r="BH271">
            <v>0</v>
          </cell>
          <cell r="BI271">
            <v>0</v>
          </cell>
          <cell r="BJ271">
            <v>0</v>
          </cell>
          <cell r="BK271">
            <v>0</v>
          </cell>
          <cell r="BL271">
            <v>0</v>
          </cell>
          <cell r="BM271">
            <v>0</v>
          </cell>
          <cell r="BN271">
            <v>0</v>
          </cell>
          <cell r="BO271">
            <v>0</v>
          </cell>
          <cell r="BP271">
            <v>0</v>
          </cell>
          <cell r="BQ271">
            <v>0</v>
          </cell>
          <cell r="BR271">
            <v>0</v>
          </cell>
          <cell r="BS271">
            <v>0</v>
          </cell>
          <cell r="BT271">
            <v>0</v>
          </cell>
          <cell r="BU271">
            <v>0</v>
          </cell>
          <cell r="BV271">
            <v>8</v>
          </cell>
          <cell r="BW271">
            <v>0</v>
          </cell>
          <cell r="BX271">
            <v>0</v>
          </cell>
          <cell r="BY271">
            <v>0</v>
          </cell>
          <cell r="BZ271">
            <v>0</v>
          </cell>
          <cell r="CA271">
            <v>0</v>
          </cell>
          <cell r="CB271">
            <v>0</v>
          </cell>
          <cell r="CC271">
            <v>0</v>
          </cell>
          <cell r="CD271">
            <v>0</v>
          </cell>
        </row>
        <row r="272">
          <cell r="C272">
            <v>37816</v>
          </cell>
          <cell r="D272">
            <v>37900</v>
          </cell>
          <cell r="E272">
            <v>37880</v>
          </cell>
          <cell r="F272">
            <v>0.45833333333333331</v>
          </cell>
          <cell r="G272" t="str">
            <v>Perfiladora Gasparini</v>
          </cell>
          <cell r="H272" t="str">
            <v>Sensor danificado</v>
          </cell>
          <cell r="I272" t="str">
            <v>Corretiva</v>
          </cell>
          <cell r="J272" t="str">
            <v>Sim</v>
          </cell>
          <cell r="K272" t="str">
            <v>Elétrica</v>
          </cell>
          <cell r="L272" t="str">
            <v>Substituição do(s) Componente(s)</v>
          </cell>
          <cell r="M272" t="str">
            <v>Falha Operacional</v>
          </cell>
          <cell r="N272">
            <v>37880</v>
          </cell>
          <cell r="O272">
            <v>0.45833333333333331</v>
          </cell>
          <cell r="P272">
            <v>37880</v>
          </cell>
          <cell r="Q272">
            <v>0.45833333333333331</v>
          </cell>
          <cell r="T272">
            <v>37880</v>
          </cell>
          <cell r="U272">
            <v>0.47916666666666669</v>
          </cell>
          <cell r="V272">
            <v>37880</v>
          </cell>
          <cell r="W272">
            <v>0.47916666666666669</v>
          </cell>
          <cell r="X272">
            <v>2.083333333333337E-2</v>
          </cell>
          <cell r="Y272">
            <v>2.0833333330908033E-2</v>
          </cell>
          <cell r="AB272">
            <v>9</v>
          </cell>
          <cell r="AC272">
            <v>7</v>
          </cell>
          <cell r="AD272">
            <v>0</v>
          </cell>
          <cell r="BF272">
            <v>0</v>
          </cell>
          <cell r="BG272">
            <v>0</v>
          </cell>
          <cell r="BH272">
            <v>0</v>
          </cell>
          <cell r="BI272">
            <v>0</v>
          </cell>
          <cell r="BJ272">
            <v>0</v>
          </cell>
          <cell r="BK272">
            <v>0</v>
          </cell>
          <cell r="BL272">
            <v>0</v>
          </cell>
          <cell r="BM272">
            <v>0</v>
          </cell>
          <cell r="BN272">
            <v>0</v>
          </cell>
          <cell r="BO272">
            <v>0</v>
          </cell>
          <cell r="BP272">
            <v>0</v>
          </cell>
          <cell r="BQ272">
            <v>0</v>
          </cell>
          <cell r="BR272">
            <v>0</v>
          </cell>
          <cell r="BS272">
            <v>0</v>
          </cell>
          <cell r="BT272">
            <v>0</v>
          </cell>
          <cell r="BU272">
            <v>0</v>
          </cell>
          <cell r="BV272">
            <v>9</v>
          </cell>
          <cell r="BW272">
            <v>0</v>
          </cell>
          <cell r="BX272">
            <v>0</v>
          </cell>
          <cell r="BY272">
            <v>0</v>
          </cell>
          <cell r="BZ272">
            <v>0</v>
          </cell>
          <cell r="CA272">
            <v>0</v>
          </cell>
          <cell r="CB272">
            <v>0</v>
          </cell>
          <cell r="CC272">
            <v>0</v>
          </cell>
          <cell r="CD272">
            <v>0</v>
          </cell>
        </row>
        <row r="273">
          <cell r="C273">
            <v>37816</v>
          </cell>
          <cell r="D273">
            <v>37928</v>
          </cell>
          <cell r="E273">
            <v>37883</v>
          </cell>
          <cell r="F273">
            <v>4.1666666666666664E-2</v>
          </cell>
          <cell r="G273" t="str">
            <v>Perfiladora Gasparini</v>
          </cell>
          <cell r="H273" t="str">
            <v>Vazamento de Óleo na prensa</v>
          </cell>
          <cell r="I273" t="str">
            <v>Corretiva</v>
          </cell>
          <cell r="J273" t="str">
            <v>Não</v>
          </cell>
          <cell r="K273" t="str">
            <v>Mecânica</v>
          </cell>
          <cell r="L273" t="str">
            <v>Contenção do vazamento</v>
          </cell>
          <cell r="M273" t="str">
            <v>Vibração</v>
          </cell>
          <cell r="N273">
            <v>37895</v>
          </cell>
          <cell r="O273">
            <v>0.45833333333333331</v>
          </cell>
          <cell r="P273">
            <v>37895</v>
          </cell>
          <cell r="Q273">
            <v>0.45833333333333331</v>
          </cell>
          <cell r="T273">
            <v>37895</v>
          </cell>
          <cell r="U273">
            <v>0.5</v>
          </cell>
          <cell r="V273">
            <v>37895</v>
          </cell>
          <cell r="W273">
            <v>0.5</v>
          </cell>
          <cell r="X273">
            <v>4.1666666666666685E-2</v>
          </cell>
          <cell r="Y273">
            <v>4.1666666666666685E-2</v>
          </cell>
          <cell r="AB273">
            <v>10</v>
          </cell>
          <cell r="AC273">
            <v>7</v>
          </cell>
          <cell r="AD273">
            <v>0</v>
          </cell>
          <cell r="BF273">
            <v>0</v>
          </cell>
          <cell r="BG273">
            <v>0</v>
          </cell>
          <cell r="BH273">
            <v>0</v>
          </cell>
          <cell r="BI273">
            <v>0</v>
          </cell>
          <cell r="BJ273">
            <v>0</v>
          </cell>
          <cell r="BK273">
            <v>0</v>
          </cell>
          <cell r="BL273">
            <v>0</v>
          </cell>
          <cell r="BM273">
            <v>0</v>
          </cell>
          <cell r="BN273">
            <v>0</v>
          </cell>
          <cell r="BO273">
            <v>0</v>
          </cell>
          <cell r="BP273">
            <v>0</v>
          </cell>
          <cell r="BQ273">
            <v>0</v>
          </cell>
          <cell r="BR273">
            <v>0</v>
          </cell>
          <cell r="BS273">
            <v>0</v>
          </cell>
          <cell r="BT273">
            <v>0</v>
          </cell>
          <cell r="BU273">
            <v>0</v>
          </cell>
          <cell r="BV273">
            <v>10</v>
          </cell>
          <cell r="BW273">
            <v>0</v>
          </cell>
          <cell r="BX273">
            <v>0</v>
          </cell>
          <cell r="BY273">
            <v>0</v>
          </cell>
          <cell r="BZ273">
            <v>0</v>
          </cell>
          <cell r="CA273">
            <v>0</v>
          </cell>
          <cell r="CB273">
            <v>0</v>
          </cell>
          <cell r="CC273">
            <v>0</v>
          </cell>
          <cell r="CD273">
            <v>0</v>
          </cell>
        </row>
        <row r="274">
          <cell r="C274">
            <v>37816</v>
          </cell>
          <cell r="D274">
            <v>37970</v>
          </cell>
          <cell r="E274">
            <v>37931</v>
          </cell>
          <cell r="F274">
            <v>37931</v>
          </cell>
          <cell r="G274">
            <v>0.25</v>
          </cell>
          <cell r="H274" t="str">
            <v>Alarme de Lubrificação</v>
          </cell>
          <cell r="I274">
            <v>0</v>
          </cell>
          <cell r="J274" t="str">
            <v>Sim</v>
          </cell>
          <cell r="K274" t="str">
            <v>Mecânica</v>
          </cell>
          <cell r="L274" t="str">
            <v>Sim</v>
          </cell>
          <cell r="M274" t="str">
            <v>Falta de Lubrificação</v>
          </cell>
          <cell r="N274">
            <v>37931</v>
          </cell>
          <cell r="O274">
            <v>0.33333333333333331</v>
          </cell>
          <cell r="P274">
            <v>37931</v>
          </cell>
          <cell r="Q274">
            <v>0.33333333333333331</v>
          </cell>
          <cell r="T274">
            <v>37931</v>
          </cell>
          <cell r="U274">
            <v>0.41666666666666669</v>
          </cell>
          <cell r="V274">
            <v>37931</v>
          </cell>
          <cell r="W274">
            <v>0.41666666666666669</v>
          </cell>
          <cell r="X274">
            <v>8.333333333333337E-2</v>
          </cell>
          <cell r="Y274">
            <v>8.3333333330908033E-2</v>
          </cell>
          <cell r="AB274">
            <v>11</v>
          </cell>
          <cell r="AC274">
            <v>7</v>
          </cell>
          <cell r="AD274">
            <v>0</v>
          </cell>
          <cell r="BF274">
            <v>0</v>
          </cell>
          <cell r="BG274">
            <v>0</v>
          </cell>
          <cell r="BH274">
            <v>0</v>
          </cell>
          <cell r="BI274">
            <v>0</v>
          </cell>
          <cell r="BJ274">
            <v>0</v>
          </cell>
          <cell r="BK274">
            <v>0</v>
          </cell>
          <cell r="BL274">
            <v>0</v>
          </cell>
          <cell r="BM274">
            <v>0</v>
          </cell>
          <cell r="BN274">
            <v>0</v>
          </cell>
          <cell r="BO274">
            <v>0</v>
          </cell>
          <cell r="BP274">
            <v>0</v>
          </cell>
          <cell r="BQ274">
            <v>0</v>
          </cell>
          <cell r="BR274">
            <v>0</v>
          </cell>
          <cell r="BS274">
            <v>0</v>
          </cell>
          <cell r="BT274">
            <v>0</v>
          </cell>
          <cell r="BU274">
            <v>0</v>
          </cell>
          <cell r="BV274">
            <v>11</v>
          </cell>
          <cell r="BW274">
            <v>0</v>
          </cell>
          <cell r="BX274">
            <v>0</v>
          </cell>
          <cell r="BY274">
            <v>0</v>
          </cell>
          <cell r="BZ274">
            <v>0</v>
          </cell>
          <cell r="CA274">
            <v>0</v>
          </cell>
          <cell r="CB274">
            <v>0</v>
          </cell>
          <cell r="CC274">
            <v>0</v>
          </cell>
          <cell r="CD274">
            <v>0</v>
          </cell>
        </row>
        <row r="275">
          <cell r="C275">
            <v>37816</v>
          </cell>
          <cell r="D275">
            <v>37970</v>
          </cell>
          <cell r="E275">
            <v>37937</v>
          </cell>
          <cell r="F275">
            <v>37937</v>
          </cell>
          <cell r="G275">
            <v>0.41666666666666669</v>
          </cell>
          <cell r="H275" t="str">
            <v>Proteção danificada</v>
          </cell>
          <cell r="I275">
            <v>0</v>
          </cell>
          <cell r="J275" t="str">
            <v>Não</v>
          </cell>
          <cell r="K275" t="str">
            <v>Mecânica</v>
          </cell>
          <cell r="L275" t="str">
            <v>Não</v>
          </cell>
          <cell r="M275" t="str">
            <v>Falha Operacional</v>
          </cell>
          <cell r="N275">
            <v>37937</v>
          </cell>
          <cell r="O275">
            <v>0.55555555555555558</v>
          </cell>
          <cell r="P275">
            <v>37937</v>
          </cell>
          <cell r="Q275">
            <v>0.55555555555555558</v>
          </cell>
          <cell r="T275">
            <v>37937</v>
          </cell>
          <cell r="U275">
            <v>0.64583333333333337</v>
          </cell>
          <cell r="V275">
            <v>37937</v>
          </cell>
          <cell r="W275">
            <v>0.64583333333333337</v>
          </cell>
          <cell r="X275">
            <v>9.0277777780203072E-2</v>
          </cell>
          <cell r="Y275">
            <v>9.0277777780203072E-2</v>
          </cell>
          <cell r="AB275">
            <v>11</v>
          </cell>
          <cell r="AC275">
            <v>7</v>
          </cell>
          <cell r="AD275">
            <v>0</v>
          </cell>
          <cell r="BF275">
            <v>0</v>
          </cell>
          <cell r="BG275">
            <v>0</v>
          </cell>
          <cell r="BH275">
            <v>0</v>
          </cell>
          <cell r="BI275">
            <v>0</v>
          </cell>
          <cell r="BJ275">
            <v>0</v>
          </cell>
          <cell r="BK275">
            <v>0</v>
          </cell>
          <cell r="BL275">
            <v>0</v>
          </cell>
          <cell r="BM275">
            <v>0</v>
          </cell>
          <cell r="BN275">
            <v>0</v>
          </cell>
          <cell r="BO275">
            <v>0</v>
          </cell>
          <cell r="BP275">
            <v>0</v>
          </cell>
          <cell r="BQ275">
            <v>0</v>
          </cell>
          <cell r="BR275">
            <v>0</v>
          </cell>
          <cell r="BS275">
            <v>0</v>
          </cell>
          <cell r="BT275">
            <v>0</v>
          </cell>
          <cell r="BU275">
            <v>0</v>
          </cell>
          <cell r="BV275">
            <v>11</v>
          </cell>
          <cell r="BW275">
            <v>0</v>
          </cell>
          <cell r="BX275">
            <v>0</v>
          </cell>
          <cell r="BY275">
            <v>0</v>
          </cell>
          <cell r="BZ275">
            <v>0</v>
          </cell>
          <cell r="CA275">
            <v>0</v>
          </cell>
          <cell r="CB275">
            <v>0</v>
          </cell>
          <cell r="CC275">
            <v>0</v>
          </cell>
          <cell r="CD275">
            <v>0</v>
          </cell>
        </row>
        <row r="276">
          <cell r="C276">
            <v>37816</v>
          </cell>
          <cell r="D276">
            <v>37970</v>
          </cell>
          <cell r="E276">
            <v>37949</v>
          </cell>
          <cell r="F276">
            <v>37949</v>
          </cell>
          <cell r="G276">
            <v>0.36388888888888887</v>
          </cell>
          <cell r="I276">
            <v>0</v>
          </cell>
          <cell r="J276" t="str">
            <v>Sim</v>
          </cell>
          <cell r="L276" t="str">
            <v>Sim</v>
          </cell>
          <cell r="M276" t="str">
            <v>OS Cancelada</v>
          </cell>
          <cell r="N276">
            <v>0</v>
          </cell>
          <cell r="P276">
            <v>0</v>
          </cell>
          <cell r="T276">
            <v>37970</v>
          </cell>
          <cell r="V276">
            <v>0</v>
          </cell>
          <cell r="W276">
            <v>0</v>
          </cell>
          <cell r="X276">
            <v>0</v>
          </cell>
          <cell r="Y276">
            <v>0</v>
          </cell>
          <cell r="AB276">
            <v>12</v>
          </cell>
          <cell r="AC276">
            <v>7</v>
          </cell>
          <cell r="AD276">
            <v>0</v>
          </cell>
          <cell r="BF276">
            <v>0</v>
          </cell>
          <cell r="BG276">
            <v>0</v>
          </cell>
          <cell r="BH276">
            <v>0</v>
          </cell>
          <cell r="BI276">
            <v>0</v>
          </cell>
          <cell r="BJ276">
            <v>0</v>
          </cell>
          <cell r="BK276">
            <v>0</v>
          </cell>
          <cell r="BL276">
            <v>0</v>
          </cell>
          <cell r="BM276">
            <v>0</v>
          </cell>
          <cell r="BN276">
            <v>0</v>
          </cell>
          <cell r="BO276">
            <v>0</v>
          </cell>
          <cell r="BP276">
            <v>0</v>
          </cell>
          <cell r="BQ276">
            <v>0</v>
          </cell>
          <cell r="BR276">
            <v>0</v>
          </cell>
          <cell r="BS276">
            <v>0</v>
          </cell>
          <cell r="BT276">
            <v>0</v>
          </cell>
          <cell r="BU276">
            <v>0</v>
          </cell>
          <cell r="BV276">
            <v>12</v>
          </cell>
          <cell r="BW276">
            <v>0</v>
          </cell>
          <cell r="BX276">
            <v>0</v>
          </cell>
          <cell r="BY276">
            <v>0</v>
          </cell>
          <cell r="BZ276">
            <v>0</v>
          </cell>
          <cell r="CA276">
            <v>0</v>
          </cell>
          <cell r="CB276">
            <v>0</v>
          </cell>
          <cell r="CC276">
            <v>0</v>
          </cell>
          <cell r="CD276">
            <v>0</v>
          </cell>
        </row>
        <row r="277">
          <cell r="C277">
            <v>37825</v>
          </cell>
          <cell r="D277">
            <v>37867</v>
          </cell>
          <cell r="E277">
            <v>37862</v>
          </cell>
          <cell r="F277">
            <v>0.41666666666666669</v>
          </cell>
          <cell r="G277" t="str">
            <v>Perfiladora Fagor Montantes</v>
          </cell>
          <cell r="H277" t="str">
            <v>Carro guia da entrada da Perfiladora está se deslocando</v>
          </cell>
          <cell r="I277" t="str">
            <v>Corretiva</v>
          </cell>
          <cell r="J277" t="str">
            <v>Sim</v>
          </cell>
          <cell r="K277" t="str">
            <v>Mecânica</v>
          </cell>
          <cell r="L277" t="str">
            <v>Substituição do(s) Componente(s)</v>
          </cell>
          <cell r="M277" t="str">
            <v>Vibração</v>
          </cell>
          <cell r="N277">
            <v>37862</v>
          </cell>
          <cell r="O277">
            <v>0.41666666666666669</v>
          </cell>
          <cell r="P277">
            <v>37862</v>
          </cell>
          <cell r="Q277">
            <v>0.41666666666666669</v>
          </cell>
          <cell r="T277">
            <v>37862</v>
          </cell>
          <cell r="U277">
            <v>0.45833333333333331</v>
          </cell>
          <cell r="V277">
            <v>37862</v>
          </cell>
          <cell r="W277">
            <v>0.45833333333333331</v>
          </cell>
          <cell r="X277">
            <v>4.166666666666663E-2</v>
          </cell>
          <cell r="Y277">
            <v>4.1666666669091967E-2</v>
          </cell>
          <cell r="AB277">
            <v>8</v>
          </cell>
          <cell r="AC277">
            <v>7</v>
          </cell>
          <cell r="AD277">
            <v>0</v>
          </cell>
          <cell r="BF277">
            <v>0</v>
          </cell>
          <cell r="BG277">
            <v>0</v>
          </cell>
          <cell r="BH277">
            <v>0</v>
          </cell>
          <cell r="BI277">
            <v>0</v>
          </cell>
          <cell r="BJ277">
            <v>0</v>
          </cell>
          <cell r="BK277">
            <v>0</v>
          </cell>
          <cell r="BL277">
            <v>0</v>
          </cell>
          <cell r="BM277">
            <v>0</v>
          </cell>
          <cell r="BN277">
            <v>0</v>
          </cell>
          <cell r="BO277">
            <v>0</v>
          </cell>
          <cell r="BP277">
            <v>0</v>
          </cell>
          <cell r="BQ277">
            <v>0</v>
          </cell>
          <cell r="BR277">
            <v>0</v>
          </cell>
          <cell r="BS277">
            <v>0</v>
          </cell>
          <cell r="BT277">
            <v>0</v>
          </cell>
          <cell r="BU277">
            <v>8</v>
          </cell>
          <cell r="BV277">
            <v>0</v>
          </cell>
          <cell r="BW277">
            <v>0</v>
          </cell>
          <cell r="BX277">
            <v>0</v>
          </cell>
          <cell r="BY277">
            <v>0</v>
          </cell>
          <cell r="BZ277">
            <v>0</v>
          </cell>
          <cell r="CA277">
            <v>0</v>
          </cell>
          <cell r="CB277">
            <v>0</v>
          </cell>
          <cell r="CC277">
            <v>0</v>
          </cell>
          <cell r="CD277">
            <v>0</v>
          </cell>
        </row>
        <row r="278">
          <cell r="C278">
            <v>37825</v>
          </cell>
          <cell r="D278">
            <v>37970</v>
          </cell>
          <cell r="E278">
            <v>37923</v>
          </cell>
          <cell r="F278">
            <v>37923</v>
          </cell>
          <cell r="G278">
            <v>0.61805555555555558</v>
          </cell>
          <cell r="H278" t="str">
            <v>cabo do leitor óptico rompido</v>
          </cell>
          <cell r="I278">
            <v>0</v>
          </cell>
          <cell r="J278" t="str">
            <v>Sim</v>
          </cell>
          <cell r="K278" t="str">
            <v>Elétrica</v>
          </cell>
          <cell r="L278" t="str">
            <v>Sim</v>
          </cell>
          <cell r="M278" t="str">
            <v>Falha Operacional</v>
          </cell>
          <cell r="N278">
            <v>37923</v>
          </cell>
          <cell r="O278">
            <v>0.66666666666666663</v>
          </cell>
          <cell r="P278">
            <v>37923</v>
          </cell>
          <cell r="Q278">
            <v>0.66666666666666663</v>
          </cell>
          <cell r="T278">
            <v>37923</v>
          </cell>
          <cell r="U278">
            <v>0.68402777777777779</v>
          </cell>
          <cell r="V278">
            <v>37923</v>
          </cell>
          <cell r="W278">
            <v>0.68402777777777779</v>
          </cell>
          <cell r="X278">
            <v>1.736111111111116E-2</v>
          </cell>
          <cell r="Y278">
            <v>1.7361111114344907E-2</v>
          </cell>
          <cell r="AB278">
            <v>10</v>
          </cell>
          <cell r="AC278">
            <v>7</v>
          </cell>
          <cell r="AD278">
            <v>0</v>
          </cell>
          <cell r="BF278">
            <v>0</v>
          </cell>
          <cell r="BG278">
            <v>0</v>
          </cell>
          <cell r="BH278">
            <v>0</v>
          </cell>
          <cell r="BI278">
            <v>0</v>
          </cell>
          <cell r="BJ278">
            <v>0</v>
          </cell>
          <cell r="BK278">
            <v>0</v>
          </cell>
          <cell r="BL278">
            <v>0</v>
          </cell>
          <cell r="BM278">
            <v>0</v>
          </cell>
          <cell r="BN278">
            <v>0</v>
          </cell>
          <cell r="BO278">
            <v>0</v>
          </cell>
          <cell r="BP278">
            <v>0</v>
          </cell>
          <cell r="BQ278">
            <v>0</v>
          </cell>
          <cell r="BR278">
            <v>0</v>
          </cell>
          <cell r="BS278">
            <v>0</v>
          </cell>
          <cell r="BT278">
            <v>0</v>
          </cell>
          <cell r="BU278">
            <v>10</v>
          </cell>
          <cell r="BV278">
            <v>0</v>
          </cell>
          <cell r="BW278">
            <v>0</v>
          </cell>
          <cell r="BX278">
            <v>0</v>
          </cell>
          <cell r="BY278">
            <v>0</v>
          </cell>
          <cell r="BZ278">
            <v>0</v>
          </cell>
          <cell r="CA278">
            <v>0</v>
          </cell>
          <cell r="CB278">
            <v>0</v>
          </cell>
          <cell r="CC278">
            <v>0</v>
          </cell>
          <cell r="CD278">
            <v>0</v>
          </cell>
        </row>
        <row r="279">
          <cell r="C279">
            <v>37825</v>
          </cell>
          <cell r="D279">
            <v>37970</v>
          </cell>
          <cell r="E279">
            <v>37953</v>
          </cell>
          <cell r="F279">
            <v>0.41666666666666669</v>
          </cell>
          <cell r="G279" t="str">
            <v>Perfiladora Fagor Montantes</v>
          </cell>
          <cell r="H279" t="str">
            <v>Instalar mangueira e bico de ar no desbobinador</v>
          </cell>
          <cell r="I279">
            <v>0</v>
          </cell>
          <cell r="J279" t="str">
            <v>Não</v>
          </cell>
          <cell r="K279" t="str">
            <v>Mecânica</v>
          </cell>
          <cell r="L279" t="str">
            <v>Montagem / Instalação</v>
          </cell>
          <cell r="M279" t="str">
            <v>Melhoria Técnica</v>
          </cell>
          <cell r="N279">
            <v>37956</v>
          </cell>
          <cell r="O279">
            <v>0.44097222222222227</v>
          </cell>
          <cell r="P279">
            <v>0</v>
          </cell>
          <cell r="T279">
            <v>37956</v>
          </cell>
          <cell r="U279">
            <v>0.46180555555555558</v>
          </cell>
          <cell r="V279">
            <v>0</v>
          </cell>
          <cell r="W279">
            <v>2.083333333252485E-2</v>
          </cell>
          <cell r="X279">
            <v>0</v>
          </cell>
          <cell r="Y279">
            <v>0</v>
          </cell>
          <cell r="AB279">
            <v>12</v>
          </cell>
          <cell r="AC279">
            <v>7</v>
          </cell>
          <cell r="AD279">
            <v>0</v>
          </cell>
          <cell r="BF279">
            <v>0</v>
          </cell>
          <cell r="BG279">
            <v>0</v>
          </cell>
          <cell r="BH279">
            <v>0</v>
          </cell>
          <cell r="BI279">
            <v>0</v>
          </cell>
          <cell r="BJ279">
            <v>0</v>
          </cell>
          <cell r="BK279">
            <v>0</v>
          </cell>
          <cell r="BL279">
            <v>0</v>
          </cell>
          <cell r="BM279">
            <v>0</v>
          </cell>
          <cell r="BN279">
            <v>0</v>
          </cell>
          <cell r="BO279">
            <v>0</v>
          </cell>
          <cell r="BP279">
            <v>0</v>
          </cell>
          <cell r="BQ279">
            <v>0</v>
          </cell>
          <cell r="BR279">
            <v>0</v>
          </cell>
          <cell r="BS279">
            <v>0</v>
          </cell>
          <cell r="BT279">
            <v>0</v>
          </cell>
          <cell r="BU279">
            <v>12</v>
          </cell>
          <cell r="BV279">
            <v>0</v>
          </cell>
          <cell r="BW279">
            <v>0</v>
          </cell>
          <cell r="BX279">
            <v>0</v>
          </cell>
          <cell r="BY279">
            <v>0</v>
          </cell>
          <cell r="BZ279">
            <v>0</v>
          </cell>
          <cell r="CA279">
            <v>0</v>
          </cell>
          <cell r="CB279">
            <v>0</v>
          </cell>
          <cell r="CC279">
            <v>0</v>
          </cell>
          <cell r="CD279">
            <v>0</v>
          </cell>
        </row>
        <row r="280">
          <cell r="C280">
            <v>37825</v>
          </cell>
          <cell r="D280">
            <v>37970</v>
          </cell>
          <cell r="E280">
            <v>37963</v>
          </cell>
          <cell r="F280">
            <v>0.5625</v>
          </cell>
          <cell r="G280" t="str">
            <v>Perfiladora Fagor Montantes</v>
          </cell>
          <cell r="H280" t="str">
            <v>Guia da Cortadora travado</v>
          </cell>
          <cell r="I280">
            <v>0</v>
          </cell>
          <cell r="J280" t="str">
            <v>Sim</v>
          </cell>
          <cell r="K280" t="str">
            <v>Mecânica</v>
          </cell>
          <cell r="L280" t="str">
            <v>Reparo</v>
          </cell>
          <cell r="M280" t="str">
            <v>Falha de Montagem / Preparação</v>
          </cell>
          <cell r="N280">
            <v>37963</v>
          </cell>
          <cell r="O280">
            <v>0.5625</v>
          </cell>
          <cell r="P280">
            <v>0</v>
          </cell>
          <cell r="T280">
            <v>37963</v>
          </cell>
          <cell r="U280">
            <v>0.60416666666666663</v>
          </cell>
          <cell r="V280">
            <v>0</v>
          </cell>
          <cell r="W280">
            <v>4.1666666664241347E-2</v>
          </cell>
          <cell r="X280">
            <v>0</v>
          </cell>
          <cell r="Y280">
            <v>0</v>
          </cell>
          <cell r="AB280">
            <v>12</v>
          </cell>
          <cell r="AC280">
            <v>7</v>
          </cell>
          <cell r="AD280">
            <v>0</v>
          </cell>
          <cell r="BF280">
            <v>0</v>
          </cell>
          <cell r="BG280">
            <v>0</v>
          </cell>
          <cell r="BH280">
            <v>0</v>
          </cell>
          <cell r="BI280">
            <v>0</v>
          </cell>
          <cell r="BJ280">
            <v>0</v>
          </cell>
          <cell r="BK280">
            <v>0</v>
          </cell>
          <cell r="BL280">
            <v>0</v>
          </cell>
          <cell r="BM280">
            <v>0</v>
          </cell>
          <cell r="BN280">
            <v>0</v>
          </cell>
          <cell r="BO280">
            <v>0</v>
          </cell>
          <cell r="BP280">
            <v>0</v>
          </cell>
          <cell r="BQ280">
            <v>0</v>
          </cell>
          <cell r="BR280">
            <v>0</v>
          </cell>
          <cell r="BS280">
            <v>0</v>
          </cell>
          <cell r="BT280">
            <v>0</v>
          </cell>
          <cell r="BU280">
            <v>12</v>
          </cell>
          <cell r="BV280">
            <v>0</v>
          </cell>
          <cell r="BW280">
            <v>0</v>
          </cell>
          <cell r="BX280">
            <v>0</v>
          </cell>
          <cell r="BY280">
            <v>0</v>
          </cell>
          <cell r="BZ280">
            <v>0</v>
          </cell>
          <cell r="CA280">
            <v>0</v>
          </cell>
          <cell r="CB280">
            <v>0</v>
          </cell>
          <cell r="CC280">
            <v>0</v>
          </cell>
          <cell r="CD280">
            <v>0</v>
          </cell>
        </row>
        <row r="281">
          <cell r="C281">
            <v>37825</v>
          </cell>
          <cell r="D281">
            <v>37972</v>
          </cell>
          <cell r="E281">
            <v>37964</v>
          </cell>
          <cell r="F281">
            <v>0.29166666666666669</v>
          </cell>
          <cell r="G281" t="str">
            <v>Perfiladora Fagor Montantes</v>
          </cell>
          <cell r="H281" t="str">
            <v>Parafuso de regulagem da cabeça turca espanado</v>
          </cell>
          <cell r="I281">
            <v>0</v>
          </cell>
          <cell r="J281" t="str">
            <v>Não</v>
          </cell>
          <cell r="K281" t="str">
            <v>Mecânica</v>
          </cell>
          <cell r="L281" t="str">
            <v>Reparo</v>
          </cell>
          <cell r="M281" t="str">
            <v>Desgaste / Fadiga</v>
          </cell>
          <cell r="N281">
            <v>37964</v>
          </cell>
          <cell r="O281">
            <v>0.375</v>
          </cell>
          <cell r="P281">
            <v>0</v>
          </cell>
          <cell r="T281">
            <v>37964</v>
          </cell>
          <cell r="U281">
            <v>0.41666666666666669</v>
          </cell>
          <cell r="V281">
            <v>0</v>
          </cell>
          <cell r="W281">
            <v>4.1666666664241347E-2</v>
          </cell>
          <cell r="X281">
            <v>0</v>
          </cell>
          <cell r="Y281">
            <v>0</v>
          </cell>
          <cell r="AB281">
            <v>12</v>
          </cell>
          <cell r="AC281">
            <v>7</v>
          </cell>
          <cell r="AD281">
            <v>0</v>
          </cell>
          <cell r="BF281">
            <v>0</v>
          </cell>
          <cell r="BG281">
            <v>0</v>
          </cell>
          <cell r="BH281">
            <v>0</v>
          </cell>
          <cell r="BI281">
            <v>0</v>
          </cell>
          <cell r="BJ281">
            <v>0</v>
          </cell>
          <cell r="BK281">
            <v>0</v>
          </cell>
          <cell r="BL281">
            <v>0</v>
          </cell>
          <cell r="BM281">
            <v>0</v>
          </cell>
          <cell r="BN281">
            <v>0</v>
          </cell>
          <cell r="BO281">
            <v>0</v>
          </cell>
          <cell r="BP281">
            <v>0</v>
          </cell>
          <cell r="BQ281">
            <v>0</v>
          </cell>
          <cell r="BR281">
            <v>0</v>
          </cell>
          <cell r="BS281">
            <v>0</v>
          </cell>
          <cell r="BT281">
            <v>0</v>
          </cell>
          <cell r="BU281">
            <v>12</v>
          </cell>
          <cell r="BV281">
            <v>0</v>
          </cell>
          <cell r="BW281">
            <v>0</v>
          </cell>
          <cell r="BX281">
            <v>0</v>
          </cell>
          <cell r="BY281">
            <v>0</v>
          </cell>
          <cell r="BZ281">
            <v>0</v>
          </cell>
          <cell r="CA281">
            <v>0</v>
          </cell>
          <cell r="CB281">
            <v>0</v>
          </cell>
          <cell r="CC281">
            <v>0</v>
          </cell>
          <cell r="CD281">
            <v>0</v>
          </cell>
        </row>
        <row r="282">
          <cell r="C282">
            <v>37825</v>
          </cell>
          <cell r="D282">
            <v>38008</v>
          </cell>
          <cell r="E282">
            <v>37978</v>
          </cell>
          <cell r="F282">
            <v>0.3125</v>
          </cell>
          <cell r="G282" t="str">
            <v>Perfiladora Fagor Montantes</v>
          </cell>
          <cell r="H282" t="str">
            <v>Desbobinador lento quando funciona no lado no. 02</v>
          </cell>
          <cell r="I282">
            <v>0</v>
          </cell>
          <cell r="J282" t="str">
            <v>Não</v>
          </cell>
          <cell r="K282" t="str">
            <v>Mecânica</v>
          </cell>
          <cell r="L282" t="str">
            <v>Regulagem do Componente</v>
          </cell>
          <cell r="M282" t="str">
            <v>Falha de Ajuste / Parâmetros</v>
          </cell>
          <cell r="N282">
            <v>0</v>
          </cell>
          <cell r="O282">
            <v>0.35416666666666669</v>
          </cell>
          <cell r="P282">
            <v>0</v>
          </cell>
          <cell r="T282">
            <v>0</v>
          </cell>
          <cell r="U282">
            <v>0.375</v>
          </cell>
          <cell r="V282">
            <v>0</v>
          </cell>
          <cell r="W282">
            <v>0</v>
          </cell>
          <cell r="X282">
            <v>0</v>
          </cell>
          <cell r="Y282">
            <v>0</v>
          </cell>
          <cell r="AB282">
            <v>0</v>
          </cell>
          <cell r="AC282">
            <v>7</v>
          </cell>
          <cell r="AD282">
            <v>0</v>
          </cell>
          <cell r="BF282">
            <v>0</v>
          </cell>
          <cell r="BG282">
            <v>0</v>
          </cell>
          <cell r="BH282">
            <v>0</v>
          </cell>
          <cell r="BI282">
            <v>0</v>
          </cell>
          <cell r="BJ282">
            <v>0</v>
          </cell>
          <cell r="BK282">
            <v>0</v>
          </cell>
          <cell r="BL282">
            <v>0</v>
          </cell>
          <cell r="BM282">
            <v>0</v>
          </cell>
          <cell r="BN282">
            <v>0</v>
          </cell>
          <cell r="BO282">
            <v>0</v>
          </cell>
          <cell r="BP282">
            <v>0</v>
          </cell>
          <cell r="BQ282">
            <v>0</v>
          </cell>
          <cell r="BR282">
            <v>0</v>
          </cell>
          <cell r="BS282">
            <v>0</v>
          </cell>
          <cell r="BT282">
            <v>0</v>
          </cell>
          <cell r="BU282">
            <v>0</v>
          </cell>
          <cell r="BV282">
            <v>0</v>
          </cell>
          <cell r="BW282">
            <v>0</v>
          </cell>
          <cell r="BX282">
            <v>0</v>
          </cell>
          <cell r="BY282">
            <v>0</v>
          </cell>
          <cell r="BZ282">
            <v>0</v>
          </cell>
          <cell r="CA282">
            <v>0</v>
          </cell>
          <cell r="CB282">
            <v>0</v>
          </cell>
          <cell r="CC282">
            <v>0</v>
          </cell>
          <cell r="CD282">
            <v>0</v>
          </cell>
        </row>
        <row r="283">
          <cell r="C283">
            <v>37825</v>
          </cell>
          <cell r="I283">
            <v>0</v>
          </cell>
          <cell r="N283">
            <v>0</v>
          </cell>
          <cell r="P283">
            <v>0</v>
          </cell>
          <cell r="T283">
            <v>0</v>
          </cell>
          <cell r="V283">
            <v>0</v>
          </cell>
          <cell r="W283">
            <v>0</v>
          </cell>
          <cell r="X283">
            <v>0</v>
          </cell>
          <cell r="Y283">
            <v>0</v>
          </cell>
          <cell r="AB283">
            <v>0</v>
          </cell>
          <cell r="AC283">
            <v>7</v>
          </cell>
          <cell r="AD283">
            <v>0</v>
          </cell>
          <cell r="BF283">
            <v>0</v>
          </cell>
          <cell r="BG283">
            <v>0</v>
          </cell>
          <cell r="BH283">
            <v>0</v>
          </cell>
          <cell r="BI283">
            <v>0</v>
          </cell>
          <cell r="BJ283">
            <v>0</v>
          </cell>
          <cell r="BK283">
            <v>0</v>
          </cell>
          <cell r="BL283">
            <v>0</v>
          </cell>
          <cell r="BM283">
            <v>0</v>
          </cell>
          <cell r="BN283">
            <v>0</v>
          </cell>
          <cell r="BO283">
            <v>0</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C283">
            <v>0</v>
          </cell>
          <cell r="CD283">
            <v>0</v>
          </cell>
        </row>
        <row r="284">
          <cell r="C284">
            <v>37825</v>
          </cell>
          <cell r="I284">
            <v>0</v>
          </cell>
          <cell r="N284">
            <v>0</v>
          </cell>
          <cell r="P284">
            <v>0</v>
          </cell>
          <cell r="T284">
            <v>0</v>
          </cell>
          <cell r="V284">
            <v>0</v>
          </cell>
          <cell r="W284">
            <v>0</v>
          </cell>
          <cell r="X284">
            <v>0</v>
          </cell>
          <cell r="Y284">
            <v>0</v>
          </cell>
          <cell r="AB284">
            <v>0</v>
          </cell>
          <cell r="AC284">
            <v>7</v>
          </cell>
          <cell r="AD284">
            <v>0</v>
          </cell>
          <cell r="BF284">
            <v>0</v>
          </cell>
          <cell r="BG284">
            <v>0</v>
          </cell>
          <cell r="BH284">
            <v>0</v>
          </cell>
          <cell r="BI284">
            <v>0</v>
          </cell>
          <cell r="BJ284">
            <v>0</v>
          </cell>
          <cell r="BK284">
            <v>0</v>
          </cell>
          <cell r="BL284">
            <v>0</v>
          </cell>
          <cell r="BM284">
            <v>0</v>
          </cell>
          <cell r="BN284">
            <v>0</v>
          </cell>
          <cell r="BO284">
            <v>0</v>
          </cell>
          <cell r="BP284">
            <v>0</v>
          </cell>
          <cell r="BQ284">
            <v>0</v>
          </cell>
          <cell r="BR284">
            <v>0</v>
          </cell>
          <cell r="BS284">
            <v>0</v>
          </cell>
          <cell r="BT284">
            <v>0</v>
          </cell>
          <cell r="BU284">
            <v>0</v>
          </cell>
          <cell r="BV284">
            <v>0</v>
          </cell>
          <cell r="BW284">
            <v>0</v>
          </cell>
          <cell r="BX284">
            <v>0</v>
          </cell>
          <cell r="BY284">
            <v>0</v>
          </cell>
          <cell r="BZ284">
            <v>0</v>
          </cell>
          <cell r="CA284">
            <v>0</v>
          </cell>
          <cell r="CB284">
            <v>0</v>
          </cell>
          <cell r="CC284">
            <v>0</v>
          </cell>
          <cell r="CD284">
            <v>0</v>
          </cell>
        </row>
        <row r="285">
          <cell r="C285">
            <v>37825</v>
          </cell>
          <cell r="I285">
            <v>0</v>
          </cell>
          <cell r="N285">
            <v>0</v>
          </cell>
          <cell r="P285">
            <v>0</v>
          </cell>
          <cell r="T285">
            <v>0</v>
          </cell>
          <cell r="V285">
            <v>0</v>
          </cell>
          <cell r="W285">
            <v>0</v>
          </cell>
          <cell r="X285">
            <v>0</v>
          </cell>
          <cell r="Y285">
            <v>0</v>
          </cell>
          <cell r="AB285">
            <v>0</v>
          </cell>
          <cell r="AC285">
            <v>7</v>
          </cell>
          <cell r="AD285">
            <v>0</v>
          </cell>
          <cell r="BF285">
            <v>0</v>
          </cell>
          <cell r="BG285">
            <v>0</v>
          </cell>
          <cell r="BH285">
            <v>0</v>
          </cell>
          <cell r="BI285">
            <v>0</v>
          </cell>
          <cell r="BJ285">
            <v>0</v>
          </cell>
          <cell r="BK285">
            <v>0</v>
          </cell>
          <cell r="BL285">
            <v>0</v>
          </cell>
          <cell r="BM285">
            <v>0</v>
          </cell>
          <cell r="BN285">
            <v>0</v>
          </cell>
          <cell r="BO285">
            <v>0</v>
          </cell>
          <cell r="BP285">
            <v>0</v>
          </cell>
          <cell r="BQ285">
            <v>0</v>
          </cell>
          <cell r="BR285">
            <v>0</v>
          </cell>
          <cell r="BS285">
            <v>0</v>
          </cell>
          <cell r="BT285">
            <v>0</v>
          </cell>
          <cell r="BU285">
            <v>0</v>
          </cell>
          <cell r="BV285">
            <v>0</v>
          </cell>
          <cell r="BW285">
            <v>0</v>
          </cell>
          <cell r="BX285">
            <v>0</v>
          </cell>
          <cell r="BY285">
            <v>0</v>
          </cell>
          <cell r="BZ285">
            <v>0</v>
          </cell>
          <cell r="CA285">
            <v>0</v>
          </cell>
          <cell r="CB285">
            <v>0</v>
          </cell>
          <cell r="CC285">
            <v>0</v>
          </cell>
          <cell r="CD285">
            <v>0</v>
          </cell>
        </row>
        <row r="286">
          <cell r="C286">
            <v>37825</v>
          </cell>
          <cell r="I286">
            <v>0</v>
          </cell>
          <cell r="N286">
            <v>0</v>
          </cell>
          <cell r="P286">
            <v>0</v>
          </cell>
          <cell r="T286">
            <v>0</v>
          </cell>
          <cell r="V286">
            <v>0</v>
          </cell>
          <cell r="W286">
            <v>0</v>
          </cell>
          <cell r="X286">
            <v>0</v>
          </cell>
          <cell r="Y286">
            <v>0</v>
          </cell>
          <cell r="AB286">
            <v>0</v>
          </cell>
          <cell r="AC286">
            <v>7</v>
          </cell>
          <cell r="AD286">
            <v>0</v>
          </cell>
          <cell r="BF286">
            <v>0</v>
          </cell>
          <cell r="BG286">
            <v>0</v>
          </cell>
          <cell r="BH286">
            <v>0</v>
          </cell>
          <cell r="BI286">
            <v>0</v>
          </cell>
          <cell r="BJ286">
            <v>0</v>
          </cell>
          <cell r="BK286">
            <v>0</v>
          </cell>
          <cell r="BL286">
            <v>0</v>
          </cell>
          <cell r="BM286">
            <v>0</v>
          </cell>
          <cell r="BN286">
            <v>0</v>
          </cell>
          <cell r="BO286">
            <v>0</v>
          </cell>
          <cell r="BP286">
            <v>0</v>
          </cell>
          <cell r="BQ286">
            <v>0</v>
          </cell>
          <cell r="BR286">
            <v>0</v>
          </cell>
          <cell r="BS286">
            <v>0</v>
          </cell>
          <cell r="BT286">
            <v>0</v>
          </cell>
          <cell r="BU286">
            <v>0</v>
          </cell>
          <cell r="BV286">
            <v>0</v>
          </cell>
          <cell r="BW286">
            <v>0</v>
          </cell>
          <cell r="BX286">
            <v>0</v>
          </cell>
          <cell r="BY286">
            <v>0</v>
          </cell>
          <cell r="BZ286">
            <v>0</v>
          </cell>
          <cell r="CA286">
            <v>0</v>
          </cell>
          <cell r="CB286">
            <v>0</v>
          </cell>
          <cell r="CC286">
            <v>0</v>
          </cell>
          <cell r="CD286">
            <v>0</v>
          </cell>
        </row>
        <row r="287">
          <cell r="C287">
            <v>37825</v>
          </cell>
          <cell r="I287">
            <v>0</v>
          </cell>
          <cell r="N287">
            <v>0</v>
          </cell>
          <cell r="P287">
            <v>0</v>
          </cell>
          <cell r="T287">
            <v>0</v>
          </cell>
          <cell r="V287">
            <v>0</v>
          </cell>
          <cell r="W287">
            <v>0</v>
          </cell>
          <cell r="X287">
            <v>0</v>
          </cell>
          <cell r="Y287">
            <v>0</v>
          </cell>
          <cell r="AB287">
            <v>0</v>
          </cell>
          <cell r="AC287">
            <v>7</v>
          </cell>
          <cell r="AD287">
            <v>0</v>
          </cell>
          <cell r="BF287">
            <v>0</v>
          </cell>
          <cell r="BG287">
            <v>0</v>
          </cell>
          <cell r="BH287">
            <v>0</v>
          </cell>
          <cell r="BI287">
            <v>0</v>
          </cell>
          <cell r="BJ287">
            <v>0</v>
          </cell>
          <cell r="BK287">
            <v>0</v>
          </cell>
          <cell r="BL287">
            <v>0</v>
          </cell>
          <cell r="BM287">
            <v>0</v>
          </cell>
          <cell r="BN287">
            <v>0</v>
          </cell>
          <cell r="BO287">
            <v>0</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row>
        <row r="288">
          <cell r="C288">
            <v>37825</v>
          </cell>
          <cell r="D288">
            <v>37918</v>
          </cell>
          <cell r="E288">
            <v>37888</v>
          </cell>
          <cell r="F288">
            <v>0.35416666666666669</v>
          </cell>
          <cell r="G288" t="str">
            <v>Perfiladora Fagor Montantes</v>
          </cell>
          <cell r="H288" t="str">
            <v>Botão de acionamento da linha não funciona</v>
          </cell>
          <cell r="I288" t="str">
            <v>Corretiva</v>
          </cell>
          <cell r="J288" t="str">
            <v>Não</v>
          </cell>
          <cell r="K288" t="str">
            <v>Elétrica</v>
          </cell>
          <cell r="L288" t="str">
            <v>Substituição do(s) Componente(s)</v>
          </cell>
          <cell r="M288" t="str">
            <v>Falha Operacional</v>
          </cell>
          <cell r="N288">
            <v>37888</v>
          </cell>
          <cell r="O288">
            <v>0.39583333333333331</v>
          </cell>
          <cell r="P288">
            <v>37888</v>
          </cell>
          <cell r="Q288">
            <v>0.39583333333333331</v>
          </cell>
          <cell r="T288">
            <v>37888</v>
          </cell>
          <cell r="U288">
            <v>0.40277777777777773</v>
          </cell>
          <cell r="V288">
            <v>37888</v>
          </cell>
          <cell r="W288">
            <v>0.40277777777777773</v>
          </cell>
          <cell r="X288">
            <v>6.9444444476782219E-3</v>
          </cell>
          <cell r="Y288">
            <v>6.9444444476782219E-3</v>
          </cell>
          <cell r="AB288">
            <v>9</v>
          </cell>
          <cell r="AC288">
            <v>7</v>
          </cell>
          <cell r="AD288">
            <v>0</v>
          </cell>
          <cell r="BF288">
            <v>0</v>
          </cell>
          <cell r="BG288">
            <v>0</v>
          </cell>
          <cell r="BH288">
            <v>0</v>
          </cell>
          <cell r="BI288">
            <v>0</v>
          </cell>
          <cell r="BJ288">
            <v>0</v>
          </cell>
          <cell r="BK288">
            <v>0</v>
          </cell>
          <cell r="BL288">
            <v>0</v>
          </cell>
          <cell r="BM288">
            <v>0</v>
          </cell>
          <cell r="BN288">
            <v>0</v>
          </cell>
          <cell r="BO288">
            <v>0</v>
          </cell>
          <cell r="BP288">
            <v>0</v>
          </cell>
          <cell r="BQ288">
            <v>0</v>
          </cell>
          <cell r="BR288">
            <v>0</v>
          </cell>
          <cell r="BS288">
            <v>0</v>
          </cell>
          <cell r="BT288">
            <v>0</v>
          </cell>
          <cell r="BU288">
            <v>9</v>
          </cell>
          <cell r="BV288">
            <v>0</v>
          </cell>
          <cell r="BW288">
            <v>0</v>
          </cell>
          <cell r="BX288">
            <v>0</v>
          </cell>
          <cell r="BY288">
            <v>0</v>
          </cell>
          <cell r="BZ288">
            <v>0</v>
          </cell>
          <cell r="CA288">
            <v>0</v>
          </cell>
          <cell r="CB288">
            <v>0</v>
          </cell>
          <cell r="CC288">
            <v>0</v>
          </cell>
          <cell r="CD288">
            <v>0</v>
          </cell>
        </row>
        <row r="289">
          <cell r="C289">
            <v>37825</v>
          </cell>
          <cell r="D289">
            <v>37902</v>
          </cell>
          <cell r="E289">
            <v>179</v>
          </cell>
          <cell r="F289">
            <v>0.5</v>
          </cell>
          <cell r="G289" t="str">
            <v>Perfiladora Fagor Montantes</v>
          </cell>
          <cell r="H289" t="str">
            <v>Necessidade de melhoria quanto à fixação do Encoder</v>
          </cell>
          <cell r="I289" t="str">
            <v>Melhoria</v>
          </cell>
          <cell r="J289" t="str">
            <v>Não</v>
          </cell>
          <cell r="K289" t="str">
            <v>Mecânica</v>
          </cell>
          <cell r="L289" t="str">
            <v>Alteração no sistema de fixação</v>
          </cell>
          <cell r="M289" t="str">
            <v>Melhoria Técnica</v>
          </cell>
          <cell r="N289">
            <v>37889</v>
          </cell>
          <cell r="O289">
            <v>0.54166666666666663</v>
          </cell>
          <cell r="P289">
            <v>37889</v>
          </cell>
          <cell r="Q289">
            <v>0.625</v>
          </cell>
          <cell r="R289">
            <v>37896</v>
          </cell>
          <cell r="S289">
            <v>0.33333333333333331</v>
          </cell>
          <cell r="T289">
            <v>37896</v>
          </cell>
          <cell r="U289">
            <v>0.47916666666666669</v>
          </cell>
          <cell r="V289">
            <v>0</v>
          </cell>
          <cell r="W289">
            <v>0.22916666666666674</v>
          </cell>
          <cell r="X289">
            <v>0.22916666666666674</v>
          </cell>
          <cell r="Y289">
            <v>0.22916666666666674</v>
          </cell>
          <cell r="AB289">
            <v>10</v>
          </cell>
          <cell r="AC289">
            <v>7</v>
          </cell>
          <cell r="AD289">
            <v>0</v>
          </cell>
          <cell r="BF289">
            <v>0</v>
          </cell>
          <cell r="BG289">
            <v>0</v>
          </cell>
          <cell r="BH289">
            <v>0</v>
          </cell>
          <cell r="BI289">
            <v>0</v>
          </cell>
          <cell r="BJ289">
            <v>0</v>
          </cell>
          <cell r="BK289">
            <v>0</v>
          </cell>
          <cell r="BL289">
            <v>0</v>
          </cell>
          <cell r="BM289">
            <v>0</v>
          </cell>
          <cell r="BN289">
            <v>0</v>
          </cell>
          <cell r="BO289">
            <v>0</v>
          </cell>
          <cell r="BP289">
            <v>0</v>
          </cell>
          <cell r="BQ289">
            <v>0</v>
          </cell>
          <cell r="BR289">
            <v>0</v>
          </cell>
          <cell r="BS289">
            <v>0</v>
          </cell>
          <cell r="BT289">
            <v>0</v>
          </cell>
          <cell r="BU289">
            <v>10</v>
          </cell>
          <cell r="BV289">
            <v>0</v>
          </cell>
          <cell r="BW289">
            <v>0</v>
          </cell>
          <cell r="BX289">
            <v>0</v>
          </cell>
          <cell r="BY289">
            <v>0</v>
          </cell>
          <cell r="BZ289">
            <v>0</v>
          </cell>
          <cell r="CA289">
            <v>0</v>
          </cell>
          <cell r="CB289">
            <v>0</v>
          </cell>
          <cell r="CC289">
            <v>0</v>
          </cell>
          <cell r="CD289">
            <v>0</v>
          </cell>
        </row>
        <row r="290">
          <cell r="C290">
            <v>37825</v>
          </cell>
          <cell r="D290">
            <v>37868</v>
          </cell>
          <cell r="E290">
            <v>37868</v>
          </cell>
          <cell r="F290">
            <v>0.3125</v>
          </cell>
          <cell r="G290" t="str">
            <v>Perfiladora Fagor Montantes</v>
          </cell>
          <cell r="H290" t="str">
            <v>Eixo guia do perfil travado</v>
          </cell>
          <cell r="I290" t="str">
            <v>Corretiva</v>
          </cell>
          <cell r="J290" t="str">
            <v>Sim</v>
          </cell>
          <cell r="K290" t="str">
            <v>Mecânica</v>
          </cell>
          <cell r="L290" t="str">
            <v>Ajuste / Regulagem</v>
          </cell>
          <cell r="M290" t="str">
            <v>Causa não especificada</v>
          </cell>
          <cell r="N290">
            <v>37868</v>
          </cell>
          <cell r="O290">
            <v>0.3125</v>
          </cell>
          <cell r="P290">
            <v>37868</v>
          </cell>
          <cell r="Q290">
            <v>0.3125</v>
          </cell>
          <cell r="T290">
            <v>37868</v>
          </cell>
          <cell r="U290">
            <v>0.33333333333333331</v>
          </cell>
          <cell r="V290">
            <v>37868</v>
          </cell>
          <cell r="W290">
            <v>0.33333333333333331</v>
          </cell>
          <cell r="X290">
            <v>2.0833333333333315E-2</v>
          </cell>
          <cell r="Y290">
            <v>2.0833333335758653E-2</v>
          </cell>
          <cell r="AB290">
            <v>9</v>
          </cell>
          <cell r="AC290">
            <v>7</v>
          </cell>
          <cell r="AD290">
            <v>0</v>
          </cell>
          <cell r="BF290">
            <v>0</v>
          </cell>
          <cell r="BG290">
            <v>0</v>
          </cell>
          <cell r="BH290">
            <v>0</v>
          </cell>
          <cell r="BI290">
            <v>0</v>
          </cell>
          <cell r="BJ290">
            <v>0</v>
          </cell>
          <cell r="BK290">
            <v>0</v>
          </cell>
          <cell r="BL290">
            <v>0</v>
          </cell>
          <cell r="BM290">
            <v>0</v>
          </cell>
          <cell r="BN290">
            <v>0</v>
          </cell>
          <cell r="BO290">
            <v>0</v>
          </cell>
          <cell r="BP290">
            <v>0</v>
          </cell>
          <cell r="BQ290">
            <v>0</v>
          </cell>
          <cell r="BR290">
            <v>0</v>
          </cell>
          <cell r="BS290">
            <v>0</v>
          </cell>
          <cell r="BT290">
            <v>0</v>
          </cell>
          <cell r="BU290">
            <v>9</v>
          </cell>
          <cell r="BV290">
            <v>0</v>
          </cell>
          <cell r="BW290">
            <v>0</v>
          </cell>
          <cell r="BX290">
            <v>0</v>
          </cell>
          <cell r="BY290">
            <v>0</v>
          </cell>
          <cell r="BZ290">
            <v>0</v>
          </cell>
          <cell r="CA290">
            <v>0</v>
          </cell>
          <cell r="CB290">
            <v>0</v>
          </cell>
          <cell r="CC290">
            <v>0</v>
          </cell>
          <cell r="CD290">
            <v>0</v>
          </cell>
        </row>
        <row r="291">
          <cell r="C291">
            <v>37825</v>
          </cell>
          <cell r="D291">
            <v>37900</v>
          </cell>
          <cell r="E291">
            <v>37882</v>
          </cell>
          <cell r="F291">
            <v>0.60416666666666663</v>
          </cell>
          <cell r="G291" t="str">
            <v>Perfiladora Fagor Montantes</v>
          </cell>
          <cell r="H291" t="str">
            <v>Acoplamento do Redutor está solto</v>
          </cell>
          <cell r="I291" t="str">
            <v>Corretiva</v>
          </cell>
          <cell r="J291" t="str">
            <v>Não</v>
          </cell>
          <cell r="K291" t="str">
            <v>Mecânica</v>
          </cell>
          <cell r="L291" t="str">
            <v>Reparo</v>
          </cell>
          <cell r="M291" t="str">
            <v>Vibração</v>
          </cell>
          <cell r="N291">
            <v>37883</v>
          </cell>
          <cell r="O291">
            <v>0.25</v>
          </cell>
          <cell r="P291">
            <v>37883</v>
          </cell>
          <cell r="Q291">
            <v>0.25</v>
          </cell>
          <cell r="T291">
            <v>37883</v>
          </cell>
          <cell r="U291">
            <v>0.3125</v>
          </cell>
          <cell r="V291">
            <v>37883</v>
          </cell>
          <cell r="W291">
            <v>0.3125</v>
          </cell>
          <cell r="X291">
            <v>6.25E-2</v>
          </cell>
          <cell r="Y291">
            <v>6.25E-2</v>
          </cell>
          <cell r="AB291">
            <v>9</v>
          </cell>
          <cell r="AC291">
            <v>7</v>
          </cell>
          <cell r="AD291">
            <v>0</v>
          </cell>
          <cell r="BF291">
            <v>0</v>
          </cell>
          <cell r="BG291">
            <v>0</v>
          </cell>
          <cell r="BH291">
            <v>0</v>
          </cell>
          <cell r="BI291">
            <v>0</v>
          </cell>
          <cell r="BJ291">
            <v>0</v>
          </cell>
          <cell r="BK291">
            <v>0</v>
          </cell>
          <cell r="BL291">
            <v>0</v>
          </cell>
          <cell r="BM291">
            <v>0</v>
          </cell>
          <cell r="BN291">
            <v>0</v>
          </cell>
          <cell r="BO291">
            <v>0</v>
          </cell>
          <cell r="BP291">
            <v>0</v>
          </cell>
          <cell r="BQ291">
            <v>0</v>
          </cell>
          <cell r="BR291">
            <v>0</v>
          </cell>
          <cell r="BS291">
            <v>0</v>
          </cell>
          <cell r="BT291">
            <v>0</v>
          </cell>
          <cell r="BU291">
            <v>9</v>
          </cell>
          <cell r="BV291">
            <v>0</v>
          </cell>
          <cell r="BW291">
            <v>0</v>
          </cell>
          <cell r="BX291">
            <v>0</v>
          </cell>
          <cell r="BY291">
            <v>0</v>
          </cell>
          <cell r="BZ291">
            <v>0</v>
          </cell>
          <cell r="CA291">
            <v>0</v>
          </cell>
          <cell r="CB291">
            <v>0</v>
          </cell>
          <cell r="CC291">
            <v>0</v>
          </cell>
          <cell r="CD291">
            <v>0</v>
          </cell>
        </row>
        <row r="292">
          <cell r="C292">
            <v>37825</v>
          </cell>
          <cell r="D292">
            <v>37918</v>
          </cell>
          <cell r="E292">
            <v>37890</v>
          </cell>
          <cell r="F292">
            <v>0.5625</v>
          </cell>
          <cell r="G292" t="str">
            <v>Perfiladora Fagor Montantes</v>
          </cell>
          <cell r="H292" t="str">
            <v>Sensor de saída da prensa (na valeta) não funciona</v>
          </cell>
          <cell r="I292" t="str">
            <v>Corretiva</v>
          </cell>
          <cell r="J292" t="str">
            <v>Sim</v>
          </cell>
          <cell r="K292" t="str">
            <v>Elétrica</v>
          </cell>
          <cell r="L292" t="str">
            <v>Regulagem do Componente</v>
          </cell>
          <cell r="M292" t="str">
            <v>Vibração</v>
          </cell>
          <cell r="N292">
            <v>37890</v>
          </cell>
          <cell r="O292">
            <v>0.59722222222222221</v>
          </cell>
          <cell r="P292">
            <v>37890</v>
          </cell>
          <cell r="Q292">
            <v>0.59722222222222221</v>
          </cell>
          <cell r="T292">
            <v>37890</v>
          </cell>
          <cell r="U292">
            <v>0.60416666666666663</v>
          </cell>
          <cell r="V292">
            <v>37890</v>
          </cell>
          <cell r="W292">
            <v>0.60416666666666663</v>
          </cell>
          <cell r="X292">
            <v>6.9444444444444198E-3</v>
          </cell>
          <cell r="Y292">
            <v>6.9444444420191376E-3</v>
          </cell>
          <cell r="AB292">
            <v>9</v>
          </cell>
          <cell r="AC292">
            <v>7</v>
          </cell>
          <cell r="AD292">
            <v>0</v>
          </cell>
          <cell r="BF292">
            <v>0</v>
          </cell>
          <cell r="BG292">
            <v>0</v>
          </cell>
          <cell r="BH292">
            <v>0</v>
          </cell>
          <cell r="BI292">
            <v>0</v>
          </cell>
          <cell r="BJ292">
            <v>0</v>
          </cell>
          <cell r="BK292">
            <v>0</v>
          </cell>
          <cell r="BL292">
            <v>0</v>
          </cell>
          <cell r="BM292">
            <v>0</v>
          </cell>
          <cell r="BN292">
            <v>0</v>
          </cell>
          <cell r="BO292">
            <v>0</v>
          </cell>
          <cell r="BP292">
            <v>0</v>
          </cell>
          <cell r="BQ292">
            <v>0</v>
          </cell>
          <cell r="BR292">
            <v>0</v>
          </cell>
          <cell r="BS292">
            <v>0</v>
          </cell>
          <cell r="BT292">
            <v>0</v>
          </cell>
          <cell r="BU292">
            <v>9</v>
          </cell>
          <cell r="BV292">
            <v>0</v>
          </cell>
          <cell r="BW292">
            <v>0</v>
          </cell>
          <cell r="BX292">
            <v>0</v>
          </cell>
          <cell r="BY292">
            <v>0</v>
          </cell>
          <cell r="BZ292">
            <v>0</v>
          </cell>
          <cell r="CA292">
            <v>0</v>
          </cell>
          <cell r="CB292">
            <v>0</v>
          </cell>
          <cell r="CC292">
            <v>0</v>
          </cell>
          <cell r="CD292">
            <v>0</v>
          </cell>
        </row>
        <row r="293">
          <cell r="C293">
            <v>37825</v>
          </cell>
          <cell r="D293">
            <v>37900</v>
          </cell>
          <cell r="E293">
            <v>37894</v>
          </cell>
          <cell r="F293">
            <v>0.29166666666666669</v>
          </cell>
          <cell r="G293" t="str">
            <v>Perfiladora Fagor Montantes</v>
          </cell>
          <cell r="H293" t="str">
            <v>Porcelana de Solda quebrada</v>
          </cell>
          <cell r="I293" t="str">
            <v>Corretiva</v>
          </cell>
          <cell r="J293" t="str">
            <v>Não</v>
          </cell>
          <cell r="K293" t="str">
            <v>Mecânica</v>
          </cell>
          <cell r="L293" t="str">
            <v>Substituição do(s) Componente(s)</v>
          </cell>
          <cell r="M293" t="str">
            <v>Desgaste / Fadiga</v>
          </cell>
          <cell r="N293">
            <v>37894</v>
          </cell>
          <cell r="O293">
            <v>0.29166666666666669</v>
          </cell>
          <cell r="P293">
            <v>37894</v>
          </cell>
          <cell r="Q293">
            <v>0.29166666666666669</v>
          </cell>
          <cell r="T293">
            <v>37894</v>
          </cell>
          <cell r="U293">
            <v>0.30208333333333331</v>
          </cell>
          <cell r="V293">
            <v>37894</v>
          </cell>
          <cell r="W293">
            <v>0.30208333333333331</v>
          </cell>
          <cell r="X293">
            <v>1.0416666669091967E-2</v>
          </cell>
          <cell r="Y293">
            <v>1.0416666669091967E-2</v>
          </cell>
          <cell r="AB293">
            <v>9</v>
          </cell>
          <cell r="AC293">
            <v>7</v>
          </cell>
          <cell r="AD293">
            <v>0</v>
          </cell>
          <cell r="BF293">
            <v>0</v>
          </cell>
          <cell r="BG293">
            <v>0</v>
          </cell>
          <cell r="BH293">
            <v>0</v>
          </cell>
          <cell r="BI293">
            <v>0</v>
          </cell>
          <cell r="BJ293">
            <v>0</v>
          </cell>
          <cell r="BK293">
            <v>0</v>
          </cell>
          <cell r="BL293">
            <v>0</v>
          </cell>
          <cell r="BM293">
            <v>0</v>
          </cell>
          <cell r="BN293">
            <v>0</v>
          </cell>
          <cell r="BO293">
            <v>0</v>
          </cell>
          <cell r="BP293">
            <v>0</v>
          </cell>
          <cell r="BQ293">
            <v>0</v>
          </cell>
          <cell r="BR293">
            <v>0</v>
          </cell>
          <cell r="BS293">
            <v>0</v>
          </cell>
          <cell r="BT293">
            <v>0</v>
          </cell>
          <cell r="BU293">
            <v>9</v>
          </cell>
          <cell r="BV293">
            <v>0</v>
          </cell>
          <cell r="BW293">
            <v>0</v>
          </cell>
          <cell r="BX293">
            <v>0</v>
          </cell>
          <cell r="BY293">
            <v>0</v>
          </cell>
          <cell r="BZ293">
            <v>0</v>
          </cell>
          <cell r="CA293">
            <v>0</v>
          </cell>
          <cell r="CB293">
            <v>0</v>
          </cell>
          <cell r="CC293">
            <v>0</v>
          </cell>
          <cell r="CD293">
            <v>0</v>
          </cell>
        </row>
        <row r="294">
          <cell r="C294">
            <v>37825</v>
          </cell>
          <cell r="I294">
            <v>0</v>
          </cell>
          <cell r="N294">
            <v>0</v>
          </cell>
          <cell r="P294">
            <v>0</v>
          </cell>
          <cell r="T294">
            <v>0</v>
          </cell>
          <cell r="V294">
            <v>0</v>
          </cell>
          <cell r="W294">
            <v>0</v>
          </cell>
          <cell r="X294">
            <v>0</v>
          </cell>
          <cell r="Y294">
            <v>0</v>
          </cell>
          <cell r="AB294">
            <v>0</v>
          </cell>
          <cell r="AC294">
            <v>7</v>
          </cell>
          <cell r="AD294">
            <v>0</v>
          </cell>
          <cell r="BF294">
            <v>0</v>
          </cell>
          <cell r="BG294">
            <v>0</v>
          </cell>
          <cell r="BH294">
            <v>0</v>
          </cell>
          <cell r="BI294">
            <v>0</v>
          </cell>
          <cell r="BJ294">
            <v>0</v>
          </cell>
          <cell r="BK294">
            <v>0</v>
          </cell>
          <cell r="BL294">
            <v>0</v>
          </cell>
          <cell r="BM294">
            <v>0</v>
          </cell>
          <cell r="BN294">
            <v>0</v>
          </cell>
          <cell r="BO294">
            <v>0</v>
          </cell>
          <cell r="BP294">
            <v>0</v>
          </cell>
          <cell r="BQ294">
            <v>0</v>
          </cell>
          <cell r="BR294">
            <v>0</v>
          </cell>
          <cell r="BS294">
            <v>0</v>
          </cell>
          <cell r="BT294">
            <v>0</v>
          </cell>
          <cell r="BU294">
            <v>0</v>
          </cell>
          <cell r="BV294">
            <v>0</v>
          </cell>
          <cell r="BW294">
            <v>0</v>
          </cell>
          <cell r="BX294">
            <v>0</v>
          </cell>
          <cell r="BY294">
            <v>0</v>
          </cell>
          <cell r="BZ294">
            <v>0</v>
          </cell>
          <cell r="CA294">
            <v>0</v>
          </cell>
          <cell r="CB294">
            <v>0</v>
          </cell>
          <cell r="CC294">
            <v>0</v>
          </cell>
          <cell r="CD294">
            <v>0</v>
          </cell>
        </row>
        <row r="295">
          <cell r="C295">
            <v>37825</v>
          </cell>
          <cell r="D295">
            <v>37902</v>
          </cell>
          <cell r="E295">
            <v>37896</v>
          </cell>
          <cell r="F295">
            <v>0.33333333333333331</v>
          </cell>
          <cell r="G295" t="str">
            <v>Perfiladora Fagor Montantes</v>
          </cell>
          <cell r="H295" t="str">
            <v>Acoplamento do Redutor está solto</v>
          </cell>
          <cell r="I295" t="str">
            <v>Corretiva</v>
          </cell>
          <cell r="J295" t="str">
            <v>Sim</v>
          </cell>
          <cell r="K295" t="str">
            <v>Mecânica</v>
          </cell>
          <cell r="L295" t="str">
            <v>Reparo</v>
          </cell>
          <cell r="M295" t="str">
            <v>Vibração</v>
          </cell>
          <cell r="N295">
            <v>37896</v>
          </cell>
          <cell r="O295">
            <v>0.47916666666666669</v>
          </cell>
          <cell r="P295">
            <v>37896</v>
          </cell>
          <cell r="Q295">
            <v>0.47916666666666669</v>
          </cell>
          <cell r="T295">
            <v>37896</v>
          </cell>
          <cell r="U295">
            <v>0.54166666666666663</v>
          </cell>
          <cell r="V295">
            <v>37896</v>
          </cell>
          <cell r="W295">
            <v>0.54166666666666663</v>
          </cell>
          <cell r="X295">
            <v>6.2499999999999944E-2</v>
          </cell>
          <cell r="Y295">
            <v>6.2499999997574662E-2</v>
          </cell>
          <cell r="AB295">
            <v>10</v>
          </cell>
          <cell r="AC295">
            <v>7</v>
          </cell>
          <cell r="AD295">
            <v>0</v>
          </cell>
          <cell r="BF295">
            <v>0</v>
          </cell>
          <cell r="BG295">
            <v>0</v>
          </cell>
          <cell r="BH295">
            <v>0</v>
          </cell>
          <cell r="BI295">
            <v>0</v>
          </cell>
          <cell r="BJ295">
            <v>0</v>
          </cell>
          <cell r="BK295">
            <v>0</v>
          </cell>
          <cell r="BL295">
            <v>0</v>
          </cell>
          <cell r="BM295">
            <v>0</v>
          </cell>
          <cell r="BN295">
            <v>0</v>
          </cell>
          <cell r="BO295">
            <v>0</v>
          </cell>
          <cell r="BP295">
            <v>0</v>
          </cell>
          <cell r="BQ295">
            <v>0</v>
          </cell>
          <cell r="BR295">
            <v>0</v>
          </cell>
          <cell r="BS295">
            <v>0</v>
          </cell>
          <cell r="BT295">
            <v>0</v>
          </cell>
          <cell r="BU295">
            <v>10</v>
          </cell>
          <cell r="BV295">
            <v>0</v>
          </cell>
          <cell r="BW295">
            <v>0</v>
          </cell>
          <cell r="BX295">
            <v>0</v>
          </cell>
          <cell r="BY295">
            <v>0</v>
          </cell>
          <cell r="BZ295">
            <v>0</v>
          </cell>
          <cell r="CA295">
            <v>0</v>
          </cell>
          <cell r="CB295">
            <v>0</v>
          </cell>
          <cell r="CC295">
            <v>0</v>
          </cell>
          <cell r="CD295">
            <v>0</v>
          </cell>
        </row>
        <row r="296">
          <cell r="C296">
            <v>37825</v>
          </cell>
          <cell r="D296">
            <v>37902</v>
          </cell>
          <cell r="E296">
            <v>37895</v>
          </cell>
          <cell r="F296">
            <v>0.38194444444444442</v>
          </cell>
          <cell r="G296" t="str">
            <v>Perfiladora Fagor Montantes</v>
          </cell>
          <cell r="H296" t="str">
            <v>Eixo regulador de altura travado</v>
          </cell>
          <cell r="I296" t="str">
            <v>Corretiva</v>
          </cell>
          <cell r="J296" t="str">
            <v>Sim</v>
          </cell>
          <cell r="K296" t="str">
            <v>Mecânica</v>
          </cell>
          <cell r="L296" t="str">
            <v>Reparo</v>
          </cell>
          <cell r="M296" t="str">
            <v>Desgaste / Fadiga</v>
          </cell>
          <cell r="N296">
            <v>37895</v>
          </cell>
          <cell r="O296">
            <v>0.39583333333333331</v>
          </cell>
          <cell r="P296">
            <v>37895</v>
          </cell>
          <cell r="Q296">
            <v>0.39583333333333331</v>
          </cell>
          <cell r="T296">
            <v>37895</v>
          </cell>
          <cell r="U296">
            <v>0.45833333333333331</v>
          </cell>
          <cell r="V296">
            <v>37895</v>
          </cell>
          <cell r="W296">
            <v>0.45833333333333331</v>
          </cell>
          <cell r="X296">
            <v>6.25E-2</v>
          </cell>
          <cell r="Y296">
            <v>6.2500000002425338E-2</v>
          </cell>
          <cell r="AB296">
            <v>10</v>
          </cell>
          <cell r="AC296">
            <v>7</v>
          </cell>
          <cell r="AD296">
            <v>0</v>
          </cell>
          <cell r="BF296">
            <v>0</v>
          </cell>
          <cell r="BG296">
            <v>0</v>
          </cell>
          <cell r="BH296">
            <v>0</v>
          </cell>
          <cell r="BI296">
            <v>0</v>
          </cell>
          <cell r="BJ296">
            <v>0</v>
          </cell>
          <cell r="BK296">
            <v>0</v>
          </cell>
          <cell r="BL296">
            <v>0</v>
          </cell>
          <cell r="BM296">
            <v>0</v>
          </cell>
          <cell r="BN296">
            <v>0</v>
          </cell>
          <cell r="BO296">
            <v>0</v>
          </cell>
          <cell r="BP296">
            <v>0</v>
          </cell>
          <cell r="BQ296">
            <v>0</v>
          </cell>
          <cell r="BR296">
            <v>0</v>
          </cell>
          <cell r="BS296">
            <v>0</v>
          </cell>
          <cell r="BT296">
            <v>0</v>
          </cell>
          <cell r="BU296">
            <v>10</v>
          </cell>
          <cell r="BV296">
            <v>0</v>
          </cell>
          <cell r="BW296">
            <v>0</v>
          </cell>
          <cell r="BX296">
            <v>0</v>
          </cell>
          <cell r="BY296">
            <v>0</v>
          </cell>
          <cell r="BZ296">
            <v>0</v>
          </cell>
          <cell r="CA296">
            <v>0</v>
          </cell>
          <cell r="CB296">
            <v>0</v>
          </cell>
          <cell r="CC296">
            <v>0</v>
          </cell>
          <cell r="CD296">
            <v>0</v>
          </cell>
        </row>
        <row r="297">
          <cell r="C297">
            <v>37826</v>
          </cell>
          <cell r="D297">
            <v>37831</v>
          </cell>
          <cell r="E297">
            <v>37825</v>
          </cell>
          <cell r="F297">
            <v>0.70833333333333337</v>
          </cell>
          <cell r="G297" t="str">
            <v>Células de Solda Automática</v>
          </cell>
          <cell r="H297" t="str">
            <v>Engate rápido de ar da mesa quebrado</v>
          </cell>
          <cell r="I297" t="str">
            <v>Corretiva</v>
          </cell>
          <cell r="J297" t="str">
            <v>Sim</v>
          </cell>
          <cell r="K297" t="str">
            <v>Mecânica</v>
          </cell>
          <cell r="L297" t="str">
            <v>Substituição do(s) Componente(s)</v>
          </cell>
          <cell r="M297" t="str">
            <v>Falha de Projeto</v>
          </cell>
          <cell r="N297">
            <v>37825</v>
          </cell>
          <cell r="O297">
            <v>0.70833333333333337</v>
          </cell>
          <cell r="P297">
            <v>37825</v>
          </cell>
          <cell r="Q297">
            <v>0.70833333333333337</v>
          </cell>
          <cell r="T297">
            <v>37825</v>
          </cell>
          <cell r="U297">
            <v>0.73611111111111116</v>
          </cell>
          <cell r="V297">
            <v>37825</v>
          </cell>
          <cell r="W297">
            <v>0.73611111111111116</v>
          </cell>
          <cell r="X297">
            <v>2.777777777777779E-2</v>
          </cell>
          <cell r="Y297">
            <v>2.7777777776160861E-2</v>
          </cell>
          <cell r="AB297">
            <v>7</v>
          </cell>
          <cell r="AC297">
            <v>7</v>
          </cell>
          <cell r="AD297">
            <v>0</v>
          </cell>
          <cell r="BF297">
            <v>7</v>
          </cell>
          <cell r="BG297">
            <v>0</v>
          </cell>
          <cell r="BH297">
            <v>0</v>
          </cell>
          <cell r="BI297">
            <v>0</v>
          </cell>
          <cell r="BJ297">
            <v>0</v>
          </cell>
          <cell r="BK297">
            <v>0</v>
          </cell>
          <cell r="BL297">
            <v>0</v>
          </cell>
          <cell r="BM297">
            <v>0</v>
          </cell>
          <cell r="BN297">
            <v>0</v>
          </cell>
          <cell r="BO297">
            <v>0</v>
          </cell>
          <cell r="BP297">
            <v>0</v>
          </cell>
          <cell r="BQ297">
            <v>0</v>
          </cell>
          <cell r="BR297">
            <v>0</v>
          </cell>
          <cell r="BS297">
            <v>0</v>
          </cell>
          <cell r="BT297">
            <v>0</v>
          </cell>
          <cell r="BU297">
            <v>0</v>
          </cell>
          <cell r="BV297">
            <v>0</v>
          </cell>
          <cell r="BW297">
            <v>0</v>
          </cell>
          <cell r="BX297">
            <v>0</v>
          </cell>
          <cell r="BY297">
            <v>0</v>
          </cell>
          <cell r="BZ297">
            <v>0</v>
          </cell>
          <cell r="CA297">
            <v>0</v>
          </cell>
          <cell r="CB297">
            <v>0</v>
          </cell>
          <cell r="CC297">
            <v>0</v>
          </cell>
          <cell r="CD297">
            <v>0</v>
          </cell>
        </row>
        <row r="298">
          <cell r="C298">
            <v>37826</v>
          </cell>
          <cell r="D298">
            <v>37838</v>
          </cell>
          <cell r="E298">
            <v>37833</v>
          </cell>
          <cell r="F298">
            <v>0.4548611111111111</v>
          </cell>
          <cell r="G298" t="str">
            <v>Células de Solda Automática</v>
          </cell>
          <cell r="H298" t="str">
            <v>Vazamento de ar (mangueira furada) interferindo na qualidade da solda (poros)</v>
          </cell>
          <cell r="I298" t="str">
            <v>Corretiva</v>
          </cell>
          <cell r="J298" t="str">
            <v>Sim</v>
          </cell>
          <cell r="K298" t="str">
            <v>Mecânica</v>
          </cell>
          <cell r="L298" t="str">
            <v>Problema encaminhado para o Fabricante</v>
          </cell>
          <cell r="M298" t="str">
            <v>Falha de Projeto</v>
          </cell>
          <cell r="N298">
            <v>37833</v>
          </cell>
          <cell r="O298">
            <v>0.54166666666666663</v>
          </cell>
          <cell r="P298">
            <v>37833</v>
          </cell>
          <cell r="Q298">
            <v>0.54166666666666663</v>
          </cell>
          <cell r="T298">
            <v>37833</v>
          </cell>
          <cell r="U298">
            <v>0.58333333333333337</v>
          </cell>
          <cell r="V298">
            <v>37833</v>
          </cell>
          <cell r="W298">
            <v>0.58333333333333337</v>
          </cell>
          <cell r="X298">
            <v>4.1666666666666741E-2</v>
          </cell>
          <cell r="Y298">
            <v>4.1666666669092023E-2</v>
          </cell>
          <cell r="AB298">
            <v>7</v>
          </cell>
          <cell r="AC298">
            <v>7</v>
          </cell>
          <cell r="AD298">
            <v>0</v>
          </cell>
          <cell r="BF298">
            <v>7</v>
          </cell>
          <cell r="BG298">
            <v>0</v>
          </cell>
          <cell r="BH298">
            <v>0</v>
          </cell>
          <cell r="BI298">
            <v>0</v>
          </cell>
          <cell r="BJ298">
            <v>0</v>
          </cell>
          <cell r="BK298">
            <v>0</v>
          </cell>
          <cell r="BL298">
            <v>0</v>
          </cell>
          <cell r="BM298">
            <v>0</v>
          </cell>
          <cell r="BN298">
            <v>0</v>
          </cell>
          <cell r="BO298">
            <v>0</v>
          </cell>
          <cell r="BP298">
            <v>0</v>
          </cell>
          <cell r="BQ298">
            <v>0</v>
          </cell>
          <cell r="BR298">
            <v>0</v>
          </cell>
          <cell r="BS298">
            <v>0</v>
          </cell>
          <cell r="BT298">
            <v>0</v>
          </cell>
          <cell r="BU298">
            <v>0</v>
          </cell>
          <cell r="BV298">
            <v>0</v>
          </cell>
          <cell r="BW298">
            <v>0</v>
          </cell>
          <cell r="BX298">
            <v>0</v>
          </cell>
          <cell r="BY298">
            <v>0</v>
          </cell>
          <cell r="BZ298">
            <v>0</v>
          </cell>
          <cell r="CA298">
            <v>0</v>
          </cell>
          <cell r="CB298">
            <v>0</v>
          </cell>
          <cell r="CC298">
            <v>0</v>
          </cell>
          <cell r="CD298">
            <v>0</v>
          </cell>
        </row>
        <row r="299">
          <cell r="C299">
            <v>37826</v>
          </cell>
          <cell r="I299">
            <v>0</v>
          </cell>
          <cell r="N299">
            <v>0</v>
          </cell>
          <cell r="P299">
            <v>0</v>
          </cell>
          <cell r="T299">
            <v>0</v>
          </cell>
          <cell r="V299">
            <v>0</v>
          </cell>
          <cell r="W299">
            <v>0</v>
          </cell>
          <cell r="X299">
            <v>0</v>
          </cell>
          <cell r="Y299">
            <v>0</v>
          </cell>
          <cell r="AB299">
            <v>0</v>
          </cell>
          <cell r="AC299">
            <v>7</v>
          </cell>
          <cell r="AD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row>
        <row r="300">
          <cell r="C300">
            <v>37826</v>
          </cell>
          <cell r="D300">
            <v>37858</v>
          </cell>
          <cell r="E300">
            <v>37851</v>
          </cell>
          <cell r="F300">
            <v>0.44444444444444442</v>
          </cell>
          <cell r="G300" t="str">
            <v>Células de Solda Automática</v>
          </cell>
          <cell r="H300" t="str">
            <v>Pistão da mesa não aciona</v>
          </cell>
          <cell r="I300" t="str">
            <v>Corretiva</v>
          </cell>
          <cell r="J300" t="str">
            <v>Sim</v>
          </cell>
          <cell r="K300" t="str">
            <v>Mecânica</v>
          </cell>
          <cell r="L300" t="str">
            <v>Limpeza do Equipamento / Componente</v>
          </cell>
          <cell r="M300" t="str">
            <v>Sujeira em excesso</v>
          </cell>
          <cell r="N300">
            <v>37851</v>
          </cell>
          <cell r="O300">
            <v>0.44444444444444442</v>
          </cell>
          <cell r="P300">
            <v>37851</v>
          </cell>
          <cell r="Q300">
            <v>0.44444444444444442</v>
          </cell>
          <cell r="T300">
            <v>37851</v>
          </cell>
          <cell r="U300">
            <v>0.46875</v>
          </cell>
          <cell r="V300">
            <v>37851</v>
          </cell>
          <cell r="W300">
            <v>0.46875</v>
          </cell>
          <cell r="X300">
            <v>2.430555555555558E-2</v>
          </cell>
          <cell r="Y300">
            <v>2.430555555555558E-2</v>
          </cell>
          <cell r="AB300">
            <v>8</v>
          </cell>
          <cell r="AC300">
            <v>7</v>
          </cell>
          <cell r="AD300">
            <v>0</v>
          </cell>
          <cell r="BF300">
            <v>8</v>
          </cell>
          <cell r="BG300">
            <v>0</v>
          </cell>
          <cell r="BH300">
            <v>0</v>
          </cell>
          <cell r="BI300">
            <v>0</v>
          </cell>
          <cell r="BJ300">
            <v>0</v>
          </cell>
          <cell r="BK300">
            <v>0</v>
          </cell>
          <cell r="BL300">
            <v>0</v>
          </cell>
          <cell r="BM300">
            <v>0</v>
          </cell>
          <cell r="BN300">
            <v>0</v>
          </cell>
          <cell r="BO300">
            <v>0</v>
          </cell>
          <cell r="BP300">
            <v>0</v>
          </cell>
          <cell r="BQ300">
            <v>0</v>
          </cell>
          <cell r="BR300">
            <v>0</v>
          </cell>
          <cell r="BS300">
            <v>0</v>
          </cell>
          <cell r="BT300">
            <v>0</v>
          </cell>
          <cell r="BU300">
            <v>0</v>
          </cell>
          <cell r="BV300">
            <v>0</v>
          </cell>
          <cell r="BW300">
            <v>0</v>
          </cell>
          <cell r="BX300">
            <v>0</v>
          </cell>
          <cell r="BY300">
            <v>0</v>
          </cell>
          <cell r="BZ300">
            <v>0</v>
          </cell>
          <cell r="CA300">
            <v>0</v>
          </cell>
          <cell r="CB300">
            <v>0</v>
          </cell>
          <cell r="CC300">
            <v>0</v>
          </cell>
          <cell r="CD300">
            <v>0</v>
          </cell>
        </row>
        <row r="301">
          <cell r="C301">
            <v>37826</v>
          </cell>
          <cell r="D301">
            <v>37858</v>
          </cell>
          <cell r="E301">
            <v>37853</v>
          </cell>
          <cell r="F301">
            <v>0.54166666666666663</v>
          </cell>
          <cell r="G301" t="str">
            <v>Células de Solda Automática</v>
          </cell>
          <cell r="H301" t="str">
            <v>Vazamento na Conexão</v>
          </cell>
          <cell r="I301" t="str">
            <v>Corretiva</v>
          </cell>
          <cell r="J301" t="str">
            <v>Sim</v>
          </cell>
          <cell r="K301" t="str">
            <v>Mecânica</v>
          </cell>
          <cell r="L301" t="str">
            <v>Substituição do(s) Componente(s)</v>
          </cell>
          <cell r="M301" t="str">
            <v>Defeito de Fabricação</v>
          </cell>
          <cell r="N301">
            <v>37853</v>
          </cell>
          <cell r="O301">
            <v>0.54166666666666663</v>
          </cell>
          <cell r="P301">
            <v>37853</v>
          </cell>
          <cell r="Q301">
            <v>0.54166666666666663</v>
          </cell>
          <cell r="T301">
            <v>37853</v>
          </cell>
          <cell r="U301">
            <v>0.5625</v>
          </cell>
          <cell r="V301">
            <v>37853</v>
          </cell>
          <cell r="W301">
            <v>0.5625</v>
          </cell>
          <cell r="X301">
            <v>2.083333333333337E-2</v>
          </cell>
          <cell r="Y301">
            <v>2.083333333333337E-2</v>
          </cell>
          <cell r="AB301">
            <v>8</v>
          </cell>
          <cell r="AC301">
            <v>7</v>
          </cell>
          <cell r="AD301">
            <v>0</v>
          </cell>
          <cell r="BF301">
            <v>8</v>
          </cell>
          <cell r="BG301">
            <v>0</v>
          </cell>
          <cell r="BH301">
            <v>0</v>
          </cell>
          <cell r="BI301">
            <v>0</v>
          </cell>
          <cell r="BJ301">
            <v>0</v>
          </cell>
          <cell r="BK301">
            <v>0</v>
          </cell>
          <cell r="BL301">
            <v>0</v>
          </cell>
          <cell r="BM301">
            <v>0</v>
          </cell>
          <cell r="BN301">
            <v>0</v>
          </cell>
          <cell r="BO301">
            <v>0</v>
          </cell>
          <cell r="BP301">
            <v>0</v>
          </cell>
          <cell r="BQ301">
            <v>0</v>
          </cell>
          <cell r="BR301">
            <v>0</v>
          </cell>
          <cell r="BS301">
            <v>0</v>
          </cell>
          <cell r="BT301">
            <v>0</v>
          </cell>
          <cell r="BU301">
            <v>0</v>
          </cell>
          <cell r="BV301">
            <v>0</v>
          </cell>
          <cell r="BW301">
            <v>0</v>
          </cell>
          <cell r="BX301">
            <v>0</v>
          </cell>
          <cell r="BY301">
            <v>0</v>
          </cell>
          <cell r="BZ301">
            <v>0</v>
          </cell>
          <cell r="CA301">
            <v>0</v>
          </cell>
          <cell r="CB301">
            <v>0</v>
          </cell>
          <cell r="CC301">
            <v>0</v>
          </cell>
          <cell r="CD301">
            <v>0</v>
          </cell>
        </row>
        <row r="302">
          <cell r="C302">
            <v>37826</v>
          </cell>
          <cell r="I302">
            <v>0</v>
          </cell>
          <cell r="N302">
            <v>0</v>
          </cell>
          <cell r="P302">
            <v>0</v>
          </cell>
          <cell r="T302">
            <v>0</v>
          </cell>
          <cell r="V302">
            <v>0</v>
          </cell>
          <cell r="W302">
            <v>0</v>
          </cell>
          <cell r="X302">
            <v>0</v>
          </cell>
          <cell r="Y302">
            <v>0</v>
          </cell>
          <cell r="AB302">
            <v>0</v>
          </cell>
          <cell r="AC302">
            <v>7</v>
          </cell>
          <cell r="AD302">
            <v>0</v>
          </cell>
          <cell r="BF302">
            <v>0</v>
          </cell>
          <cell r="BG302">
            <v>0</v>
          </cell>
          <cell r="BH302">
            <v>0</v>
          </cell>
          <cell r="BI302">
            <v>0</v>
          </cell>
          <cell r="BJ302">
            <v>0</v>
          </cell>
          <cell r="BK302">
            <v>0</v>
          </cell>
          <cell r="BL302">
            <v>0</v>
          </cell>
          <cell r="BM302">
            <v>0</v>
          </cell>
          <cell r="BN302">
            <v>0</v>
          </cell>
          <cell r="BO302">
            <v>0</v>
          </cell>
          <cell r="BP302">
            <v>0</v>
          </cell>
          <cell r="BQ302">
            <v>0</v>
          </cell>
          <cell r="BR302">
            <v>0</v>
          </cell>
          <cell r="BS302">
            <v>0</v>
          </cell>
          <cell r="BT302">
            <v>0</v>
          </cell>
          <cell r="BU302">
            <v>0</v>
          </cell>
          <cell r="BV302">
            <v>0</v>
          </cell>
          <cell r="BW302">
            <v>0</v>
          </cell>
          <cell r="BX302">
            <v>0</v>
          </cell>
          <cell r="BY302">
            <v>0</v>
          </cell>
          <cell r="BZ302">
            <v>0</v>
          </cell>
          <cell r="CA302">
            <v>0</v>
          </cell>
          <cell r="CB302">
            <v>0</v>
          </cell>
          <cell r="CC302">
            <v>0</v>
          </cell>
          <cell r="CD302">
            <v>0</v>
          </cell>
        </row>
        <row r="303">
          <cell r="C303">
            <v>37826</v>
          </cell>
          <cell r="I303">
            <v>0</v>
          </cell>
          <cell r="N303">
            <v>0</v>
          </cell>
          <cell r="P303">
            <v>0</v>
          </cell>
          <cell r="T303">
            <v>0</v>
          </cell>
          <cell r="V303">
            <v>0</v>
          </cell>
          <cell r="W303">
            <v>0</v>
          </cell>
          <cell r="X303">
            <v>0</v>
          </cell>
          <cell r="Y303">
            <v>0</v>
          </cell>
          <cell r="AB303">
            <v>0</v>
          </cell>
          <cell r="AC303">
            <v>7</v>
          </cell>
          <cell r="AD303">
            <v>0</v>
          </cell>
          <cell r="BF303">
            <v>0</v>
          </cell>
          <cell r="BG303">
            <v>0</v>
          </cell>
          <cell r="BH303">
            <v>0</v>
          </cell>
          <cell r="BI303">
            <v>0</v>
          </cell>
          <cell r="BJ303">
            <v>0</v>
          </cell>
          <cell r="BK303">
            <v>0</v>
          </cell>
          <cell r="BL303">
            <v>0</v>
          </cell>
          <cell r="BM303">
            <v>0</v>
          </cell>
          <cell r="BN303">
            <v>0</v>
          </cell>
          <cell r="BO303">
            <v>0</v>
          </cell>
          <cell r="BP303">
            <v>0</v>
          </cell>
          <cell r="BQ303">
            <v>0</v>
          </cell>
          <cell r="BR303">
            <v>0</v>
          </cell>
          <cell r="BS303">
            <v>0</v>
          </cell>
          <cell r="BT303">
            <v>0</v>
          </cell>
          <cell r="BU303">
            <v>0</v>
          </cell>
          <cell r="BV303">
            <v>0</v>
          </cell>
          <cell r="BW303">
            <v>0</v>
          </cell>
          <cell r="BX303">
            <v>0</v>
          </cell>
          <cell r="BY303">
            <v>0</v>
          </cell>
          <cell r="BZ303">
            <v>0</v>
          </cell>
          <cell r="CA303">
            <v>0</v>
          </cell>
          <cell r="CB303">
            <v>0</v>
          </cell>
          <cell r="CC303">
            <v>0</v>
          </cell>
          <cell r="CD303">
            <v>0</v>
          </cell>
        </row>
        <row r="304">
          <cell r="C304">
            <v>37826</v>
          </cell>
          <cell r="D304">
            <v>37881</v>
          </cell>
          <cell r="E304">
            <v>37874</v>
          </cell>
          <cell r="F304">
            <v>0.58333333333333337</v>
          </cell>
          <cell r="G304" t="str">
            <v>Células de Solda Automática</v>
          </cell>
          <cell r="H304" t="str">
            <v>Válvula pneumática da fresa de limpeza do bocal travada</v>
          </cell>
          <cell r="I304" t="str">
            <v>Corretiva</v>
          </cell>
          <cell r="J304" t="str">
            <v>Não</v>
          </cell>
          <cell r="K304" t="str">
            <v>Mecânica</v>
          </cell>
          <cell r="L304" t="str">
            <v>Reparo</v>
          </cell>
          <cell r="M304" t="str">
            <v>Desgaste / Fadiga</v>
          </cell>
          <cell r="N304">
            <v>37875</v>
          </cell>
          <cell r="O304">
            <v>0.41666666666666669</v>
          </cell>
          <cell r="P304">
            <v>37875</v>
          </cell>
          <cell r="Q304">
            <v>0.41666666666666669</v>
          </cell>
          <cell r="T304">
            <v>37875</v>
          </cell>
          <cell r="U304">
            <v>0.4375</v>
          </cell>
          <cell r="V304">
            <v>37875</v>
          </cell>
          <cell r="W304">
            <v>0.4375</v>
          </cell>
          <cell r="X304">
            <v>2.0833333333333315E-2</v>
          </cell>
          <cell r="Y304">
            <v>2.0833333333333315E-2</v>
          </cell>
          <cell r="AB304">
            <v>9</v>
          </cell>
          <cell r="AC304">
            <v>7</v>
          </cell>
          <cell r="AD304">
            <v>0</v>
          </cell>
          <cell r="BF304">
            <v>9</v>
          </cell>
          <cell r="BG304">
            <v>0</v>
          </cell>
          <cell r="BH304">
            <v>0</v>
          </cell>
          <cell r="BI304">
            <v>0</v>
          </cell>
          <cell r="BJ304">
            <v>0</v>
          </cell>
          <cell r="BK304">
            <v>0</v>
          </cell>
          <cell r="BL304">
            <v>0</v>
          </cell>
          <cell r="BM304">
            <v>0</v>
          </cell>
          <cell r="BN304">
            <v>0</v>
          </cell>
          <cell r="BO304">
            <v>0</v>
          </cell>
          <cell r="BP304">
            <v>0</v>
          </cell>
          <cell r="BQ304">
            <v>0</v>
          </cell>
          <cell r="BR304">
            <v>0</v>
          </cell>
          <cell r="BS304">
            <v>0</v>
          </cell>
          <cell r="BT304">
            <v>0</v>
          </cell>
          <cell r="BU304">
            <v>0</v>
          </cell>
          <cell r="BV304">
            <v>0</v>
          </cell>
          <cell r="BW304">
            <v>0</v>
          </cell>
          <cell r="BX304">
            <v>0</v>
          </cell>
          <cell r="BY304">
            <v>0</v>
          </cell>
          <cell r="BZ304">
            <v>0</v>
          </cell>
          <cell r="CA304">
            <v>0</v>
          </cell>
          <cell r="CB304">
            <v>0</v>
          </cell>
          <cell r="CC304">
            <v>0</v>
          </cell>
          <cell r="CD304">
            <v>0</v>
          </cell>
        </row>
        <row r="305">
          <cell r="C305">
            <v>37826</v>
          </cell>
          <cell r="D305">
            <v>37881</v>
          </cell>
          <cell r="E305">
            <v>37876</v>
          </cell>
          <cell r="F305">
            <v>0.625</v>
          </cell>
          <cell r="G305" t="str">
            <v>Células de Solda Automática</v>
          </cell>
          <cell r="H305" t="str">
            <v>Sensor da garra não aciona</v>
          </cell>
          <cell r="I305" t="str">
            <v>Corretiva</v>
          </cell>
          <cell r="J305" t="str">
            <v>Não</v>
          </cell>
          <cell r="K305" t="str">
            <v>Elétrica</v>
          </cell>
          <cell r="L305" t="str">
            <v>Regulagem do Componente</v>
          </cell>
          <cell r="M305" t="str">
            <v>Vibração</v>
          </cell>
          <cell r="N305">
            <v>37876</v>
          </cell>
          <cell r="O305">
            <v>0.66666666666666663</v>
          </cell>
          <cell r="P305">
            <v>37876</v>
          </cell>
          <cell r="Q305">
            <v>0.66666666666666663</v>
          </cell>
          <cell r="T305">
            <v>37876</v>
          </cell>
          <cell r="U305">
            <v>0.85416666666666663</v>
          </cell>
          <cell r="V305">
            <v>37876</v>
          </cell>
          <cell r="W305">
            <v>0.85416666666666663</v>
          </cell>
          <cell r="X305">
            <v>0.18749999999757472</v>
          </cell>
          <cell r="Y305">
            <v>0.18749999999757472</v>
          </cell>
          <cell r="AB305">
            <v>9</v>
          </cell>
          <cell r="AC305">
            <v>7</v>
          </cell>
          <cell r="AD305">
            <v>0</v>
          </cell>
          <cell r="BF305">
            <v>9</v>
          </cell>
          <cell r="BG305">
            <v>0</v>
          </cell>
          <cell r="BH305">
            <v>0</v>
          </cell>
          <cell r="BI305">
            <v>0</v>
          </cell>
          <cell r="BJ305">
            <v>0</v>
          </cell>
          <cell r="BK305">
            <v>0</v>
          </cell>
          <cell r="BL305">
            <v>0</v>
          </cell>
          <cell r="BM305">
            <v>0</v>
          </cell>
          <cell r="BN305">
            <v>0</v>
          </cell>
          <cell r="BO305">
            <v>0</v>
          </cell>
          <cell r="BP305">
            <v>0</v>
          </cell>
          <cell r="BQ305">
            <v>0</v>
          </cell>
          <cell r="BR305">
            <v>0</v>
          </cell>
          <cell r="BS305">
            <v>0</v>
          </cell>
          <cell r="BT305">
            <v>0</v>
          </cell>
          <cell r="BU305">
            <v>0</v>
          </cell>
          <cell r="BV305">
            <v>0</v>
          </cell>
          <cell r="BW305">
            <v>0</v>
          </cell>
          <cell r="BX305">
            <v>0</v>
          </cell>
          <cell r="BY305">
            <v>0</v>
          </cell>
          <cell r="BZ305">
            <v>0</v>
          </cell>
          <cell r="CA305">
            <v>0</v>
          </cell>
          <cell r="CB305">
            <v>0</v>
          </cell>
          <cell r="CC305">
            <v>0</v>
          </cell>
          <cell r="CD305">
            <v>0</v>
          </cell>
        </row>
        <row r="306">
          <cell r="C306">
            <v>37826</v>
          </cell>
          <cell r="I306">
            <v>0</v>
          </cell>
          <cell r="N306">
            <v>0</v>
          </cell>
          <cell r="P306">
            <v>0</v>
          </cell>
          <cell r="T306">
            <v>0</v>
          </cell>
          <cell r="V306">
            <v>0</v>
          </cell>
          <cell r="W306">
            <v>0</v>
          </cell>
          <cell r="X306">
            <v>0</v>
          </cell>
          <cell r="Y306">
            <v>0</v>
          </cell>
          <cell r="AB306">
            <v>0</v>
          </cell>
          <cell r="AC306">
            <v>7</v>
          </cell>
          <cell r="AD306">
            <v>0</v>
          </cell>
          <cell r="BF306">
            <v>0</v>
          </cell>
          <cell r="BG306">
            <v>0</v>
          </cell>
          <cell r="BH306">
            <v>0</v>
          </cell>
          <cell r="BI306">
            <v>0</v>
          </cell>
          <cell r="BJ306">
            <v>0</v>
          </cell>
          <cell r="BK306">
            <v>0</v>
          </cell>
          <cell r="BL306">
            <v>0</v>
          </cell>
          <cell r="BM306">
            <v>0</v>
          </cell>
          <cell r="BN306">
            <v>0</v>
          </cell>
          <cell r="BO306">
            <v>0</v>
          </cell>
          <cell r="BP306">
            <v>0</v>
          </cell>
          <cell r="BQ306">
            <v>0</v>
          </cell>
          <cell r="BR306">
            <v>0</v>
          </cell>
          <cell r="BS306">
            <v>0</v>
          </cell>
          <cell r="BT306">
            <v>0</v>
          </cell>
          <cell r="BU306">
            <v>0</v>
          </cell>
          <cell r="BV306">
            <v>0</v>
          </cell>
          <cell r="BW306">
            <v>0</v>
          </cell>
          <cell r="BX306">
            <v>0</v>
          </cell>
          <cell r="BY306">
            <v>0</v>
          </cell>
          <cell r="BZ306">
            <v>0</v>
          </cell>
          <cell r="CA306">
            <v>0</v>
          </cell>
          <cell r="CB306">
            <v>0</v>
          </cell>
          <cell r="CC306">
            <v>0</v>
          </cell>
          <cell r="CD306">
            <v>0</v>
          </cell>
        </row>
        <row r="307">
          <cell r="C307">
            <v>37826</v>
          </cell>
          <cell r="D307">
            <v>37900</v>
          </cell>
          <cell r="E307">
            <v>37879</v>
          </cell>
          <cell r="F307">
            <v>0.83333333333333337</v>
          </cell>
          <cell r="G307" t="str">
            <v>Células de Solda Automática</v>
          </cell>
          <cell r="H307" t="str">
            <v>Pistão do parô está torto</v>
          </cell>
          <cell r="I307" t="str">
            <v>Corretiva</v>
          </cell>
          <cell r="J307" t="str">
            <v>Sim</v>
          </cell>
          <cell r="K307" t="str">
            <v>Mecânica</v>
          </cell>
          <cell r="L307" t="str">
            <v>Substituição do(s) Componente(s)</v>
          </cell>
          <cell r="M307" t="str">
            <v>Falha Operacional</v>
          </cell>
          <cell r="N307">
            <v>37879</v>
          </cell>
          <cell r="O307">
            <v>0.83333333333333337</v>
          </cell>
          <cell r="P307">
            <v>37879</v>
          </cell>
          <cell r="Q307">
            <v>0.83333333333333337</v>
          </cell>
          <cell r="T307">
            <v>37879</v>
          </cell>
          <cell r="U307">
            <v>0.875</v>
          </cell>
          <cell r="V307">
            <v>37879</v>
          </cell>
          <cell r="W307">
            <v>0.875</v>
          </cell>
          <cell r="X307">
            <v>4.166666666666663E-2</v>
          </cell>
          <cell r="Y307">
            <v>4.166666666666663E-2</v>
          </cell>
          <cell r="AB307">
            <v>9</v>
          </cell>
          <cell r="AC307">
            <v>7</v>
          </cell>
          <cell r="AD307">
            <v>0</v>
          </cell>
          <cell r="BF307">
            <v>9</v>
          </cell>
          <cell r="BG307">
            <v>0</v>
          </cell>
          <cell r="BH307">
            <v>0</v>
          </cell>
          <cell r="BI307">
            <v>0</v>
          </cell>
          <cell r="BJ307">
            <v>0</v>
          </cell>
          <cell r="BK307">
            <v>0</v>
          </cell>
          <cell r="BL307">
            <v>0</v>
          </cell>
          <cell r="BM307">
            <v>0</v>
          </cell>
          <cell r="BN307">
            <v>0</v>
          </cell>
          <cell r="BO307">
            <v>0</v>
          </cell>
          <cell r="BP307">
            <v>0</v>
          </cell>
          <cell r="BQ307">
            <v>0</v>
          </cell>
          <cell r="BR307">
            <v>0</v>
          </cell>
          <cell r="BS307">
            <v>0</v>
          </cell>
          <cell r="BT307">
            <v>0</v>
          </cell>
          <cell r="BU307">
            <v>0</v>
          </cell>
          <cell r="BV307">
            <v>0</v>
          </cell>
          <cell r="BW307">
            <v>0</v>
          </cell>
          <cell r="BX307">
            <v>0</v>
          </cell>
          <cell r="BY307">
            <v>0</v>
          </cell>
          <cell r="BZ307">
            <v>0</v>
          </cell>
          <cell r="CA307">
            <v>0</v>
          </cell>
          <cell r="CB307">
            <v>0</v>
          </cell>
          <cell r="CC307">
            <v>0</v>
          </cell>
          <cell r="CD307">
            <v>0</v>
          </cell>
        </row>
        <row r="308">
          <cell r="C308">
            <v>37826</v>
          </cell>
          <cell r="I308">
            <v>0</v>
          </cell>
          <cell r="N308">
            <v>0</v>
          </cell>
          <cell r="P308">
            <v>0</v>
          </cell>
          <cell r="T308">
            <v>0</v>
          </cell>
          <cell r="V308">
            <v>0</v>
          </cell>
          <cell r="W308">
            <v>0</v>
          </cell>
          <cell r="X308">
            <v>0</v>
          </cell>
          <cell r="Y308">
            <v>0</v>
          </cell>
          <cell r="AB308">
            <v>0</v>
          </cell>
          <cell r="AC308">
            <v>7</v>
          </cell>
          <cell r="AD308">
            <v>0</v>
          </cell>
          <cell r="BF308">
            <v>0</v>
          </cell>
          <cell r="BG308">
            <v>0</v>
          </cell>
          <cell r="BH308">
            <v>0</v>
          </cell>
          <cell r="BI308">
            <v>0</v>
          </cell>
          <cell r="BJ308">
            <v>0</v>
          </cell>
          <cell r="BK308">
            <v>0</v>
          </cell>
          <cell r="BL308">
            <v>0</v>
          </cell>
          <cell r="BM308">
            <v>0</v>
          </cell>
          <cell r="BN308">
            <v>0</v>
          </cell>
          <cell r="BO308">
            <v>0</v>
          </cell>
          <cell r="BP308">
            <v>0</v>
          </cell>
          <cell r="BQ308">
            <v>0</v>
          </cell>
          <cell r="BR308">
            <v>0</v>
          </cell>
          <cell r="BS308">
            <v>0</v>
          </cell>
          <cell r="BT308">
            <v>0</v>
          </cell>
          <cell r="BU308">
            <v>0</v>
          </cell>
          <cell r="BV308">
            <v>0</v>
          </cell>
          <cell r="BW308">
            <v>0</v>
          </cell>
          <cell r="BX308">
            <v>0</v>
          </cell>
          <cell r="BY308">
            <v>0</v>
          </cell>
          <cell r="BZ308">
            <v>0</v>
          </cell>
          <cell r="CA308">
            <v>0</v>
          </cell>
          <cell r="CB308">
            <v>0</v>
          </cell>
          <cell r="CC308">
            <v>0</v>
          </cell>
          <cell r="CD308">
            <v>0</v>
          </cell>
        </row>
        <row r="309">
          <cell r="C309">
            <v>37826</v>
          </cell>
          <cell r="I309">
            <v>0</v>
          </cell>
          <cell r="N309">
            <v>0</v>
          </cell>
          <cell r="P309">
            <v>0</v>
          </cell>
          <cell r="T309">
            <v>0</v>
          </cell>
          <cell r="V309">
            <v>0</v>
          </cell>
          <cell r="W309">
            <v>0</v>
          </cell>
          <cell r="X309">
            <v>0</v>
          </cell>
          <cell r="Y309">
            <v>0</v>
          </cell>
          <cell r="AB309">
            <v>0</v>
          </cell>
          <cell r="AC309">
            <v>7</v>
          </cell>
          <cell r="AD309">
            <v>0</v>
          </cell>
          <cell r="BF309">
            <v>0</v>
          </cell>
          <cell r="BG309">
            <v>0</v>
          </cell>
          <cell r="BH309">
            <v>0</v>
          </cell>
          <cell r="BI309">
            <v>0</v>
          </cell>
          <cell r="BJ309">
            <v>0</v>
          </cell>
          <cell r="BK309">
            <v>0</v>
          </cell>
          <cell r="BL309">
            <v>0</v>
          </cell>
          <cell r="BM309">
            <v>0</v>
          </cell>
          <cell r="BN309">
            <v>0</v>
          </cell>
          <cell r="BO309">
            <v>0</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row>
        <row r="310">
          <cell r="C310">
            <v>37826</v>
          </cell>
          <cell r="D310">
            <v>37900</v>
          </cell>
          <cell r="E310">
            <v>37880</v>
          </cell>
          <cell r="F310">
            <v>0.47916666666666669</v>
          </cell>
          <cell r="G310" t="str">
            <v>Células de Solda Automática</v>
          </cell>
          <cell r="H310" t="str">
            <v>Dispositivo apresenta variação durante a fixação</v>
          </cell>
          <cell r="I310" t="str">
            <v>Corretiva</v>
          </cell>
          <cell r="J310" t="str">
            <v>Sim</v>
          </cell>
          <cell r="K310" t="str">
            <v>Mecânica</v>
          </cell>
          <cell r="L310" t="str">
            <v>Limpeza e ajuste do Componente</v>
          </cell>
          <cell r="M310" t="str">
            <v>Sujeira em excesso</v>
          </cell>
          <cell r="N310">
            <v>37880</v>
          </cell>
          <cell r="O310">
            <v>0.625</v>
          </cell>
          <cell r="P310">
            <v>37880</v>
          </cell>
          <cell r="Q310">
            <v>0.625</v>
          </cell>
          <cell r="T310">
            <v>37880</v>
          </cell>
          <cell r="U310">
            <v>0.6875</v>
          </cell>
          <cell r="V310">
            <v>37880</v>
          </cell>
          <cell r="W310">
            <v>0.6875</v>
          </cell>
          <cell r="X310">
            <v>6.25E-2</v>
          </cell>
          <cell r="Y310">
            <v>6.25E-2</v>
          </cell>
          <cell r="AB310">
            <v>9</v>
          </cell>
          <cell r="AC310">
            <v>7</v>
          </cell>
          <cell r="AD310">
            <v>0</v>
          </cell>
          <cell r="BF310">
            <v>9</v>
          </cell>
          <cell r="BG310">
            <v>0</v>
          </cell>
          <cell r="BH310">
            <v>0</v>
          </cell>
          <cell r="BI310">
            <v>0</v>
          </cell>
          <cell r="BJ310">
            <v>0</v>
          </cell>
          <cell r="BK310">
            <v>0</v>
          </cell>
          <cell r="BL310">
            <v>0</v>
          </cell>
          <cell r="BM310">
            <v>0</v>
          </cell>
          <cell r="BN310">
            <v>0</v>
          </cell>
          <cell r="BO310">
            <v>0</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row>
        <row r="311">
          <cell r="C311">
            <v>37826</v>
          </cell>
          <cell r="D311">
            <v>37918</v>
          </cell>
          <cell r="E311">
            <v>37888</v>
          </cell>
          <cell r="F311">
            <v>0.625</v>
          </cell>
          <cell r="G311" t="str">
            <v>Células de Solda Automática</v>
          </cell>
          <cell r="H311" t="str">
            <v>Robô de manipulação pára durante o processo, e não recebe sinal para partir</v>
          </cell>
          <cell r="I311" t="str">
            <v>Corretiva</v>
          </cell>
          <cell r="J311" t="str">
            <v>Sim</v>
          </cell>
          <cell r="K311" t="str">
            <v>Elétrica</v>
          </cell>
          <cell r="L311" t="str">
            <v>Substituição do(s) Componente(s)</v>
          </cell>
          <cell r="M311" t="str">
            <v>Desgaste / Fadiga</v>
          </cell>
          <cell r="N311">
            <v>37888</v>
          </cell>
          <cell r="O311">
            <v>0.625</v>
          </cell>
          <cell r="P311">
            <v>37888</v>
          </cell>
          <cell r="Q311">
            <v>0.625</v>
          </cell>
          <cell r="T311">
            <v>37888</v>
          </cell>
          <cell r="U311">
            <v>0.70138888888888884</v>
          </cell>
          <cell r="V311">
            <v>37888</v>
          </cell>
          <cell r="W311">
            <v>0.70138888888888884</v>
          </cell>
          <cell r="X311">
            <v>7.638888888888884E-2</v>
          </cell>
          <cell r="Y311">
            <v>7.6388888890505768E-2</v>
          </cell>
          <cell r="AB311">
            <v>9</v>
          </cell>
          <cell r="AC311">
            <v>7</v>
          </cell>
          <cell r="AD311">
            <v>0</v>
          </cell>
          <cell r="BF311">
            <v>9</v>
          </cell>
          <cell r="BG311">
            <v>0</v>
          </cell>
          <cell r="BH311">
            <v>0</v>
          </cell>
          <cell r="BI311">
            <v>0</v>
          </cell>
          <cell r="BJ311">
            <v>0</v>
          </cell>
          <cell r="BK311">
            <v>0</v>
          </cell>
          <cell r="BL311">
            <v>0</v>
          </cell>
          <cell r="BM311">
            <v>0</v>
          </cell>
          <cell r="BN311">
            <v>0</v>
          </cell>
          <cell r="BO311">
            <v>0</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row>
        <row r="312">
          <cell r="C312">
            <v>37826</v>
          </cell>
          <cell r="D312">
            <v>37900</v>
          </cell>
          <cell r="E312">
            <v>37867</v>
          </cell>
          <cell r="F312">
            <v>0.59722222222222221</v>
          </cell>
          <cell r="G312" t="str">
            <v>Células de Solda Automática</v>
          </cell>
          <cell r="H312" t="str">
            <v>Parô da 2ª esteira está com a chapa torta</v>
          </cell>
          <cell r="I312" t="str">
            <v>Corretiva</v>
          </cell>
          <cell r="J312" t="str">
            <v>Não</v>
          </cell>
          <cell r="K312" t="str">
            <v>Mecânica</v>
          </cell>
          <cell r="L312" t="str">
            <v>Regulagem do Componente</v>
          </cell>
          <cell r="M312" t="str">
            <v>Falha de Comando / Sistema</v>
          </cell>
          <cell r="N312">
            <v>37867</v>
          </cell>
          <cell r="O312">
            <v>0.70833333333333337</v>
          </cell>
          <cell r="P312">
            <v>37867</v>
          </cell>
          <cell r="Q312">
            <v>0.70833333333333337</v>
          </cell>
          <cell r="T312">
            <v>37867</v>
          </cell>
          <cell r="U312">
            <v>0.79166666666666663</v>
          </cell>
          <cell r="V312">
            <v>37867</v>
          </cell>
          <cell r="W312">
            <v>0.79166666666666663</v>
          </cell>
          <cell r="X312">
            <v>8.3333333330907977E-2</v>
          </cell>
          <cell r="Y312">
            <v>8.3333333330907977E-2</v>
          </cell>
          <cell r="AB312">
            <v>9</v>
          </cell>
          <cell r="AC312">
            <v>7</v>
          </cell>
          <cell r="AD312">
            <v>0</v>
          </cell>
          <cell r="BF312">
            <v>9</v>
          </cell>
          <cell r="BG312">
            <v>0</v>
          </cell>
          <cell r="BH312">
            <v>0</v>
          </cell>
          <cell r="BI312">
            <v>0</v>
          </cell>
          <cell r="BJ312">
            <v>0</v>
          </cell>
          <cell r="BK312">
            <v>0</v>
          </cell>
          <cell r="BL312">
            <v>0</v>
          </cell>
          <cell r="BM312">
            <v>0</v>
          </cell>
          <cell r="BN312">
            <v>0</v>
          </cell>
          <cell r="BO312">
            <v>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row>
        <row r="313">
          <cell r="C313">
            <v>37826</v>
          </cell>
          <cell r="D313">
            <v>37868</v>
          </cell>
          <cell r="E313">
            <v>37867</v>
          </cell>
          <cell r="F313">
            <v>0.54166666666666663</v>
          </cell>
          <cell r="G313" t="str">
            <v>Células de Solda Automática</v>
          </cell>
          <cell r="H313" t="str">
            <v>Pistão do parô da 1ª esteira está torto</v>
          </cell>
          <cell r="I313" t="str">
            <v>Corretiva</v>
          </cell>
          <cell r="J313" t="str">
            <v>Não</v>
          </cell>
          <cell r="K313" t="str">
            <v>Mecânica</v>
          </cell>
          <cell r="L313" t="str">
            <v>Substituição do(s) Componente(s)</v>
          </cell>
          <cell r="M313" t="str">
            <v>Falha de Comando / Sistema</v>
          </cell>
          <cell r="N313">
            <v>37867</v>
          </cell>
          <cell r="O313">
            <v>0.57291666666666663</v>
          </cell>
          <cell r="P313">
            <v>37867</v>
          </cell>
          <cell r="Q313">
            <v>0.57291666666666663</v>
          </cell>
          <cell r="T313">
            <v>37867</v>
          </cell>
          <cell r="U313">
            <v>0.60763888888888895</v>
          </cell>
          <cell r="V313">
            <v>37867</v>
          </cell>
          <cell r="W313">
            <v>0.60763888888888895</v>
          </cell>
          <cell r="X313">
            <v>3.4722222223839139E-2</v>
          </cell>
          <cell r="Y313">
            <v>3.4722222223839139E-2</v>
          </cell>
          <cell r="AB313">
            <v>9</v>
          </cell>
          <cell r="AC313">
            <v>7</v>
          </cell>
          <cell r="AD313">
            <v>0</v>
          </cell>
          <cell r="BF313">
            <v>9</v>
          </cell>
          <cell r="BG313">
            <v>0</v>
          </cell>
          <cell r="BH313">
            <v>0</v>
          </cell>
          <cell r="BI313">
            <v>0</v>
          </cell>
          <cell r="BJ313">
            <v>0</v>
          </cell>
          <cell r="BK313">
            <v>0</v>
          </cell>
          <cell r="BL313">
            <v>0</v>
          </cell>
          <cell r="BM313">
            <v>0</v>
          </cell>
          <cell r="BN313">
            <v>0</v>
          </cell>
          <cell r="BO313">
            <v>0</v>
          </cell>
          <cell r="BP313">
            <v>0</v>
          </cell>
          <cell r="BQ313">
            <v>0</v>
          </cell>
          <cell r="BR313">
            <v>0</v>
          </cell>
          <cell r="BS313">
            <v>0</v>
          </cell>
          <cell r="BT313">
            <v>0</v>
          </cell>
          <cell r="BU313">
            <v>0</v>
          </cell>
          <cell r="BV313">
            <v>0</v>
          </cell>
          <cell r="BW313">
            <v>0</v>
          </cell>
          <cell r="BX313">
            <v>0</v>
          </cell>
          <cell r="BY313">
            <v>0</v>
          </cell>
          <cell r="BZ313">
            <v>0</v>
          </cell>
          <cell r="CA313">
            <v>0</v>
          </cell>
          <cell r="CB313">
            <v>0</v>
          </cell>
          <cell r="CC313">
            <v>0</v>
          </cell>
          <cell r="CD313">
            <v>0</v>
          </cell>
        </row>
        <row r="314">
          <cell r="C314">
            <v>37826</v>
          </cell>
          <cell r="D314">
            <v>37868</v>
          </cell>
          <cell r="E314">
            <v>37866</v>
          </cell>
          <cell r="F314">
            <v>0.33333333333333331</v>
          </cell>
          <cell r="G314" t="str">
            <v>Células de Solda Automática</v>
          </cell>
          <cell r="H314" t="str">
            <v>Plug incompatível com a tomada da linha da Solda Manual</v>
          </cell>
          <cell r="I314" t="str">
            <v>Corretiva</v>
          </cell>
          <cell r="J314" t="str">
            <v>Sim</v>
          </cell>
          <cell r="K314" t="str">
            <v>Elétrica</v>
          </cell>
          <cell r="L314" t="str">
            <v>Substituição do(s) Componente(s)</v>
          </cell>
          <cell r="M314" t="str">
            <v>Alteração na Localização da Máquina</v>
          </cell>
          <cell r="N314">
            <v>0</v>
          </cell>
          <cell r="O314" t="str">
            <v>Alteração na Localização da Máquina</v>
          </cell>
          <cell r="P314">
            <v>0</v>
          </cell>
          <cell r="T314">
            <v>0</v>
          </cell>
          <cell r="V314">
            <v>0</v>
          </cell>
          <cell r="W314">
            <v>0</v>
          </cell>
          <cell r="X314">
            <v>0</v>
          </cell>
          <cell r="Y314">
            <v>0</v>
          </cell>
          <cell r="AB314">
            <v>0</v>
          </cell>
          <cell r="AC314">
            <v>7</v>
          </cell>
          <cell r="AD314">
            <v>0</v>
          </cell>
          <cell r="BF314">
            <v>1</v>
          </cell>
          <cell r="BG314">
            <v>0</v>
          </cell>
          <cell r="BH314">
            <v>0</v>
          </cell>
          <cell r="BI314">
            <v>0</v>
          </cell>
          <cell r="BJ314">
            <v>0</v>
          </cell>
          <cell r="BK314">
            <v>0</v>
          </cell>
          <cell r="BL314">
            <v>0</v>
          </cell>
          <cell r="BM314">
            <v>0</v>
          </cell>
          <cell r="BN314">
            <v>0</v>
          </cell>
          <cell r="BO314">
            <v>0</v>
          </cell>
          <cell r="BP314">
            <v>0</v>
          </cell>
          <cell r="BQ314">
            <v>0</v>
          </cell>
          <cell r="BR314">
            <v>0</v>
          </cell>
          <cell r="BS314">
            <v>0</v>
          </cell>
          <cell r="BT314">
            <v>0</v>
          </cell>
          <cell r="BU314">
            <v>0</v>
          </cell>
          <cell r="BV314">
            <v>0</v>
          </cell>
          <cell r="BW314">
            <v>0</v>
          </cell>
          <cell r="BX314">
            <v>0</v>
          </cell>
          <cell r="BY314">
            <v>0</v>
          </cell>
          <cell r="BZ314">
            <v>0</v>
          </cell>
          <cell r="CA314">
            <v>0</v>
          </cell>
          <cell r="CB314">
            <v>0</v>
          </cell>
          <cell r="CC314">
            <v>0</v>
          </cell>
          <cell r="CD314">
            <v>0</v>
          </cell>
        </row>
        <row r="315">
          <cell r="C315">
            <v>37826</v>
          </cell>
          <cell r="D315">
            <v>37867</v>
          </cell>
          <cell r="E315">
            <v>37865</v>
          </cell>
          <cell r="F315">
            <v>0.45833333333333331</v>
          </cell>
          <cell r="G315" t="str">
            <v>Células de Solda Automática</v>
          </cell>
          <cell r="H315" t="str">
            <v>Bocal da tocha dos robôs desgastado</v>
          </cell>
          <cell r="I315" t="str">
            <v>Corretiva</v>
          </cell>
          <cell r="J315" t="str">
            <v>Não</v>
          </cell>
          <cell r="K315" t="str">
            <v>Mecânica</v>
          </cell>
          <cell r="L315" t="str">
            <v>Substituição do(s) Componente(s)</v>
          </cell>
          <cell r="M315" t="str">
            <v>Desgaste / Fadiga</v>
          </cell>
          <cell r="N315">
            <v>37865</v>
          </cell>
          <cell r="O315">
            <v>0.45833333333333331</v>
          </cell>
          <cell r="P315">
            <v>37865</v>
          </cell>
          <cell r="Q315">
            <v>0.45833333333333331</v>
          </cell>
          <cell r="T315">
            <v>37865</v>
          </cell>
          <cell r="U315">
            <v>0.47916666666666669</v>
          </cell>
          <cell r="V315">
            <v>37865</v>
          </cell>
          <cell r="W315">
            <v>0.47916666666666669</v>
          </cell>
          <cell r="X315">
            <v>2.0833333330908033E-2</v>
          </cell>
          <cell r="Y315">
            <v>2.0833333330908033E-2</v>
          </cell>
          <cell r="AB315">
            <v>9</v>
          </cell>
          <cell r="AC315">
            <v>7</v>
          </cell>
          <cell r="AD315">
            <v>0</v>
          </cell>
          <cell r="BF315">
            <v>9</v>
          </cell>
          <cell r="BG315">
            <v>0</v>
          </cell>
          <cell r="BH315">
            <v>0</v>
          </cell>
          <cell r="BI315">
            <v>0</v>
          </cell>
          <cell r="BJ315">
            <v>0</v>
          </cell>
          <cell r="BK315">
            <v>0</v>
          </cell>
          <cell r="BL315">
            <v>0</v>
          </cell>
          <cell r="BM315">
            <v>0</v>
          </cell>
          <cell r="BN315">
            <v>0</v>
          </cell>
          <cell r="BO315">
            <v>0</v>
          </cell>
          <cell r="BP315">
            <v>0</v>
          </cell>
          <cell r="BQ315">
            <v>0</v>
          </cell>
          <cell r="BR315">
            <v>0</v>
          </cell>
          <cell r="BS315">
            <v>0</v>
          </cell>
          <cell r="BT315">
            <v>0</v>
          </cell>
          <cell r="BU315">
            <v>0</v>
          </cell>
          <cell r="BV315">
            <v>0</v>
          </cell>
          <cell r="BW315">
            <v>0</v>
          </cell>
          <cell r="BX315">
            <v>0</v>
          </cell>
          <cell r="BY315">
            <v>0</v>
          </cell>
          <cell r="BZ315">
            <v>0</v>
          </cell>
          <cell r="CA315">
            <v>0</v>
          </cell>
          <cell r="CB315">
            <v>0</v>
          </cell>
          <cell r="CC315">
            <v>0</v>
          </cell>
          <cell r="CD315">
            <v>0</v>
          </cell>
        </row>
        <row r="316">
          <cell r="C316">
            <v>37826</v>
          </cell>
          <cell r="D316">
            <v>37865</v>
          </cell>
          <cell r="E316">
            <v>37708</v>
          </cell>
          <cell r="F316">
            <v>0.625</v>
          </cell>
          <cell r="G316" t="str">
            <v>Células de Solda Automática</v>
          </cell>
          <cell r="H316" t="str">
            <v>Fios da Fresa soltos</v>
          </cell>
          <cell r="I316" t="str">
            <v>Corretiva</v>
          </cell>
          <cell r="J316" t="str">
            <v>Não</v>
          </cell>
          <cell r="K316" t="str">
            <v>Elétrica</v>
          </cell>
          <cell r="L316" t="str">
            <v>Reparo</v>
          </cell>
          <cell r="M316" t="str">
            <v>Vibração</v>
          </cell>
          <cell r="N316">
            <v>37708</v>
          </cell>
          <cell r="O316">
            <v>0.64583333333333337</v>
          </cell>
          <cell r="P316">
            <v>37708</v>
          </cell>
          <cell r="Q316">
            <v>0.64583333333333337</v>
          </cell>
          <cell r="T316">
            <v>37708</v>
          </cell>
          <cell r="U316">
            <v>0.6875</v>
          </cell>
          <cell r="V316">
            <v>37708</v>
          </cell>
          <cell r="W316">
            <v>0.6875</v>
          </cell>
          <cell r="X316">
            <v>4.166666666666663E-2</v>
          </cell>
          <cell r="Y316">
            <v>4.166666666666663E-2</v>
          </cell>
          <cell r="AB316">
            <v>3</v>
          </cell>
          <cell r="AC316">
            <v>7</v>
          </cell>
          <cell r="AD316">
            <v>0</v>
          </cell>
          <cell r="BF316">
            <v>3</v>
          </cell>
          <cell r="BG316">
            <v>0</v>
          </cell>
          <cell r="BH316">
            <v>0</v>
          </cell>
          <cell r="BI316">
            <v>0</v>
          </cell>
          <cell r="BJ316">
            <v>0</v>
          </cell>
          <cell r="BK316">
            <v>0</v>
          </cell>
          <cell r="BL316">
            <v>0</v>
          </cell>
          <cell r="BM316">
            <v>0</v>
          </cell>
          <cell r="BN316">
            <v>0</v>
          </cell>
          <cell r="BO316">
            <v>0</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C316">
            <v>0</v>
          </cell>
          <cell r="CD316">
            <v>0</v>
          </cell>
        </row>
        <row r="317">
          <cell r="C317">
            <v>37826</v>
          </cell>
          <cell r="D317">
            <v>37838</v>
          </cell>
          <cell r="E317">
            <v>37837</v>
          </cell>
          <cell r="F317">
            <v>0.4861111111111111</v>
          </cell>
          <cell r="G317" t="str">
            <v>Máquina de Solda MIG</v>
          </cell>
          <cell r="H317" t="str">
            <v>Necessidade de substituição do Bocal</v>
          </cell>
          <cell r="I317" t="str">
            <v>Corretiva</v>
          </cell>
          <cell r="J317" t="str">
            <v>Sim</v>
          </cell>
          <cell r="K317" t="str">
            <v>Mecânica</v>
          </cell>
          <cell r="L317" t="str">
            <v>Substituição do(s) Componente(s)</v>
          </cell>
          <cell r="M317" t="str">
            <v>Desgaste / Fadiga</v>
          </cell>
          <cell r="N317">
            <v>37837</v>
          </cell>
          <cell r="O317">
            <v>0.4861111111111111</v>
          </cell>
          <cell r="P317">
            <v>37837</v>
          </cell>
          <cell r="Q317">
            <v>0.4861111111111111</v>
          </cell>
          <cell r="T317">
            <v>37837</v>
          </cell>
          <cell r="U317">
            <v>0.5</v>
          </cell>
          <cell r="V317">
            <v>37837</v>
          </cell>
          <cell r="W317">
            <v>0.5</v>
          </cell>
          <cell r="X317">
            <v>1.3888888888888895E-2</v>
          </cell>
          <cell r="Y317">
            <v>1.3888888888888895E-2</v>
          </cell>
          <cell r="AB317">
            <v>8</v>
          </cell>
          <cell r="AC317">
            <v>7</v>
          </cell>
          <cell r="AD317">
            <v>0</v>
          </cell>
          <cell r="BF317">
            <v>0</v>
          </cell>
          <cell r="BG317">
            <v>0</v>
          </cell>
          <cell r="BH317">
            <v>0</v>
          </cell>
          <cell r="BI317">
            <v>0</v>
          </cell>
          <cell r="BJ317">
            <v>0</v>
          </cell>
          <cell r="BK317">
            <v>0</v>
          </cell>
          <cell r="BL317">
            <v>0</v>
          </cell>
          <cell r="BM317">
            <v>0</v>
          </cell>
          <cell r="BN317">
            <v>0</v>
          </cell>
          <cell r="BO317">
            <v>0</v>
          </cell>
          <cell r="BP317">
            <v>0</v>
          </cell>
          <cell r="BQ317">
            <v>0</v>
          </cell>
          <cell r="BR317">
            <v>8</v>
          </cell>
          <cell r="BS317">
            <v>0</v>
          </cell>
          <cell r="BT317">
            <v>0</v>
          </cell>
          <cell r="BU317">
            <v>0</v>
          </cell>
          <cell r="BV317">
            <v>0</v>
          </cell>
          <cell r="BW317">
            <v>0</v>
          </cell>
          <cell r="BX317">
            <v>0</v>
          </cell>
          <cell r="BY317">
            <v>0</v>
          </cell>
          <cell r="BZ317">
            <v>0</v>
          </cell>
          <cell r="CA317">
            <v>0</v>
          </cell>
          <cell r="CB317">
            <v>0</v>
          </cell>
          <cell r="CC317">
            <v>0</v>
          </cell>
          <cell r="CD317">
            <v>0</v>
          </cell>
        </row>
        <row r="318">
          <cell r="C318">
            <v>37826</v>
          </cell>
          <cell r="I318">
            <v>0</v>
          </cell>
          <cell r="N318">
            <v>0</v>
          </cell>
          <cell r="P318">
            <v>0</v>
          </cell>
          <cell r="T318">
            <v>0</v>
          </cell>
          <cell r="V318">
            <v>0</v>
          </cell>
          <cell r="W318">
            <v>0</v>
          </cell>
          <cell r="X318">
            <v>0</v>
          </cell>
          <cell r="Y318">
            <v>0</v>
          </cell>
          <cell r="AB318">
            <v>0</v>
          </cell>
          <cell r="AC318">
            <v>7</v>
          </cell>
          <cell r="AD318">
            <v>0</v>
          </cell>
          <cell r="BF318">
            <v>0</v>
          </cell>
          <cell r="BG318">
            <v>0</v>
          </cell>
          <cell r="BH318">
            <v>0</v>
          </cell>
          <cell r="BI318">
            <v>0</v>
          </cell>
          <cell r="BJ318">
            <v>0</v>
          </cell>
          <cell r="BK318">
            <v>0</v>
          </cell>
          <cell r="BL318">
            <v>0</v>
          </cell>
          <cell r="BM318">
            <v>0</v>
          </cell>
          <cell r="BN318">
            <v>0</v>
          </cell>
          <cell r="BO318">
            <v>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row>
        <row r="319">
          <cell r="C319">
            <v>37826</v>
          </cell>
          <cell r="D319">
            <v>37858</v>
          </cell>
          <cell r="E319">
            <v>37840</v>
          </cell>
          <cell r="F319">
            <v>0.47916666666666669</v>
          </cell>
          <cell r="G319" t="str">
            <v>Máquina de Solda MIG</v>
          </cell>
          <cell r="H319" t="str">
            <v>Mau contato no Plug de Alimentação</v>
          </cell>
          <cell r="I319" t="str">
            <v>Corretiva</v>
          </cell>
          <cell r="J319" t="str">
            <v>Sim</v>
          </cell>
          <cell r="K319" t="str">
            <v>Elétrica</v>
          </cell>
          <cell r="L319" t="str">
            <v>Correção de mau contato</v>
          </cell>
          <cell r="M319" t="str">
            <v>Desgaste / Fadiga</v>
          </cell>
          <cell r="N319">
            <v>37840</v>
          </cell>
          <cell r="O319">
            <v>0.47916666666666669</v>
          </cell>
          <cell r="P319">
            <v>37840</v>
          </cell>
          <cell r="Q319">
            <v>0.47916666666666669</v>
          </cell>
          <cell r="T319">
            <v>37840</v>
          </cell>
          <cell r="U319">
            <v>0.48958333333333331</v>
          </cell>
          <cell r="V319">
            <v>37840</v>
          </cell>
          <cell r="W319">
            <v>0.48958333333333331</v>
          </cell>
          <cell r="X319">
            <v>1.041666666666663E-2</v>
          </cell>
          <cell r="Y319">
            <v>1.0416666669091967E-2</v>
          </cell>
          <cell r="AB319">
            <v>8</v>
          </cell>
          <cell r="AC319">
            <v>7</v>
          </cell>
          <cell r="AD319">
            <v>0</v>
          </cell>
          <cell r="BF319">
            <v>0</v>
          </cell>
          <cell r="BG319">
            <v>0</v>
          </cell>
          <cell r="BH319">
            <v>0</v>
          </cell>
          <cell r="BI319">
            <v>0</v>
          </cell>
          <cell r="BJ319">
            <v>0</v>
          </cell>
          <cell r="BK319">
            <v>0</v>
          </cell>
          <cell r="BL319">
            <v>0</v>
          </cell>
          <cell r="BM319">
            <v>0</v>
          </cell>
          <cell r="BN319">
            <v>0</v>
          </cell>
          <cell r="BO319">
            <v>0</v>
          </cell>
          <cell r="BP319">
            <v>0</v>
          </cell>
          <cell r="BQ319">
            <v>0</v>
          </cell>
          <cell r="BR319">
            <v>8</v>
          </cell>
          <cell r="BS319">
            <v>0</v>
          </cell>
          <cell r="BT319">
            <v>0</v>
          </cell>
          <cell r="BU319">
            <v>0</v>
          </cell>
          <cell r="BV319">
            <v>0</v>
          </cell>
          <cell r="BW319">
            <v>0</v>
          </cell>
          <cell r="BX319">
            <v>0</v>
          </cell>
          <cell r="BY319">
            <v>0</v>
          </cell>
          <cell r="BZ319">
            <v>0</v>
          </cell>
          <cell r="CA319">
            <v>0</v>
          </cell>
          <cell r="CB319">
            <v>0</v>
          </cell>
          <cell r="CC319">
            <v>0</v>
          </cell>
          <cell r="CD319">
            <v>0</v>
          </cell>
        </row>
        <row r="320">
          <cell r="C320">
            <v>37826</v>
          </cell>
          <cell r="D320">
            <v>37858</v>
          </cell>
          <cell r="E320">
            <v>37844</v>
          </cell>
          <cell r="F320">
            <v>0.34236111111111112</v>
          </cell>
          <cell r="G320" t="str">
            <v>Células de Solda Manual</v>
          </cell>
          <cell r="H320" t="str">
            <v>Chave não funciona</v>
          </cell>
          <cell r="I320" t="str">
            <v>Corretiva</v>
          </cell>
          <cell r="J320" t="str">
            <v>Sim</v>
          </cell>
          <cell r="K320" t="str">
            <v>Elétrica</v>
          </cell>
          <cell r="L320" t="str">
            <v>Reaperto dos componentes</v>
          </cell>
          <cell r="M320" t="str">
            <v>Mau contato</v>
          </cell>
          <cell r="N320">
            <v>37844</v>
          </cell>
          <cell r="O320">
            <v>0.34722222222222227</v>
          </cell>
          <cell r="P320">
            <v>37844</v>
          </cell>
          <cell r="Q320">
            <v>0.34722222222222227</v>
          </cell>
          <cell r="T320">
            <v>37844</v>
          </cell>
          <cell r="U320">
            <v>0.35416666666666669</v>
          </cell>
          <cell r="V320">
            <v>37844</v>
          </cell>
          <cell r="W320">
            <v>0.35416666666666669</v>
          </cell>
          <cell r="X320">
            <v>6.9444444444444198E-3</v>
          </cell>
          <cell r="Y320">
            <v>6.9444444420190821E-3</v>
          </cell>
          <cell r="AB320">
            <v>8</v>
          </cell>
          <cell r="AC320">
            <v>7</v>
          </cell>
          <cell r="AD320">
            <v>0</v>
          </cell>
          <cell r="BF320">
            <v>0</v>
          </cell>
          <cell r="BG320">
            <v>8</v>
          </cell>
          <cell r="BH320">
            <v>0</v>
          </cell>
          <cell r="BI320">
            <v>0</v>
          </cell>
          <cell r="BJ320">
            <v>0</v>
          </cell>
          <cell r="BK320">
            <v>0</v>
          </cell>
          <cell r="BL320">
            <v>0</v>
          </cell>
          <cell r="BM320">
            <v>0</v>
          </cell>
          <cell r="BN320">
            <v>0</v>
          </cell>
          <cell r="BO320">
            <v>0</v>
          </cell>
          <cell r="BP320">
            <v>0</v>
          </cell>
          <cell r="BQ320">
            <v>0</v>
          </cell>
          <cell r="BR320">
            <v>0</v>
          </cell>
          <cell r="BS320">
            <v>0</v>
          </cell>
          <cell r="BT320">
            <v>0</v>
          </cell>
          <cell r="BU320">
            <v>0</v>
          </cell>
          <cell r="BV320">
            <v>0</v>
          </cell>
          <cell r="BW320">
            <v>0</v>
          </cell>
          <cell r="BX320">
            <v>0</v>
          </cell>
          <cell r="BY320">
            <v>0</v>
          </cell>
          <cell r="BZ320">
            <v>0</v>
          </cell>
          <cell r="CA320">
            <v>0</v>
          </cell>
          <cell r="CB320">
            <v>0</v>
          </cell>
          <cell r="CC320">
            <v>0</v>
          </cell>
          <cell r="CD320">
            <v>0</v>
          </cell>
        </row>
        <row r="321">
          <cell r="C321">
            <v>37826</v>
          </cell>
          <cell r="D321">
            <v>37858</v>
          </cell>
          <cell r="E321">
            <v>37853</v>
          </cell>
          <cell r="F321">
            <v>0.42708333333333331</v>
          </cell>
          <cell r="G321" t="str">
            <v>Serra de Fita</v>
          </cell>
          <cell r="H321" t="str">
            <v>Máquina não funciona</v>
          </cell>
          <cell r="I321" t="str">
            <v>Corretiva</v>
          </cell>
          <cell r="J321" t="str">
            <v>Sim</v>
          </cell>
          <cell r="K321" t="str">
            <v>Elétrica</v>
          </cell>
          <cell r="L321" t="str">
            <v>Correção de mau contato</v>
          </cell>
          <cell r="M321" t="str">
            <v>Vibração</v>
          </cell>
          <cell r="N321">
            <v>37853</v>
          </cell>
          <cell r="O321">
            <v>0.4375</v>
          </cell>
          <cell r="P321">
            <v>37853</v>
          </cell>
          <cell r="Q321">
            <v>0.4375</v>
          </cell>
          <cell r="T321">
            <v>37853</v>
          </cell>
          <cell r="U321">
            <v>0.44444444444444442</v>
          </cell>
          <cell r="V321">
            <v>37853</v>
          </cell>
          <cell r="W321">
            <v>0.44444444444444442</v>
          </cell>
          <cell r="X321">
            <v>6.9444444444444198E-3</v>
          </cell>
          <cell r="Y321">
            <v>6.9444444452528842E-3</v>
          </cell>
          <cell r="AB321">
            <v>8</v>
          </cell>
          <cell r="AC321">
            <v>7</v>
          </cell>
          <cell r="AD321">
            <v>0</v>
          </cell>
          <cell r="BF321">
            <v>0</v>
          </cell>
          <cell r="BG321">
            <v>0</v>
          </cell>
          <cell r="BH321">
            <v>0</v>
          </cell>
          <cell r="BI321">
            <v>0</v>
          </cell>
          <cell r="BJ321">
            <v>0</v>
          </cell>
          <cell r="BK321">
            <v>0</v>
          </cell>
          <cell r="BL321">
            <v>0</v>
          </cell>
          <cell r="BM321">
            <v>0</v>
          </cell>
          <cell r="BN321">
            <v>0</v>
          </cell>
          <cell r="BO321">
            <v>0</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C321">
            <v>8</v>
          </cell>
          <cell r="CD321">
            <v>0</v>
          </cell>
        </row>
        <row r="322">
          <cell r="C322">
            <v>37826</v>
          </cell>
          <cell r="D322">
            <v>37858</v>
          </cell>
          <cell r="E322">
            <v>37853</v>
          </cell>
          <cell r="F322">
            <v>0.42708333333333331</v>
          </cell>
          <cell r="G322" t="str">
            <v>Células de Solda Manual</v>
          </cell>
          <cell r="H322" t="str">
            <v>Nível de óleo baixo</v>
          </cell>
          <cell r="I322" t="str">
            <v>Corretiva</v>
          </cell>
          <cell r="J322" t="str">
            <v>Não</v>
          </cell>
          <cell r="K322" t="str">
            <v>Mecânica</v>
          </cell>
          <cell r="L322" t="str">
            <v>Foi verificado o nível, que estava normal</v>
          </cell>
          <cell r="M322" t="str">
            <v>Falha Operacional</v>
          </cell>
          <cell r="N322">
            <v>37853</v>
          </cell>
          <cell r="O322">
            <v>0.66666666666666663</v>
          </cell>
          <cell r="P322">
            <v>37853</v>
          </cell>
          <cell r="Q322">
            <v>0.66666666666666663</v>
          </cell>
          <cell r="T322">
            <v>37853</v>
          </cell>
          <cell r="U322">
            <v>0.6875</v>
          </cell>
          <cell r="V322">
            <v>37853</v>
          </cell>
          <cell r="W322">
            <v>0.6875</v>
          </cell>
          <cell r="X322">
            <v>2.083333333333337E-2</v>
          </cell>
          <cell r="Y322">
            <v>2.083333333333337E-2</v>
          </cell>
          <cell r="AB322">
            <v>8</v>
          </cell>
          <cell r="AC322">
            <v>7</v>
          </cell>
          <cell r="AD322">
            <v>0</v>
          </cell>
          <cell r="BF322">
            <v>0</v>
          </cell>
          <cell r="BG322">
            <v>8</v>
          </cell>
          <cell r="BH322">
            <v>0</v>
          </cell>
          <cell r="BI322">
            <v>0</v>
          </cell>
          <cell r="BJ322">
            <v>0</v>
          </cell>
          <cell r="BK322">
            <v>0</v>
          </cell>
          <cell r="BL322">
            <v>0</v>
          </cell>
          <cell r="BM322">
            <v>0</v>
          </cell>
          <cell r="BN322">
            <v>0</v>
          </cell>
          <cell r="BO322">
            <v>0</v>
          </cell>
          <cell r="BP322">
            <v>0</v>
          </cell>
          <cell r="BQ322">
            <v>0</v>
          </cell>
          <cell r="BR322">
            <v>0</v>
          </cell>
          <cell r="BS322">
            <v>0</v>
          </cell>
          <cell r="BT322">
            <v>0</v>
          </cell>
          <cell r="BU322">
            <v>0</v>
          </cell>
          <cell r="BV322">
            <v>0</v>
          </cell>
          <cell r="BW322">
            <v>0</v>
          </cell>
          <cell r="BX322">
            <v>0</v>
          </cell>
          <cell r="BY322">
            <v>0</v>
          </cell>
          <cell r="BZ322">
            <v>0</v>
          </cell>
          <cell r="CA322">
            <v>0</v>
          </cell>
          <cell r="CB322">
            <v>0</v>
          </cell>
          <cell r="CC322">
            <v>0</v>
          </cell>
          <cell r="CD322">
            <v>0</v>
          </cell>
        </row>
        <row r="323">
          <cell r="C323">
            <v>37826</v>
          </cell>
          <cell r="D323">
            <v>37858</v>
          </cell>
          <cell r="E323">
            <v>37854</v>
          </cell>
          <cell r="F323">
            <v>0.33333333333333331</v>
          </cell>
          <cell r="G323" t="str">
            <v>Células de Solda Manual</v>
          </cell>
          <cell r="H323" t="str">
            <v>A fresa de limpeza da tocha não está jogando óleo (anti-respingos)</v>
          </cell>
          <cell r="I323" t="str">
            <v>Corretiva</v>
          </cell>
          <cell r="J323" t="str">
            <v>Não</v>
          </cell>
          <cell r="K323" t="str">
            <v>Mecânica</v>
          </cell>
          <cell r="L323" t="str">
            <v>Ajuste / Regulagem</v>
          </cell>
          <cell r="M323" t="str">
            <v>Desgaste / Fadiga</v>
          </cell>
          <cell r="N323">
            <v>37854</v>
          </cell>
          <cell r="O323">
            <v>0.33333333333333331</v>
          </cell>
          <cell r="P323">
            <v>37854</v>
          </cell>
          <cell r="Q323">
            <v>0.33333333333333331</v>
          </cell>
          <cell r="T323">
            <v>37854</v>
          </cell>
          <cell r="U323">
            <v>0.41666666666666669</v>
          </cell>
          <cell r="V323">
            <v>37854</v>
          </cell>
          <cell r="W323">
            <v>0.41666666666666669</v>
          </cell>
          <cell r="X323">
            <v>8.3333333330908033E-2</v>
          </cell>
          <cell r="Y323">
            <v>8.3333333330908033E-2</v>
          </cell>
          <cell r="AB323">
            <v>8</v>
          </cell>
          <cell r="AC323">
            <v>7</v>
          </cell>
          <cell r="AD323">
            <v>0</v>
          </cell>
          <cell r="BF323">
            <v>0</v>
          </cell>
          <cell r="BG323">
            <v>8</v>
          </cell>
          <cell r="BH323">
            <v>0</v>
          </cell>
          <cell r="BI323">
            <v>0</v>
          </cell>
          <cell r="BJ323">
            <v>0</v>
          </cell>
          <cell r="BK323">
            <v>0</v>
          </cell>
          <cell r="BL323">
            <v>0</v>
          </cell>
          <cell r="BM323">
            <v>0</v>
          </cell>
          <cell r="BN323">
            <v>0</v>
          </cell>
          <cell r="BO323">
            <v>0</v>
          </cell>
          <cell r="BP323">
            <v>0</v>
          </cell>
          <cell r="BQ323">
            <v>0</v>
          </cell>
          <cell r="BR323">
            <v>0</v>
          </cell>
          <cell r="BS323">
            <v>0</v>
          </cell>
          <cell r="BT323">
            <v>0</v>
          </cell>
          <cell r="BU323">
            <v>0</v>
          </cell>
          <cell r="BV323">
            <v>0</v>
          </cell>
          <cell r="BW323">
            <v>0</v>
          </cell>
          <cell r="BX323">
            <v>0</v>
          </cell>
          <cell r="BY323">
            <v>0</v>
          </cell>
          <cell r="BZ323">
            <v>0</v>
          </cell>
          <cell r="CA323">
            <v>0</v>
          </cell>
          <cell r="CB323">
            <v>0</v>
          </cell>
          <cell r="CC323">
            <v>0</v>
          </cell>
          <cell r="CD323">
            <v>0</v>
          </cell>
        </row>
        <row r="324">
          <cell r="C324">
            <v>37826</v>
          </cell>
          <cell r="D324">
            <v>37858</v>
          </cell>
          <cell r="E324">
            <v>37854</v>
          </cell>
          <cell r="F324">
            <v>0.375</v>
          </cell>
          <cell r="G324" t="str">
            <v>Máquina de Solda MIG</v>
          </cell>
          <cell r="H324" t="str">
            <v>Plug incompatível com a tomada da linha da Solda Manual</v>
          </cell>
          <cell r="I324" t="str">
            <v>Corretiva</v>
          </cell>
          <cell r="J324" t="str">
            <v>Sim</v>
          </cell>
          <cell r="K324" t="str">
            <v>Elétrica</v>
          </cell>
          <cell r="L324" t="str">
            <v>Substituição do(s) Componente(s)</v>
          </cell>
          <cell r="M324" t="str">
            <v>Alteração na Localização da Máquina</v>
          </cell>
          <cell r="N324">
            <v>37854</v>
          </cell>
          <cell r="O324">
            <v>0.41666666666666669</v>
          </cell>
          <cell r="P324">
            <v>37854</v>
          </cell>
          <cell r="Q324">
            <v>0.41666666666666669</v>
          </cell>
          <cell r="T324">
            <v>37854</v>
          </cell>
          <cell r="U324">
            <v>0.42708333333333331</v>
          </cell>
          <cell r="V324">
            <v>37854</v>
          </cell>
          <cell r="W324">
            <v>0.42708333333333331</v>
          </cell>
          <cell r="X324">
            <v>1.041666666666663E-2</v>
          </cell>
          <cell r="Y324">
            <v>1.0416666669091967E-2</v>
          </cell>
          <cell r="AB324">
            <v>8</v>
          </cell>
          <cell r="AC324">
            <v>7</v>
          </cell>
          <cell r="AD324">
            <v>0</v>
          </cell>
          <cell r="BF324">
            <v>0</v>
          </cell>
          <cell r="BG324">
            <v>0</v>
          </cell>
          <cell r="BH324">
            <v>0</v>
          </cell>
          <cell r="BI324">
            <v>0</v>
          </cell>
          <cell r="BJ324">
            <v>0</v>
          </cell>
          <cell r="BK324">
            <v>0</v>
          </cell>
          <cell r="BL324">
            <v>0</v>
          </cell>
          <cell r="BM324">
            <v>0</v>
          </cell>
          <cell r="BN324">
            <v>0</v>
          </cell>
          <cell r="BO324">
            <v>0</v>
          </cell>
          <cell r="BP324">
            <v>0</v>
          </cell>
          <cell r="BQ324">
            <v>0</v>
          </cell>
          <cell r="BR324">
            <v>8</v>
          </cell>
          <cell r="BS324">
            <v>0</v>
          </cell>
          <cell r="BT324">
            <v>0</v>
          </cell>
          <cell r="BU324">
            <v>0</v>
          </cell>
          <cell r="BV324">
            <v>0</v>
          </cell>
          <cell r="BW324">
            <v>0</v>
          </cell>
          <cell r="BX324">
            <v>0</v>
          </cell>
          <cell r="BY324">
            <v>0</v>
          </cell>
          <cell r="BZ324">
            <v>0</v>
          </cell>
          <cell r="CA324">
            <v>0</v>
          </cell>
          <cell r="CB324">
            <v>0</v>
          </cell>
          <cell r="CC324">
            <v>0</v>
          </cell>
          <cell r="CD324">
            <v>0</v>
          </cell>
        </row>
        <row r="325">
          <cell r="C325">
            <v>37826</v>
          </cell>
          <cell r="D325">
            <v>37865</v>
          </cell>
          <cell r="E325">
            <v>37855</v>
          </cell>
          <cell r="F325">
            <v>0.39027777777777778</v>
          </cell>
          <cell r="G325" t="str">
            <v>Células de Solda Manual</v>
          </cell>
          <cell r="H325" t="str">
            <v>Plug incompatível com a tomada da linha da Solda Manual</v>
          </cell>
          <cell r="I325" t="str">
            <v>Corretiva</v>
          </cell>
          <cell r="J325" t="str">
            <v>Sim</v>
          </cell>
          <cell r="K325" t="str">
            <v>Elétrica</v>
          </cell>
          <cell r="L325" t="str">
            <v>Substituição do(s) Componente(s)</v>
          </cell>
          <cell r="M325" t="str">
            <v>Causa não especificada</v>
          </cell>
          <cell r="N325">
            <v>37855</v>
          </cell>
          <cell r="O325">
            <v>0.41666666666666669</v>
          </cell>
          <cell r="P325">
            <v>37855</v>
          </cell>
          <cell r="Q325">
            <v>0.41666666666666669</v>
          </cell>
          <cell r="T325">
            <v>37855</v>
          </cell>
          <cell r="U325">
            <v>0.4236111111111111</v>
          </cell>
          <cell r="V325">
            <v>37855</v>
          </cell>
          <cell r="W325">
            <v>0.4236111111111111</v>
          </cell>
          <cell r="X325">
            <v>6.9444444444444198E-3</v>
          </cell>
          <cell r="Y325">
            <v>6.9444444428275465E-3</v>
          </cell>
          <cell r="AB325">
            <v>8</v>
          </cell>
          <cell r="AC325">
            <v>7</v>
          </cell>
          <cell r="AD325">
            <v>0</v>
          </cell>
          <cell r="BF325">
            <v>0</v>
          </cell>
          <cell r="BG325">
            <v>8</v>
          </cell>
          <cell r="BH325">
            <v>0</v>
          </cell>
          <cell r="BI325">
            <v>0</v>
          </cell>
          <cell r="BJ325">
            <v>0</v>
          </cell>
          <cell r="BK325">
            <v>0</v>
          </cell>
          <cell r="BL325">
            <v>0</v>
          </cell>
          <cell r="BM325">
            <v>0</v>
          </cell>
          <cell r="BN325">
            <v>0</v>
          </cell>
          <cell r="BO325">
            <v>0</v>
          </cell>
          <cell r="BP325">
            <v>0</v>
          </cell>
          <cell r="BQ325">
            <v>0</v>
          </cell>
          <cell r="BR325">
            <v>0</v>
          </cell>
          <cell r="BS325">
            <v>0</v>
          </cell>
          <cell r="BT325">
            <v>0</v>
          </cell>
          <cell r="BU325">
            <v>0</v>
          </cell>
          <cell r="BV325">
            <v>0</v>
          </cell>
          <cell r="BW325">
            <v>0</v>
          </cell>
          <cell r="BX325">
            <v>0</v>
          </cell>
          <cell r="BY325">
            <v>0</v>
          </cell>
          <cell r="BZ325">
            <v>0</v>
          </cell>
          <cell r="CA325">
            <v>0</v>
          </cell>
          <cell r="CB325">
            <v>0</v>
          </cell>
          <cell r="CC325">
            <v>0</v>
          </cell>
          <cell r="CD325">
            <v>0</v>
          </cell>
        </row>
        <row r="326">
          <cell r="C326">
            <v>37826</v>
          </cell>
          <cell r="D326">
            <v>37868</v>
          </cell>
          <cell r="E326">
            <v>37862</v>
          </cell>
          <cell r="F326">
            <v>0.31041666666666667</v>
          </cell>
          <cell r="G326" t="str">
            <v>Máquina de Solda MIG</v>
          </cell>
          <cell r="H326" t="str">
            <v>Plug incompatível com a tomada da linha da Solda Manual</v>
          </cell>
          <cell r="I326" t="str">
            <v>Corretiva</v>
          </cell>
          <cell r="J326" t="str">
            <v>Sim</v>
          </cell>
          <cell r="K326" t="str">
            <v>Elétrica</v>
          </cell>
          <cell r="L326" t="str">
            <v>Substituição do(s) Componente(s)</v>
          </cell>
          <cell r="M326" t="str">
            <v>Alteração na Localização da Máquina</v>
          </cell>
          <cell r="N326">
            <v>37862</v>
          </cell>
          <cell r="O326">
            <v>0.3125</v>
          </cell>
          <cell r="P326">
            <v>37862</v>
          </cell>
          <cell r="Q326">
            <v>0.3125</v>
          </cell>
          <cell r="T326">
            <v>37862</v>
          </cell>
          <cell r="U326">
            <v>0.31944444444444448</v>
          </cell>
          <cell r="V326">
            <v>37862</v>
          </cell>
          <cell r="W326">
            <v>0.31944444444444448</v>
          </cell>
          <cell r="X326">
            <v>6.9444444444444753E-3</v>
          </cell>
          <cell r="Y326">
            <v>6.9444444452528842E-3</v>
          </cell>
          <cell r="AB326">
            <v>8</v>
          </cell>
          <cell r="AC326">
            <v>7</v>
          </cell>
          <cell r="AD326">
            <v>0</v>
          </cell>
          <cell r="BF326">
            <v>0</v>
          </cell>
          <cell r="BG326">
            <v>0</v>
          </cell>
          <cell r="BH326">
            <v>0</v>
          </cell>
          <cell r="BI326">
            <v>0</v>
          </cell>
          <cell r="BJ326">
            <v>0</v>
          </cell>
          <cell r="BK326">
            <v>0</v>
          </cell>
          <cell r="BL326">
            <v>0</v>
          </cell>
          <cell r="BM326">
            <v>0</v>
          </cell>
          <cell r="BN326">
            <v>0</v>
          </cell>
          <cell r="BO326">
            <v>0</v>
          </cell>
          <cell r="BP326">
            <v>0</v>
          </cell>
          <cell r="BQ326">
            <v>0</v>
          </cell>
          <cell r="BR326">
            <v>8</v>
          </cell>
          <cell r="BS326">
            <v>0</v>
          </cell>
          <cell r="BT326">
            <v>0</v>
          </cell>
          <cell r="BU326">
            <v>0</v>
          </cell>
          <cell r="BV326">
            <v>0</v>
          </cell>
          <cell r="BW326">
            <v>0</v>
          </cell>
          <cell r="BX326">
            <v>0</v>
          </cell>
          <cell r="BY326">
            <v>0</v>
          </cell>
          <cell r="BZ326">
            <v>0</v>
          </cell>
          <cell r="CA326">
            <v>0</v>
          </cell>
          <cell r="CB326">
            <v>0</v>
          </cell>
          <cell r="CC326">
            <v>0</v>
          </cell>
          <cell r="CD326">
            <v>0</v>
          </cell>
        </row>
        <row r="327">
          <cell r="C327">
            <v>37826</v>
          </cell>
          <cell r="D327">
            <v>37868</v>
          </cell>
          <cell r="E327">
            <v>37862</v>
          </cell>
          <cell r="F327">
            <v>0.95833333333333337</v>
          </cell>
          <cell r="G327" t="str">
            <v>Células de Solda Manual</v>
          </cell>
          <cell r="H327" t="str">
            <v>Balancim travado</v>
          </cell>
          <cell r="I327" t="str">
            <v>Corretiva</v>
          </cell>
          <cell r="J327" t="str">
            <v>Não</v>
          </cell>
          <cell r="K327" t="str">
            <v>Mecânica</v>
          </cell>
          <cell r="L327" t="str">
            <v>Ajuste / Regulagem</v>
          </cell>
          <cell r="M327" t="str">
            <v>Travamento de Componente</v>
          </cell>
          <cell r="N327">
            <v>37865</v>
          </cell>
          <cell r="O327">
            <v>0.625</v>
          </cell>
          <cell r="P327">
            <v>37865</v>
          </cell>
          <cell r="Q327">
            <v>0.625</v>
          </cell>
          <cell r="T327">
            <v>37865</v>
          </cell>
          <cell r="U327">
            <v>0.70833333333333337</v>
          </cell>
          <cell r="V327">
            <v>37865</v>
          </cell>
          <cell r="W327">
            <v>0.70833333333333337</v>
          </cell>
          <cell r="X327">
            <v>8.3333333335758653E-2</v>
          </cell>
          <cell r="Y327">
            <v>8.3333333335758653E-2</v>
          </cell>
          <cell r="AB327">
            <v>9</v>
          </cell>
          <cell r="AC327">
            <v>7</v>
          </cell>
          <cell r="AD327">
            <v>0</v>
          </cell>
          <cell r="BF327">
            <v>0</v>
          </cell>
          <cell r="BG327">
            <v>9</v>
          </cell>
          <cell r="BH327">
            <v>0</v>
          </cell>
          <cell r="BI327">
            <v>0</v>
          </cell>
          <cell r="BJ327">
            <v>0</v>
          </cell>
          <cell r="BK327">
            <v>0</v>
          </cell>
          <cell r="BL327">
            <v>0</v>
          </cell>
          <cell r="BM327">
            <v>0</v>
          </cell>
          <cell r="BN327">
            <v>0</v>
          </cell>
          <cell r="BO327">
            <v>0</v>
          </cell>
          <cell r="BP327">
            <v>0</v>
          </cell>
          <cell r="BQ327">
            <v>0</v>
          </cell>
          <cell r="BR327">
            <v>0</v>
          </cell>
          <cell r="BS327">
            <v>0</v>
          </cell>
          <cell r="BT327">
            <v>0</v>
          </cell>
          <cell r="BU327">
            <v>0</v>
          </cell>
          <cell r="BV327">
            <v>0</v>
          </cell>
          <cell r="BW327">
            <v>0</v>
          </cell>
          <cell r="BX327">
            <v>0</v>
          </cell>
          <cell r="BY327">
            <v>0</v>
          </cell>
          <cell r="BZ327">
            <v>0</v>
          </cell>
          <cell r="CA327">
            <v>0</v>
          </cell>
          <cell r="CB327">
            <v>0</v>
          </cell>
          <cell r="CC327">
            <v>0</v>
          </cell>
          <cell r="CD327">
            <v>0</v>
          </cell>
        </row>
        <row r="328">
          <cell r="C328">
            <v>37826</v>
          </cell>
          <cell r="D328">
            <v>37868</v>
          </cell>
          <cell r="E328">
            <v>37867</v>
          </cell>
          <cell r="F328">
            <v>0.4201388888888889</v>
          </cell>
          <cell r="G328" t="str">
            <v>Células de Solda Manual</v>
          </cell>
          <cell r="H328" t="str">
            <v>Plug incompatível com a tomada da linha da Solda Manual</v>
          </cell>
          <cell r="I328" t="str">
            <v>Corretiva</v>
          </cell>
          <cell r="J328" t="str">
            <v>Sim</v>
          </cell>
          <cell r="K328" t="str">
            <v>Elétrica</v>
          </cell>
          <cell r="L328" t="str">
            <v>Substituição do(s) Componente(s)</v>
          </cell>
          <cell r="M328" t="str">
            <v>Alteração na Localização da Máquina</v>
          </cell>
          <cell r="N328">
            <v>37867</v>
          </cell>
          <cell r="O328">
            <v>0.4236111111111111</v>
          </cell>
          <cell r="P328">
            <v>37867</v>
          </cell>
          <cell r="Q328">
            <v>0.4236111111111111</v>
          </cell>
          <cell r="T328">
            <v>37867</v>
          </cell>
          <cell r="U328">
            <v>0.43055555555555558</v>
          </cell>
          <cell r="V328">
            <v>37867</v>
          </cell>
          <cell r="W328">
            <v>0.43055555555555558</v>
          </cell>
          <cell r="X328">
            <v>6.9444444444444753E-3</v>
          </cell>
          <cell r="Y328">
            <v>6.9444444436360109E-3</v>
          </cell>
          <cell r="AB328">
            <v>9</v>
          </cell>
          <cell r="AC328">
            <v>7</v>
          </cell>
          <cell r="AD328">
            <v>0</v>
          </cell>
          <cell r="BF328">
            <v>0</v>
          </cell>
          <cell r="BG328">
            <v>9</v>
          </cell>
          <cell r="BH328">
            <v>0</v>
          </cell>
          <cell r="BI328">
            <v>0</v>
          </cell>
          <cell r="BJ328">
            <v>0</v>
          </cell>
          <cell r="BK328">
            <v>0</v>
          </cell>
          <cell r="BL328">
            <v>0</v>
          </cell>
          <cell r="BM328">
            <v>0</v>
          </cell>
          <cell r="BN328">
            <v>0</v>
          </cell>
          <cell r="BO328">
            <v>0</v>
          </cell>
          <cell r="BP328">
            <v>0</v>
          </cell>
          <cell r="BQ328">
            <v>0</v>
          </cell>
          <cell r="BR328">
            <v>0</v>
          </cell>
          <cell r="BS328">
            <v>0</v>
          </cell>
          <cell r="BT328">
            <v>0</v>
          </cell>
          <cell r="BU328">
            <v>0</v>
          </cell>
          <cell r="BV328">
            <v>0</v>
          </cell>
          <cell r="BW328">
            <v>0</v>
          </cell>
          <cell r="BX328">
            <v>0</v>
          </cell>
          <cell r="BY328">
            <v>0</v>
          </cell>
          <cell r="BZ328">
            <v>0</v>
          </cell>
          <cell r="CA328">
            <v>0</v>
          </cell>
          <cell r="CB328">
            <v>0</v>
          </cell>
          <cell r="CC328">
            <v>0</v>
          </cell>
          <cell r="CD328">
            <v>0</v>
          </cell>
        </row>
        <row r="329">
          <cell r="C329">
            <v>37826</v>
          </cell>
          <cell r="D329">
            <v>37881</v>
          </cell>
          <cell r="E329">
            <v>37876</v>
          </cell>
          <cell r="F329">
            <v>0.55833333333333335</v>
          </cell>
          <cell r="G329" t="str">
            <v>Máquina de Solda MIG</v>
          </cell>
          <cell r="H329" t="str">
            <v>Tomada apresenta defeito</v>
          </cell>
          <cell r="I329" t="str">
            <v>Corretiva</v>
          </cell>
          <cell r="J329" t="str">
            <v>Sim</v>
          </cell>
          <cell r="K329" t="str">
            <v>Elétrica</v>
          </cell>
          <cell r="L329" t="str">
            <v>Reinicialização do Equipamento / Componente</v>
          </cell>
          <cell r="M329" t="str">
            <v>Sobrecarga</v>
          </cell>
          <cell r="N329">
            <v>37876</v>
          </cell>
          <cell r="O329">
            <v>0.57638888888888895</v>
          </cell>
          <cell r="P329">
            <v>37876</v>
          </cell>
          <cell r="Q329">
            <v>0.57638888888888895</v>
          </cell>
          <cell r="T329">
            <v>37876</v>
          </cell>
          <cell r="U329">
            <v>0.58333333333333337</v>
          </cell>
          <cell r="V329">
            <v>37876</v>
          </cell>
          <cell r="W329">
            <v>0.58333333333333337</v>
          </cell>
          <cell r="X329">
            <v>6.9444444444444198E-3</v>
          </cell>
          <cell r="Y329">
            <v>6.944444446869702E-3</v>
          </cell>
          <cell r="AB329">
            <v>9</v>
          </cell>
          <cell r="AC329">
            <v>7</v>
          </cell>
          <cell r="AD329">
            <v>0</v>
          </cell>
          <cell r="BF329">
            <v>0</v>
          </cell>
          <cell r="BG329">
            <v>0</v>
          </cell>
          <cell r="BH329">
            <v>0</v>
          </cell>
          <cell r="BI329">
            <v>0</v>
          </cell>
          <cell r="BJ329">
            <v>0</v>
          </cell>
          <cell r="BK329">
            <v>0</v>
          </cell>
          <cell r="BL329">
            <v>0</v>
          </cell>
          <cell r="BM329">
            <v>0</v>
          </cell>
          <cell r="BN329">
            <v>0</v>
          </cell>
          <cell r="BO329">
            <v>0</v>
          </cell>
          <cell r="BP329">
            <v>0</v>
          </cell>
          <cell r="BQ329">
            <v>0</v>
          </cell>
          <cell r="BR329">
            <v>9</v>
          </cell>
          <cell r="BS329">
            <v>0</v>
          </cell>
          <cell r="BT329">
            <v>0</v>
          </cell>
          <cell r="BU329">
            <v>0</v>
          </cell>
          <cell r="BV329">
            <v>0</v>
          </cell>
          <cell r="BW329">
            <v>0</v>
          </cell>
          <cell r="BX329">
            <v>0</v>
          </cell>
          <cell r="BY329">
            <v>0</v>
          </cell>
          <cell r="BZ329">
            <v>0</v>
          </cell>
          <cell r="CA329">
            <v>0</v>
          </cell>
          <cell r="CB329">
            <v>0</v>
          </cell>
          <cell r="CC329">
            <v>0</v>
          </cell>
          <cell r="CD329">
            <v>0</v>
          </cell>
        </row>
        <row r="330">
          <cell r="C330">
            <v>37826</v>
          </cell>
          <cell r="D330">
            <v>37900</v>
          </cell>
          <cell r="E330">
            <v>37879</v>
          </cell>
          <cell r="F330">
            <v>0.59722222222222221</v>
          </cell>
          <cell r="G330" t="str">
            <v>Células de Solda Manual</v>
          </cell>
          <cell r="H330" t="str">
            <v>Máquina não Solda</v>
          </cell>
          <cell r="I330" t="str">
            <v>Corretiva</v>
          </cell>
          <cell r="J330" t="str">
            <v>Sim</v>
          </cell>
          <cell r="K330" t="str">
            <v>Elétrica</v>
          </cell>
          <cell r="L330" t="str">
            <v>Substituição do(s) Componente(s)</v>
          </cell>
          <cell r="M330" t="str">
            <v>Defeito de Fabricação</v>
          </cell>
          <cell r="N330">
            <v>37879</v>
          </cell>
          <cell r="O330">
            <v>0.625</v>
          </cell>
          <cell r="P330">
            <v>37879</v>
          </cell>
          <cell r="Q330">
            <v>0.625</v>
          </cell>
          <cell r="T330">
            <v>37879</v>
          </cell>
          <cell r="U330">
            <v>0.99652777777777779</v>
          </cell>
          <cell r="V330">
            <v>37879</v>
          </cell>
          <cell r="W330">
            <v>0.99652777777777779</v>
          </cell>
          <cell r="X330">
            <v>0.37152777777777779</v>
          </cell>
          <cell r="Y330">
            <v>0.37152777778101154</v>
          </cell>
          <cell r="AB330">
            <v>9</v>
          </cell>
          <cell r="AC330">
            <v>7</v>
          </cell>
          <cell r="AD330">
            <v>0</v>
          </cell>
          <cell r="BF330">
            <v>0</v>
          </cell>
          <cell r="BG330">
            <v>9</v>
          </cell>
          <cell r="BH330">
            <v>0</v>
          </cell>
          <cell r="BI330">
            <v>0</v>
          </cell>
          <cell r="BJ330">
            <v>0</v>
          </cell>
          <cell r="BK330">
            <v>0</v>
          </cell>
          <cell r="BL330">
            <v>0</v>
          </cell>
          <cell r="BM330">
            <v>0</v>
          </cell>
          <cell r="BN330">
            <v>0</v>
          </cell>
          <cell r="BO330">
            <v>0</v>
          </cell>
          <cell r="BP330">
            <v>0</v>
          </cell>
          <cell r="BQ330">
            <v>0</v>
          </cell>
          <cell r="BR330">
            <v>0</v>
          </cell>
          <cell r="BS330">
            <v>0</v>
          </cell>
          <cell r="BT330">
            <v>0</v>
          </cell>
          <cell r="BU330">
            <v>0</v>
          </cell>
          <cell r="BV330">
            <v>0</v>
          </cell>
          <cell r="BW330">
            <v>0</v>
          </cell>
          <cell r="BX330">
            <v>0</v>
          </cell>
          <cell r="BY330">
            <v>0</v>
          </cell>
          <cell r="BZ330">
            <v>0</v>
          </cell>
          <cell r="CA330">
            <v>0</v>
          </cell>
          <cell r="CB330">
            <v>0</v>
          </cell>
          <cell r="CC330">
            <v>0</v>
          </cell>
          <cell r="CD330">
            <v>0</v>
          </cell>
        </row>
        <row r="331">
          <cell r="C331">
            <v>37826</v>
          </cell>
          <cell r="D331">
            <v>37900</v>
          </cell>
          <cell r="E331">
            <v>37881</v>
          </cell>
          <cell r="F331">
            <v>0.97916666666666663</v>
          </cell>
          <cell r="G331" t="str">
            <v>Células de Solda Manual</v>
          </cell>
          <cell r="H331" t="str">
            <v>Vazamento d'água na tocha do robô</v>
          </cell>
          <cell r="I331" t="str">
            <v>Corretiva</v>
          </cell>
          <cell r="J331" t="str">
            <v>Sim</v>
          </cell>
          <cell r="K331" t="str">
            <v>Mecânica</v>
          </cell>
          <cell r="L331" t="str">
            <v>Substituição do(s) Componente(s)</v>
          </cell>
          <cell r="M331" t="str">
            <v>Defeito de Fabricação</v>
          </cell>
          <cell r="N331">
            <v>37881</v>
          </cell>
          <cell r="O331">
            <v>0.97916666666666663</v>
          </cell>
          <cell r="P331">
            <v>37881</v>
          </cell>
          <cell r="Q331">
            <v>0.97916666666666663</v>
          </cell>
          <cell r="T331">
            <v>37882</v>
          </cell>
          <cell r="U331">
            <v>0.47916666666666669</v>
          </cell>
          <cell r="V331">
            <v>37882</v>
          </cell>
          <cell r="W331">
            <v>0.47916666666666669</v>
          </cell>
          <cell r="X331">
            <v>0.5</v>
          </cell>
          <cell r="Y331">
            <v>0.49999999999757472</v>
          </cell>
          <cell r="AB331">
            <v>9</v>
          </cell>
          <cell r="AC331">
            <v>7</v>
          </cell>
          <cell r="AD331">
            <v>0</v>
          </cell>
          <cell r="BF331">
            <v>0</v>
          </cell>
          <cell r="BG331">
            <v>9</v>
          </cell>
          <cell r="BH331">
            <v>0</v>
          </cell>
          <cell r="BI331">
            <v>0</v>
          </cell>
          <cell r="BJ331">
            <v>0</v>
          </cell>
          <cell r="BK331">
            <v>0</v>
          </cell>
          <cell r="BL331">
            <v>0</v>
          </cell>
          <cell r="BM331">
            <v>0</v>
          </cell>
          <cell r="BN331">
            <v>0</v>
          </cell>
          <cell r="BO331">
            <v>0</v>
          </cell>
          <cell r="BP331">
            <v>0</v>
          </cell>
          <cell r="BQ331">
            <v>0</v>
          </cell>
          <cell r="BR331">
            <v>0</v>
          </cell>
          <cell r="BS331">
            <v>0</v>
          </cell>
          <cell r="BT331">
            <v>0</v>
          </cell>
          <cell r="BU331">
            <v>0</v>
          </cell>
          <cell r="BV331">
            <v>0</v>
          </cell>
          <cell r="BW331">
            <v>0</v>
          </cell>
          <cell r="BX331">
            <v>0</v>
          </cell>
          <cell r="BY331">
            <v>0</v>
          </cell>
          <cell r="BZ331">
            <v>0</v>
          </cell>
          <cell r="CA331">
            <v>0</v>
          </cell>
          <cell r="CB331">
            <v>0</v>
          </cell>
          <cell r="CC331">
            <v>0</v>
          </cell>
          <cell r="CD331">
            <v>0</v>
          </cell>
        </row>
        <row r="332">
          <cell r="C332">
            <v>37826</v>
          </cell>
          <cell r="I332">
            <v>0</v>
          </cell>
          <cell r="N332">
            <v>0</v>
          </cell>
          <cell r="P332">
            <v>0</v>
          </cell>
          <cell r="T332">
            <v>0</v>
          </cell>
          <cell r="V332">
            <v>0</v>
          </cell>
          <cell r="W332">
            <v>0</v>
          </cell>
          <cell r="X332">
            <v>0</v>
          </cell>
          <cell r="Y332">
            <v>0</v>
          </cell>
          <cell r="AB332">
            <v>0</v>
          </cell>
          <cell r="AC332">
            <v>7</v>
          </cell>
          <cell r="AD332">
            <v>0</v>
          </cell>
          <cell r="BF332">
            <v>0</v>
          </cell>
          <cell r="BG332">
            <v>0</v>
          </cell>
          <cell r="BH332">
            <v>0</v>
          </cell>
          <cell r="BI332">
            <v>0</v>
          </cell>
          <cell r="BJ332">
            <v>0</v>
          </cell>
          <cell r="BK332">
            <v>0</v>
          </cell>
          <cell r="BL332">
            <v>0</v>
          </cell>
          <cell r="BM332">
            <v>0</v>
          </cell>
          <cell r="BN332">
            <v>0</v>
          </cell>
          <cell r="BO332">
            <v>0</v>
          </cell>
          <cell r="BP332">
            <v>0</v>
          </cell>
          <cell r="BQ332">
            <v>0</v>
          </cell>
          <cell r="BR332">
            <v>0</v>
          </cell>
          <cell r="BS332">
            <v>0</v>
          </cell>
          <cell r="BT332">
            <v>0</v>
          </cell>
          <cell r="BU332">
            <v>0</v>
          </cell>
          <cell r="BV332">
            <v>0</v>
          </cell>
          <cell r="BW332">
            <v>0</v>
          </cell>
          <cell r="BX332">
            <v>0</v>
          </cell>
          <cell r="BY332">
            <v>0</v>
          </cell>
          <cell r="BZ332">
            <v>0</v>
          </cell>
          <cell r="CA332">
            <v>0</v>
          </cell>
          <cell r="CB332">
            <v>0</v>
          </cell>
          <cell r="CC332">
            <v>0</v>
          </cell>
          <cell r="CD332">
            <v>0</v>
          </cell>
        </row>
        <row r="333">
          <cell r="C333">
            <v>37826</v>
          </cell>
          <cell r="D333">
            <v>37868</v>
          </cell>
          <cell r="E333">
            <v>37867</v>
          </cell>
          <cell r="F333">
            <v>0.4861111111111111</v>
          </cell>
          <cell r="G333" t="str">
            <v>Células de Solda Manual</v>
          </cell>
          <cell r="H333" t="str">
            <v>Mangueira d'água para refrigeração da tocha apresenta vazamento</v>
          </cell>
          <cell r="I333" t="str">
            <v>Corretiva</v>
          </cell>
          <cell r="J333" t="str">
            <v>Sim</v>
          </cell>
          <cell r="K333" t="str">
            <v>Mecânica</v>
          </cell>
          <cell r="L333" t="str">
            <v>Reparo</v>
          </cell>
          <cell r="M333" t="str">
            <v>Desgaste / Fadiga</v>
          </cell>
          <cell r="N333">
            <v>37867</v>
          </cell>
          <cell r="O333">
            <v>0.54166666666666663</v>
          </cell>
          <cell r="P333">
            <v>37867</v>
          </cell>
          <cell r="Q333">
            <v>0.54166666666666663</v>
          </cell>
          <cell r="T333">
            <v>37867</v>
          </cell>
          <cell r="U333">
            <v>0.57986111111111105</v>
          </cell>
          <cell r="V333">
            <v>37867</v>
          </cell>
          <cell r="W333">
            <v>0.57986111111111105</v>
          </cell>
          <cell r="X333">
            <v>3.819444444444442E-2</v>
          </cell>
          <cell r="Y333">
            <v>3.8194444442827602E-2</v>
          </cell>
          <cell r="AB333">
            <v>9</v>
          </cell>
          <cell r="AC333">
            <v>7</v>
          </cell>
          <cell r="AD333">
            <v>0</v>
          </cell>
          <cell r="BF333">
            <v>0</v>
          </cell>
          <cell r="BG333">
            <v>9</v>
          </cell>
          <cell r="BH333">
            <v>0</v>
          </cell>
          <cell r="BI333">
            <v>0</v>
          </cell>
          <cell r="BJ333">
            <v>0</v>
          </cell>
          <cell r="BK333">
            <v>0</v>
          </cell>
          <cell r="BL333">
            <v>0</v>
          </cell>
          <cell r="BM333">
            <v>0</v>
          </cell>
          <cell r="BN333">
            <v>0</v>
          </cell>
          <cell r="BO333">
            <v>0</v>
          </cell>
          <cell r="BP333">
            <v>0</v>
          </cell>
          <cell r="BQ333">
            <v>0</v>
          </cell>
          <cell r="BR333">
            <v>0</v>
          </cell>
          <cell r="BS333">
            <v>0</v>
          </cell>
          <cell r="BT333">
            <v>0</v>
          </cell>
          <cell r="BU333">
            <v>0</v>
          </cell>
          <cell r="BV333">
            <v>0</v>
          </cell>
          <cell r="BW333">
            <v>0</v>
          </cell>
          <cell r="BX333">
            <v>0</v>
          </cell>
          <cell r="BY333">
            <v>0</v>
          </cell>
          <cell r="BZ333">
            <v>0</v>
          </cell>
          <cell r="CA333">
            <v>0</v>
          </cell>
          <cell r="CB333">
            <v>0</v>
          </cell>
          <cell r="CC333">
            <v>0</v>
          </cell>
          <cell r="CD333">
            <v>0</v>
          </cell>
        </row>
        <row r="334">
          <cell r="C334">
            <v>37826</v>
          </cell>
          <cell r="D334">
            <v>37918</v>
          </cell>
          <cell r="E334">
            <v>37888</v>
          </cell>
          <cell r="F334">
            <v>0.33333333333333331</v>
          </cell>
          <cell r="G334" t="str">
            <v>Células de Solda Manual</v>
          </cell>
          <cell r="H334" t="str">
            <v>Máquina não liga</v>
          </cell>
          <cell r="I334" t="str">
            <v>Corretiva</v>
          </cell>
          <cell r="J334" t="str">
            <v>Sim</v>
          </cell>
          <cell r="K334" t="str">
            <v>Elétrica</v>
          </cell>
          <cell r="L334" t="str">
            <v>Reparo</v>
          </cell>
          <cell r="M334" t="str">
            <v>Falha Operacional</v>
          </cell>
          <cell r="N334">
            <v>37888</v>
          </cell>
          <cell r="O334">
            <v>0.34375</v>
          </cell>
          <cell r="P334">
            <v>37888</v>
          </cell>
          <cell r="Q334">
            <v>0.34375</v>
          </cell>
          <cell r="T334">
            <v>37888</v>
          </cell>
          <cell r="U334">
            <v>0.3576388888888889</v>
          </cell>
          <cell r="V334">
            <v>37888</v>
          </cell>
          <cell r="W334">
            <v>0.3576388888888889</v>
          </cell>
          <cell r="X334">
            <v>1.3888888888888895E-2</v>
          </cell>
          <cell r="Y334">
            <v>1.3888888890505768E-2</v>
          </cell>
          <cell r="AB334">
            <v>9</v>
          </cell>
          <cell r="AC334">
            <v>7</v>
          </cell>
          <cell r="AD334">
            <v>0</v>
          </cell>
          <cell r="BF334">
            <v>0</v>
          </cell>
          <cell r="BG334">
            <v>9</v>
          </cell>
          <cell r="BH334">
            <v>0</v>
          </cell>
          <cell r="BI334">
            <v>0</v>
          </cell>
          <cell r="BJ334">
            <v>0</v>
          </cell>
          <cell r="BK334">
            <v>0</v>
          </cell>
          <cell r="BL334">
            <v>0</v>
          </cell>
          <cell r="BM334">
            <v>0</v>
          </cell>
          <cell r="BN334">
            <v>0</v>
          </cell>
          <cell r="BO334">
            <v>0</v>
          </cell>
          <cell r="BP334">
            <v>0</v>
          </cell>
          <cell r="BQ334">
            <v>0</v>
          </cell>
          <cell r="BR334">
            <v>0</v>
          </cell>
          <cell r="BS334">
            <v>0</v>
          </cell>
          <cell r="BT334">
            <v>0</v>
          </cell>
          <cell r="BU334">
            <v>0</v>
          </cell>
          <cell r="BV334">
            <v>0</v>
          </cell>
          <cell r="BW334">
            <v>0</v>
          </cell>
          <cell r="BX334">
            <v>0</v>
          </cell>
          <cell r="BY334">
            <v>0</v>
          </cell>
          <cell r="BZ334">
            <v>0</v>
          </cell>
          <cell r="CA334">
            <v>0</v>
          </cell>
          <cell r="CB334">
            <v>0</v>
          </cell>
          <cell r="CC334">
            <v>0</v>
          </cell>
          <cell r="CD334">
            <v>0</v>
          </cell>
        </row>
        <row r="335">
          <cell r="C335">
            <v>37826</v>
          </cell>
          <cell r="D335">
            <v>37928</v>
          </cell>
          <cell r="E335">
            <v>37889</v>
          </cell>
          <cell r="F335">
            <v>0.54166666666666663</v>
          </cell>
          <cell r="G335" t="str">
            <v>Células de Solda Manual</v>
          </cell>
          <cell r="H335" t="str">
            <v>Rolamento do Exaustor Travado</v>
          </cell>
          <cell r="I335" t="str">
            <v>Corretiva</v>
          </cell>
          <cell r="J335" t="str">
            <v>Sim</v>
          </cell>
          <cell r="K335" t="str">
            <v>Mecânica</v>
          </cell>
          <cell r="L335" t="str">
            <v>Lubrificação do Componente</v>
          </cell>
          <cell r="M335" t="str">
            <v>Falta de Lubrificação</v>
          </cell>
          <cell r="N335">
            <v>37889</v>
          </cell>
          <cell r="O335">
            <v>0.54166666666666663</v>
          </cell>
          <cell r="P335">
            <v>37889</v>
          </cell>
          <cell r="Q335">
            <v>0.54166666666666663</v>
          </cell>
          <cell r="T335">
            <v>37889</v>
          </cell>
          <cell r="U335">
            <v>0.5625</v>
          </cell>
          <cell r="V335">
            <v>37889</v>
          </cell>
          <cell r="W335">
            <v>0.5625</v>
          </cell>
          <cell r="X335">
            <v>2.083333333333337E-2</v>
          </cell>
          <cell r="Y335">
            <v>2.083333333333337E-2</v>
          </cell>
          <cell r="AB335">
            <v>9</v>
          </cell>
          <cell r="AC335">
            <v>7</v>
          </cell>
          <cell r="AD335">
            <v>0</v>
          </cell>
          <cell r="BF335">
            <v>0</v>
          </cell>
          <cell r="BG335">
            <v>9</v>
          </cell>
          <cell r="BH335">
            <v>0</v>
          </cell>
          <cell r="BI335">
            <v>0</v>
          </cell>
          <cell r="BJ335">
            <v>0</v>
          </cell>
          <cell r="BK335">
            <v>0</v>
          </cell>
          <cell r="BL335">
            <v>0</v>
          </cell>
          <cell r="BM335">
            <v>0</v>
          </cell>
          <cell r="BN335">
            <v>0</v>
          </cell>
          <cell r="BO335">
            <v>0</v>
          </cell>
          <cell r="BP335">
            <v>0</v>
          </cell>
          <cell r="BQ335">
            <v>0</v>
          </cell>
          <cell r="BR335">
            <v>0</v>
          </cell>
          <cell r="BS335">
            <v>0</v>
          </cell>
          <cell r="BT335">
            <v>0</v>
          </cell>
          <cell r="BU335">
            <v>0</v>
          </cell>
          <cell r="BV335">
            <v>0</v>
          </cell>
          <cell r="BW335">
            <v>0</v>
          </cell>
          <cell r="BX335">
            <v>0</v>
          </cell>
          <cell r="BY335">
            <v>0</v>
          </cell>
          <cell r="BZ335">
            <v>0</v>
          </cell>
          <cell r="CA335">
            <v>0</v>
          </cell>
          <cell r="CB335">
            <v>0</v>
          </cell>
          <cell r="CC335">
            <v>0</v>
          </cell>
          <cell r="CD335">
            <v>0</v>
          </cell>
        </row>
        <row r="336">
          <cell r="C336">
            <v>37826</v>
          </cell>
          <cell r="D336">
            <v>37970</v>
          </cell>
          <cell r="E336">
            <v>37839</v>
          </cell>
          <cell r="F336">
            <v>0.70833333333333337</v>
          </cell>
          <cell r="G336" t="str">
            <v>Células de Solda Manual</v>
          </cell>
          <cell r="H336" t="str">
            <v>Lâmpadas não acendem</v>
          </cell>
          <cell r="I336">
            <v>0</v>
          </cell>
          <cell r="J336" t="str">
            <v>Não</v>
          </cell>
          <cell r="K336" t="str">
            <v>Elétrica</v>
          </cell>
          <cell r="L336" t="str">
            <v>Substituição do(s) Componente(s)</v>
          </cell>
          <cell r="M336" t="str">
            <v>Desgaste / Fadiga</v>
          </cell>
          <cell r="N336">
            <v>37839</v>
          </cell>
          <cell r="O336">
            <v>0.70833333333333337</v>
          </cell>
          <cell r="P336">
            <v>0</v>
          </cell>
          <cell r="Q336">
            <v>0.71875</v>
          </cell>
          <cell r="R336">
            <v>37881</v>
          </cell>
          <cell r="S336">
            <v>0.66666666666666663</v>
          </cell>
          <cell r="T336">
            <v>37881</v>
          </cell>
          <cell r="U336">
            <v>0.75555555555555554</v>
          </cell>
          <cell r="V336">
            <v>0</v>
          </cell>
          <cell r="W336">
            <v>9.9305555555555536E-2</v>
          </cell>
          <cell r="X336">
            <v>0</v>
          </cell>
          <cell r="Y336">
            <v>0</v>
          </cell>
          <cell r="AB336">
            <v>9</v>
          </cell>
          <cell r="AC336">
            <v>7</v>
          </cell>
          <cell r="AD336">
            <v>0</v>
          </cell>
          <cell r="BF336">
            <v>0</v>
          </cell>
          <cell r="BG336">
            <v>9</v>
          </cell>
          <cell r="BH336">
            <v>0</v>
          </cell>
          <cell r="BI336">
            <v>0</v>
          </cell>
          <cell r="BJ336">
            <v>0</v>
          </cell>
          <cell r="BK336">
            <v>0</v>
          </cell>
          <cell r="BL336">
            <v>0</v>
          </cell>
          <cell r="BM336">
            <v>0</v>
          </cell>
          <cell r="BN336">
            <v>0</v>
          </cell>
          <cell r="BO336">
            <v>0</v>
          </cell>
          <cell r="BP336">
            <v>0</v>
          </cell>
          <cell r="BQ336">
            <v>0</v>
          </cell>
          <cell r="BR336">
            <v>0</v>
          </cell>
          <cell r="BS336">
            <v>0</v>
          </cell>
          <cell r="BT336">
            <v>0</v>
          </cell>
          <cell r="BU336">
            <v>0</v>
          </cell>
          <cell r="BV336">
            <v>0</v>
          </cell>
          <cell r="BW336">
            <v>0</v>
          </cell>
          <cell r="BX336">
            <v>0</v>
          </cell>
          <cell r="BY336">
            <v>0</v>
          </cell>
          <cell r="BZ336">
            <v>0</v>
          </cell>
          <cell r="CA336">
            <v>0</v>
          </cell>
          <cell r="CB336">
            <v>0</v>
          </cell>
          <cell r="CC336">
            <v>0</v>
          </cell>
          <cell r="CD336">
            <v>0</v>
          </cell>
        </row>
        <row r="337">
          <cell r="C337">
            <v>37826</v>
          </cell>
          <cell r="D337">
            <v>37858</v>
          </cell>
          <cell r="E337">
            <v>37832</v>
          </cell>
          <cell r="F337">
            <v>0.41666666666666669</v>
          </cell>
          <cell r="G337" t="str">
            <v>Linha de Pintura 8,5m</v>
          </cell>
          <cell r="H337" t="str">
            <v>Pistolas manuais 07 e 14 apresentam mau contato</v>
          </cell>
          <cell r="I337" t="str">
            <v>Corretiva</v>
          </cell>
          <cell r="J337" t="str">
            <v>Não</v>
          </cell>
          <cell r="K337" t="str">
            <v>Elétrica</v>
          </cell>
          <cell r="L337" t="str">
            <v>Correção de mau contato</v>
          </cell>
          <cell r="M337" t="str">
            <v>Desgaste / Fadiga</v>
          </cell>
          <cell r="N337">
            <v>37834</v>
          </cell>
          <cell r="O337">
            <v>0.375</v>
          </cell>
          <cell r="P337">
            <v>37834</v>
          </cell>
          <cell r="Q337">
            <v>0.375</v>
          </cell>
          <cell r="T337">
            <v>37834</v>
          </cell>
          <cell r="U337">
            <v>0.43611111111111112</v>
          </cell>
          <cell r="V337">
            <v>37834</v>
          </cell>
          <cell r="W337">
            <v>0.43611111111111112</v>
          </cell>
          <cell r="X337">
            <v>6.1111111113859806E-2</v>
          </cell>
          <cell r="Y337">
            <v>6.1111111113859806E-2</v>
          </cell>
          <cell r="AB337">
            <v>8</v>
          </cell>
          <cell r="AC337">
            <v>7</v>
          </cell>
          <cell r="AD337">
            <v>0</v>
          </cell>
          <cell r="BF337">
            <v>0</v>
          </cell>
          <cell r="BG337">
            <v>0</v>
          </cell>
          <cell r="BH337">
            <v>0</v>
          </cell>
          <cell r="BI337">
            <v>0</v>
          </cell>
          <cell r="BJ337">
            <v>0</v>
          </cell>
          <cell r="BK337">
            <v>0</v>
          </cell>
          <cell r="BL337">
            <v>0</v>
          </cell>
          <cell r="BM337">
            <v>0</v>
          </cell>
          <cell r="BN337">
            <v>0</v>
          </cell>
          <cell r="BO337">
            <v>0</v>
          </cell>
          <cell r="BP337">
            <v>8</v>
          </cell>
          <cell r="BQ337">
            <v>0</v>
          </cell>
          <cell r="BR337">
            <v>0</v>
          </cell>
          <cell r="BS337">
            <v>0</v>
          </cell>
          <cell r="BT337">
            <v>0</v>
          </cell>
          <cell r="BU337">
            <v>0</v>
          </cell>
          <cell r="BV337">
            <v>0</v>
          </cell>
          <cell r="BW337">
            <v>0</v>
          </cell>
          <cell r="BX337">
            <v>0</v>
          </cell>
          <cell r="BY337">
            <v>0</v>
          </cell>
          <cell r="BZ337">
            <v>0</v>
          </cell>
          <cell r="CA337">
            <v>0</v>
          </cell>
          <cell r="CB337">
            <v>0</v>
          </cell>
          <cell r="CC337">
            <v>0</v>
          </cell>
          <cell r="CD337">
            <v>0</v>
          </cell>
        </row>
        <row r="338">
          <cell r="C338">
            <v>37826</v>
          </cell>
          <cell r="D338">
            <v>37838</v>
          </cell>
          <cell r="E338">
            <v>37832</v>
          </cell>
          <cell r="F338">
            <v>0.60416666666666663</v>
          </cell>
          <cell r="G338" t="str">
            <v>Linha de Pintura 8,5m</v>
          </cell>
          <cell r="H338" t="str">
            <v>Movimentação simultânea de 02 bastidores, ocasionando colisão</v>
          </cell>
          <cell r="I338" t="str">
            <v>Corretiva</v>
          </cell>
          <cell r="J338" t="str">
            <v>Sim</v>
          </cell>
          <cell r="K338" t="str">
            <v>Mecânica</v>
          </cell>
          <cell r="L338" t="str">
            <v>Destravamento dos Componentes</v>
          </cell>
          <cell r="M338" t="str">
            <v>Falha de Comando / Sistema</v>
          </cell>
          <cell r="N338">
            <v>37832</v>
          </cell>
          <cell r="O338">
            <v>0.60416666666666663</v>
          </cell>
          <cell r="P338">
            <v>37832</v>
          </cell>
          <cell r="Q338">
            <v>0.60416666666666663</v>
          </cell>
          <cell r="T338">
            <v>37832</v>
          </cell>
          <cell r="U338">
            <v>0.63888888888888895</v>
          </cell>
          <cell r="V338">
            <v>37832</v>
          </cell>
          <cell r="W338">
            <v>0.63888888888888895</v>
          </cell>
          <cell r="X338">
            <v>3.4722222222222321E-2</v>
          </cell>
          <cell r="Y338">
            <v>3.4722222223839139E-2</v>
          </cell>
          <cell r="AB338">
            <v>7</v>
          </cell>
          <cell r="AC338">
            <v>7</v>
          </cell>
          <cell r="AD338">
            <v>0</v>
          </cell>
          <cell r="BF338">
            <v>0</v>
          </cell>
          <cell r="BG338">
            <v>0</v>
          </cell>
          <cell r="BH338">
            <v>0</v>
          </cell>
          <cell r="BI338">
            <v>0</v>
          </cell>
          <cell r="BJ338">
            <v>0</v>
          </cell>
          <cell r="BK338">
            <v>0</v>
          </cell>
          <cell r="BL338">
            <v>0</v>
          </cell>
          <cell r="BM338">
            <v>0</v>
          </cell>
          <cell r="BN338">
            <v>0</v>
          </cell>
          <cell r="BO338">
            <v>0</v>
          </cell>
          <cell r="BP338">
            <v>7</v>
          </cell>
          <cell r="BQ338">
            <v>0</v>
          </cell>
          <cell r="BR338">
            <v>0</v>
          </cell>
          <cell r="BS338">
            <v>0</v>
          </cell>
          <cell r="BT338">
            <v>0</v>
          </cell>
          <cell r="BU338">
            <v>0</v>
          </cell>
          <cell r="BV338">
            <v>0</v>
          </cell>
          <cell r="BW338">
            <v>0</v>
          </cell>
          <cell r="BX338">
            <v>0</v>
          </cell>
          <cell r="BY338">
            <v>0</v>
          </cell>
          <cell r="BZ338">
            <v>0</v>
          </cell>
          <cell r="CA338">
            <v>0</v>
          </cell>
          <cell r="CB338">
            <v>0</v>
          </cell>
          <cell r="CC338">
            <v>0</v>
          </cell>
          <cell r="CD338">
            <v>0</v>
          </cell>
        </row>
        <row r="339">
          <cell r="C339">
            <v>37826</v>
          </cell>
          <cell r="D339">
            <v>37865</v>
          </cell>
          <cell r="E339">
            <v>37844</v>
          </cell>
          <cell r="F339">
            <v>0.54861111111111105</v>
          </cell>
          <cell r="G339" t="str">
            <v>Linha de Pintura 8,5m</v>
          </cell>
          <cell r="H339" t="str">
            <v>Sobrecarga nos motores de enxágüe 01,02 e 03</v>
          </cell>
          <cell r="I339" t="str">
            <v>Corretiva</v>
          </cell>
          <cell r="J339" t="str">
            <v>Sim</v>
          </cell>
          <cell r="K339" t="str">
            <v>Elétrica</v>
          </cell>
          <cell r="L339" t="str">
            <v>Substituição do(s) Componente(s)</v>
          </cell>
          <cell r="M339" t="str">
            <v>Aquecimento</v>
          </cell>
          <cell r="N339">
            <v>37844</v>
          </cell>
          <cell r="O339">
            <v>0.5625</v>
          </cell>
          <cell r="P339">
            <v>37844</v>
          </cell>
          <cell r="Q339">
            <v>0.5625</v>
          </cell>
          <cell r="T339">
            <v>37845</v>
          </cell>
          <cell r="U339">
            <v>0.35416666666666669</v>
          </cell>
          <cell r="V339">
            <v>37845</v>
          </cell>
          <cell r="W339">
            <v>0.35416666666666669</v>
          </cell>
          <cell r="X339">
            <v>0.54166666666666674</v>
          </cell>
          <cell r="Y339">
            <v>0.54166666666424135</v>
          </cell>
          <cell r="AB339">
            <v>8</v>
          </cell>
          <cell r="AC339">
            <v>7</v>
          </cell>
          <cell r="AD339">
            <v>0</v>
          </cell>
          <cell r="BF339">
            <v>0</v>
          </cell>
          <cell r="BG339">
            <v>0</v>
          </cell>
          <cell r="BH339">
            <v>0</v>
          </cell>
          <cell r="BI339">
            <v>0</v>
          </cell>
          <cell r="BJ339">
            <v>0</v>
          </cell>
          <cell r="BK339">
            <v>0</v>
          </cell>
          <cell r="BL339">
            <v>0</v>
          </cell>
          <cell r="BM339">
            <v>0</v>
          </cell>
          <cell r="BN339">
            <v>0</v>
          </cell>
          <cell r="BO339">
            <v>0</v>
          </cell>
          <cell r="BP339">
            <v>8</v>
          </cell>
          <cell r="BQ339">
            <v>0</v>
          </cell>
          <cell r="BR339">
            <v>0</v>
          </cell>
          <cell r="BS339">
            <v>0</v>
          </cell>
          <cell r="BT339">
            <v>0</v>
          </cell>
          <cell r="BU339">
            <v>0</v>
          </cell>
          <cell r="BV339">
            <v>0</v>
          </cell>
          <cell r="BW339">
            <v>0</v>
          </cell>
          <cell r="BX339">
            <v>0</v>
          </cell>
          <cell r="BY339">
            <v>0</v>
          </cell>
          <cell r="BZ339">
            <v>0</v>
          </cell>
          <cell r="CA339">
            <v>0</v>
          </cell>
          <cell r="CB339">
            <v>0</v>
          </cell>
          <cell r="CC339">
            <v>0</v>
          </cell>
          <cell r="CD339">
            <v>0</v>
          </cell>
        </row>
        <row r="340">
          <cell r="C340">
            <v>37826</v>
          </cell>
          <cell r="D340">
            <v>37865</v>
          </cell>
          <cell r="E340">
            <v>37860</v>
          </cell>
          <cell r="F340">
            <v>0.52083333333333337</v>
          </cell>
          <cell r="G340" t="str">
            <v>Linha de Pintura 8,5m</v>
          </cell>
          <cell r="H340" t="str">
            <v>Falha no elevador 01 de descarga</v>
          </cell>
          <cell r="I340" t="str">
            <v>Corretiva</v>
          </cell>
          <cell r="J340" t="str">
            <v>Sim</v>
          </cell>
          <cell r="K340" t="str">
            <v>Mecânica</v>
          </cell>
          <cell r="L340" t="str">
            <v>Ajuste / Regulagem</v>
          </cell>
          <cell r="M340" t="str">
            <v>Vibração</v>
          </cell>
          <cell r="N340">
            <v>37860</v>
          </cell>
          <cell r="O340">
            <v>0.53472222222222221</v>
          </cell>
          <cell r="P340">
            <v>37860</v>
          </cell>
          <cell r="Q340">
            <v>0.53472222222222221</v>
          </cell>
          <cell r="T340">
            <v>37860</v>
          </cell>
          <cell r="U340">
            <v>0.54861111111111105</v>
          </cell>
          <cell r="V340">
            <v>37860</v>
          </cell>
          <cell r="W340">
            <v>0.54861111111111105</v>
          </cell>
          <cell r="X340">
            <v>1.388888888888884E-2</v>
          </cell>
          <cell r="Y340">
            <v>1.3888888887272022E-2</v>
          </cell>
          <cell r="AB340">
            <v>8</v>
          </cell>
          <cell r="AC340">
            <v>7</v>
          </cell>
          <cell r="AD340">
            <v>0</v>
          </cell>
          <cell r="BF340">
            <v>0</v>
          </cell>
          <cell r="BG340">
            <v>0</v>
          </cell>
          <cell r="BH340">
            <v>0</v>
          </cell>
          <cell r="BI340">
            <v>0</v>
          </cell>
          <cell r="BJ340">
            <v>0</v>
          </cell>
          <cell r="BK340">
            <v>0</v>
          </cell>
          <cell r="BL340">
            <v>0</v>
          </cell>
          <cell r="BM340">
            <v>0</v>
          </cell>
          <cell r="BN340">
            <v>0</v>
          </cell>
          <cell r="BO340">
            <v>0</v>
          </cell>
          <cell r="BP340">
            <v>8</v>
          </cell>
          <cell r="BQ340">
            <v>0</v>
          </cell>
          <cell r="BR340">
            <v>0</v>
          </cell>
          <cell r="BS340">
            <v>0</v>
          </cell>
          <cell r="BT340">
            <v>0</v>
          </cell>
          <cell r="BU340">
            <v>0</v>
          </cell>
          <cell r="BV340">
            <v>0</v>
          </cell>
          <cell r="BW340">
            <v>0</v>
          </cell>
          <cell r="BX340">
            <v>0</v>
          </cell>
          <cell r="BY340">
            <v>0</v>
          </cell>
          <cell r="BZ340">
            <v>0</v>
          </cell>
          <cell r="CA340">
            <v>0</v>
          </cell>
          <cell r="CB340">
            <v>0</v>
          </cell>
          <cell r="CC340">
            <v>0</v>
          </cell>
          <cell r="CD340">
            <v>0</v>
          </cell>
        </row>
        <row r="341">
          <cell r="C341">
            <v>37826</v>
          </cell>
          <cell r="D341">
            <v>37868</v>
          </cell>
          <cell r="E341">
            <v>37862</v>
          </cell>
          <cell r="F341">
            <v>0.25</v>
          </cell>
          <cell r="G341" t="str">
            <v>Linha de Pintura 8,5m</v>
          </cell>
          <cell r="H341" t="str">
            <v>Puxador da tampa de fosfato está quebrado</v>
          </cell>
          <cell r="I341" t="str">
            <v>Corretiva</v>
          </cell>
          <cell r="J341" t="str">
            <v>Não</v>
          </cell>
          <cell r="K341" t="str">
            <v>Mecânica</v>
          </cell>
          <cell r="L341" t="str">
            <v>Substituição do(s) Componente(s)</v>
          </cell>
          <cell r="M341" t="str">
            <v>Defeito de Fabricação</v>
          </cell>
          <cell r="N341">
            <v>37862</v>
          </cell>
          <cell r="O341">
            <v>0.625</v>
          </cell>
          <cell r="P341">
            <v>37862</v>
          </cell>
          <cell r="Q341">
            <v>0.625</v>
          </cell>
          <cell r="T341">
            <v>37862</v>
          </cell>
          <cell r="U341">
            <v>0.66666666666666663</v>
          </cell>
          <cell r="V341">
            <v>37862</v>
          </cell>
          <cell r="W341">
            <v>0.66666666666666663</v>
          </cell>
          <cell r="X341">
            <v>4.1666666664241347E-2</v>
          </cell>
          <cell r="Y341">
            <v>4.1666666664241347E-2</v>
          </cell>
          <cell r="AB341">
            <v>8</v>
          </cell>
          <cell r="AC341">
            <v>7</v>
          </cell>
          <cell r="AD341">
            <v>0</v>
          </cell>
          <cell r="BF341">
            <v>0</v>
          </cell>
          <cell r="BG341">
            <v>0</v>
          </cell>
          <cell r="BH341">
            <v>0</v>
          </cell>
          <cell r="BI341">
            <v>0</v>
          </cell>
          <cell r="BJ341">
            <v>0</v>
          </cell>
          <cell r="BK341">
            <v>0</v>
          </cell>
          <cell r="BL341">
            <v>0</v>
          </cell>
          <cell r="BM341">
            <v>0</v>
          </cell>
          <cell r="BN341">
            <v>0</v>
          </cell>
          <cell r="BO341">
            <v>0</v>
          </cell>
          <cell r="BP341">
            <v>8</v>
          </cell>
          <cell r="BQ341">
            <v>0</v>
          </cell>
          <cell r="BR341">
            <v>0</v>
          </cell>
          <cell r="BS341">
            <v>0</v>
          </cell>
          <cell r="BT341">
            <v>0</v>
          </cell>
          <cell r="BU341">
            <v>0</v>
          </cell>
          <cell r="BV341">
            <v>0</v>
          </cell>
          <cell r="BW341">
            <v>0</v>
          </cell>
          <cell r="BX341">
            <v>0</v>
          </cell>
          <cell r="BY341">
            <v>0</v>
          </cell>
          <cell r="BZ341">
            <v>0</v>
          </cell>
          <cell r="CA341">
            <v>0</v>
          </cell>
          <cell r="CB341">
            <v>0</v>
          </cell>
          <cell r="CC341">
            <v>0</v>
          </cell>
          <cell r="CD341">
            <v>0</v>
          </cell>
        </row>
        <row r="342">
          <cell r="C342">
            <v>37826</v>
          </cell>
          <cell r="I342">
            <v>0</v>
          </cell>
          <cell r="N342">
            <v>0</v>
          </cell>
          <cell r="P342">
            <v>0</v>
          </cell>
          <cell r="T342">
            <v>0</v>
          </cell>
          <cell r="V342">
            <v>0</v>
          </cell>
          <cell r="W342">
            <v>0</v>
          </cell>
          <cell r="X342">
            <v>0</v>
          </cell>
          <cell r="Y342">
            <v>0</v>
          </cell>
          <cell r="AB342">
            <v>0</v>
          </cell>
          <cell r="AC342">
            <v>7</v>
          </cell>
          <cell r="AD342">
            <v>0</v>
          </cell>
          <cell r="BF342">
            <v>0</v>
          </cell>
          <cell r="BG342">
            <v>0</v>
          </cell>
          <cell r="BH342">
            <v>0</v>
          </cell>
          <cell r="BI342">
            <v>0</v>
          </cell>
          <cell r="BJ342">
            <v>0</v>
          </cell>
          <cell r="BK342">
            <v>0</v>
          </cell>
          <cell r="BL342">
            <v>0</v>
          </cell>
          <cell r="BM342">
            <v>0</v>
          </cell>
          <cell r="BN342">
            <v>0</v>
          </cell>
          <cell r="BO342">
            <v>0</v>
          </cell>
          <cell r="BP342">
            <v>0</v>
          </cell>
          <cell r="BQ342">
            <v>0</v>
          </cell>
          <cell r="BR342">
            <v>0</v>
          </cell>
          <cell r="BS342">
            <v>0</v>
          </cell>
          <cell r="BT342">
            <v>0</v>
          </cell>
          <cell r="BU342">
            <v>0</v>
          </cell>
          <cell r="BV342">
            <v>0</v>
          </cell>
          <cell r="BW342">
            <v>0</v>
          </cell>
          <cell r="BX342">
            <v>0</v>
          </cell>
          <cell r="BY342">
            <v>0</v>
          </cell>
          <cell r="BZ342">
            <v>0</v>
          </cell>
          <cell r="CA342">
            <v>0</v>
          </cell>
          <cell r="CB342">
            <v>0</v>
          </cell>
          <cell r="CC342">
            <v>0</v>
          </cell>
          <cell r="CD342">
            <v>0</v>
          </cell>
        </row>
        <row r="343">
          <cell r="C343">
            <v>37826</v>
          </cell>
          <cell r="D343">
            <v>37881</v>
          </cell>
          <cell r="E343">
            <v>37874</v>
          </cell>
          <cell r="F343">
            <v>0.5625</v>
          </cell>
          <cell r="G343" t="str">
            <v>Linha de Pintura 8,5m</v>
          </cell>
          <cell r="H343" t="str">
            <v>Sobrecarga nos motores</v>
          </cell>
          <cell r="I343" t="str">
            <v>Corretiva</v>
          </cell>
          <cell r="J343" t="str">
            <v>Sim</v>
          </cell>
          <cell r="K343" t="str">
            <v>Elétrica</v>
          </cell>
          <cell r="L343" t="str">
            <v>Substituição do(s) Componente(s)</v>
          </cell>
          <cell r="M343" t="str">
            <v>Mau contato</v>
          </cell>
          <cell r="N343">
            <v>37874</v>
          </cell>
          <cell r="O343">
            <v>0.63194444444444442</v>
          </cell>
          <cell r="P343">
            <v>37874</v>
          </cell>
          <cell r="Q343">
            <v>0.66666666666666663</v>
          </cell>
          <cell r="R343">
            <v>37874</v>
          </cell>
          <cell r="S343">
            <v>0.75</v>
          </cell>
          <cell r="T343">
            <v>37874</v>
          </cell>
          <cell r="U343">
            <v>0.82638888888888884</v>
          </cell>
          <cell r="V343">
            <v>6.944444444444442E-2</v>
          </cell>
          <cell r="W343">
            <v>0.18055555555555547</v>
          </cell>
          <cell r="X343">
            <v>0.11111111111111105</v>
          </cell>
          <cell r="Y343" t="str">
            <v>Havia cabo em curto. Substituição de terminais e parafusos</v>
          </cell>
          <cell r="AB343">
            <v>9</v>
          </cell>
          <cell r="AC343">
            <v>7</v>
          </cell>
          <cell r="AD343">
            <v>0</v>
          </cell>
          <cell r="BF343">
            <v>0</v>
          </cell>
          <cell r="BG343">
            <v>0</v>
          </cell>
          <cell r="BH343">
            <v>0</v>
          </cell>
          <cell r="BI343">
            <v>0</v>
          </cell>
          <cell r="BJ343">
            <v>0</v>
          </cell>
          <cell r="BK343">
            <v>0</v>
          </cell>
          <cell r="BL343">
            <v>0</v>
          </cell>
          <cell r="BM343">
            <v>0</v>
          </cell>
          <cell r="BN343">
            <v>0</v>
          </cell>
          <cell r="BO343">
            <v>0</v>
          </cell>
          <cell r="BP343">
            <v>9</v>
          </cell>
          <cell r="BQ343">
            <v>0</v>
          </cell>
          <cell r="BR343">
            <v>0</v>
          </cell>
          <cell r="BS343">
            <v>0</v>
          </cell>
          <cell r="BT343">
            <v>0</v>
          </cell>
          <cell r="BU343">
            <v>0</v>
          </cell>
          <cell r="BV343">
            <v>0</v>
          </cell>
          <cell r="BW343">
            <v>0</v>
          </cell>
          <cell r="BX343">
            <v>0</v>
          </cell>
          <cell r="BY343">
            <v>0</v>
          </cell>
          <cell r="BZ343">
            <v>0</v>
          </cell>
          <cell r="CA343">
            <v>0</v>
          </cell>
          <cell r="CB343">
            <v>0</v>
          </cell>
          <cell r="CC343">
            <v>0</v>
          </cell>
          <cell r="CD343">
            <v>0</v>
          </cell>
        </row>
        <row r="344">
          <cell r="C344">
            <v>37826</v>
          </cell>
          <cell r="D344">
            <v>37918</v>
          </cell>
          <cell r="E344">
            <v>37894</v>
          </cell>
          <cell r="F344">
            <v>0.58333333333333337</v>
          </cell>
          <cell r="G344" t="str">
            <v>Linha de Pintura 8,5m</v>
          </cell>
          <cell r="H344" t="str">
            <v>Exaustão não funciona</v>
          </cell>
          <cell r="I344" t="str">
            <v>Corretiva</v>
          </cell>
          <cell r="J344" t="str">
            <v>Sim</v>
          </cell>
          <cell r="K344" t="str">
            <v>Elétrica</v>
          </cell>
          <cell r="L344" t="str">
            <v>Substituição do(s) Componente(s)</v>
          </cell>
          <cell r="M344" t="str">
            <v>Sobrecarga</v>
          </cell>
          <cell r="N344">
            <v>37894</v>
          </cell>
          <cell r="O344">
            <v>0.59027777777777779</v>
          </cell>
          <cell r="P344">
            <v>37894</v>
          </cell>
          <cell r="Q344">
            <v>0.59027777777777779</v>
          </cell>
          <cell r="T344">
            <v>37894</v>
          </cell>
          <cell r="U344">
            <v>0.60416666666666663</v>
          </cell>
          <cell r="V344">
            <v>37894</v>
          </cell>
          <cell r="W344">
            <v>0.60416666666666663</v>
          </cell>
          <cell r="X344">
            <v>1.388888888888884E-2</v>
          </cell>
          <cell r="Y344">
            <v>1.3888888886463557E-2</v>
          </cell>
          <cell r="AB344">
            <v>9</v>
          </cell>
          <cell r="AC344">
            <v>7</v>
          </cell>
          <cell r="AD344">
            <v>0</v>
          </cell>
          <cell r="BF344">
            <v>0</v>
          </cell>
          <cell r="BG344">
            <v>0</v>
          </cell>
          <cell r="BH344">
            <v>0</v>
          </cell>
          <cell r="BI344">
            <v>0</v>
          </cell>
          <cell r="BJ344">
            <v>0</v>
          </cell>
          <cell r="BK344">
            <v>0</v>
          </cell>
          <cell r="BL344">
            <v>0</v>
          </cell>
          <cell r="BM344">
            <v>0</v>
          </cell>
          <cell r="BN344">
            <v>0</v>
          </cell>
          <cell r="BO344">
            <v>0</v>
          </cell>
          <cell r="BP344">
            <v>9</v>
          </cell>
          <cell r="BQ344">
            <v>0</v>
          </cell>
          <cell r="BR344">
            <v>0</v>
          </cell>
          <cell r="BS344">
            <v>0</v>
          </cell>
          <cell r="BT344">
            <v>0</v>
          </cell>
          <cell r="BU344">
            <v>0</v>
          </cell>
          <cell r="BV344">
            <v>0</v>
          </cell>
          <cell r="BW344">
            <v>0</v>
          </cell>
          <cell r="BX344">
            <v>0</v>
          </cell>
          <cell r="BY344">
            <v>0</v>
          </cell>
          <cell r="BZ344">
            <v>0</v>
          </cell>
          <cell r="CA344">
            <v>0</v>
          </cell>
          <cell r="CB344">
            <v>0</v>
          </cell>
          <cell r="CC344">
            <v>0</v>
          </cell>
          <cell r="CD344">
            <v>0</v>
          </cell>
        </row>
        <row r="345">
          <cell r="C345">
            <v>37826</v>
          </cell>
          <cell r="D345">
            <v>37902</v>
          </cell>
          <cell r="E345">
            <v>37896</v>
          </cell>
          <cell r="F345">
            <v>0.5</v>
          </cell>
          <cell r="G345" t="str">
            <v>Linha de Pintura 8,5m</v>
          </cell>
          <cell r="H345" t="str">
            <v>Mangueiras das pistolas danificadas</v>
          </cell>
          <cell r="I345" t="str">
            <v>Corretiva</v>
          </cell>
          <cell r="J345" t="str">
            <v>Não</v>
          </cell>
          <cell r="K345" t="str">
            <v>Mecânica</v>
          </cell>
          <cell r="L345" t="str">
            <v>Substituição do(s) Componente(s)</v>
          </cell>
          <cell r="M345" t="str">
            <v>Desgaste / Fadiga</v>
          </cell>
          <cell r="N345">
            <v>37900</v>
          </cell>
          <cell r="O345">
            <v>0.375</v>
          </cell>
          <cell r="P345">
            <v>37900</v>
          </cell>
          <cell r="Q345">
            <v>0.375</v>
          </cell>
          <cell r="T345">
            <v>37900</v>
          </cell>
          <cell r="U345">
            <v>0.57638888888888895</v>
          </cell>
          <cell r="V345">
            <v>37900</v>
          </cell>
          <cell r="W345">
            <v>0.57638888888888895</v>
          </cell>
          <cell r="X345">
            <v>0.20138888889050577</v>
          </cell>
          <cell r="Y345">
            <v>0.20138888889050577</v>
          </cell>
          <cell r="AB345">
            <v>10</v>
          </cell>
          <cell r="AC345">
            <v>7</v>
          </cell>
          <cell r="AD345">
            <v>0</v>
          </cell>
          <cell r="BF345">
            <v>0</v>
          </cell>
          <cell r="BG345">
            <v>0</v>
          </cell>
          <cell r="BH345">
            <v>0</v>
          </cell>
          <cell r="BI345">
            <v>0</v>
          </cell>
          <cell r="BJ345">
            <v>0</v>
          </cell>
          <cell r="BK345">
            <v>0</v>
          </cell>
          <cell r="BL345">
            <v>0</v>
          </cell>
          <cell r="BM345">
            <v>0</v>
          </cell>
          <cell r="BN345">
            <v>0</v>
          </cell>
          <cell r="BO345">
            <v>0</v>
          </cell>
          <cell r="BP345">
            <v>10</v>
          </cell>
          <cell r="BQ345">
            <v>0</v>
          </cell>
          <cell r="BR345">
            <v>0</v>
          </cell>
          <cell r="BS345">
            <v>0</v>
          </cell>
          <cell r="BT345">
            <v>0</v>
          </cell>
          <cell r="BU345">
            <v>0</v>
          </cell>
          <cell r="BV345">
            <v>0</v>
          </cell>
          <cell r="BW345">
            <v>0</v>
          </cell>
          <cell r="BX345">
            <v>0</v>
          </cell>
          <cell r="BY345">
            <v>0</v>
          </cell>
          <cell r="BZ345">
            <v>0</v>
          </cell>
          <cell r="CA345">
            <v>0</v>
          </cell>
          <cell r="CB345">
            <v>0</v>
          </cell>
          <cell r="CC345">
            <v>0</v>
          </cell>
          <cell r="CD345">
            <v>0</v>
          </cell>
        </row>
        <row r="346">
          <cell r="C346">
            <v>37826</v>
          </cell>
          <cell r="D346">
            <v>37970</v>
          </cell>
          <cell r="E346">
            <v>37898</v>
          </cell>
          <cell r="F346">
            <v>0.41666666666666669</v>
          </cell>
          <cell r="G346" t="str">
            <v>Linha de Pintura 15m</v>
          </cell>
          <cell r="H346" t="str">
            <v>Funcionamento com meia fase</v>
          </cell>
          <cell r="I346">
            <v>0</v>
          </cell>
          <cell r="J346" t="str">
            <v>Sim</v>
          </cell>
          <cell r="K346" t="str">
            <v>Elétrica</v>
          </cell>
          <cell r="L346" t="str">
            <v>Correção de mau contato</v>
          </cell>
          <cell r="M346" t="str">
            <v>Vibração</v>
          </cell>
          <cell r="N346">
            <v>37898</v>
          </cell>
          <cell r="O346">
            <v>0.41666666666666669</v>
          </cell>
          <cell r="P346">
            <v>0</v>
          </cell>
          <cell r="T346">
            <v>37898</v>
          </cell>
          <cell r="U346">
            <v>0.625</v>
          </cell>
          <cell r="V346">
            <v>0</v>
          </cell>
          <cell r="W346">
            <v>0.20833333333333331</v>
          </cell>
          <cell r="X346">
            <v>0</v>
          </cell>
          <cell r="Y346">
            <v>0</v>
          </cell>
          <cell r="AB346">
            <v>10</v>
          </cell>
          <cell r="AC346">
            <v>7</v>
          </cell>
          <cell r="AD346">
            <v>0</v>
          </cell>
          <cell r="BF346">
            <v>0</v>
          </cell>
          <cell r="BG346">
            <v>0</v>
          </cell>
          <cell r="BH346">
            <v>0</v>
          </cell>
          <cell r="BI346">
            <v>0</v>
          </cell>
          <cell r="BJ346">
            <v>0</v>
          </cell>
          <cell r="BK346">
            <v>0</v>
          </cell>
          <cell r="BL346">
            <v>0</v>
          </cell>
          <cell r="BM346">
            <v>0</v>
          </cell>
          <cell r="BN346">
            <v>10</v>
          </cell>
          <cell r="BO346">
            <v>0</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C346">
            <v>0</v>
          </cell>
          <cell r="CD346">
            <v>0</v>
          </cell>
        </row>
        <row r="347">
          <cell r="C347">
            <v>37826</v>
          </cell>
          <cell r="D347">
            <v>37918</v>
          </cell>
          <cell r="E347">
            <v>37902</v>
          </cell>
          <cell r="F347">
            <v>0.88194444444444453</v>
          </cell>
          <cell r="G347" t="str">
            <v>Linha de Pintura 15m</v>
          </cell>
          <cell r="H347" t="str">
            <v>Linha parou de funcionar</v>
          </cell>
          <cell r="I347" t="str">
            <v>Corretiva</v>
          </cell>
          <cell r="J347" t="str">
            <v>Sim</v>
          </cell>
          <cell r="K347" t="str">
            <v>Mecânica</v>
          </cell>
          <cell r="L347" t="str">
            <v>Substituição do(s) Componente(s)</v>
          </cell>
          <cell r="M347" t="str">
            <v>Sobrecarga</v>
          </cell>
          <cell r="N347">
            <v>37902</v>
          </cell>
          <cell r="O347">
            <v>0.89583333333333337</v>
          </cell>
          <cell r="P347">
            <v>37902</v>
          </cell>
          <cell r="Q347">
            <v>0.89583333333333337</v>
          </cell>
          <cell r="T347">
            <v>37902</v>
          </cell>
          <cell r="U347">
            <v>0.9375</v>
          </cell>
          <cell r="V347">
            <v>37902</v>
          </cell>
          <cell r="W347">
            <v>0.9375</v>
          </cell>
          <cell r="X347">
            <v>4.166666666666663E-2</v>
          </cell>
          <cell r="Y347">
            <v>4.166666666666663E-2</v>
          </cell>
          <cell r="AB347">
            <v>10</v>
          </cell>
          <cell r="AC347">
            <v>7</v>
          </cell>
          <cell r="AD347">
            <v>0</v>
          </cell>
          <cell r="BF347">
            <v>0</v>
          </cell>
          <cell r="BG347">
            <v>0</v>
          </cell>
          <cell r="BH347">
            <v>0</v>
          </cell>
          <cell r="BI347">
            <v>0</v>
          </cell>
          <cell r="BJ347">
            <v>0</v>
          </cell>
          <cell r="BK347">
            <v>0</v>
          </cell>
          <cell r="BL347">
            <v>0</v>
          </cell>
          <cell r="BM347">
            <v>0</v>
          </cell>
          <cell r="BN347">
            <v>10</v>
          </cell>
          <cell r="BO347">
            <v>0</v>
          </cell>
          <cell r="BP347">
            <v>0</v>
          </cell>
          <cell r="BQ347">
            <v>0</v>
          </cell>
          <cell r="BR347">
            <v>0</v>
          </cell>
          <cell r="BS347">
            <v>0</v>
          </cell>
          <cell r="BT347">
            <v>0</v>
          </cell>
          <cell r="BU347">
            <v>0</v>
          </cell>
          <cell r="BV347">
            <v>0</v>
          </cell>
          <cell r="BW347">
            <v>0</v>
          </cell>
          <cell r="BX347">
            <v>0</v>
          </cell>
          <cell r="BY347">
            <v>0</v>
          </cell>
          <cell r="BZ347">
            <v>0</v>
          </cell>
          <cell r="CA347">
            <v>0</v>
          </cell>
          <cell r="CB347">
            <v>0</v>
          </cell>
          <cell r="CC347">
            <v>0</v>
          </cell>
          <cell r="CD347">
            <v>0</v>
          </cell>
        </row>
        <row r="348">
          <cell r="C348">
            <v>37826</v>
          </cell>
          <cell r="D348">
            <v>37928</v>
          </cell>
          <cell r="E348">
            <v>37922</v>
          </cell>
          <cell r="F348">
            <v>0.41666666666666669</v>
          </cell>
          <cell r="G348" t="str">
            <v>Linha de Pintura 8,5m</v>
          </cell>
          <cell r="H348" t="str">
            <v>Bomba do Recuperador de pó necessita de Limpeza - Mangueira furada</v>
          </cell>
          <cell r="I348" t="str">
            <v>Corretiva</v>
          </cell>
          <cell r="J348" t="str">
            <v>Não</v>
          </cell>
          <cell r="K348" t="str">
            <v>Mecânica</v>
          </cell>
          <cell r="L348" t="str">
            <v>Limpeza do Equipamento / Componente</v>
          </cell>
          <cell r="M348" t="str">
            <v>Sujeira em excesso</v>
          </cell>
          <cell r="N348">
            <v>37922</v>
          </cell>
          <cell r="O348">
            <v>0.41666666666666669</v>
          </cell>
          <cell r="P348">
            <v>37922</v>
          </cell>
          <cell r="Q348">
            <v>0.41666666666666669</v>
          </cell>
          <cell r="T348">
            <v>37922</v>
          </cell>
          <cell r="U348">
            <v>0.45833333333333331</v>
          </cell>
          <cell r="V348">
            <v>37922</v>
          </cell>
          <cell r="W348">
            <v>0.45833333333333331</v>
          </cell>
          <cell r="X348">
            <v>4.1666666669091967E-2</v>
          </cell>
          <cell r="Y348">
            <v>4.1666666669091967E-2</v>
          </cell>
          <cell r="AB348">
            <v>10</v>
          </cell>
          <cell r="AC348">
            <v>7</v>
          </cell>
          <cell r="AD348">
            <v>0</v>
          </cell>
          <cell r="BF348">
            <v>0</v>
          </cell>
          <cell r="BG348">
            <v>0</v>
          </cell>
          <cell r="BH348">
            <v>0</v>
          </cell>
          <cell r="BI348">
            <v>0</v>
          </cell>
          <cell r="BJ348">
            <v>0</v>
          </cell>
          <cell r="BK348">
            <v>0</v>
          </cell>
          <cell r="BL348">
            <v>0</v>
          </cell>
          <cell r="BM348">
            <v>0</v>
          </cell>
          <cell r="BN348">
            <v>0</v>
          </cell>
          <cell r="BO348">
            <v>0</v>
          </cell>
          <cell r="BP348">
            <v>10</v>
          </cell>
          <cell r="BQ348">
            <v>0</v>
          </cell>
          <cell r="BR348">
            <v>0</v>
          </cell>
          <cell r="BS348">
            <v>0</v>
          </cell>
          <cell r="BT348">
            <v>0</v>
          </cell>
          <cell r="BU348">
            <v>0</v>
          </cell>
          <cell r="BV348">
            <v>0</v>
          </cell>
          <cell r="BW348">
            <v>0</v>
          </cell>
          <cell r="BX348">
            <v>0</v>
          </cell>
          <cell r="BY348">
            <v>0</v>
          </cell>
          <cell r="BZ348">
            <v>0</v>
          </cell>
          <cell r="CA348">
            <v>0</v>
          </cell>
          <cell r="CB348">
            <v>0</v>
          </cell>
          <cell r="CC348">
            <v>0</v>
          </cell>
          <cell r="CD348">
            <v>0</v>
          </cell>
        </row>
        <row r="349">
          <cell r="C349">
            <v>37826</v>
          </cell>
          <cell r="D349">
            <v>37970</v>
          </cell>
          <cell r="E349">
            <v>37953</v>
          </cell>
          <cell r="F349">
            <v>37953</v>
          </cell>
          <cell r="G349">
            <v>0.41666666666666669</v>
          </cell>
          <cell r="H349" t="str">
            <v>Anomalia no elevador de descarga</v>
          </cell>
          <cell r="I349">
            <v>0</v>
          </cell>
          <cell r="J349" t="str">
            <v>Sim</v>
          </cell>
          <cell r="K349" t="str">
            <v>Elétrica</v>
          </cell>
          <cell r="L349" t="str">
            <v>Sim</v>
          </cell>
          <cell r="M349" t="str">
            <v>Causa não especificada</v>
          </cell>
          <cell r="N349">
            <v>37953</v>
          </cell>
          <cell r="O349">
            <v>0.41666666666666669</v>
          </cell>
          <cell r="P349">
            <v>37953</v>
          </cell>
          <cell r="Q349">
            <v>0.41666666666666669</v>
          </cell>
          <cell r="T349">
            <v>37953</v>
          </cell>
          <cell r="U349">
            <v>0.4375</v>
          </cell>
          <cell r="V349">
            <v>37953</v>
          </cell>
          <cell r="W349">
            <v>0.4375</v>
          </cell>
          <cell r="X349">
            <v>2.0833333333333315E-2</v>
          </cell>
          <cell r="Y349">
            <v>2.0833333333333315E-2</v>
          </cell>
          <cell r="AB349">
            <v>11</v>
          </cell>
          <cell r="AC349">
            <v>7</v>
          </cell>
          <cell r="AD349">
            <v>0</v>
          </cell>
          <cell r="BF349">
            <v>0</v>
          </cell>
          <cell r="BG349">
            <v>0</v>
          </cell>
          <cell r="BH349">
            <v>0</v>
          </cell>
          <cell r="BI349">
            <v>0</v>
          </cell>
          <cell r="BJ349">
            <v>0</v>
          </cell>
          <cell r="BK349">
            <v>0</v>
          </cell>
          <cell r="BL349">
            <v>0</v>
          </cell>
          <cell r="BM349">
            <v>0</v>
          </cell>
          <cell r="BN349">
            <v>0</v>
          </cell>
          <cell r="BO349">
            <v>0</v>
          </cell>
          <cell r="BP349">
            <v>11</v>
          </cell>
          <cell r="BQ349">
            <v>0</v>
          </cell>
          <cell r="BR349">
            <v>0</v>
          </cell>
          <cell r="BS349">
            <v>0</v>
          </cell>
          <cell r="BT349">
            <v>0</v>
          </cell>
          <cell r="BU349">
            <v>0</v>
          </cell>
          <cell r="BV349">
            <v>0</v>
          </cell>
          <cell r="BW349">
            <v>0</v>
          </cell>
          <cell r="BX349">
            <v>0</v>
          </cell>
          <cell r="BY349">
            <v>0</v>
          </cell>
          <cell r="BZ349">
            <v>0</v>
          </cell>
          <cell r="CA349">
            <v>0</v>
          </cell>
          <cell r="CB349">
            <v>0</v>
          </cell>
          <cell r="CC349">
            <v>0</v>
          </cell>
          <cell r="CD349">
            <v>0</v>
          </cell>
        </row>
        <row r="350">
          <cell r="C350">
            <v>37826</v>
          </cell>
          <cell r="D350">
            <v>37928</v>
          </cell>
          <cell r="E350">
            <v>37926</v>
          </cell>
          <cell r="F350">
            <v>0.60902777777777783</v>
          </cell>
          <cell r="G350" t="str">
            <v>Linha de Pintura 8,5m</v>
          </cell>
          <cell r="H350" t="str">
            <v>Ssitema de Exaustão apresenta funcionamento inadequado</v>
          </cell>
          <cell r="I350" t="str">
            <v>Corretiva</v>
          </cell>
          <cell r="J350" t="str">
            <v>Sim</v>
          </cell>
          <cell r="K350" t="str">
            <v>Elétrica</v>
          </cell>
          <cell r="L350" t="str">
            <v>Substituição do(s) Componente(s)</v>
          </cell>
          <cell r="M350" t="str">
            <v>Sobrecarga</v>
          </cell>
          <cell r="N350">
            <v>37926</v>
          </cell>
          <cell r="O350">
            <v>0.61111111111111105</v>
          </cell>
          <cell r="P350">
            <v>37926</v>
          </cell>
          <cell r="Q350">
            <v>0.61111111111111105</v>
          </cell>
          <cell r="T350">
            <v>37926</v>
          </cell>
          <cell r="U350">
            <v>0.625</v>
          </cell>
          <cell r="V350">
            <v>37926</v>
          </cell>
          <cell r="W350">
            <v>0.625</v>
          </cell>
          <cell r="X350">
            <v>1.3888888888888951E-2</v>
          </cell>
          <cell r="Y350">
            <v>1.3888888888888951E-2</v>
          </cell>
          <cell r="AB350">
            <v>11</v>
          </cell>
          <cell r="AC350">
            <v>7</v>
          </cell>
          <cell r="AD350">
            <v>0</v>
          </cell>
          <cell r="BF350">
            <v>0</v>
          </cell>
          <cell r="BG350">
            <v>0</v>
          </cell>
          <cell r="BH350">
            <v>0</v>
          </cell>
          <cell r="BI350">
            <v>0</v>
          </cell>
          <cell r="BJ350">
            <v>0</v>
          </cell>
          <cell r="BK350">
            <v>0</v>
          </cell>
          <cell r="BL350">
            <v>0</v>
          </cell>
          <cell r="BM350">
            <v>0</v>
          </cell>
          <cell r="BN350">
            <v>0</v>
          </cell>
          <cell r="BO350">
            <v>0</v>
          </cell>
          <cell r="BP350">
            <v>11</v>
          </cell>
          <cell r="BQ350">
            <v>0</v>
          </cell>
          <cell r="BR350">
            <v>0</v>
          </cell>
          <cell r="BS350">
            <v>0</v>
          </cell>
          <cell r="BT350">
            <v>0</v>
          </cell>
          <cell r="BU350">
            <v>0</v>
          </cell>
          <cell r="BV350">
            <v>0</v>
          </cell>
          <cell r="BW350">
            <v>0</v>
          </cell>
          <cell r="BX350">
            <v>0</v>
          </cell>
          <cell r="BY350">
            <v>0</v>
          </cell>
          <cell r="BZ350">
            <v>0</v>
          </cell>
          <cell r="CA350">
            <v>0</v>
          </cell>
          <cell r="CB350">
            <v>0</v>
          </cell>
          <cell r="CC350">
            <v>0</v>
          </cell>
          <cell r="CD350">
            <v>0</v>
          </cell>
        </row>
        <row r="351">
          <cell r="C351">
            <v>37826</v>
          </cell>
          <cell r="D351">
            <v>37970</v>
          </cell>
          <cell r="E351">
            <v>37929</v>
          </cell>
          <cell r="F351">
            <v>37929</v>
          </cell>
          <cell r="G351">
            <v>0.41666666666666669</v>
          </cell>
          <cell r="H351" t="str">
            <v>Peneira do Recuperador de pó rompida</v>
          </cell>
          <cell r="I351">
            <v>0</v>
          </cell>
          <cell r="J351" t="str">
            <v>Não</v>
          </cell>
          <cell r="K351" t="str">
            <v>Mecânica</v>
          </cell>
          <cell r="L351" t="str">
            <v>Não</v>
          </cell>
          <cell r="M351" t="str">
            <v>Desgaste / Fadiga</v>
          </cell>
          <cell r="N351">
            <v>37930</v>
          </cell>
          <cell r="O351">
            <v>0.375</v>
          </cell>
          <cell r="P351">
            <v>37930</v>
          </cell>
          <cell r="Q351">
            <v>0.375</v>
          </cell>
          <cell r="T351">
            <v>37930</v>
          </cell>
          <cell r="U351">
            <v>0.58333333333333337</v>
          </cell>
          <cell r="V351">
            <v>37930</v>
          </cell>
          <cell r="W351">
            <v>0.58333333333333337</v>
          </cell>
          <cell r="X351">
            <v>0.20833333333575865</v>
          </cell>
          <cell r="Y351">
            <v>0.20833333333575865</v>
          </cell>
          <cell r="AB351">
            <v>11</v>
          </cell>
          <cell r="AC351">
            <v>7</v>
          </cell>
          <cell r="AD351">
            <v>0</v>
          </cell>
          <cell r="BF351">
            <v>0</v>
          </cell>
          <cell r="BG351">
            <v>0</v>
          </cell>
          <cell r="BH351">
            <v>0</v>
          </cell>
          <cell r="BI351">
            <v>0</v>
          </cell>
          <cell r="BJ351">
            <v>0</v>
          </cell>
          <cell r="BK351">
            <v>0</v>
          </cell>
          <cell r="BL351">
            <v>0</v>
          </cell>
          <cell r="BM351">
            <v>0</v>
          </cell>
          <cell r="BN351">
            <v>0</v>
          </cell>
          <cell r="BO351">
            <v>0</v>
          </cell>
          <cell r="BP351">
            <v>11</v>
          </cell>
          <cell r="BQ351">
            <v>0</v>
          </cell>
          <cell r="BR351">
            <v>0</v>
          </cell>
          <cell r="BS351">
            <v>0</v>
          </cell>
          <cell r="BT351">
            <v>0</v>
          </cell>
          <cell r="BU351">
            <v>0</v>
          </cell>
          <cell r="BV351">
            <v>0</v>
          </cell>
          <cell r="BW351">
            <v>0</v>
          </cell>
          <cell r="BX351">
            <v>0</v>
          </cell>
          <cell r="BY351">
            <v>0</v>
          </cell>
          <cell r="BZ351">
            <v>0</v>
          </cell>
          <cell r="CA351">
            <v>0</v>
          </cell>
          <cell r="CB351">
            <v>0</v>
          </cell>
          <cell r="CC351">
            <v>0</v>
          </cell>
          <cell r="CD351">
            <v>0</v>
          </cell>
        </row>
        <row r="352">
          <cell r="C352">
            <v>37826</v>
          </cell>
          <cell r="D352">
            <v>37970</v>
          </cell>
          <cell r="E352">
            <v>37929</v>
          </cell>
          <cell r="F352">
            <v>37929</v>
          </cell>
          <cell r="G352">
            <v>0.41666666666666669</v>
          </cell>
          <cell r="H352" t="str">
            <v>Mangueira da Pistola Manual danificada</v>
          </cell>
          <cell r="I352">
            <v>0</v>
          </cell>
          <cell r="J352" t="str">
            <v>Não</v>
          </cell>
          <cell r="K352" t="str">
            <v>Mecânica</v>
          </cell>
          <cell r="L352" t="str">
            <v>Não</v>
          </cell>
          <cell r="M352" t="str">
            <v>Sujeira em excesso</v>
          </cell>
          <cell r="N352">
            <v>37929</v>
          </cell>
          <cell r="O352">
            <v>0.45833333333333331</v>
          </cell>
          <cell r="P352">
            <v>37929</v>
          </cell>
          <cell r="Q352">
            <v>0.45833333333333331</v>
          </cell>
          <cell r="T352">
            <v>37929</v>
          </cell>
          <cell r="U352">
            <v>0.54166666666666663</v>
          </cell>
          <cell r="V352">
            <v>37929</v>
          </cell>
          <cell r="W352">
            <v>0.54166666666666663</v>
          </cell>
          <cell r="X352">
            <v>8.3333333330908033E-2</v>
          </cell>
          <cell r="Y352">
            <v>8.3333333330908033E-2</v>
          </cell>
          <cell r="AB352">
            <v>11</v>
          </cell>
          <cell r="AC352">
            <v>7</v>
          </cell>
          <cell r="AD352">
            <v>0</v>
          </cell>
          <cell r="BF352">
            <v>0</v>
          </cell>
          <cell r="BG352">
            <v>0</v>
          </cell>
          <cell r="BH352">
            <v>0</v>
          </cell>
          <cell r="BI352">
            <v>0</v>
          </cell>
          <cell r="BJ352">
            <v>0</v>
          </cell>
          <cell r="BK352">
            <v>0</v>
          </cell>
          <cell r="BL352">
            <v>0</v>
          </cell>
          <cell r="BM352">
            <v>0</v>
          </cell>
          <cell r="BN352">
            <v>0</v>
          </cell>
          <cell r="BO352">
            <v>0</v>
          </cell>
          <cell r="BP352">
            <v>11</v>
          </cell>
          <cell r="BQ352">
            <v>0</v>
          </cell>
          <cell r="BR352">
            <v>0</v>
          </cell>
          <cell r="BS352">
            <v>0</v>
          </cell>
          <cell r="BT352">
            <v>0</v>
          </cell>
          <cell r="BU352">
            <v>0</v>
          </cell>
          <cell r="BV352">
            <v>0</v>
          </cell>
          <cell r="BW352">
            <v>0</v>
          </cell>
          <cell r="BX352">
            <v>0</v>
          </cell>
          <cell r="BY352">
            <v>0</v>
          </cell>
          <cell r="BZ352">
            <v>0</v>
          </cell>
          <cell r="CA352">
            <v>0</v>
          </cell>
          <cell r="CB352">
            <v>0</v>
          </cell>
          <cell r="CC352">
            <v>0</v>
          </cell>
          <cell r="CD352">
            <v>0</v>
          </cell>
        </row>
        <row r="353">
          <cell r="C353">
            <v>37826</v>
          </cell>
          <cell r="D353">
            <v>37970</v>
          </cell>
          <cell r="E353">
            <v>37932</v>
          </cell>
          <cell r="F353">
            <v>0.625</v>
          </cell>
          <cell r="G353" t="str">
            <v>Linha de Pintura 8,5m</v>
          </cell>
          <cell r="H353" t="str">
            <v>Peças enroscadas no forno de secagem</v>
          </cell>
          <cell r="I353" t="str">
            <v>Corretiva</v>
          </cell>
          <cell r="J353" t="str">
            <v>Sim</v>
          </cell>
          <cell r="K353" t="str">
            <v>Mecânica</v>
          </cell>
          <cell r="L353" t="str">
            <v>Sim</v>
          </cell>
          <cell r="M353" t="str">
            <v>Falha Operacional</v>
          </cell>
          <cell r="N353">
            <v>37932</v>
          </cell>
          <cell r="O353">
            <v>0.625</v>
          </cell>
          <cell r="P353">
            <v>37932</v>
          </cell>
          <cell r="Q353">
            <v>0.625</v>
          </cell>
          <cell r="T353">
            <v>37932</v>
          </cell>
          <cell r="U353">
            <v>0.6875</v>
          </cell>
          <cell r="V353">
            <v>37932</v>
          </cell>
          <cell r="W353">
            <v>0.6875</v>
          </cell>
          <cell r="X353">
            <v>6.25E-2</v>
          </cell>
          <cell r="Y353">
            <v>6.25E-2</v>
          </cell>
          <cell r="AB353">
            <v>11</v>
          </cell>
          <cell r="AC353">
            <v>7</v>
          </cell>
          <cell r="AD353">
            <v>0</v>
          </cell>
          <cell r="BF353">
            <v>0</v>
          </cell>
          <cell r="BG353">
            <v>0</v>
          </cell>
          <cell r="BH353">
            <v>0</v>
          </cell>
          <cell r="BI353">
            <v>0</v>
          </cell>
          <cell r="BJ353">
            <v>0</v>
          </cell>
          <cell r="BK353">
            <v>0</v>
          </cell>
          <cell r="BL353">
            <v>0</v>
          </cell>
          <cell r="BM353">
            <v>0</v>
          </cell>
          <cell r="BN353">
            <v>0</v>
          </cell>
          <cell r="BO353">
            <v>0</v>
          </cell>
          <cell r="BP353">
            <v>11</v>
          </cell>
          <cell r="BQ353">
            <v>0</v>
          </cell>
          <cell r="BR353">
            <v>0</v>
          </cell>
          <cell r="BS353">
            <v>0</v>
          </cell>
          <cell r="BT353">
            <v>0</v>
          </cell>
          <cell r="BU353">
            <v>0</v>
          </cell>
          <cell r="BV353">
            <v>0</v>
          </cell>
          <cell r="BW353">
            <v>0</v>
          </cell>
          <cell r="BX353">
            <v>0</v>
          </cell>
          <cell r="BY353">
            <v>0</v>
          </cell>
          <cell r="BZ353">
            <v>0</v>
          </cell>
          <cell r="CA353">
            <v>0</v>
          </cell>
          <cell r="CB353">
            <v>0</v>
          </cell>
          <cell r="CC353">
            <v>0</v>
          </cell>
          <cell r="CD353">
            <v>0</v>
          </cell>
        </row>
        <row r="354">
          <cell r="C354">
            <v>37826</v>
          </cell>
          <cell r="D354">
            <v>37970</v>
          </cell>
          <cell r="E354">
            <v>37942</v>
          </cell>
          <cell r="F354">
            <v>0.3840277777777778</v>
          </cell>
          <cell r="G354" t="str">
            <v>Linha de Pintura 8,5m</v>
          </cell>
          <cell r="H354" t="str">
            <v>Anomalia na entrada do forno de secagem</v>
          </cell>
          <cell r="I354">
            <v>0</v>
          </cell>
          <cell r="J354" t="str">
            <v>Não</v>
          </cell>
          <cell r="K354" t="str">
            <v>Mecânica</v>
          </cell>
          <cell r="L354" t="str">
            <v>Ajuste / Regulagem</v>
          </cell>
          <cell r="M354" t="str">
            <v>Desgaste / Fadiga</v>
          </cell>
          <cell r="N354">
            <v>37942</v>
          </cell>
          <cell r="O354">
            <v>0.3888888888888889</v>
          </cell>
          <cell r="P354">
            <v>0</v>
          </cell>
          <cell r="T354">
            <v>37942</v>
          </cell>
          <cell r="U354">
            <v>0.41666666666666669</v>
          </cell>
          <cell r="V354">
            <v>0</v>
          </cell>
          <cell r="W354">
            <v>2.7777777775352452E-2</v>
          </cell>
          <cell r="X354">
            <v>0</v>
          </cell>
          <cell r="Y354">
            <v>0</v>
          </cell>
          <cell r="AB354">
            <v>11</v>
          </cell>
          <cell r="AC354">
            <v>7</v>
          </cell>
          <cell r="AD354">
            <v>0</v>
          </cell>
          <cell r="BF354">
            <v>0</v>
          </cell>
          <cell r="BG354">
            <v>0</v>
          </cell>
          <cell r="BH354">
            <v>0</v>
          </cell>
          <cell r="BI354">
            <v>0</v>
          </cell>
          <cell r="BJ354">
            <v>0</v>
          </cell>
          <cell r="BK354">
            <v>0</v>
          </cell>
          <cell r="BL354">
            <v>0</v>
          </cell>
          <cell r="BM354">
            <v>0</v>
          </cell>
          <cell r="BN354">
            <v>0</v>
          </cell>
          <cell r="BO354">
            <v>0</v>
          </cell>
          <cell r="BP354">
            <v>11</v>
          </cell>
          <cell r="BQ354">
            <v>0</v>
          </cell>
          <cell r="BR354">
            <v>0</v>
          </cell>
          <cell r="BS354">
            <v>0</v>
          </cell>
          <cell r="BT354">
            <v>0</v>
          </cell>
          <cell r="BU354">
            <v>0</v>
          </cell>
          <cell r="BV354">
            <v>0</v>
          </cell>
          <cell r="BW354">
            <v>0</v>
          </cell>
          <cell r="BX354">
            <v>0</v>
          </cell>
          <cell r="BY354">
            <v>0</v>
          </cell>
          <cell r="BZ354">
            <v>0</v>
          </cell>
          <cell r="CA354">
            <v>0</v>
          </cell>
          <cell r="CB354">
            <v>0</v>
          </cell>
          <cell r="CC354">
            <v>0</v>
          </cell>
          <cell r="CD354">
            <v>0</v>
          </cell>
        </row>
        <row r="355">
          <cell r="C355">
            <v>37826</v>
          </cell>
          <cell r="D355">
            <v>37970</v>
          </cell>
          <cell r="E355">
            <v>37932</v>
          </cell>
          <cell r="F355">
            <v>0.66666666666666663</v>
          </cell>
          <cell r="G355" t="str">
            <v>Linha de Pintura 8,5m</v>
          </cell>
          <cell r="H355" t="str">
            <v>Falha no exaustor da cabine 01</v>
          </cell>
          <cell r="I355">
            <v>0</v>
          </cell>
          <cell r="J355" t="str">
            <v>Sim</v>
          </cell>
          <cell r="K355" t="str">
            <v>Elétrica</v>
          </cell>
          <cell r="L355" t="str">
            <v>Substituição do(s) Componente(s)</v>
          </cell>
          <cell r="M355" t="str">
            <v>Sobrecarga</v>
          </cell>
          <cell r="N355">
            <v>37932</v>
          </cell>
          <cell r="O355">
            <v>0.70833333333333337</v>
          </cell>
          <cell r="P355">
            <v>0</v>
          </cell>
          <cell r="T355">
            <v>37932</v>
          </cell>
          <cell r="U355">
            <v>0.8125</v>
          </cell>
          <cell r="V355">
            <v>0</v>
          </cell>
          <cell r="W355">
            <v>0.14583333333333337</v>
          </cell>
          <cell r="X355">
            <v>0</v>
          </cell>
          <cell r="Y355">
            <v>0</v>
          </cell>
          <cell r="AB355">
            <v>11</v>
          </cell>
          <cell r="AC355">
            <v>7</v>
          </cell>
          <cell r="AD355">
            <v>0</v>
          </cell>
          <cell r="BF355">
            <v>0</v>
          </cell>
          <cell r="BG355">
            <v>0</v>
          </cell>
          <cell r="BH355">
            <v>0</v>
          </cell>
          <cell r="BI355">
            <v>0</v>
          </cell>
          <cell r="BJ355">
            <v>0</v>
          </cell>
          <cell r="BK355">
            <v>0</v>
          </cell>
          <cell r="BL355">
            <v>0</v>
          </cell>
          <cell r="BM355">
            <v>0</v>
          </cell>
          <cell r="BN355">
            <v>0</v>
          </cell>
          <cell r="BO355">
            <v>0</v>
          </cell>
          <cell r="BP355">
            <v>11</v>
          </cell>
          <cell r="BQ355">
            <v>0</v>
          </cell>
          <cell r="BR355">
            <v>0</v>
          </cell>
          <cell r="BS355">
            <v>0</v>
          </cell>
          <cell r="BT355">
            <v>0</v>
          </cell>
          <cell r="BU355">
            <v>0</v>
          </cell>
          <cell r="BV355">
            <v>0</v>
          </cell>
          <cell r="BW355">
            <v>0</v>
          </cell>
          <cell r="BX355">
            <v>0</v>
          </cell>
          <cell r="BY355">
            <v>0</v>
          </cell>
          <cell r="BZ355">
            <v>0</v>
          </cell>
          <cell r="CA355">
            <v>0</v>
          </cell>
          <cell r="CB355">
            <v>0</v>
          </cell>
          <cell r="CC355">
            <v>0</v>
          </cell>
          <cell r="CD355">
            <v>0</v>
          </cell>
        </row>
        <row r="356">
          <cell r="C356">
            <v>37826</v>
          </cell>
          <cell r="D356">
            <v>37970</v>
          </cell>
          <cell r="E356">
            <v>37932</v>
          </cell>
          <cell r="F356">
            <v>0.66666666666666663</v>
          </cell>
          <cell r="G356" t="str">
            <v>Linha de Pintura 8,5m</v>
          </cell>
          <cell r="H356" t="str">
            <v>Inserir plug no aspirador de pó</v>
          </cell>
          <cell r="I356">
            <v>0</v>
          </cell>
          <cell r="J356" t="str">
            <v>Sim</v>
          </cell>
          <cell r="K356" t="str">
            <v>Elétrica</v>
          </cell>
          <cell r="L356" t="str">
            <v>Substituição do(s) Componente(s)</v>
          </cell>
          <cell r="M356" t="str">
            <v>Falha Operacional</v>
          </cell>
          <cell r="N356">
            <v>37932</v>
          </cell>
          <cell r="O356">
            <v>0.70833333333333337</v>
          </cell>
          <cell r="P356">
            <v>0</v>
          </cell>
          <cell r="T356">
            <v>37932</v>
          </cell>
          <cell r="U356">
            <v>0.71875</v>
          </cell>
          <cell r="V356">
            <v>0</v>
          </cell>
          <cell r="W356">
            <v>5.208333333333337E-2</v>
          </cell>
          <cell r="X356">
            <v>0</v>
          </cell>
          <cell r="Y356">
            <v>0</v>
          </cell>
          <cell r="AB356">
            <v>11</v>
          </cell>
          <cell r="AC356">
            <v>7</v>
          </cell>
          <cell r="AD356">
            <v>0</v>
          </cell>
          <cell r="BF356">
            <v>0</v>
          </cell>
          <cell r="BG356">
            <v>0</v>
          </cell>
          <cell r="BH356">
            <v>0</v>
          </cell>
          <cell r="BI356">
            <v>0</v>
          </cell>
          <cell r="BJ356">
            <v>0</v>
          </cell>
          <cell r="BK356">
            <v>0</v>
          </cell>
          <cell r="BL356">
            <v>0</v>
          </cell>
          <cell r="BM356">
            <v>0</v>
          </cell>
          <cell r="BN356">
            <v>0</v>
          </cell>
          <cell r="BO356">
            <v>0</v>
          </cell>
          <cell r="BP356">
            <v>11</v>
          </cell>
          <cell r="BQ356">
            <v>0</v>
          </cell>
          <cell r="BR356">
            <v>0</v>
          </cell>
          <cell r="BS356">
            <v>0</v>
          </cell>
          <cell r="BT356">
            <v>0</v>
          </cell>
          <cell r="BU356">
            <v>0</v>
          </cell>
          <cell r="BV356">
            <v>0</v>
          </cell>
          <cell r="BW356">
            <v>0</v>
          </cell>
          <cell r="BX356">
            <v>0</v>
          </cell>
          <cell r="BY356">
            <v>0</v>
          </cell>
          <cell r="BZ356">
            <v>0</v>
          </cell>
          <cell r="CA356">
            <v>0</v>
          </cell>
          <cell r="CB356">
            <v>0</v>
          </cell>
          <cell r="CC356">
            <v>0</v>
          </cell>
          <cell r="CD356">
            <v>0</v>
          </cell>
        </row>
        <row r="357">
          <cell r="C357">
            <v>37826</v>
          </cell>
          <cell r="D357">
            <v>37858</v>
          </cell>
          <cell r="E357">
            <v>37838</v>
          </cell>
          <cell r="F357">
            <v>0.41666666666666669</v>
          </cell>
          <cell r="G357" t="str">
            <v>Prensa Jundiaí Conectores</v>
          </cell>
          <cell r="H357" t="str">
            <v>Indicador de curso não funciona</v>
          </cell>
          <cell r="I357" t="str">
            <v>Corretiva</v>
          </cell>
          <cell r="J357" t="str">
            <v>Sim</v>
          </cell>
          <cell r="K357" t="str">
            <v>Mecânica</v>
          </cell>
          <cell r="L357" t="str">
            <v>Substituição do(s) Componente(s)</v>
          </cell>
          <cell r="M357" t="str">
            <v>Vibração</v>
          </cell>
          <cell r="N357">
            <v>37838</v>
          </cell>
          <cell r="O357">
            <v>0.41666666666666669</v>
          </cell>
          <cell r="P357">
            <v>37838</v>
          </cell>
          <cell r="Q357">
            <v>0.41666666666666669</v>
          </cell>
          <cell r="T357">
            <v>37841</v>
          </cell>
          <cell r="U357">
            <v>0.60416666666666663</v>
          </cell>
          <cell r="V357">
            <v>37841</v>
          </cell>
          <cell r="W357">
            <v>0.60416666666666663</v>
          </cell>
          <cell r="X357">
            <v>0.60416666666666652</v>
          </cell>
          <cell r="Y357">
            <v>0.60416666666424135</v>
          </cell>
          <cell r="AB357">
            <v>8</v>
          </cell>
          <cell r="AC357">
            <v>7</v>
          </cell>
          <cell r="AD357">
            <v>0</v>
          </cell>
          <cell r="BF357">
            <v>0</v>
          </cell>
          <cell r="BG357">
            <v>0</v>
          </cell>
          <cell r="BH357">
            <v>0</v>
          </cell>
          <cell r="BI357">
            <v>0</v>
          </cell>
          <cell r="BJ357">
            <v>0</v>
          </cell>
          <cell r="BK357">
            <v>0</v>
          </cell>
          <cell r="BL357">
            <v>0</v>
          </cell>
          <cell r="BM357">
            <v>0</v>
          </cell>
          <cell r="BN357">
            <v>0</v>
          </cell>
          <cell r="BO357">
            <v>0</v>
          </cell>
          <cell r="BP357">
            <v>0</v>
          </cell>
          <cell r="BQ357">
            <v>0</v>
          </cell>
          <cell r="BR357">
            <v>0</v>
          </cell>
          <cell r="BS357">
            <v>0</v>
          </cell>
          <cell r="BT357">
            <v>0</v>
          </cell>
          <cell r="BU357">
            <v>0</v>
          </cell>
          <cell r="BV357">
            <v>0</v>
          </cell>
          <cell r="BW357">
            <v>0</v>
          </cell>
          <cell r="BX357">
            <v>0</v>
          </cell>
          <cell r="BY357">
            <v>0</v>
          </cell>
          <cell r="BZ357">
            <v>8</v>
          </cell>
          <cell r="CA357">
            <v>0</v>
          </cell>
          <cell r="CB357">
            <v>0</v>
          </cell>
          <cell r="CC357">
            <v>0</v>
          </cell>
          <cell r="CD357">
            <v>0</v>
          </cell>
        </row>
        <row r="358">
          <cell r="C358">
            <v>37826</v>
          </cell>
          <cell r="D358">
            <v>37970</v>
          </cell>
          <cell r="E358">
            <v>37858</v>
          </cell>
          <cell r="F358">
            <v>0.2673611111111111</v>
          </cell>
          <cell r="G358" t="str">
            <v>Prensa Jundiaí Conectores</v>
          </cell>
          <cell r="H358" t="str">
            <v>Chave do painel de ajuste está travada</v>
          </cell>
          <cell r="I358">
            <v>0</v>
          </cell>
          <cell r="J358" t="str">
            <v>Não</v>
          </cell>
          <cell r="K358" t="str">
            <v>Elétrica</v>
          </cell>
          <cell r="L358" t="str">
            <v>Substituição do(s) Componente(s)</v>
          </cell>
          <cell r="M358" t="str">
            <v>Desgaste / Fadiga</v>
          </cell>
          <cell r="N358">
            <v>37868</v>
          </cell>
          <cell r="O358">
            <v>0.41666666666666669</v>
          </cell>
          <cell r="P358">
            <v>0</v>
          </cell>
          <cell r="T358">
            <v>37868</v>
          </cell>
          <cell r="U358">
            <v>0.4375</v>
          </cell>
          <cell r="V358">
            <v>0</v>
          </cell>
          <cell r="W358">
            <v>2.0833333333333315E-2</v>
          </cell>
          <cell r="X358">
            <v>0</v>
          </cell>
          <cell r="Y358">
            <v>0</v>
          </cell>
          <cell r="AB358">
            <v>9</v>
          </cell>
          <cell r="AC358">
            <v>7</v>
          </cell>
          <cell r="AD358">
            <v>0</v>
          </cell>
          <cell r="BF358">
            <v>0</v>
          </cell>
          <cell r="BG358">
            <v>0</v>
          </cell>
          <cell r="BH358">
            <v>0</v>
          </cell>
          <cell r="BI358">
            <v>0</v>
          </cell>
          <cell r="BJ358">
            <v>0</v>
          </cell>
          <cell r="BK358">
            <v>0</v>
          </cell>
          <cell r="BL358">
            <v>0</v>
          </cell>
          <cell r="BM358">
            <v>0</v>
          </cell>
          <cell r="BN358">
            <v>0</v>
          </cell>
          <cell r="BO358">
            <v>0</v>
          </cell>
          <cell r="BP358">
            <v>0</v>
          </cell>
          <cell r="BQ358">
            <v>0</v>
          </cell>
          <cell r="BR358">
            <v>0</v>
          </cell>
          <cell r="BS358">
            <v>0</v>
          </cell>
          <cell r="BT358">
            <v>0</v>
          </cell>
          <cell r="BU358">
            <v>0</v>
          </cell>
          <cell r="BV358">
            <v>0</v>
          </cell>
          <cell r="BW358">
            <v>0</v>
          </cell>
          <cell r="BX358">
            <v>0</v>
          </cell>
          <cell r="BY358">
            <v>0</v>
          </cell>
          <cell r="BZ358">
            <v>9</v>
          </cell>
          <cell r="CA358">
            <v>0</v>
          </cell>
          <cell r="CB358">
            <v>0</v>
          </cell>
          <cell r="CC358">
            <v>0</v>
          </cell>
          <cell r="CD358">
            <v>0</v>
          </cell>
        </row>
        <row r="359">
          <cell r="C359">
            <v>37826</v>
          </cell>
          <cell r="D359">
            <v>37858</v>
          </cell>
          <cell r="E359">
            <v>37851</v>
          </cell>
          <cell r="F359">
            <v>0.61805555555555558</v>
          </cell>
          <cell r="G359" t="str">
            <v>Prensa Jundiaí Conectores</v>
          </cell>
          <cell r="H359" t="str">
            <v>Esteira permite a queda de cavacos no chão</v>
          </cell>
          <cell r="I359" t="str">
            <v>Melhoria</v>
          </cell>
          <cell r="J359" t="str">
            <v>Não</v>
          </cell>
          <cell r="K359" t="str">
            <v>Mecânica</v>
          </cell>
          <cell r="L359" t="str">
            <v>Substituição do(s) Componente(s)</v>
          </cell>
          <cell r="M359" t="str">
            <v>Falha de Projeto</v>
          </cell>
          <cell r="N359">
            <v>37852</v>
          </cell>
          <cell r="O359">
            <v>0.625</v>
          </cell>
          <cell r="P359">
            <v>37852</v>
          </cell>
          <cell r="Q359">
            <v>0.625</v>
          </cell>
          <cell r="T359">
            <v>37852</v>
          </cell>
          <cell r="U359">
            <v>0.75</v>
          </cell>
          <cell r="V359">
            <v>37852</v>
          </cell>
          <cell r="W359">
            <v>0.75</v>
          </cell>
          <cell r="X359">
            <v>0.125</v>
          </cell>
          <cell r="Y359">
            <v>0.125</v>
          </cell>
          <cell r="AB359">
            <v>8</v>
          </cell>
          <cell r="AC359">
            <v>7</v>
          </cell>
          <cell r="AD359">
            <v>0</v>
          </cell>
          <cell r="BF359">
            <v>0</v>
          </cell>
          <cell r="BG359">
            <v>0</v>
          </cell>
          <cell r="BH359">
            <v>0</v>
          </cell>
          <cell r="BI359">
            <v>0</v>
          </cell>
          <cell r="BJ359">
            <v>0</v>
          </cell>
          <cell r="BK359">
            <v>0</v>
          </cell>
          <cell r="BL359">
            <v>0</v>
          </cell>
          <cell r="BM359">
            <v>0</v>
          </cell>
          <cell r="BN359">
            <v>0</v>
          </cell>
          <cell r="BO359">
            <v>0</v>
          </cell>
          <cell r="BP359">
            <v>0</v>
          </cell>
          <cell r="BQ359">
            <v>0</v>
          </cell>
          <cell r="BR359">
            <v>0</v>
          </cell>
          <cell r="BS359">
            <v>0</v>
          </cell>
          <cell r="BT359">
            <v>0</v>
          </cell>
          <cell r="BU359">
            <v>0</v>
          </cell>
          <cell r="BV359">
            <v>0</v>
          </cell>
          <cell r="BW359">
            <v>0</v>
          </cell>
          <cell r="BX359">
            <v>0</v>
          </cell>
          <cell r="BY359">
            <v>0</v>
          </cell>
          <cell r="BZ359">
            <v>8</v>
          </cell>
          <cell r="CA359">
            <v>0</v>
          </cell>
          <cell r="CB359">
            <v>0</v>
          </cell>
          <cell r="CC359">
            <v>0</v>
          </cell>
          <cell r="CD359">
            <v>0</v>
          </cell>
        </row>
        <row r="360">
          <cell r="C360">
            <v>37826</v>
          </cell>
          <cell r="D360">
            <v>37874</v>
          </cell>
          <cell r="E360">
            <v>37872</v>
          </cell>
          <cell r="F360">
            <v>0.47916666666666669</v>
          </cell>
          <cell r="G360" t="str">
            <v>Prensa Jundiaí Conectores</v>
          </cell>
          <cell r="H360" t="str">
            <v>Rosca do suporte do micro da porta está espanada</v>
          </cell>
          <cell r="I360" t="str">
            <v>Corretiva</v>
          </cell>
          <cell r="J360" t="str">
            <v>Sim</v>
          </cell>
          <cell r="K360" t="str">
            <v>Mecânica</v>
          </cell>
          <cell r="L360" t="str">
            <v>Reparo</v>
          </cell>
          <cell r="M360" t="str">
            <v>Defeito de Fabricação</v>
          </cell>
          <cell r="N360">
            <v>37872</v>
          </cell>
          <cell r="O360">
            <v>0.47916666666666669</v>
          </cell>
          <cell r="P360">
            <v>37872</v>
          </cell>
          <cell r="Q360">
            <v>0.46527777777777773</v>
          </cell>
          <cell r="T360">
            <v>37872</v>
          </cell>
          <cell r="U360">
            <v>0.4861111111111111</v>
          </cell>
          <cell r="V360">
            <v>37872</v>
          </cell>
          <cell r="W360">
            <v>0.4861111111111111</v>
          </cell>
          <cell r="X360">
            <v>2.083333333333337E-2</v>
          </cell>
          <cell r="Y360">
            <v>2.0833333331716497E-2</v>
          </cell>
          <cell r="AB360">
            <v>9</v>
          </cell>
          <cell r="AC360">
            <v>7</v>
          </cell>
          <cell r="AD360">
            <v>0</v>
          </cell>
          <cell r="BF360">
            <v>0</v>
          </cell>
          <cell r="BG360">
            <v>0</v>
          </cell>
          <cell r="BH360">
            <v>0</v>
          </cell>
          <cell r="BI360">
            <v>0</v>
          </cell>
          <cell r="BJ360">
            <v>0</v>
          </cell>
          <cell r="BK360">
            <v>0</v>
          </cell>
          <cell r="BL360">
            <v>0</v>
          </cell>
          <cell r="BM360">
            <v>0</v>
          </cell>
          <cell r="BN360">
            <v>0</v>
          </cell>
          <cell r="BO360">
            <v>0</v>
          </cell>
          <cell r="BP360">
            <v>0</v>
          </cell>
          <cell r="BQ360">
            <v>0</v>
          </cell>
          <cell r="BR360">
            <v>0</v>
          </cell>
          <cell r="BS360">
            <v>0</v>
          </cell>
          <cell r="BT360">
            <v>0</v>
          </cell>
          <cell r="BU360">
            <v>0</v>
          </cell>
          <cell r="BV360">
            <v>0</v>
          </cell>
          <cell r="BW360">
            <v>0</v>
          </cell>
          <cell r="BX360">
            <v>0</v>
          </cell>
          <cell r="BY360">
            <v>0</v>
          </cell>
          <cell r="BZ360">
            <v>9</v>
          </cell>
          <cell r="CA360">
            <v>0</v>
          </cell>
          <cell r="CB360">
            <v>0</v>
          </cell>
          <cell r="CC360">
            <v>0</v>
          </cell>
          <cell r="CD360">
            <v>0</v>
          </cell>
        </row>
        <row r="361">
          <cell r="C361">
            <v>37826</v>
          </cell>
          <cell r="D361">
            <v>37900</v>
          </cell>
          <cell r="E361">
            <v>37885</v>
          </cell>
          <cell r="F361">
            <v>0.41666666666666669</v>
          </cell>
          <cell r="G361" t="str">
            <v>Prensa Jundiaí Conectores</v>
          </cell>
          <cell r="H361" t="str">
            <v>Esteira de cavacos não funciona</v>
          </cell>
          <cell r="I361" t="str">
            <v>Corretiva</v>
          </cell>
          <cell r="J361" t="str">
            <v>Sim</v>
          </cell>
          <cell r="K361" t="str">
            <v>Mecânica</v>
          </cell>
          <cell r="L361" t="str">
            <v>Limpeza do Equipamento / Componente</v>
          </cell>
          <cell r="M361" t="str">
            <v>Falha de Regulagem / Configuração / Dimensionamento</v>
          </cell>
          <cell r="N361">
            <v>37885</v>
          </cell>
          <cell r="O361">
            <v>0.41666666666666669</v>
          </cell>
          <cell r="P361">
            <v>37885</v>
          </cell>
          <cell r="Q361">
            <v>0.41666666666666669</v>
          </cell>
          <cell r="T361">
            <v>37885</v>
          </cell>
          <cell r="U361">
            <v>0.46180555555555558</v>
          </cell>
          <cell r="V361">
            <v>37885</v>
          </cell>
          <cell r="W361">
            <v>0.46180555555555558</v>
          </cell>
          <cell r="X361">
            <v>4.5138888888888895E-2</v>
          </cell>
          <cell r="Y361">
            <v>4.5138888888080431E-2</v>
          </cell>
          <cell r="AB361">
            <v>9</v>
          </cell>
          <cell r="AC361">
            <v>7</v>
          </cell>
          <cell r="AD361">
            <v>0</v>
          </cell>
          <cell r="BF361">
            <v>0</v>
          </cell>
          <cell r="BG361">
            <v>0</v>
          </cell>
          <cell r="BH361">
            <v>0</v>
          </cell>
          <cell r="BI361">
            <v>0</v>
          </cell>
          <cell r="BJ361">
            <v>0</v>
          </cell>
          <cell r="BK361">
            <v>0</v>
          </cell>
          <cell r="BL361">
            <v>0</v>
          </cell>
          <cell r="BM361">
            <v>0</v>
          </cell>
          <cell r="BN361">
            <v>0</v>
          </cell>
          <cell r="BO361">
            <v>0</v>
          </cell>
          <cell r="BP361">
            <v>0</v>
          </cell>
          <cell r="BQ361">
            <v>0</v>
          </cell>
          <cell r="BR361">
            <v>0</v>
          </cell>
          <cell r="BS361">
            <v>0</v>
          </cell>
          <cell r="BT361">
            <v>0</v>
          </cell>
          <cell r="BU361">
            <v>0</v>
          </cell>
          <cell r="BV361">
            <v>0</v>
          </cell>
          <cell r="BW361">
            <v>0</v>
          </cell>
          <cell r="BX361">
            <v>0</v>
          </cell>
          <cell r="BY361">
            <v>0</v>
          </cell>
          <cell r="BZ361">
            <v>9</v>
          </cell>
          <cell r="CA361">
            <v>0</v>
          </cell>
          <cell r="CB361">
            <v>0</v>
          </cell>
          <cell r="CC361">
            <v>0</v>
          </cell>
          <cell r="CD361">
            <v>0</v>
          </cell>
        </row>
        <row r="362">
          <cell r="C362">
            <v>37826</v>
          </cell>
          <cell r="D362">
            <v>37900</v>
          </cell>
          <cell r="E362">
            <v>37887</v>
          </cell>
          <cell r="F362">
            <v>0.41666666666666669</v>
          </cell>
          <cell r="G362" t="str">
            <v>Prensa Jundiaí Conectores</v>
          </cell>
          <cell r="H362" t="str">
            <v>Porca das Guias do Alimentador Quebrada</v>
          </cell>
          <cell r="I362" t="str">
            <v>Corretiva</v>
          </cell>
          <cell r="J362" t="str">
            <v>Sim</v>
          </cell>
          <cell r="K362" t="str">
            <v>Mecânica</v>
          </cell>
          <cell r="L362" t="str">
            <v>Substituição do(s) Componente(s)</v>
          </cell>
          <cell r="M362" t="str">
            <v>Defeito de Fabricação</v>
          </cell>
          <cell r="N362">
            <v>37887</v>
          </cell>
          <cell r="O362">
            <v>0.41666666666666669</v>
          </cell>
          <cell r="P362">
            <v>37887</v>
          </cell>
          <cell r="Q362">
            <v>0.41666666666666669</v>
          </cell>
          <cell r="T362">
            <v>37887</v>
          </cell>
          <cell r="U362">
            <v>0.47916666666666669</v>
          </cell>
          <cell r="V362">
            <v>37887</v>
          </cell>
          <cell r="W362">
            <v>0.47916666666666669</v>
          </cell>
          <cell r="X362">
            <v>6.25E-2</v>
          </cell>
          <cell r="Y362">
            <v>6.2499999997574662E-2</v>
          </cell>
          <cell r="AB362">
            <v>9</v>
          </cell>
          <cell r="AC362">
            <v>7</v>
          </cell>
          <cell r="AD362">
            <v>0</v>
          </cell>
          <cell r="BF362">
            <v>0</v>
          </cell>
          <cell r="BG362">
            <v>0</v>
          </cell>
          <cell r="BH362">
            <v>0</v>
          </cell>
          <cell r="BI362">
            <v>0</v>
          </cell>
          <cell r="BJ362">
            <v>0</v>
          </cell>
          <cell r="BK362">
            <v>0</v>
          </cell>
          <cell r="BL362">
            <v>0</v>
          </cell>
          <cell r="BM362">
            <v>0</v>
          </cell>
          <cell r="BN362">
            <v>0</v>
          </cell>
          <cell r="BO362">
            <v>0</v>
          </cell>
          <cell r="BP362">
            <v>0</v>
          </cell>
          <cell r="BQ362">
            <v>0</v>
          </cell>
          <cell r="BR362">
            <v>0</v>
          </cell>
          <cell r="BS362">
            <v>0</v>
          </cell>
          <cell r="BT362">
            <v>0</v>
          </cell>
          <cell r="BU362">
            <v>0</v>
          </cell>
          <cell r="BV362">
            <v>0</v>
          </cell>
          <cell r="BW362">
            <v>0</v>
          </cell>
          <cell r="BX362">
            <v>0</v>
          </cell>
          <cell r="BY362">
            <v>0</v>
          </cell>
          <cell r="BZ362">
            <v>9</v>
          </cell>
          <cell r="CA362">
            <v>0</v>
          </cell>
          <cell r="CB362">
            <v>0</v>
          </cell>
          <cell r="CC362">
            <v>0</v>
          </cell>
          <cell r="CD362">
            <v>0</v>
          </cell>
        </row>
        <row r="363">
          <cell r="C363">
            <v>37826</v>
          </cell>
          <cell r="D363">
            <v>37918</v>
          </cell>
          <cell r="E363">
            <v>37902</v>
          </cell>
          <cell r="F363">
            <v>0.33333333333333331</v>
          </cell>
          <cell r="G363" t="str">
            <v>Prensa Jundiaí Conectores</v>
          </cell>
          <cell r="H363" t="str">
            <v>Esteira permite a queda de cavacos no chão</v>
          </cell>
          <cell r="I363" t="str">
            <v>Corretiva</v>
          </cell>
          <cell r="J363" t="str">
            <v>Não</v>
          </cell>
          <cell r="K363" t="str">
            <v>Mecânica</v>
          </cell>
          <cell r="L363" t="str">
            <v>Alteração no sistema de transporte, acrescentando-se nova chapa</v>
          </cell>
          <cell r="M363" t="str">
            <v>Falha de Projeto</v>
          </cell>
          <cell r="N363">
            <v>37902</v>
          </cell>
          <cell r="O363">
            <v>0.35416666666666669</v>
          </cell>
          <cell r="P363">
            <v>37902</v>
          </cell>
          <cell r="Q363">
            <v>0.35416666666666669</v>
          </cell>
          <cell r="T363">
            <v>37902</v>
          </cell>
          <cell r="U363">
            <v>0.4375</v>
          </cell>
          <cell r="V363">
            <v>37902</v>
          </cell>
          <cell r="W363">
            <v>0.4375</v>
          </cell>
          <cell r="X363">
            <v>8.3333333333333315E-2</v>
          </cell>
          <cell r="Y363">
            <v>8.3333333333333315E-2</v>
          </cell>
          <cell r="AB363">
            <v>10</v>
          </cell>
          <cell r="AC363">
            <v>7</v>
          </cell>
          <cell r="AD363">
            <v>0</v>
          </cell>
          <cell r="BF363">
            <v>0</v>
          </cell>
          <cell r="BG363">
            <v>0</v>
          </cell>
          <cell r="BH363">
            <v>0</v>
          </cell>
          <cell r="BI363">
            <v>0</v>
          </cell>
          <cell r="BJ363">
            <v>0</v>
          </cell>
          <cell r="BK363">
            <v>0</v>
          </cell>
          <cell r="BL363">
            <v>0</v>
          </cell>
          <cell r="BM363">
            <v>0</v>
          </cell>
          <cell r="BN363">
            <v>0</v>
          </cell>
          <cell r="BO363">
            <v>0</v>
          </cell>
          <cell r="BP363">
            <v>0</v>
          </cell>
          <cell r="BQ363">
            <v>0</v>
          </cell>
          <cell r="BR363">
            <v>0</v>
          </cell>
          <cell r="BS363">
            <v>0</v>
          </cell>
          <cell r="BT363">
            <v>0</v>
          </cell>
          <cell r="BU363">
            <v>0</v>
          </cell>
          <cell r="BV363">
            <v>0</v>
          </cell>
          <cell r="BW363">
            <v>0</v>
          </cell>
          <cell r="BX363">
            <v>0</v>
          </cell>
          <cell r="BY363">
            <v>0</v>
          </cell>
          <cell r="BZ363">
            <v>10</v>
          </cell>
          <cell r="CA363">
            <v>0</v>
          </cell>
          <cell r="CB363">
            <v>0</v>
          </cell>
          <cell r="CC363">
            <v>0</v>
          </cell>
          <cell r="CD363">
            <v>0</v>
          </cell>
        </row>
        <row r="364">
          <cell r="C364">
            <v>37826</v>
          </cell>
          <cell r="D364">
            <v>37928</v>
          </cell>
          <cell r="E364">
            <v>37911</v>
          </cell>
          <cell r="F364">
            <v>0.31944444444444448</v>
          </cell>
          <cell r="G364" t="str">
            <v>Prensa Jundiaí Conectores</v>
          </cell>
          <cell r="H364" t="str">
            <v>Sensor de Segurança da Ferramenta acionando constantemente</v>
          </cell>
          <cell r="I364" t="str">
            <v>Corretiva</v>
          </cell>
          <cell r="J364" t="str">
            <v>Não</v>
          </cell>
          <cell r="K364" t="str">
            <v>Elétrica</v>
          </cell>
          <cell r="L364" t="str">
            <v>Regulagem do Componente</v>
          </cell>
          <cell r="M364" t="str">
            <v>Falha de Regulagem / Configuração / Dimensionamento</v>
          </cell>
          <cell r="N364">
            <v>37911</v>
          </cell>
          <cell r="O364">
            <v>0.33333333333333331</v>
          </cell>
          <cell r="P364">
            <v>37911</v>
          </cell>
          <cell r="Q364">
            <v>0.33333333333333331</v>
          </cell>
          <cell r="T364">
            <v>37911</v>
          </cell>
          <cell r="U364">
            <v>0.3611111111111111</v>
          </cell>
          <cell r="V364">
            <v>37911</v>
          </cell>
          <cell r="W364">
            <v>0.3611111111111111</v>
          </cell>
          <cell r="X364">
            <v>2.7777777776160917E-2</v>
          </cell>
          <cell r="Y364">
            <v>2.7777777776160917E-2</v>
          </cell>
          <cell r="AB364">
            <v>10</v>
          </cell>
          <cell r="AC364">
            <v>7</v>
          </cell>
          <cell r="AD364">
            <v>0</v>
          </cell>
          <cell r="BF364">
            <v>0</v>
          </cell>
          <cell r="BG364">
            <v>0</v>
          </cell>
          <cell r="BH364">
            <v>0</v>
          </cell>
          <cell r="BI364">
            <v>0</v>
          </cell>
          <cell r="BJ364">
            <v>0</v>
          </cell>
          <cell r="BK364">
            <v>0</v>
          </cell>
          <cell r="BL364">
            <v>0</v>
          </cell>
          <cell r="BM364">
            <v>0</v>
          </cell>
          <cell r="BN364">
            <v>0</v>
          </cell>
          <cell r="BO364">
            <v>0</v>
          </cell>
          <cell r="BP364">
            <v>0</v>
          </cell>
          <cell r="BQ364">
            <v>0</v>
          </cell>
          <cell r="BR364">
            <v>0</v>
          </cell>
          <cell r="BS364">
            <v>0</v>
          </cell>
          <cell r="BT364">
            <v>0</v>
          </cell>
          <cell r="BU364">
            <v>0</v>
          </cell>
          <cell r="BV364">
            <v>0</v>
          </cell>
          <cell r="BW364">
            <v>0</v>
          </cell>
          <cell r="BX364">
            <v>0</v>
          </cell>
          <cell r="BY364">
            <v>0</v>
          </cell>
          <cell r="BZ364">
            <v>10</v>
          </cell>
          <cell r="CA364">
            <v>0</v>
          </cell>
          <cell r="CB364">
            <v>0</v>
          </cell>
          <cell r="CC364">
            <v>0</v>
          </cell>
          <cell r="CD364">
            <v>0</v>
          </cell>
        </row>
        <row r="365">
          <cell r="C365">
            <v>37826</v>
          </cell>
          <cell r="D365">
            <v>37972</v>
          </cell>
          <cell r="E365">
            <v>37953</v>
          </cell>
          <cell r="F365">
            <v>0.3611111111111111</v>
          </cell>
          <cell r="G365" t="str">
            <v>Prensa Jundiaí Conectores</v>
          </cell>
          <cell r="H365" t="str">
            <v>Parafusos do alimentador quebrados</v>
          </cell>
          <cell r="I365">
            <v>0</v>
          </cell>
          <cell r="J365" t="str">
            <v>Não</v>
          </cell>
          <cell r="K365" t="str">
            <v>Mecânica</v>
          </cell>
          <cell r="L365" t="str">
            <v>Substituição do(s) Componente(s)</v>
          </cell>
          <cell r="M365" t="str">
            <v>Sobrecarga</v>
          </cell>
          <cell r="N365">
            <v>37965</v>
          </cell>
          <cell r="O365">
            <v>0.54166666666666663</v>
          </cell>
          <cell r="P365">
            <v>0</v>
          </cell>
          <cell r="T365">
            <v>37965</v>
          </cell>
          <cell r="U365">
            <v>0.83333333333333337</v>
          </cell>
          <cell r="V365">
            <v>0</v>
          </cell>
          <cell r="W365">
            <v>0.29166666666909202</v>
          </cell>
          <cell r="X365">
            <v>0</v>
          </cell>
          <cell r="Y365">
            <v>0</v>
          </cell>
          <cell r="AB365">
            <v>12</v>
          </cell>
          <cell r="AC365">
            <v>7</v>
          </cell>
          <cell r="AD365">
            <v>0</v>
          </cell>
          <cell r="BF365">
            <v>0</v>
          </cell>
          <cell r="BG365">
            <v>0</v>
          </cell>
          <cell r="BH365">
            <v>0</v>
          </cell>
          <cell r="BI365">
            <v>0</v>
          </cell>
          <cell r="BJ365">
            <v>0</v>
          </cell>
          <cell r="BK365">
            <v>0</v>
          </cell>
          <cell r="BL365">
            <v>0</v>
          </cell>
          <cell r="BM365">
            <v>0</v>
          </cell>
          <cell r="BN365">
            <v>0</v>
          </cell>
          <cell r="BO365">
            <v>0</v>
          </cell>
          <cell r="BP365">
            <v>0</v>
          </cell>
          <cell r="BQ365">
            <v>0</v>
          </cell>
          <cell r="BR365">
            <v>0</v>
          </cell>
          <cell r="BS365">
            <v>0</v>
          </cell>
          <cell r="BT365">
            <v>0</v>
          </cell>
          <cell r="BU365">
            <v>0</v>
          </cell>
          <cell r="BV365">
            <v>0</v>
          </cell>
          <cell r="BW365">
            <v>0</v>
          </cell>
          <cell r="BX365">
            <v>0</v>
          </cell>
          <cell r="BY365">
            <v>0</v>
          </cell>
          <cell r="BZ365">
            <v>12</v>
          </cell>
          <cell r="CA365">
            <v>0</v>
          </cell>
          <cell r="CB365">
            <v>0</v>
          </cell>
          <cell r="CC365">
            <v>0</v>
          </cell>
          <cell r="CD365">
            <v>0</v>
          </cell>
        </row>
        <row r="366">
          <cell r="C366">
            <v>37826</v>
          </cell>
          <cell r="D366">
            <v>37972</v>
          </cell>
          <cell r="E366">
            <v>37965</v>
          </cell>
          <cell r="F366">
            <v>0.45833333333333331</v>
          </cell>
          <cell r="G366" t="str">
            <v>Prensa Jundiaí Conectores</v>
          </cell>
          <cell r="H366" t="str">
            <v>Alimentador está solto</v>
          </cell>
          <cell r="I366">
            <v>0</v>
          </cell>
          <cell r="J366" t="str">
            <v>Sim</v>
          </cell>
          <cell r="K366" t="str">
            <v>Mecânica</v>
          </cell>
          <cell r="L366" t="str">
            <v>Reparo</v>
          </cell>
          <cell r="M366" t="str">
            <v>Vibração</v>
          </cell>
          <cell r="N366">
            <v>37965</v>
          </cell>
          <cell r="O366">
            <v>0.54166666666666663</v>
          </cell>
          <cell r="P366">
            <v>0</v>
          </cell>
          <cell r="T366">
            <v>37965</v>
          </cell>
          <cell r="U366">
            <v>0.83333333333333337</v>
          </cell>
          <cell r="V366">
            <v>0</v>
          </cell>
          <cell r="W366">
            <v>0.37500000000242534</v>
          </cell>
          <cell r="X366">
            <v>0</v>
          </cell>
          <cell r="Y366">
            <v>0</v>
          </cell>
          <cell r="AB366">
            <v>12</v>
          </cell>
          <cell r="AC366">
            <v>7</v>
          </cell>
          <cell r="AD366">
            <v>0</v>
          </cell>
          <cell r="BF366">
            <v>0</v>
          </cell>
          <cell r="BG366">
            <v>0</v>
          </cell>
          <cell r="BH366">
            <v>0</v>
          </cell>
          <cell r="BI366">
            <v>0</v>
          </cell>
          <cell r="BJ366">
            <v>0</v>
          </cell>
          <cell r="BK366">
            <v>0</v>
          </cell>
          <cell r="BL366">
            <v>0</v>
          </cell>
          <cell r="BM366">
            <v>0</v>
          </cell>
          <cell r="BN366">
            <v>0</v>
          </cell>
          <cell r="BO366">
            <v>0</v>
          </cell>
          <cell r="BP366">
            <v>0</v>
          </cell>
          <cell r="BQ366">
            <v>0</v>
          </cell>
          <cell r="BR366">
            <v>0</v>
          </cell>
          <cell r="BS366">
            <v>0</v>
          </cell>
          <cell r="BT366">
            <v>0</v>
          </cell>
          <cell r="BU366">
            <v>0</v>
          </cell>
          <cell r="BV366">
            <v>0</v>
          </cell>
          <cell r="BW366">
            <v>0</v>
          </cell>
          <cell r="BX366">
            <v>0</v>
          </cell>
          <cell r="BY366">
            <v>0</v>
          </cell>
          <cell r="BZ366">
            <v>12</v>
          </cell>
          <cell r="CA366">
            <v>0</v>
          </cell>
          <cell r="CB366">
            <v>0</v>
          </cell>
          <cell r="CC366">
            <v>0</v>
          </cell>
          <cell r="CD366">
            <v>0</v>
          </cell>
        </row>
        <row r="367">
          <cell r="C367">
            <v>37826</v>
          </cell>
          <cell r="D367">
            <v>37993</v>
          </cell>
          <cell r="E367">
            <v>37967</v>
          </cell>
          <cell r="F367">
            <v>0.625</v>
          </cell>
          <cell r="G367" t="str">
            <v>Prensa Jundiaí Conectores</v>
          </cell>
          <cell r="H367" t="str">
            <v>Máquina acusando falha de lubrificação</v>
          </cell>
          <cell r="I367">
            <v>0</v>
          </cell>
          <cell r="J367" t="str">
            <v>Não</v>
          </cell>
          <cell r="K367" t="str">
            <v>Mecânica</v>
          </cell>
          <cell r="L367" t="str">
            <v>Limpeza e Regulagem</v>
          </cell>
          <cell r="M367" t="str">
            <v>Falha de Regulagem / Configuração / Dimensionamento</v>
          </cell>
          <cell r="N367">
            <v>0</v>
          </cell>
          <cell r="O367">
            <v>0.625</v>
          </cell>
          <cell r="P367">
            <v>0</v>
          </cell>
          <cell r="T367">
            <v>0</v>
          </cell>
          <cell r="U367">
            <v>0.70833333333333337</v>
          </cell>
          <cell r="V367">
            <v>0</v>
          </cell>
          <cell r="W367">
            <v>0</v>
          </cell>
          <cell r="X367">
            <v>0</v>
          </cell>
          <cell r="Y367">
            <v>0</v>
          </cell>
          <cell r="AB367">
            <v>0</v>
          </cell>
          <cell r="AC367">
            <v>7</v>
          </cell>
          <cell r="AD367">
            <v>0</v>
          </cell>
          <cell r="BF367">
            <v>0</v>
          </cell>
          <cell r="BG367">
            <v>0</v>
          </cell>
          <cell r="BH367">
            <v>0</v>
          </cell>
          <cell r="BI367">
            <v>0</v>
          </cell>
          <cell r="BJ367">
            <v>0</v>
          </cell>
          <cell r="BK367">
            <v>0</v>
          </cell>
          <cell r="BL367">
            <v>0</v>
          </cell>
          <cell r="BM367">
            <v>0</v>
          </cell>
          <cell r="BN367">
            <v>0</v>
          </cell>
          <cell r="BO367">
            <v>0</v>
          </cell>
          <cell r="BP367">
            <v>0</v>
          </cell>
          <cell r="BQ367">
            <v>0</v>
          </cell>
          <cell r="BR367">
            <v>0</v>
          </cell>
          <cell r="BS367">
            <v>0</v>
          </cell>
          <cell r="BT367">
            <v>0</v>
          </cell>
          <cell r="BU367">
            <v>0</v>
          </cell>
          <cell r="BV367">
            <v>0</v>
          </cell>
          <cell r="BW367">
            <v>0</v>
          </cell>
          <cell r="BX367">
            <v>0</v>
          </cell>
          <cell r="BY367">
            <v>0</v>
          </cell>
          <cell r="BZ367">
            <v>0</v>
          </cell>
          <cell r="CA367">
            <v>0</v>
          </cell>
          <cell r="CB367">
            <v>0</v>
          </cell>
          <cell r="CC367">
            <v>0</v>
          </cell>
          <cell r="CD367">
            <v>0</v>
          </cell>
        </row>
        <row r="368">
          <cell r="C368">
            <v>37826</v>
          </cell>
          <cell r="D368">
            <v>37868</v>
          </cell>
          <cell r="E368">
            <v>37854</v>
          </cell>
          <cell r="F368">
            <v>0.40972222222222227</v>
          </cell>
          <cell r="G368" t="str">
            <v>Prensa Jundiaí Conectores</v>
          </cell>
          <cell r="H368" t="str">
            <v>Régua graduada do desbobinador está solta</v>
          </cell>
          <cell r="I368" t="str">
            <v>Corretiva</v>
          </cell>
          <cell r="J368" t="str">
            <v>Não</v>
          </cell>
          <cell r="K368" t="str">
            <v>Mecânica</v>
          </cell>
          <cell r="L368" t="str">
            <v>Reparo</v>
          </cell>
          <cell r="M368" t="str">
            <v>Desgaste / Fadiga</v>
          </cell>
          <cell r="N368">
            <v>37854</v>
          </cell>
          <cell r="O368">
            <v>0.40972222222222227</v>
          </cell>
          <cell r="P368">
            <v>37854</v>
          </cell>
          <cell r="Q368">
            <v>0.40972222222222227</v>
          </cell>
          <cell r="T368">
            <v>37854</v>
          </cell>
          <cell r="U368">
            <v>0.47916666666666669</v>
          </cell>
          <cell r="V368">
            <v>37854</v>
          </cell>
          <cell r="W368">
            <v>0.47916666666666669</v>
          </cell>
          <cell r="X368">
            <v>6.9444444442019082E-2</v>
          </cell>
          <cell r="Y368">
            <v>6.9444444442019082E-2</v>
          </cell>
          <cell r="AB368">
            <v>8</v>
          </cell>
          <cell r="AC368">
            <v>7</v>
          </cell>
          <cell r="AD368">
            <v>0</v>
          </cell>
          <cell r="BF368">
            <v>0</v>
          </cell>
          <cell r="BG368">
            <v>0</v>
          </cell>
          <cell r="BH368">
            <v>0</v>
          </cell>
          <cell r="BI368">
            <v>0</v>
          </cell>
          <cell r="BJ368">
            <v>0</v>
          </cell>
          <cell r="BK368">
            <v>0</v>
          </cell>
          <cell r="BL368">
            <v>0</v>
          </cell>
          <cell r="BM368">
            <v>0</v>
          </cell>
          <cell r="BN368">
            <v>0</v>
          </cell>
          <cell r="BO368">
            <v>0</v>
          </cell>
          <cell r="BP368">
            <v>0</v>
          </cell>
          <cell r="BQ368">
            <v>0</v>
          </cell>
          <cell r="BR368">
            <v>0</v>
          </cell>
          <cell r="BS368">
            <v>0</v>
          </cell>
          <cell r="BT368">
            <v>0</v>
          </cell>
          <cell r="BU368">
            <v>0</v>
          </cell>
          <cell r="BV368">
            <v>0</v>
          </cell>
          <cell r="BW368">
            <v>0</v>
          </cell>
          <cell r="BX368">
            <v>0</v>
          </cell>
          <cell r="BY368">
            <v>0</v>
          </cell>
          <cell r="BZ368">
            <v>8</v>
          </cell>
          <cell r="CA368">
            <v>0</v>
          </cell>
          <cell r="CB368">
            <v>0</v>
          </cell>
          <cell r="CC368">
            <v>0</v>
          </cell>
          <cell r="CD368">
            <v>0</v>
          </cell>
        </row>
        <row r="369">
          <cell r="C369">
            <v>37826</v>
          </cell>
          <cell r="I369">
            <v>0</v>
          </cell>
          <cell r="N369">
            <v>0</v>
          </cell>
          <cell r="P369">
            <v>0</v>
          </cell>
          <cell r="T369">
            <v>0</v>
          </cell>
          <cell r="V369">
            <v>0</v>
          </cell>
          <cell r="W369">
            <v>0</v>
          </cell>
          <cell r="X369">
            <v>0</v>
          </cell>
          <cell r="Y369">
            <v>0</v>
          </cell>
          <cell r="AB369">
            <v>0</v>
          </cell>
          <cell r="AC369">
            <v>7</v>
          </cell>
          <cell r="AD369">
            <v>0</v>
          </cell>
          <cell r="BF369">
            <v>0</v>
          </cell>
          <cell r="BG369">
            <v>0</v>
          </cell>
          <cell r="BH369">
            <v>0</v>
          </cell>
          <cell r="BI369">
            <v>0</v>
          </cell>
          <cell r="BJ369">
            <v>0</v>
          </cell>
          <cell r="BK369">
            <v>0</v>
          </cell>
          <cell r="BL369">
            <v>0</v>
          </cell>
          <cell r="BM369">
            <v>0</v>
          </cell>
          <cell r="BN369">
            <v>0</v>
          </cell>
          <cell r="BO369">
            <v>0</v>
          </cell>
          <cell r="BP369">
            <v>0</v>
          </cell>
          <cell r="BQ369">
            <v>0</v>
          </cell>
          <cell r="BR369">
            <v>0</v>
          </cell>
          <cell r="BS369">
            <v>0</v>
          </cell>
          <cell r="BT369">
            <v>0</v>
          </cell>
          <cell r="BU369">
            <v>0</v>
          </cell>
          <cell r="BV369">
            <v>0</v>
          </cell>
          <cell r="BW369">
            <v>0</v>
          </cell>
          <cell r="BX369">
            <v>0</v>
          </cell>
          <cell r="BY369">
            <v>0</v>
          </cell>
          <cell r="BZ369">
            <v>0</v>
          </cell>
          <cell r="CA369">
            <v>0</v>
          </cell>
          <cell r="CB369">
            <v>0</v>
          </cell>
          <cell r="CC369">
            <v>0</v>
          </cell>
          <cell r="CD369">
            <v>0</v>
          </cell>
        </row>
        <row r="370">
          <cell r="C370">
            <v>37826</v>
          </cell>
          <cell r="D370">
            <v>38008</v>
          </cell>
          <cell r="E370">
            <v>37977</v>
          </cell>
          <cell r="F370">
            <v>0.51388888888888895</v>
          </cell>
          <cell r="G370" t="str">
            <v>Prensa Jundiaí Conectores</v>
          </cell>
          <cell r="H370" t="str">
            <v>Esteira parada</v>
          </cell>
          <cell r="I370">
            <v>0</v>
          </cell>
          <cell r="J370" t="str">
            <v>Sim</v>
          </cell>
          <cell r="K370" t="str">
            <v>Mecânica</v>
          </cell>
          <cell r="L370" t="str">
            <v>Destravamento dos Componentes</v>
          </cell>
          <cell r="M370" t="str">
            <v>Desgaste / Fadiga</v>
          </cell>
          <cell r="N370">
            <v>0</v>
          </cell>
          <cell r="O370">
            <v>0.33333333333333331</v>
          </cell>
          <cell r="P370">
            <v>0</v>
          </cell>
          <cell r="T370">
            <v>0</v>
          </cell>
          <cell r="U370">
            <v>0.59375</v>
          </cell>
          <cell r="V370">
            <v>0</v>
          </cell>
          <cell r="W370">
            <v>0</v>
          </cell>
          <cell r="X370">
            <v>0</v>
          </cell>
          <cell r="Y370">
            <v>0</v>
          </cell>
          <cell r="AB370">
            <v>0</v>
          </cell>
          <cell r="AC370">
            <v>7</v>
          </cell>
          <cell r="AD370">
            <v>0</v>
          </cell>
          <cell r="BF370">
            <v>0</v>
          </cell>
          <cell r="BG370">
            <v>0</v>
          </cell>
          <cell r="BH370">
            <v>0</v>
          </cell>
          <cell r="BI370">
            <v>0</v>
          </cell>
          <cell r="BJ370">
            <v>0</v>
          </cell>
          <cell r="BK370">
            <v>0</v>
          </cell>
          <cell r="BL370">
            <v>0</v>
          </cell>
          <cell r="BM370">
            <v>0</v>
          </cell>
          <cell r="BN370">
            <v>0</v>
          </cell>
          <cell r="BO370">
            <v>0</v>
          </cell>
          <cell r="BP370">
            <v>0</v>
          </cell>
          <cell r="BQ370">
            <v>0</v>
          </cell>
          <cell r="BR370">
            <v>0</v>
          </cell>
          <cell r="BS370">
            <v>0</v>
          </cell>
          <cell r="BT370">
            <v>0</v>
          </cell>
          <cell r="BU370">
            <v>0</v>
          </cell>
          <cell r="BV370">
            <v>0</v>
          </cell>
          <cell r="BW370">
            <v>0</v>
          </cell>
          <cell r="BX370">
            <v>0</v>
          </cell>
          <cell r="BY370">
            <v>0</v>
          </cell>
          <cell r="BZ370">
            <v>0</v>
          </cell>
          <cell r="CA370">
            <v>0</v>
          </cell>
          <cell r="CB370">
            <v>0</v>
          </cell>
          <cell r="CC370">
            <v>0</v>
          </cell>
          <cell r="CD370">
            <v>0</v>
          </cell>
        </row>
        <row r="371">
          <cell r="C371">
            <v>37826</v>
          </cell>
          <cell r="I371">
            <v>0</v>
          </cell>
          <cell r="N371">
            <v>0</v>
          </cell>
          <cell r="P371">
            <v>0</v>
          </cell>
          <cell r="T371">
            <v>0</v>
          </cell>
          <cell r="V371">
            <v>0</v>
          </cell>
          <cell r="W371">
            <v>0</v>
          </cell>
          <cell r="X371">
            <v>0</v>
          </cell>
          <cell r="Y371">
            <v>0</v>
          </cell>
          <cell r="AB371">
            <v>0</v>
          </cell>
          <cell r="AC371">
            <v>7</v>
          </cell>
          <cell r="AD371">
            <v>0</v>
          </cell>
          <cell r="BF371">
            <v>0</v>
          </cell>
          <cell r="BG371">
            <v>0</v>
          </cell>
          <cell r="BH371">
            <v>0</v>
          </cell>
          <cell r="BI371">
            <v>0</v>
          </cell>
          <cell r="BJ371">
            <v>0</v>
          </cell>
          <cell r="BK371">
            <v>0</v>
          </cell>
          <cell r="BL371">
            <v>0</v>
          </cell>
          <cell r="BM371">
            <v>0</v>
          </cell>
          <cell r="BN371">
            <v>0</v>
          </cell>
          <cell r="BO371">
            <v>0</v>
          </cell>
          <cell r="BP371">
            <v>0</v>
          </cell>
          <cell r="BQ371">
            <v>0</v>
          </cell>
          <cell r="BR371">
            <v>0</v>
          </cell>
          <cell r="BS371">
            <v>0</v>
          </cell>
          <cell r="BT371">
            <v>0</v>
          </cell>
          <cell r="BU371">
            <v>0</v>
          </cell>
          <cell r="BV371">
            <v>0</v>
          </cell>
          <cell r="BW371">
            <v>0</v>
          </cell>
          <cell r="BX371">
            <v>0</v>
          </cell>
          <cell r="BY371">
            <v>0</v>
          </cell>
          <cell r="BZ371">
            <v>0</v>
          </cell>
          <cell r="CA371">
            <v>0</v>
          </cell>
          <cell r="CB371">
            <v>0</v>
          </cell>
          <cell r="CC371">
            <v>0</v>
          </cell>
          <cell r="CD371">
            <v>0</v>
          </cell>
        </row>
        <row r="372">
          <cell r="C372">
            <v>37826</v>
          </cell>
          <cell r="I372">
            <v>0</v>
          </cell>
          <cell r="N372">
            <v>0</v>
          </cell>
          <cell r="P372">
            <v>0</v>
          </cell>
          <cell r="T372">
            <v>0</v>
          </cell>
          <cell r="V372">
            <v>0</v>
          </cell>
          <cell r="W372">
            <v>0</v>
          </cell>
          <cell r="X372">
            <v>0</v>
          </cell>
          <cell r="Y372">
            <v>0</v>
          </cell>
          <cell r="AB372">
            <v>0</v>
          </cell>
          <cell r="AC372">
            <v>7</v>
          </cell>
          <cell r="AD372">
            <v>0</v>
          </cell>
          <cell r="BF372">
            <v>0</v>
          </cell>
          <cell r="BG372">
            <v>0</v>
          </cell>
          <cell r="BH372">
            <v>0</v>
          </cell>
          <cell r="BI372">
            <v>0</v>
          </cell>
          <cell r="BJ372">
            <v>0</v>
          </cell>
          <cell r="BK372">
            <v>0</v>
          </cell>
          <cell r="BL372">
            <v>0</v>
          </cell>
          <cell r="BM372">
            <v>0</v>
          </cell>
          <cell r="BN372">
            <v>0</v>
          </cell>
          <cell r="BO372">
            <v>0</v>
          </cell>
          <cell r="BP372">
            <v>0</v>
          </cell>
          <cell r="BQ372">
            <v>0</v>
          </cell>
          <cell r="BR372">
            <v>0</v>
          </cell>
          <cell r="BS372">
            <v>0</v>
          </cell>
          <cell r="BT372">
            <v>0</v>
          </cell>
          <cell r="BU372">
            <v>0</v>
          </cell>
          <cell r="BV372">
            <v>0</v>
          </cell>
          <cell r="BW372">
            <v>0</v>
          </cell>
          <cell r="BX372">
            <v>0</v>
          </cell>
          <cell r="BY372">
            <v>0</v>
          </cell>
          <cell r="BZ372">
            <v>0</v>
          </cell>
          <cell r="CA372">
            <v>0</v>
          </cell>
          <cell r="CB372">
            <v>0</v>
          </cell>
          <cell r="CC372">
            <v>0</v>
          </cell>
          <cell r="CD372">
            <v>0</v>
          </cell>
        </row>
        <row r="373">
          <cell r="C373">
            <v>37826</v>
          </cell>
          <cell r="I373">
            <v>0</v>
          </cell>
          <cell r="N373">
            <v>0</v>
          </cell>
          <cell r="P373">
            <v>0</v>
          </cell>
          <cell r="T373">
            <v>0</v>
          </cell>
          <cell r="V373">
            <v>0</v>
          </cell>
          <cell r="W373">
            <v>0</v>
          </cell>
          <cell r="X373">
            <v>0</v>
          </cell>
          <cell r="Y373">
            <v>0</v>
          </cell>
          <cell r="AB373">
            <v>0</v>
          </cell>
          <cell r="AC373">
            <v>7</v>
          </cell>
          <cell r="AD373">
            <v>0</v>
          </cell>
          <cell r="BF373">
            <v>0</v>
          </cell>
          <cell r="BG373">
            <v>0</v>
          </cell>
          <cell r="BH373">
            <v>0</v>
          </cell>
          <cell r="BI373">
            <v>0</v>
          </cell>
          <cell r="BJ373">
            <v>0</v>
          </cell>
          <cell r="BK373">
            <v>0</v>
          </cell>
          <cell r="BL373">
            <v>0</v>
          </cell>
          <cell r="BM373">
            <v>0</v>
          </cell>
          <cell r="BN373">
            <v>0</v>
          </cell>
          <cell r="BO373">
            <v>0</v>
          </cell>
          <cell r="BP373">
            <v>0</v>
          </cell>
          <cell r="BQ373">
            <v>0</v>
          </cell>
          <cell r="BR373">
            <v>0</v>
          </cell>
          <cell r="BS373">
            <v>0</v>
          </cell>
          <cell r="BT373">
            <v>0</v>
          </cell>
          <cell r="BU373">
            <v>0</v>
          </cell>
          <cell r="BV373">
            <v>0</v>
          </cell>
          <cell r="BW373">
            <v>0</v>
          </cell>
          <cell r="BX373">
            <v>0</v>
          </cell>
          <cell r="BY373">
            <v>0</v>
          </cell>
          <cell r="BZ373">
            <v>0</v>
          </cell>
          <cell r="CA373">
            <v>0</v>
          </cell>
          <cell r="CB373">
            <v>0</v>
          </cell>
          <cell r="CC373">
            <v>0</v>
          </cell>
          <cell r="CD373">
            <v>0</v>
          </cell>
        </row>
        <row r="374">
          <cell r="C374">
            <v>37826</v>
          </cell>
          <cell r="I374">
            <v>0</v>
          </cell>
          <cell r="N374">
            <v>0</v>
          </cell>
          <cell r="P374">
            <v>0</v>
          </cell>
          <cell r="T374">
            <v>0</v>
          </cell>
          <cell r="V374">
            <v>0</v>
          </cell>
          <cell r="W374">
            <v>0</v>
          </cell>
          <cell r="X374">
            <v>0</v>
          </cell>
          <cell r="Y374">
            <v>0</v>
          </cell>
          <cell r="AB374">
            <v>0</v>
          </cell>
          <cell r="AC374">
            <v>7</v>
          </cell>
          <cell r="AD374">
            <v>0</v>
          </cell>
          <cell r="BF374">
            <v>0</v>
          </cell>
          <cell r="BG374">
            <v>0</v>
          </cell>
          <cell r="BH374">
            <v>0</v>
          </cell>
          <cell r="BI374">
            <v>0</v>
          </cell>
          <cell r="BJ374">
            <v>0</v>
          </cell>
          <cell r="BK374">
            <v>0</v>
          </cell>
          <cell r="BL374">
            <v>0</v>
          </cell>
          <cell r="BM374">
            <v>0</v>
          </cell>
          <cell r="BN374">
            <v>0</v>
          </cell>
          <cell r="BO374">
            <v>0</v>
          </cell>
          <cell r="BP374">
            <v>0</v>
          </cell>
          <cell r="BQ374">
            <v>0</v>
          </cell>
          <cell r="BR374">
            <v>0</v>
          </cell>
          <cell r="BS374">
            <v>0</v>
          </cell>
          <cell r="BT374">
            <v>0</v>
          </cell>
          <cell r="BU374">
            <v>0</v>
          </cell>
          <cell r="BV374">
            <v>0</v>
          </cell>
          <cell r="BW374">
            <v>0</v>
          </cell>
          <cell r="BX374">
            <v>0</v>
          </cell>
          <cell r="BY374">
            <v>0</v>
          </cell>
          <cell r="BZ374">
            <v>0</v>
          </cell>
          <cell r="CA374">
            <v>0</v>
          </cell>
          <cell r="CB374">
            <v>0</v>
          </cell>
          <cell r="CC374">
            <v>0</v>
          </cell>
          <cell r="CD374">
            <v>0</v>
          </cell>
        </row>
        <row r="375">
          <cell r="C375">
            <v>37826</v>
          </cell>
          <cell r="I375">
            <v>0</v>
          </cell>
          <cell r="N375">
            <v>0</v>
          </cell>
          <cell r="P375">
            <v>0</v>
          </cell>
          <cell r="T375">
            <v>0</v>
          </cell>
          <cell r="V375">
            <v>0</v>
          </cell>
          <cell r="W375">
            <v>0</v>
          </cell>
          <cell r="X375">
            <v>0</v>
          </cell>
          <cell r="Y375">
            <v>0</v>
          </cell>
          <cell r="AB375">
            <v>0</v>
          </cell>
          <cell r="AC375">
            <v>7</v>
          </cell>
          <cell r="AD375">
            <v>0</v>
          </cell>
          <cell r="BF375">
            <v>0</v>
          </cell>
          <cell r="BG375">
            <v>0</v>
          </cell>
          <cell r="BH375">
            <v>0</v>
          </cell>
          <cell r="BI375">
            <v>0</v>
          </cell>
          <cell r="BJ375">
            <v>0</v>
          </cell>
          <cell r="BK375">
            <v>0</v>
          </cell>
          <cell r="BL375">
            <v>0</v>
          </cell>
          <cell r="BM375">
            <v>0</v>
          </cell>
          <cell r="BN375">
            <v>0</v>
          </cell>
          <cell r="BO375">
            <v>0</v>
          </cell>
          <cell r="BP375">
            <v>0</v>
          </cell>
          <cell r="BQ375">
            <v>0</v>
          </cell>
          <cell r="BR375">
            <v>0</v>
          </cell>
          <cell r="BS375">
            <v>0</v>
          </cell>
          <cell r="BT375">
            <v>0</v>
          </cell>
          <cell r="BU375">
            <v>0</v>
          </cell>
          <cell r="BV375">
            <v>0</v>
          </cell>
          <cell r="BW375">
            <v>0</v>
          </cell>
          <cell r="BX375">
            <v>0</v>
          </cell>
          <cell r="BY375">
            <v>0</v>
          </cell>
          <cell r="BZ375">
            <v>0</v>
          </cell>
          <cell r="CA375">
            <v>0</v>
          </cell>
          <cell r="CB375">
            <v>0</v>
          </cell>
          <cell r="CC375">
            <v>0</v>
          </cell>
          <cell r="CD375">
            <v>0</v>
          </cell>
        </row>
        <row r="376">
          <cell r="C376">
            <v>37826</v>
          </cell>
          <cell r="I376">
            <v>0</v>
          </cell>
          <cell r="N376">
            <v>0</v>
          </cell>
          <cell r="P376">
            <v>0</v>
          </cell>
          <cell r="T376">
            <v>0</v>
          </cell>
          <cell r="V376">
            <v>0</v>
          </cell>
          <cell r="W376">
            <v>0</v>
          </cell>
          <cell r="X376">
            <v>0</v>
          </cell>
          <cell r="Y376">
            <v>0</v>
          </cell>
          <cell r="AB376">
            <v>0</v>
          </cell>
          <cell r="AC376">
            <v>7</v>
          </cell>
          <cell r="AD376">
            <v>0</v>
          </cell>
          <cell r="BF376">
            <v>0</v>
          </cell>
          <cell r="BG376">
            <v>0</v>
          </cell>
          <cell r="BH376">
            <v>0</v>
          </cell>
          <cell r="BI376">
            <v>0</v>
          </cell>
          <cell r="BJ376">
            <v>0</v>
          </cell>
          <cell r="BK376">
            <v>0</v>
          </cell>
          <cell r="BL376">
            <v>0</v>
          </cell>
          <cell r="BM376">
            <v>0</v>
          </cell>
          <cell r="BN376">
            <v>0</v>
          </cell>
          <cell r="BO376">
            <v>0</v>
          </cell>
          <cell r="BP376">
            <v>0</v>
          </cell>
          <cell r="BQ376">
            <v>0</v>
          </cell>
          <cell r="BR376">
            <v>0</v>
          </cell>
          <cell r="BS376">
            <v>0</v>
          </cell>
          <cell r="BT376">
            <v>0</v>
          </cell>
          <cell r="BU376">
            <v>0</v>
          </cell>
          <cell r="BV376">
            <v>0</v>
          </cell>
          <cell r="BW376">
            <v>0</v>
          </cell>
          <cell r="BX376">
            <v>0</v>
          </cell>
          <cell r="BY376">
            <v>0</v>
          </cell>
          <cell r="BZ376">
            <v>0</v>
          </cell>
          <cell r="CA376">
            <v>0</v>
          </cell>
          <cell r="CB376">
            <v>0</v>
          </cell>
          <cell r="CC376">
            <v>0</v>
          </cell>
          <cell r="CD376">
            <v>0</v>
          </cell>
        </row>
        <row r="377">
          <cell r="C377">
            <v>37839</v>
          </cell>
          <cell r="D377">
            <v>37902</v>
          </cell>
          <cell r="E377">
            <v>37896</v>
          </cell>
          <cell r="F377">
            <v>0.25694444444444448</v>
          </cell>
          <cell r="G377" t="str">
            <v>Prensa Jundiaí</v>
          </cell>
          <cell r="H377" t="str">
            <v>Curso do Martelo não funciona</v>
          </cell>
          <cell r="I377" t="str">
            <v>Corretiva</v>
          </cell>
          <cell r="J377" t="str">
            <v>Sim</v>
          </cell>
          <cell r="K377" t="str">
            <v>Mecânica</v>
          </cell>
          <cell r="L377" t="str">
            <v>Reinicialização do Equipamento / Componente</v>
          </cell>
          <cell r="M377" t="str">
            <v>Sobrecarga</v>
          </cell>
          <cell r="N377">
            <v>37896</v>
          </cell>
          <cell r="O377">
            <v>0.25694444444444448</v>
          </cell>
          <cell r="P377">
            <v>37896</v>
          </cell>
          <cell r="Q377">
            <v>0.25694444444444448</v>
          </cell>
          <cell r="T377">
            <v>37896</v>
          </cell>
          <cell r="U377">
            <v>0.27083333333333331</v>
          </cell>
          <cell r="V377">
            <v>37896</v>
          </cell>
          <cell r="W377">
            <v>0.27083333333333331</v>
          </cell>
          <cell r="X377">
            <v>1.388888888888884E-2</v>
          </cell>
          <cell r="Y377">
            <v>1.3888888891314177E-2</v>
          </cell>
          <cell r="AB377">
            <v>10</v>
          </cell>
          <cell r="AC377">
            <v>8</v>
          </cell>
          <cell r="AD377">
            <v>0</v>
          </cell>
          <cell r="BF377">
            <v>0</v>
          </cell>
          <cell r="BG377">
            <v>0</v>
          </cell>
          <cell r="BH377">
            <v>0</v>
          </cell>
          <cell r="BI377">
            <v>0</v>
          </cell>
          <cell r="BJ377">
            <v>0</v>
          </cell>
          <cell r="BK377">
            <v>0</v>
          </cell>
          <cell r="BL377">
            <v>0</v>
          </cell>
          <cell r="BM377">
            <v>0</v>
          </cell>
          <cell r="BN377">
            <v>0</v>
          </cell>
          <cell r="BO377">
            <v>0</v>
          </cell>
          <cell r="BP377">
            <v>0</v>
          </cell>
          <cell r="BQ377">
            <v>0</v>
          </cell>
          <cell r="BR377">
            <v>0</v>
          </cell>
          <cell r="BS377">
            <v>0</v>
          </cell>
          <cell r="BT377">
            <v>0</v>
          </cell>
          <cell r="BU377">
            <v>0</v>
          </cell>
          <cell r="BV377">
            <v>0</v>
          </cell>
          <cell r="BW377">
            <v>0</v>
          </cell>
          <cell r="BX377">
            <v>0</v>
          </cell>
          <cell r="BY377">
            <v>10</v>
          </cell>
          <cell r="BZ377">
            <v>0</v>
          </cell>
          <cell r="CA377">
            <v>0</v>
          </cell>
          <cell r="CB377">
            <v>0</v>
          </cell>
          <cell r="CC377">
            <v>0</v>
          </cell>
          <cell r="CD377">
            <v>0</v>
          </cell>
        </row>
        <row r="378">
          <cell r="C378">
            <v>37839</v>
          </cell>
          <cell r="D378">
            <v>37918</v>
          </cell>
          <cell r="E378">
            <v>37904</v>
          </cell>
          <cell r="F378">
            <v>0.375</v>
          </cell>
          <cell r="G378" t="str">
            <v>Prensa Jundiaí</v>
          </cell>
          <cell r="H378" t="str">
            <v>Martelo apresenta ruído anormal e não se movimenta adequadamente</v>
          </cell>
          <cell r="I378" t="str">
            <v>Corretiva</v>
          </cell>
          <cell r="J378" t="str">
            <v>Sim</v>
          </cell>
          <cell r="K378" t="str">
            <v>Elétrica</v>
          </cell>
          <cell r="L378" t="str">
            <v>Substituição do(s) Componente(s)</v>
          </cell>
          <cell r="M378" t="str">
            <v>Vibração</v>
          </cell>
          <cell r="N378">
            <v>37904</v>
          </cell>
          <cell r="O378">
            <v>0.375</v>
          </cell>
          <cell r="P378">
            <v>37904</v>
          </cell>
          <cell r="Q378">
            <v>0.375</v>
          </cell>
          <cell r="T378">
            <v>37904</v>
          </cell>
          <cell r="U378">
            <v>0.55555555555555558</v>
          </cell>
          <cell r="V378">
            <v>37904</v>
          </cell>
          <cell r="W378">
            <v>0.55555555555555558</v>
          </cell>
          <cell r="X378">
            <v>0.18055555555555558</v>
          </cell>
          <cell r="Y378">
            <v>0.18055555555474712</v>
          </cell>
          <cell r="AB378">
            <v>10</v>
          </cell>
          <cell r="AC378">
            <v>8</v>
          </cell>
          <cell r="AD378">
            <v>0</v>
          </cell>
          <cell r="BF378">
            <v>0</v>
          </cell>
          <cell r="BG378">
            <v>0</v>
          </cell>
          <cell r="BH378">
            <v>0</v>
          </cell>
          <cell r="BI378">
            <v>0</v>
          </cell>
          <cell r="BJ378">
            <v>0</v>
          </cell>
          <cell r="BK378">
            <v>0</v>
          </cell>
          <cell r="BL378">
            <v>0</v>
          </cell>
          <cell r="BM378">
            <v>0</v>
          </cell>
          <cell r="BN378">
            <v>0</v>
          </cell>
          <cell r="BO378">
            <v>0</v>
          </cell>
          <cell r="BP378">
            <v>0</v>
          </cell>
          <cell r="BQ378">
            <v>0</v>
          </cell>
          <cell r="BR378">
            <v>0</v>
          </cell>
          <cell r="BS378">
            <v>0</v>
          </cell>
          <cell r="BT378">
            <v>0</v>
          </cell>
          <cell r="BU378">
            <v>0</v>
          </cell>
          <cell r="BV378">
            <v>0</v>
          </cell>
          <cell r="BW378">
            <v>0</v>
          </cell>
          <cell r="BX378">
            <v>0</v>
          </cell>
          <cell r="BY378">
            <v>10</v>
          </cell>
          <cell r="BZ378">
            <v>0</v>
          </cell>
          <cell r="CA378">
            <v>0</v>
          </cell>
          <cell r="CB378">
            <v>0</v>
          </cell>
          <cell r="CC378">
            <v>0</v>
          </cell>
          <cell r="CD378">
            <v>0</v>
          </cell>
        </row>
        <row r="379">
          <cell r="C379">
            <v>37839</v>
          </cell>
          <cell r="D379">
            <v>37918</v>
          </cell>
          <cell r="E379">
            <v>37907</v>
          </cell>
          <cell r="F379">
            <v>0.56597222222222221</v>
          </cell>
          <cell r="G379" t="str">
            <v>Dobradeira Sorg</v>
          </cell>
          <cell r="H379" t="str">
            <v>Punção está parando ao subir</v>
          </cell>
          <cell r="I379" t="str">
            <v>Corretiva</v>
          </cell>
          <cell r="J379" t="str">
            <v>Sim</v>
          </cell>
          <cell r="K379" t="str">
            <v>Elétrica</v>
          </cell>
          <cell r="L379" t="str">
            <v>Substituição do(s) Componente(s)</v>
          </cell>
          <cell r="M379" t="str">
            <v>Desgaste / Fadiga</v>
          </cell>
          <cell r="N379">
            <v>37907</v>
          </cell>
          <cell r="O379">
            <v>0.56944444444444442</v>
          </cell>
          <cell r="P379">
            <v>37907</v>
          </cell>
          <cell r="Q379">
            <v>0.56944444444444442</v>
          </cell>
          <cell r="T379">
            <v>37907</v>
          </cell>
          <cell r="U379">
            <v>0.59375</v>
          </cell>
          <cell r="V379">
            <v>37907</v>
          </cell>
          <cell r="W379">
            <v>0.59375</v>
          </cell>
          <cell r="X379">
            <v>2.430555555555558E-2</v>
          </cell>
          <cell r="Y379">
            <v>2.430555555555558E-2</v>
          </cell>
          <cell r="AB379">
            <v>10</v>
          </cell>
          <cell r="AC379">
            <v>8</v>
          </cell>
          <cell r="AD379">
            <v>0</v>
          </cell>
          <cell r="BF379">
            <v>0</v>
          </cell>
          <cell r="BG379">
            <v>0</v>
          </cell>
          <cell r="BH379">
            <v>10</v>
          </cell>
          <cell r="BI379">
            <v>0</v>
          </cell>
          <cell r="BJ379">
            <v>0</v>
          </cell>
          <cell r="BK379">
            <v>0</v>
          </cell>
          <cell r="BL379">
            <v>0</v>
          </cell>
          <cell r="BM379">
            <v>0</v>
          </cell>
          <cell r="BN379">
            <v>0</v>
          </cell>
          <cell r="BO379">
            <v>0</v>
          </cell>
          <cell r="BP379">
            <v>0</v>
          </cell>
          <cell r="BQ379">
            <v>0</v>
          </cell>
          <cell r="BR379">
            <v>0</v>
          </cell>
          <cell r="BS379">
            <v>0</v>
          </cell>
          <cell r="BT379">
            <v>0</v>
          </cell>
          <cell r="BU379">
            <v>0</v>
          </cell>
          <cell r="BV379">
            <v>0</v>
          </cell>
          <cell r="BW379">
            <v>0</v>
          </cell>
          <cell r="BX379">
            <v>0</v>
          </cell>
          <cell r="BY379">
            <v>0</v>
          </cell>
          <cell r="BZ379">
            <v>0</v>
          </cell>
          <cell r="CA379">
            <v>0</v>
          </cell>
          <cell r="CB379">
            <v>0</v>
          </cell>
          <cell r="CC379">
            <v>0</v>
          </cell>
          <cell r="CD379">
            <v>0</v>
          </cell>
        </row>
        <row r="380">
          <cell r="C380">
            <v>37839</v>
          </cell>
          <cell r="D380">
            <v>37970</v>
          </cell>
          <cell r="E380">
            <v>37931</v>
          </cell>
          <cell r="F380">
            <v>37931</v>
          </cell>
          <cell r="G380">
            <v>0.63888888888888895</v>
          </cell>
          <cell r="H380" t="str">
            <v>Vazamento de Óleo</v>
          </cell>
          <cell r="I380">
            <v>0</v>
          </cell>
          <cell r="J380" t="str">
            <v>Não</v>
          </cell>
          <cell r="K380" t="str">
            <v>Mecânica</v>
          </cell>
          <cell r="L380" t="str">
            <v>Não</v>
          </cell>
          <cell r="M380" t="str">
            <v>Desgaste / Fadiga</v>
          </cell>
          <cell r="N380">
            <v>37931</v>
          </cell>
          <cell r="O380">
            <v>0.63888888888888895</v>
          </cell>
          <cell r="P380">
            <v>37931</v>
          </cell>
          <cell r="Q380">
            <v>0.63888888888888895</v>
          </cell>
          <cell r="T380">
            <v>37931</v>
          </cell>
          <cell r="U380">
            <v>0.66666666666666663</v>
          </cell>
          <cell r="V380">
            <v>37931</v>
          </cell>
          <cell r="W380">
            <v>0.66666666666666663</v>
          </cell>
          <cell r="X380">
            <v>2.7777777775352397E-2</v>
          </cell>
          <cell r="Y380">
            <v>2.7777777775352397E-2</v>
          </cell>
          <cell r="AB380">
            <v>11</v>
          </cell>
          <cell r="AC380">
            <v>8</v>
          </cell>
          <cell r="AD380">
            <v>0</v>
          </cell>
          <cell r="BF380">
            <v>0</v>
          </cell>
          <cell r="BG380">
            <v>0</v>
          </cell>
          <cell r="BH380">
            <v>0</v>
          </cell>
          <cell r="BI380">
            <v>0</v>
          </cell>
          <cell r="BJ380">
            <v>0</v>
          </cell>
          <cell r="BK380">
            <v>0</v>
          </cell>
          <cell r="BL380">
            <v>0</v>
          </cell>
          <cell r="BM380">
            <v>11</v>
          </cell>
          <cell r="BN380">
            <v>0</v>
          </cell>
          <cell r="BO380">
            <v>0</v>
          </cell>
          <cell r="BP380">
            <v>0</v>
          </cell>
          <cell r="BQ380">
            <v>0</v>
          </cell>
          <cell r="BR380">
            <v>0</v>
          </cell>
          <cell r="BS380">
            <v>0</v>
          </cell>
          <cell r="BT380">
            <v>0</v>
          </cell>
          <cell r="BU380">
            <v>0</v>
          </cell>
          <cell r="BV380">
            <v>0</v>
          </cell>
          <cell r="BW380">
            <v>0</v>
          </cell>
          <cell r="BX380">
            <v>0</v>
          </cell>
          <cell r="BY380">
            <v>0</v>
          </cell>
          <cell r="BZ380">
            <v>0</v>
          </cell>
          <cell r="CA380">
            <v>0</v>
          </cell>
          <cell r="CB380">
            <v>0</v>
          </cell>
          <cell r="CC380">
            <v>0</v>
          </cell>
          <cell r="CD380">
            <v>0</v>
          </cell>
        </row>
        <row r="381">
          <cell r="C381">
            <v>37839</v>
          </cell>
          <cell r="D381">
            <v>37970</v>
          </cell>
          <cell r="E381">
            <v>37943</v>
          </cell>
          <cell r="F381">
            <v>37943</v>
          </cell>
          <cell r="G381">
            <v>0.86458333333333337</v>
          </cell>
          <cell r="H381" t="str">
            <v>Punção está parando ao descer</v>
          </cell>
          <cell r="I381">
            <v>0</v>
          </cell>
          <cell r="J381" t="str">
            <v>Sim</v>
          </cell>
          <cell r="K381" t="str">
            <v>Elétrica</v>
          </cell>
          <cell r="L381" t="str">
            <v>Sim</v>
          </cell>
          <cell r="M381" t="str">
            <v>Desgaste / Fadiga</v>
          </cell>
          <cell r="N381">
            <v>37943</v>
          </cell>
          <cell r="O381">
            <v>0.86458333333333337</v>
          </cell>
          <cell r="P381">
            <v>37943</v>
          </cell>
          <cell r="Q381">
            <v>0.86458333333333337</v>
          </cell>
          <cell r="T381">
            <v>37944</v>
          </cell>
          <cell r="U381">
            <v>0.34027777777777773</v>
          </cell>
          <cell r="V381">
            <v>37944</v>
          </cell>
          <cell r="W381">
            <v>0.34027777777777773</v>
          </cell>
          <cell r="X381">
            <v>0.47569444444444442</v>
          </cell>
          <cell r="Y381">
            <v>0.47569444444767817</v>
          </cell>
          <cell r="AB381">
            <v>11</v>
          </cell>
          <cell r="AC381">
            <v>8</v>
          </cell>
          <cell r="AD381">
            <v>0</v>
          </cell>
          <cell r="BF381">
            <v>0</v>
          </cell>
          <cell r="BG381">
            <v>0</v>
          </cell>
          <cell r="BH381">
            <v>0</v>
          </cell>
          <cell r="BI381">
            <v>0</v>
          </cell>
          <cell r="BJ381">
            <v>0</v>
          </cell>
          <cell r="BK381">
            <v>0</v>
          </cell>
          <cell r="BL381">
            <v>0</v>
          </cell>
          <cell r="BM381">
            <v>11</v>
          </cell>
          <cell r="BN381">
            <v>0</v>
          </cell>
          <cell r="BO381">
            <v>0</v>
          </cell>
          <cell r="BP381">
            <v>0</v>
          </cell>
          <cell r="BQ381">
            <v>0</v>
          </cell>
          <cell r="BR381">
            <v>0</v>
          </cell>
          <cell r="BS381">
            <v>0</v>
          </cell>
          <cell r="BT381">
            <v>0</v>
          </cell>
          <cell r="BU381">
            <v>0</v>
          </cell>
          <cell r="BV381">
            <v>0</v>
          </cell>
          <cell r="BW381">
            <v>0</v>
          </cell>
          <cell r="BX381">
            <v>0</v>
          </cell>
          <cell r="BY381">
            <v>0</v>
          </cell>
          <cell r="BZ381">
            <v>0</v>
          </cell>
          <cell r="CA381">
            <v>0</v>
          </cell>
          <cell r="CB381">
            <v>0</v>
          </cell>
          <cell r="CC381">
            <v>0</v>
          </cell>
          <cell r="CD381">
            <v>0</v>
          </cell>
        </row>
        <row r="382">
          <cell r="C382">
            <v>37839</v>
          </cell>
          <cell r="D382">
            <v>37970</v>
          </cell>
          <cell r="E382">
            <v>37945</v>
          </cell>
          <cell r="F382">
            <v>0.92708333333333337</v>
          </cell>
          <cell r="G382" t="str">
            <v>Prensa Jundiaí</v>
          </cell>
          <cell r="H382" t="str">
            <v>Martelo travado</v>
          </cell>
          <cell r="I382">
            <v>0</v>
          </cell>
          <cell r="J382" t="str">
            <v>Sim</v>
          </cell>
          <cell r="K382" t="str">
            <v>Elétrica</v>
          </cell>
          <cell r="L382" t="str">
            <v>Ajuste / Regulagem</v>
          </cell>
          <cell r="M382" t="str">
            <v>Falha Operacional</v>
          </cell>
          <cell r="N382">
            <v>37945</v>
          </cell>
          <cell r="O382">
            <v>0.92708333333333337</v>
          </cell>
          <cell r="P382">
            <v>0</v>
          </cell>
          <cell r="T382">
            <v>37945</v>
          </cell>
          <cell r="U382">
            <v>0.94444444444444453</v>
          </cell>
          <cell r="V382">
            <v>0</v>
          </cell>
          <cell r="W382">
            <v>1.7361111111919514E-2</v>
          </cell>
          <cell r="X382">
            <v>0</v>
          </cell>
          <cell r="Y382">
            <v>0</v>
          </cell>
          <cell r="AB382">
            <v>11</v>
          </cell>
          <cell r="AC382">
            <v>8</v>
          </cell>
          <cell r="AD382">
            <v>0</v>
          </cell>
          <cell r="BF382">
            <v>0</v>
          </cell>
          <cell r="BG382">
            <v>0</v>
          </cell>
          <cell r="BH382">
            <v>0</v>
          </cell>
          <cell r="BI382">
            <v>0</v>
          </cell>
          <cell r="BJ382">
            <v>0</v>
          </cell>
          <cell r="BK382">
            <v>0</v>
          </cell>
          <cell r="BL382">
            <v>0</v>
          </cell>
          <cell r="BM382">
            <v>0</v>
          </cell>
          <cell r="BN382">
            <v>0</v>
          </cell>
          <cell r="BO382">
            <v>0</v>
          </cell>
          <cell r="BP382">
            <v>0</v>
          </cell>
          <cell r="BQ382">
            <v>0</v>
          </cell>
          <cell r="BR382">
            <v>0</v>
          </cell>
          <cell r="BS382">
            <v>0</v>
          </cell>
          <cell r="BT382">
            <v>0</v>
          </cell>
          <cell r="BU382">
            <v>0</v>
          </cell>
          <cell r="BV382">
            <v>0</v>
          </cell>
          <cell r="BW382">
            <v>0</v>
          </cell>
          <cell r="BX382">
            <v>0</v>
          </cell>
          <cell r="BY382">
            <v>11</v>
          </cell>
          <cell r="BZ382">
            <v>0</v>
          </cell>
          <cell r="CA382">
            <v>0</v>
          </cell>
          <cell r="CB382">
            <v>0</v>
          </cell>
          <cell r="CC382">
            <v>0</v>
          </cell>
          <cell r="CD382">
            <v>0</v>
          </cell>
        </row>
        <row r="383">
          <cell r="C383">
            <v>37839</v>
          </cell>
          <cell r="D383">
            <v>37970</v>
          </cell>
          <cell r="E383">
            <v>37956</v>
          </cell>
          <cell r="F383">
            <v>0.70833333333333337</v>
          </cell>
          <cell r="G383" t="str">
            <v>Prensa Jundiaí</v>
          </cell>
          <cell r="H383" t="str">
            <v>Martelo travado</v>
          </cell>
          <cell r="I383">
            <v>0</v>
          </cell>
          <cell r="J383" t="str">
            <v>Sim</v>
          </cell>
          <cell r="K383" t="str">
            <v>Elétrica</v>
          </cell>
          <cell r="L383" t="str">
            <v>Ajuste / Regulagem</v>
          </cell>
          <cell r="M383" t="str">
            <v>Falha de Regulagem / Configuração / Dimensionamento</v>
          </cell>
          <cell r="N383">
            <v>37956</v>
          </cell>
          <cell r="O383">
            <v>0.70833333333333337</v>
          </cell>
          <cell r="P383">
            <v>0</v>
          </cell>
          <cell r="T383">
            <v>37956</v>
          </cell>
          <cell r="U383">
            <v>0.75</v>
          </cell>
          <cell r="V383">
            <v>0</v>
          </cell>
          <cell r="W383">
            <v>4.166666666666663E-2</v>
          </cell>
          <cell r="X383">
            <v>0</v>
          </cell>
          <cell r="Y383">
            <v>0</v>
          </cell>
          <cell r="AB383">
            <v>12</v>
          </cell>
          <cell r="AC383">
            <v>8</v>
          </cell>
          <cell r="AD383">
            <v>0</v>
          </cell>
          <cell r="BF383">
            <v>0</v>
          </cell>
          <cell r="BG383">
            <v>0</v>
          </cell>
          <cell r="BH383">
            <v>0</v>
          </cell>
          <cell r="BI383">
            <v>0</v>
          </cell>
          <cell r="BJ383">
            <v>0</v>
          </cell>
          <cell r="BK383">
            <v>0</v>
          </cell>
          <cell r="BL383">
            <v>0</v>
          </cell>
          <cell r="BM383">
            <v>0</v>
          </cell>
          <cell r="BN383">
            <v>0</v>
          </cell>
          <cell r="BO383">
            <v>0</v>
          </cell>
          <cell r="BP383">
            <v>0</v>
          </cell>
          <cell r="BQ383">
            <v>0</v>
          </cell>
          <cell r="BR383">
            <v>0</v>
          </cell>
          <cell r="BS383">
            <v>0</v>
          </cell>
          <cell r="BT383">
            <v>0</v>
          </cell>
          <cell r="BU383">
            <v>0</v>
          </cell>
          <cell r="BV383">
            <v>0</v>
          </cell>
          <cell r="BW383">
            <v>0</v>
          </cell>
          <cell r="BX383">
            <v>0</v>
          </cell>
          <cell r="BY383">
            <v>12</v>
          </cell>
          <cell r="BZ383">
            <v>0</v>
          </cell>
          <cell r="CA383">
            <v>0</v>
          </cell>
          <cell r="CB383">
            <v>0</v>
          </cell>
          <cell r="CC383">
            <v>0</v>
          </cell>
          <cell r="CD383">
            <v>0</v>
          </cell>
        </row>
        <row r="384">
          <cell r="C384">
            <v>37839</v>
          </cell>
          <cell r="D384">
            <v>38008</v>
          </cell>
          <cell r="E384">
            <v>37964</v>
          </cell>
          <cell r="F384">
            <v>0.71180555555555547</v>
          </cell>
          <cell r="G384" t="str">
            <v>Dobradeira Sorg</v>
          </cell>
          <cell r="H384" t="str">
            <v>Máquina apresenta ruído estranho</v>
          </cell>
          <cell r="I384">
            <v>0</v>
          </cell>
          <cell r="J384" t="str">
            <v>Sim</v>
          </cell>
          <cell r="K384" t="str">
            <v>Mecânica</v>
          </cell>
          <cell r="L384" t="str">
            <v>Reparo</v>
          </cell>
          <cell r="M384" t="str">
            <v>Desgaste / Fadiga</v>
          </cell>
          <cell r="N384">
            <v>0</v>
          </cell>
          <cell r="O384">
            <v>0.71527777777777779</v>
          </cell>
          <cell r="P384">
            <v>0</v>
          </cell>
          <cell r="T384">
            <v>0</v>
          </cell>
          <cell r="U384">
            <v>0.83333333333333337</v>
          </cell>
          <cell r="V384">
            <v>0</v>
          </cell>
          <cell r="W384">
            <v>0</v>
          </cell>
          <cell r="X384">
            <v>0</v>
          </cell>
          <cell r="Y384">
            <v>0</v>
          </cell>
          <cell r="AB384">
            <v>0</v>
          </cell>
          <cell r="AC384">
            <v>8</v>
          </cell>
          <cell r="AD384">
            <v>0</v>
          </cell>
          <cell r="BF384">
            <v>0</v>
          </cell>
          <cell r="BG384">
            <v>0</v>
          </cell>
          <cell r="BH384">
            <v>0</v>
          </cell>
          <cell r="BI384">
            <v>0</v>
          </cell>
          <cell r="BJ384">
            <v>0</v>
          </cell>
          <cell r="BK384">
            <v>0</v>
          </cell>
          <cell r="BL384">
            <v>0</v>
          </cell>
          <cell r="BM384">
            <v>0</v>
          </cell>
          <cell r="BN384">
            <v>0</v>
          </cell>
          <cell r="BO384">
            <v>0</v>
          </cell>
          <cell r="BP384">
            <v>0</v>
          </cell>
          <cell r="BQ384">
            <v>0</v>
          </cell>
          <cell r="BR384">
            <v>0</v>
          </cell>
          <cell r="BS384">
            <v>0</v>
          </cell>
          <cell r="BT384">
            <v>0</v>
          </cell>
          <cell r="BU384">
            <v>0</v>
          </cell>
          <cell r="BV384">
            <v>0</v>
          </cell>
          <cell r="BW384">
            <v>0</v>
          </cell>
          <cell r="BX384">
            <v>0</v>
          </cell>
          <cell r="BY384">
            <v>0</v>
          </cell>
          <cell r="BZ384">
            <v>0</v>
          </cell>
          <cell r="CA384">
            <v>0</v>
          </cell>
          <cell r="CB384">
            <v>0</v>
          </cell>
          <cell r="CC384">
            <v>0</v>
          </cell>
          <cell r="CD384">
            <v>0</v>
          </cell>
        </row>
        <row r="385">
          <cell r="C385">
            <v>37839</v>
          </cell>
          <cell r="D385">
            <v>37993</v>
          </cell>
          <cell r="E385">
            <v>37977</v>
          </cell>
          <cell r="F385">
            <v>0.81944444444444453</v>
          </cell>
          <cell r="G385" t="str">
            <v>Prensa Jundiaí</v>
          </cell>
          <cell r="H385" t="str">
            <v>Parafuso do encosto da ferramenta quebrado</v>
          </cell>
          <cell r="I385">
            <v>0</v>
          </cell>
          <cell r="J385" t="str">
            <v>Sim</v>
          </cell>
          <cell r="K385" t="str">
            <v>Mecânica</v>
          </cell>
          <cell r="L385" t="str">
            <v>Substituição do(s) Componente(s)</v>
          </cell>
          <cell r="M385" t="str">
            <v>Desgaste / Fadiga</v>
          </cell>
          <cell r="N385">
            <v>0</v>
          </cell>
          <cell r="O385">
            <v>0.81944444444444453</v>
          </cell>
          <cell r="P385">
            <v>0</v>
          </cell>
          <cell r="T385">
            <v>0</v>
          </cell>
          <cell r="U385">
            <v>0.86111111111111116</v>
          </cell>
          <cell r="V385">
            <v>0</v>
          </cell>
          <cell r="W385">
            <v>0</v>
          </cell>
          <cell r="X385">
            <v>0</v>
          </cell>
          <cell r="Y385">
            <v>0</v>
          </cell>
          <cell r="AB385">
            <v>0</v>
          </cell>
          <cell r="AC385">
            <v>8</v>
          </cell>
          <cell r="AD385">
            <v>0</v>
          </cell>
          <cell r="BF385">
            <v>0</v>
          </cell>
          <cell r="BG385">
            <v>0</v>
          </cell>
          <cell r="BH385">
            <v>0</v>
          </cell>
          <cell r="BI385">
            <v>0</v>
          </cell>
          <cell r="BJ385">
            <v>0</v>
          </cell>
          <cell r="BK385">
            <v>0</v>
          </cell>
          <cell r="BL385">
            <v>0</v>
          </cell>
          <cell r="BM385">
            <v>0</v>
          </cell>
          <cell r="BN385">
            <v>0</v>
          </cell>
          <cell r="BO385">
            <v>0</v>
          </cell>
          <cell r="BP385">
            <v>0</v>
          </cell>
          <cell r="BQ385">
            <v>0</v>
          </cell>
          <cell r="BR385">
            <v>0</v>
          </cell>
          <cell r="BS385">
            <v>0</v>
          </cell>
          <cell r="BT385">
            <v>0</v>
          </cell>
          <cell r="BU385">
            <v>0</v>
          </cell>
          <cell r="BV385">
            <v>0</v>
          </cell>
          <cell r="BW385">
            <v>0</v>
          </cell>
          <cell r="BX385">
            <v>0</v>
          </cell>
          <cell r="BY385">
            <v>0</v>
          </cell>
          <cell r="BZ385">
            <v>0</v>
          </cell>
          <cell r="CA385">
            <v>0</v>
          </cell>
          <cell r="CB385">
            <v>0</v>
          </cell>
          <cell r="CC385">
            <v>0</v>
          </cell>
          <cell r="CD385">
            <v>0</v>
          </cell>
        </row>
        <row r="386">
          <cell r="C386">
            <v>37839</v>
          </cell>
          <cell r="D386">
            <v>37993</v>
          </cell>
          <cell r="E386">
            <v>37977</v>
          </cell>
          <cell r="F386">
            <v>0.86111111111111116</v>
          </cell>
          <cell r="G386" t="str">
            <v>Prensa Jundiaí</v>
          </cell>
          <cell r="H386" t="str">
            <v>Problema no reparo do bico de ar</v>
          </cell>
          <cell r="I386">
            <v>0</v>
          </cell>
          <cell r="J386" t="str">
            <v>Sim</v>
          </cell>
          <cell r="K386" t="str">
            <v>Mecânica</v>
          </cell>
          <cell r="L386" t="str">
            <v>Substituição do(s) Componente(s)</v>
          </cell>
          <cell r="M386" t="str">
            <v>Desgaste / Fadiga</v>
          </cell>
          <cell r="N386">
            <v>0</v>
          </cell>
          <cell r="O386">
            <v>0.86111111111111116</v>
          </cell>
          <cell r="P386">
            <v>0</v>
          </cell>
          <cell r="T386">
            <v>0</v>
          </cell>
          <cell r="U386">
            <v>0.875</v>
          </cell>
          <cell r="V386">
            <v>0</v>
          </cell>
          <cell r="W386">
            <v>0</v>
          </cell>
          <cell r="X386">
            <v>0</v>
          </cell>
          <cell r="Y386">
            <v>0</v>
          </cell>
          <cell r="AB386">
            <v>0</v>
          </cell>
          <cell r="AC386">
            <v>8</v>
          </cell>
          <cell r="AD386">
            <v>0</v>
          </cell>
          <cell r="BF386">
            <v>0</v>
          </cell>
          <cell r="BG386">
            <v>0</v>
          </cell>
          <cell r="BH386">
            <v>0</v>
          </cell>
          <cell r="BI386">
            <v>0</v>
          </cell>
          <cell r="BJ386">
            <v>0</v>
          </cell>
          <cell r="BK386">
            <v>0</v>
          </cell>
          <cell r="BL386">
            <v>0</v>
          </cell>
          <cell r="BM386">
            <v>0</v>
          </cell>
          <cell r="BN386">
            <v>0</v>
          </cell>
          <cell r="BO386">
            <v>0</v>
          </cell>
          <cell r="BP386">
            <v>0</v>
          </cell>
          <cell r="BQ386">
            <v>0</v>
          </cell>
          <cell r="BR386">
            <v>0</v>
          </cell>
          <cell r="BS386">
            <v>0</v>
          </cell>
          <cell r="BT386">
            <v>0</v>
          </cell>
          <cell r="BU386">
            <v>0</v>
          </cell>
          <cell r="BV386">
            <v>0</v>
          </cell>
          <cell r="BW386">
            <v>0</v>
          </cell>
          <cell r="BX386">
            <v>0</v>
          </cell>
          <cell r="BY386">
            <v>0</v>
          </cell>
          <cell r="BZ386">
            <v>0</v>
          </cell>
          <cell r="CA386">
            <v>0</v>
          </cell>
          <cell r="CB386">
            <v>0</v>
          </cell>
          <cell r="CC386">
            <v>0</v>
          </cell>
          <cell r="CD386">
            <v>0</v>
          </cell>
        </row>
        <row r="387">
          <cell r="C387">
            <v>37839</v>
          </cell>
          <cell r="D387">
            <v>37977</v>
          </cell>
          <cell r="E387">
            <v>37965</v>
          </cell>
          <cell r="F387">
            <v>0.95833333333333337</v>
          </cell>
          <cell r="G387" t="str">
            <v>Prensa Jundiaí Conectores</v>
          </cell>
          <cell r="H387" t="str">
            <v>Martelo travado</v>
          </cell>
          <cell r="I387">
            <v>0</v>
          </cell>
          <cell r="J387" t="str">
            <v>Sim</v>
          </cell>
          <cell r="K387" t="str">
            <v>Elétrica</v>
          </cell>
          <cell r="L387" t="str">
            <v>Destravamento dos Componentes</v>
          </cell>
          <cell r="M387" t="str">
            <v>Falha Operacional</v>
          </cell>
          <cell r="N387">
            <v>37965</v>
          </cell>
          <cell r="O387">
            <v>0.95833333333333337</v>
          </cell>
          <cell r="P387">
            <v>0</v>
          </cell>
          <cell r="T387">
            <v>37965</v>
          </cell>
          <cell r="U387">
            <v>0.97916666666666663</v>
          </cell>
          <cell r="V387">
            <v>0</v>
          </cell>
          <cell r="W387">
            <v>2.0833333330907977E-2</v>
          </cell>
          <cell r="X387">
            <v>0</v>
          </cell>
          <cell r="Y387">
            <v>0</v>
          </cell>
          <cell r="AB387">
            <v>12</v>
          </cell>
          <cell r="AC387">
            <v>8</v>
          </cell>
          <cell r="AD387">
            <v>0</v>
          </cell>
          <cell r="BF387">
            <v>0</v>
          </cell>
          <cell r="BG387">
            <v>0</v>
          </cell>
          <cell r="BH387">
            <v>0</v>
          </cell>
          <cell r="BI387">
            <v>0</v>
          </cell>
          <cell r="BJ387">
            <v>0</v>
          </cell>
          <cell r="BK387">
            <v>0</v>
          </cell>
          <cell r="BL387">
            <v>0</v>
          </cell>
          <cell r="BM387">
            <v>0</v>
          </cell>
          <cell r="BN387">
            <v>0</v>
          </cell>
          <cell r="BO387">
            <v>0</v>
          </cell>
          <cell r="BP387">
            <v>0</v>
          </cell>
          <cell r="BQ387">
            <v>0</v>
          </cell>
          <cell r="BR387">
            <v>0</v>
          </cell>
          <cell r="BS387">
            <v>0</v>
          </cell>
          <cell r="BT387">
            <v>0</v>
          </cell>
          <cell r="BU387">
            <v>0</v>
          </cell>
          <cell r="BV387">
            <v>0</v>
          </cell>
          <cell r="BW387">
            <v>0</v>
          </cell>
          <cell r="BX387">
            <v>0</v>
          </cell>
          <cell r="BY387">
            <v>0</v>
          </cell>
          <cell r="BZ387">
            <v>12</v>
          </cell>
          <cell r="CA387">
            <v>0</v>
          </cell>
          <cell r="CB387">
            <v>0</v>
          </cell>
          <cell r="CC387">
            <v>0</v>
          </cell>
          <cell r="CD387">
            <v>0</v>
          </cell>
        </row>
        <row r="388">
          <cell r="C388">
            <v>37839</v>
          </cell>
          <cell r="D388">
            <v>38008</v>
          </cell>
          <cell r="E388">
            <v>37992</v>
          </cell>
          <cell r="F388">
            <v>0.85416666666666663</v>
          </cell>
          <cell r="G388" t="str">
            <v>Prensa Jundiaí</v>
          </cell>
          <cell r="H388" t="str">
            <v>Martelo travado</v>
          </cell>
          <cell r="I388">
            <v>0</v>
          </cell>
          <cell r="J388" t="str">
            <v>Sim</v>
          </cell>
          <cell r="K388" t="str">
            <v>Elétrica</v>
          </cell>
          <cell r="L388" t="str">
            <v>Destravamento dos Componentes</v>
          </cell>
          <cell r="M388" t="str">
            <v>Falha Operacional</v>
          </cell>
          <cell r="N388">
            <v>0</v>
          </cell>
          <cell r="O388">
            <v>0.85416666666666663</v>
          </cell>
          <cell r="P388">
            <v>0</v>
          </cell>
          <cell r="T388">
            <v>0</v>
          </cell>
          <cell r="U388">
            <v>0.89583333333333337</v>
          </cell>
          <cell r="V388">
            <v>0</v>
          </cell>
          <cell r="W388">
            <v>0</v>
          </cell>
          <cell r="X388">
            <v>0</v>
          </cell>
          <cell r="Y388">
            <v>0</v>
          </cell>
          <cell r="AB388">
            <v>0</v>
          </cell>
          <cell r="AC388">
            <v>8</v>
          </cell>
          <cell r="AD388">
            <v>0</v>
          </cell>
          <cell r="BF388">
            <v>0</v>
          </cell>
          <cell r="BG388">
            <v>0</v>
          </cell>
          <cell r="BH388">
            <v>0</v>
          </cell>
          <cell r="BI388">
            <v>0</v>
          </cell>
          <cell r="BJ388">
            <v>0</v>
          </cell>
          <cell r="BK388">
            <v>0</v>
          </cell>
          <cell r="BL388">
            <v>0</v>
          </cell>
          <cell r="BM388">
            <v>0</v>
          </cell>
          <cell r="BN388">
            <v>0</v>
          </cell>
          <cell r="BO388">
            <v>0</v>
          </cell>
          <cell r="BP388">
            <v>0</v>
          </cell>
          <cell r="BQ388">
            <v>0</v>
          </cell>
          <cell r="BR388">
            <v>0</v>
          </cell>
          <cell r="BS388">
            <v>0</v>
          </cell>
          <cell r="BT388">
            <v>0</v>
          </cell>
          <cell r="BU388">
            <v>0</v>
          </cell>
          <cell r="BV388">
            <v>0</v>
          </cell>
          <cell r="BW388">
            <v>0</v>
          </cell>
          <cell r="BX388">
            <v>0</v>
          </cell>
          <cell r="BY388">
            <v>0</v>
          </cell>
          <cell r="BZ388">
            <v>0</v>
          </cell>
          <cell r="CA388">
            <v>0</v>
          </cell>
          <cell r="CB388">
            <v>0</v>
          </cell>
          <cell r="CC388">
            <v>0</v>
          </cell>
          <cell r="CD388">
            <v>0</v>
          </cell>
        </row>
        <row r="389">
          <cell r="C389">
            <v>37839</v>
          </cell>
          <cell r="I389">
            <v>0</v>
          </cell>
          <cell r="N389">
            <v>0</v>
          </cell>
          <cell r="P389">
            <v>0</v>
          </cell>
          <cell r="T389">
            <v>0</v>
          </cell>
          <cell r="V389">
            <v>0</v>
          </cell>
          <cell r="W389">
            <v>0</v>
          </cell>
          <cell r="X389">
            <v>0</v>
          </cell>
          <cell r="Y389">
            <v>0</v>
          </cell>
          <cell r="AB389">
            <v>0</v>
          </cell>
          <cell r="AC389">
            <v>8</v>
          </cell>
          <cell r="AD389">
            <v>0</v>
          </cell>
          <cell r="BF389">
            <v>0</v>
          </cell>
          <cell r="BG389">
            <v>0</v>
          </cell>
          <cell r="BH389">
            <v>0</v>
          </cell>
          <cell r="BI389">
            <v>0</v>
          </cell>
          <cell r="BJ389">
            <v>0</v>
          </cell>
          <cell r="BK389">
            <v>0</v>
          </cell>
          <cell r="BL389">
            <v>0</v>
          </cell>
          <cell r="BM389">
            <v>0</v>
          </cell>
          <cell r="BN389">
            <v>0</v>
          </cell>
          <cell r="BO389">
            <v>0</v>
          </cell>
          <cell r="BP389">
            <v>0</v>
          </cell>
          <cell r="BQ389">
            <v>0</v>
          </cell>
          <cell r="BR389">
            <v>0</v>
          </cell>
          <cell r="BS389">
            <v>0</v>
          </cell>
          <cell r="BT389">
            <v>0</v>
          </cell>
          <cell r="BU389">
            <v>0</v>
          </cell>
          <cell r="BV389">
            <v>0</v>
          </cell>
          <cell r="BW389">
            <v>0</v>
          </cell>
          <cell r="BX389">
            <v>0</v>
          </cell>
          <cell r="BY389">
            <v>0</v>
          </cell>
          <cell r="BZ389">
            <v>0</v>
          </cell>
          <cell r="CA389">
            <v>0</v>
          </cell>
          <cell r="CB389">
            <v>0</v>
          </cell>
          <cell r="CC389">
            <v>0</v>
          </cell>
          <cell r="CD389">
            <v>0</v>
          </cell>
        </row>
        <row r="390">
          <cell r="C390">
            <v>37839</v>
          </cell>
          <cell r="D390">
            <v>37993</v>
          </cell>
          <cell r="E390">
            <v>37985</v>
          </cell>
          <cell r="F390">
            <v>0.46875</v>
          </cell>
          <cell r="G390" t="str">
            <v>Prensa Jundiaí</v>
          </cell>
          <cell r="H390" t="str">
            <v>Motor do Martelo quemado</v>
          </cell>
          <cell r="I390">
            <v>0</v>
          </cell>
          <cell r="J390" t="str">
            <v>Sim</v>
          </cell>
          <cell r="K390" t="str">
            <v>Elétrica</v>
          </cell>
          <cell r="L390" t="str">
            <v>Substituição do(s) Componente(s)</v>
          </cell>
          <cell r="M390" t="str">
            <v>Causa não especificada</v>
          </cell>
          <cell r="N390">
            <v>0</v>
          </cell>
          <cell r="O390">
            <v>0.46875</v>
          </cell>
          <cell r="P390">
            <v>0</v>
          </cell>
          <cell r="T390">
            <v>0</v>
          </cell>
          <cell r="U390">
            <v>0.58333333333333337</v>
          </cell>
          <cell r="V390">
            <v>0</v>
          </cell>
          <cell r="W390">
            <v>0</v>
          </cell>
          <cell r="X390">
            <v>0</v>
          </cell>
          <cell r="Y390">
            <v>0</v>
          </cell>
          <cell r="AB390">
            <v>0</v>
          </cell>
          <cell r="AC390">
            <v>8</v>
          </cell>
          <cell r="AD390">
            <v>0</v>
          </cell>
          <cell r="BF390">
            <v>0</v>
          </cell>
          <cell r="BG390">
            <v>0</v>
          </cell>
          <cell r="BH390">
            <v>0</v>
          </cell>
          <cell r="BI390">
            <v>0</v>
          </cell>
          <cell r="BJ390">
            <v>0</v>
          </cell>
          <cell r="BK390">
            <v>0</v>
          </cell>
          <cell r="BL390">
            <v>0</v>
          </cell>
          <cell r="BM390">
            <v>0</v>
          </cell>
          <cell r="BN390">
            <v>0</v>
          </cell>
          <cell r="BO390">
            <v>0</v>
          </cell>
          <cell r="BP390">
            <v>0</v>
          </cell>
          <cell r="BQ390">
            <v>0</v>
          </cell>
          <cell r="BR390">
            <v>0</v>
          </cell>
          <cell r="BS390">
            <v>0</v>
          </cell>
          <cell r="BT390">
            <v>0</v>
          </cell>
          <cell r="BU390">
            <v>0</v>
          </cell>
          <cell r="BV390">
            <v>0</v>
          </cell>
          <cell r="BW390">
            <v>0</v>
          </cell>
          <cell r="BX390">
            <v>0</v>
          </cell>
          <cell r="BY390">
            <v>0</v>
          </cell>
          <cell r="BZ390">
            <v>0</v>
          </cell>
          <cell r="CA390">
            <v>0</v>
          </cell>
          <cell r="CB390">
            <v>0</v>
          </cell>
          <cell r="CC390">
            <v>0</v>
          </cell>
          <cell r="CD390">
            <v>0</v>
          </cell>
        </row>
        <row r="391">
          <cell r="C391">
            <v>37839</v>
          </cell>
          <cell r="I391">
            <v>0</v>
          </cell>
          <cell r="N391">
            <v>0</v>
          </cell>
          <cell r="P391">
            <v>0</v>
          </cell>
          <cell r="T391">
            <v>0</v>
          </cell>
          <cell r="V391">
            <v>0</v>
          </cell>
          <cell r="W391">
            <v>0</v>
          </cell>
          <cell r="X391">
            <v>0</v>
          </cell>
          <cell r="Y391">
            <v>0</v>
          </cell>
          <cell r="AB391">
            <v>0</v>
          </cell>
          <cell r="AC391">
            <v>8</v>
          </cell>
          <cell r="AD391">
            <v>0</v>
          </cell>
          <cell r="BF391">
            <v>0</v>
          </cell>
          <cell r="BG391">
            <v>0</v>
          </cell>
          <cell r="BH391">
            <v>0</v>
          </cell>
          <cell r="BI391">
            <v>0</v>
          </cell>
          <cell r="BJ391">
            <v>0</v>
          </cell>
          <cell r="BK391">
            <v>0</v>
          </cell>
          <cell r="BL391">
            <v>0</v>
          </cell>
          <cell r="BM391">
            <v>0</v>
          </cell>
          <cell r="BN391">
            <v>0</v>
          </cell>
          <cell r="BO391">
            <v>0</v>
          </cell>
          <cell r="BP391">
            <v>0</v>
          </cell>
          <cell r="BQ391">
            <v>0</v>
          </cell>
          <cell r="BR391">
            <v>0</v>
          </cell>
          <cell r="BS391">
            <v>0</v>
          </cell>
          <cell r="BT391">
            <v>0</v>
          </cell>
          <cell r="BU391">
            <v>0</v>
          </cell>
          <cell r="BV391">
            <v>0</v>
          </cell>
          <cell r="BW391">
            <v>0</v>
          </cell>
          <cell r="BX391">
            <v>0</v>
          </cell>
          <cell r="BY391">
            <v>0</v>
          </cell>
          <cell r="BZ391">
            <v>0</v>
          </cell>
          <cell r="CA391">
            <v>0</v>
          </cell>
          <cell r="CB391">
            <v>0</v>
          </cell>
          <cell r="CC391">
            <v>0</v>
          </cell>
          <cell r="CD391">
            <v>0</v>
          </cell>
        </row>
        <row r="392">
          <cell r="C392">
            <v>37839</v>
          </cell>
          <cell r="D392">
            <v>37993</v>
          </cell>
          <cell r="E392">
            <v>37991</v>
          </cell>
          <cell r="F392">
            <v>0.49305555555555558</v>
          </cell>
          <cell r="G392" t="str">
            <v>Prensa Jundiaí</v>
          </cell>
          <cell r="H392" t="str">
            <v>Caixa do motor do martelo está solta</v>
          </cell>
          <cell r="I392">
            <v>0</v>
          </cell>
          <cell r="J392" t="str">
            <v>Sim</v>
          </cell>
          <cell r="K392" t="str">
            <v>Mecânica</v>
          </cell>
          <cell r="L392" t="str">
            <v>Reparo</v>
          </cell>
          <cell r="M392" t="str">
            <v>Vibração</v>
          </cell>
          <cell r="N392">
            <v>0</v>
          </cell>
          <cell r="O392">
            <v>0.49652777777777773</v>
          </cell>
          <cell r="P392">
            <v>0</v>
          </cell>
          <cell r="T392">
            <v>0</v>
          </cell>
          <cell r="U392">
            <v>0.66666666666666663</v>
          </cell>
          <cell r="V392">
            <v>0</v>
          </cell>
          <cell r="W392">
            <v>0</v>
          </cell>
          <cell r="X392">
            <v>0</v>
          </cell>
          <cell r="Y392">
            <v>0</v>
          </cell>
          <cell r="AB392">
            <v>0</v>
          </cell>
          <cell r="AC392">
            <v>8</v>
          </cell>
          <cell r="AD392">
            <v>0</v>
          </cell>
          <cell r="BF392">
            <v>0</v>
          </cell>
          <cell r="BG392">
            <v>0</v>
          </cell>
          <cell r="BH392">
            <v>0</v>
          </cell>
          <cell r="BI392">
            <v>0</v>
          </cell>
          <cell r="BJ392">
            <v>0</v>
          </cell>
          <cell r="BK392">
            <v>0</v>
          </cell>
          <cell r="BL392">
            <v>0</v>
          </cell>
          <cell r="BM392">
            <v>0</v>
          </cell>
          <cell r="BN392">
            <v>0</v>
          </cell>
          <cell r="BO392">
            <v>0</v>
          </cell>
          <cell r="BP392">
            <v>0</v>
          </cell>
          <cell r="BQ392">
            <v>0</v>
          </cell>
          <cell r="BR392">
            <v>0</v>
          </cell>
          <cell r="BS392">
            <v>0</v>
          </cell>
          <cell r="BT392">
            <v>0</v>
          </cell>
          <cell r="BU392">
            <v>0</v>
          </cell>
          <cell r="BV392">
            <v>0</v>
          </cell>
          <cell r="BW392">
            <v>0</v>
          </cell>
          <cell r="BX392">
            <v>0</v>
          </cell>
          <cell r="BY392">
            <v>0</v>
          </cell>
          <cell r="BZ392">
            <v>0</v>
          </cell>
          <cell r="CA392">
            <v>0</v>
          </cell>
          <cell r="CB392">
            <v>0</v>
          </cell>
          <cell r="CC392">
            <v>0</v>
          </cell>
          <cell r="CD392">
            <v>0</v>
          </cell>
        </row>
        <row r="393">
          <cell r="C393">
            <v>37839</v>
          </cell>
          <cell r="D393">
            <v>37993</v>
          </cell>
          <cell r="E393">
            <v>37991</v>
          </cell>
          <cell r="F393">
            <v>0.85416666666666663</v>
          </cell>
          <cell r="G393" t="str">
            <v>Dobradeira Sorg</v>
          </cell>
          <cell r="H393" t="str">
            <v>Prensa não retorna</v>
          </cell>
          <cell r="I393">
            <v>0</v>
          </cell>
          <cell r="J393" t="str">
            <v>Sim</v>
          </cell>
          <cell r="K393" t="str">
            <v>Elétrica</v>
          </cell>
          <cell r="L393" t="str">
            <v>Substituição do(s) Componente(s)</v>
          </cell>
          <cell r="M393" t="str">
            <v>Desgaste / Fadiga</v>
          </cell>
          <cell r="N393">
            <v>0</v>
          </cell>
          <cell r="O393">
            <v>0.85416666666666663</v>
          </cell>
          <cell r="P393">
            <v>0</v>
          </cell>
          <cell r="T393">
            <v>0</v>
          </cell>
          <cell r="U393">
            <v>0.89583333333333337</v>
          </cell>
          <cell r="V393">
            <v>0</v>
          </cell>
          <cell r="W393">
            <v>0</v>
          </cell>
          <cell r="X393">
            <v>0</v>
          </cell>
          <cell r="Y393">
            <v>0</v>
          </cell>
          <cell r="AB393">
            <v>0</v>
          </cell>
          <cell r="AC393">
            <v>8</v>
          </cell>
          <cell r="AD393">
            <v>0</v>
          </cell>
          <cell r="BF393">
            <v>0</v>
          </cell>
          <cell r="BG393">
            <v>0</v>
          </cell>
          <cell r="BH393">
            <v>0</v>
          </cell>
          <cell r="BI393">
            <v>0</v>
          </cell>
          <cell r="BJ393">
            <v>0</v>
          </cell>
          <cell r="BK393">
            <v>0</v>
          </cell>
          <cell r="BL393">
            <v>0</v>
          </cell>
          <cell r="BM393">
            <v>0</v>
          </cell>
          <cell r="BN393">
            <v>0</v>
          </cell>
          <cell r="BO393">
            <v>0</v>
          </cell>
          <cell r="BP393">
            <v>0</v>
          </cell>
          <cell r="BQ393">
            <v>0</v>
          </cell>
          <cell r="BR393">
            <v>0</v>
          </cell>
          <cell r="BS393">
            <v>0</v>
          </cell>
          <cell r="BT393">
            <v>0</v>
          </cell>
          <cell r="BU393">
            <v>0</v>
          </cell>
          <cell r="BV393">
            <v>0</v>
          </cell>
          <cell r="BW393">
            <v>0</v>
          </cell>
          <cell r="BX393">
            <v>0</v>
          </cell>
          <cell r="BY393">
            <v>0</v>
          </cell>
          <cell r="BZ393">
            <v>0</v>
          </cell>
          <cell r="CA393">
            <v>0</v>
          </cell>
          <cell r="CB393">
            <v>0</v>
          </cell>
          <cell r="CC393">
            <v>0</v>
          </cell>
          <cell r="CD393">
            <v>0</v>
          </cell>
        </row>
        <row r="394">
          <cell r="C394">
            <v>37839</v>
          </cell>
          <cell r="I394">
            <v>0</v>
          </cell>
          <cell r="N394">
            <v>0</v>
          </cell>
          <cell r="P394">
            <v>0</v>
          </cell>
          <cell r="T394">
            <v>0</v>
          </cell>
          <cell r="V394">
            <v>0</v>
          </cell>
          <cell r="W394">
            <v>0</v>
          </cell>
          <cell r="X394">
            <v>0</v>
          </cell>
          <cell r="Y394">
            <v>0</v>
          </cell>
          <cell r="AB394">
            <v>0</v>
          </cell>
          <cell r="AC394">
            <v>8</v>
          </cell>
          <cell r="AD394">
            <v>0</v>
          </cell>
          <cell r="BF394">
            <v>0</v>
          </cell>
          <cell r="BG394">
            <v>0</v>
          </cell>
          <cell r="BH394">
            <v>0</v>
          </cell>
          <cell r="BI394">
            <v>0</v>
          </cell>
          <cell r="BJ394">
            <v>0</v>
          </cell>
          <cell r="BK394">
            <v>0</v>
          </cell>
          <cell r="BL394">
            <v>0</v>
          </cell>
          <cell r="BM394">
            <v>0</v>
          </cell>
          <cell r="BN394">
            <v>0</v>
          </cell>
          <cell r="BO394">
            <v>0</v>
          </cell>
          <cell r="BP394">
            <v>0</v>
          </cell>
          <cell r="BQ394">
            <v>0</v>
          </cell>
          <cell r="BR394">
            <v>0</v>
          </cell>
          <cell r="BS394">
            <v>0</v>
          </cell>
          <cell r="BT394">
            <v>0</v>
          </cell>
          <cell r="BU394">
            <v>0</v>
          </cell>
          <cell r="BV394">
            <v>0</v>
          </cell>
          <cell r="BW394">
            <v>0</v>
          </cell>
          <cell r="BX394">
            <v>0</v>
          </cell>
          <cell r="BY394">
            <v>0</v>
          </cell>
          <cell r="BZ394">
            <v>0</v>
          </cell>
          <cell r="CA394">
            <v>0</v>
          </cell>
          <cell r="CB394">
            <v>0</v>
          </cell>
          <cell r="CC394">
            <v>0</v>
          </cell>
          <cell r="CD394">
            <v>0</v>
          </cell>
        </row>
        <row r="395">
          <cell r="C395">
            <v>37839</v>
          </cell>
          <cell r="I395">
            <v>0</v>
          </cell>
          <cell r="N395">
            <v>0</v>
          </cell>
          <cell r="P395">
            <v>0</v>
          </cell>
          <cell r="T395">
            <v>0</v>
          </cell>
          <cell r="V395">
            <v>0</v>
          </cell>
          <cell r="W395">
            <v>0</v>
          </cell>
          <cell r="X395">
            <v>0</v>
          </cell>
          <cell r="Y395">
            <v>0</v>
          </cell>
          <cell r="AB395">
            <v>0</v>
          </cell>
          <cell r="AC395">
            <v>8</v>
          </cell>
          <cell r="AD395">
            <v>0</v>
          </cell>
          <cell r="BF395">
            <v>0</v>
          </cell>
          <cell r="BG395">
            <v>0</v>
          </cell>
          <cell r="BH395">
            <v>0</v>
          </cell>
          <cell r="BI395">
            <v>0</v>
          </cell>
          <cell r="BJ395">
            <v>0</v>
          </cell>
          <cell r="BK395">
            <v>0</v>
          </cell>
          <cell r="BL395">
            <v>0</v>
          </cell>
          <cell r="BM395">
            <v>0</v>
          </cell>
          <cell r="BN395">
            <v>0</v>
          </cell>
          <cell r="BO395">
            <v>0</v>
          </cell>
          <cell r="BP395">
            <v>0</v>
          </cell>
          <cell r="BQ395">
            <v>0</v>
          </cell>
          <cell r="BR395">
            <v>0</v>
          </cell>
          <cell r="BS395">
            <v>0</v>
          </cell>
          <cell r="BT395">
            <v>0</v>
          </cell>
          <cell r="BU395">
            <v>0</v>
          </cell>
          <cell r="BV395">
            <v>0</v>
          </cell>
          <cell r="BW395">
            <v>0</v>
          </cell>
          <cell r="BX395">
            <v>0</v>
          </cell>
          <cell r="BY395">
            <v>0</v>
          </cell>
          <cell r="BZ395">
            <v>0</v>
          </cell>
          <cell r="CA395">
            <v>0</v>
          </cell>
          <cell r="CB395">
            <v>0</v>
          </cell>
          <cell r="CC395">
            <v>0</v>
          </cell>
          <cell r="CD395">
            <v>0</v>
          </cell>
        </row>
        <row r="396">
          <cell r="C396">
            <v>37839</v>
          </cell>
          <cell r="D396">
            <v>37865</v>
          </cell>
          <cell r="E396">
            <v>37859</v>
          </cell>
          <cell r="F396">
            <v>0.64583333333333337</v>
          </cell>
          <cell r="G396" t="str">
            <v>Guilhotina Sorg</v>
          </cell>
          <cell r="H396" t="str">
            <v>Máquina não referencia</v>
          </cell>
          <cell r="I396" t="str">
            <v>Corretiva</v>
          </cell>
          <cell r="J396" t="str">
            <v>Sim</v>
          </cell>
          <cell r="K396" t="str">
            <v>Elétrica</v>
          </cell>
          <cell r="L396" t="str">
            <v>Regulagem do Componente</v>
          </cell>
          <cell r="M396" t="str">
            <v>Falha Operacional</v>
          </cell>
          <cell r="N396">
            <v>37859</v>
          </cell>
          <cell r="O396">
            <v>0.75</v>
          </cell>
          <cell r="P396">
            <v>37859</v>
          </cell>
          <cell r="Q396">
            <v>0.75</v>
          </cell>
          <cell r="T396">
            <v>37859</v>
          </cell>
          <cell r="U396">
            <v>0.77777777777777779</v>
          </cell>
          <cell r="V396">
            <v>37859</v>
          </cell>
          <cell r="W396">
            <v>0.77777777777777779</v>
          </cell>
          <cell r="X396">
            <v>2.777777777777779E-2</v>
          </cell>
          <cell r="Y396">
            <v>2.7777777781011537E-2</v>
          </cell>
          <cell r="AB396">
            <v>8</v>
          </cell>
          <cell r="AC396">
            <v>8</v>
          </cell>
          <cell r="AD396">
            <v>0</v>
          </cell>
          <cell r="BF396">
            <v>0</v>
          </cell>
          <cell r="BG396">
            <v>0</v>
          </cell>
          <cell r="BH396">
            <v>0</v>
          </cell>
          <cell r="BI396">
            <v>0</v>
          </cell>
          <cell r="BJ396">
            <v>0</v>
          </cell>
          <cell r="BK396">
            <v>0</v>
          </cell>
          <cell r="BL396">
            <v>0</v>
          </cell>
          <cell r="BM396">
            <v>8</v>
          </cell>
          <cell r="BN396">
            <v>0</v>
          </cell>
          <cell r="BO396">
            <v>0</v>
          </cell>
          <cell r="BP396">
            <v>0</v>
          </cell>
          <cell r="BQ396">
            <v>0</v>
          </cell>
          <cell r="BR396">
            <v>0</v>
          </cell>
          <cell r="BS396">
            <v>0</v>
          </cell>
          <cell r="BT396">
            <v>0</v>
          </cell>
          <cell r="BU396">
            <v>0</v>
          </cell>
          <cell r="BV396">
            <v>0</v>
          </cell>
          <cell r="BW396">
            <v>0</v>
          </cell>
          <cell r="BX396">
            <v>0</v>
          </cell>
          <cell r="BY396">
            <v>0</v>
          </cell>
          <cell r="BZ396">
            <v>0</v>
          </cell>
          <cell r="CA396">
            <v>0</v>
          </cell>
          <cell r="CB396">
            <v>0</v>
          </cell>
          <cell r="CC396">
            <v>0</v>
          </cell>
          <cell r="CD396">
            <v>0</v>
          </cell>
        </row>
        <row r="397">
          <cell r="C397">
            <v>37848</v>
          </cell>
          <cell r="D397">
            <v>37858</v>
          </cell>
          <cell r="E397">
            <v>37855</v>
          </cell>
          <cell r="F397">
            <v>0.3840277777777778</v>
          </cell>
          <cell r="G397" t="str">
            <v>Perfiladora Dimeco Travesaños</v>
          </cell>
          <cell r="H397" t="str">
            <v>Necessidade de substituição do Disco de Serra</v>
          </cell>
          <cell r="I397" t="str">
            <v>Corretiva</v>
          </cell>
          <cell r="J397" t="str">
            <v>Sim</v>
          </cell>
          <cell r="K397" t="str">
            <v>Mecânica</v>
          </cell>
          <cell r="L397" t="str">
            <v>Substituição do(s) Componente(s)</v>
          </cell>
          <cell r="M397" t="str">
            <v>Desgaste / Fadiga</v>
          </cell>
          <cell r="N397">
            <v>37855</v>
          </cell>
          <cell r="O397">
            <v>0.3888888888888889</v>
          </cell>
          <cell r="P397">
            <v>37855</v>
          </cell>
          <cell r="Q397">
            <v>0.3888888888888889</v>
          </cell>
          <cell r="T397">
            <v>37855</v>
          </cell>
          <cell r="U397">
            <v>0.41666666666666669</v>
          </cell>
          <cell r="V397">
            <v>37855</v>
          </cell>
          <cell r="W397">
            <v>0.41666666666666669</v>
          </cell>
          <cell r="X397">
            <v>2.777777777777779E-2</v>
          </cell>
          <cell r="Y397">
            <v>2.7777777775352452E-2</v>
          </cell>
          <cell r="AB397">
            <v>8</v>
          </cell>
          <cell r="AC397">
            <v>8</v>
          </cell>
          <cell r="AD397">
            <v>0</v>
          </cell>
          <cell r="BF397">
            <v>0</v>
          </cell>
          <cell r="BG397">
            <v>0</v>
          </cell>
          <cell r="BH397">
            <v>0</v>
          </cell>
          <cell r="BI397">
            <v>0</v>
          </cell>
          <cell r="BJ397">
            <v>0</v>
          </cell>
          <cell r="BK397">
            <v>0</v>
          </cell>
          <cell r="BL397">
            <v>0</v>
          </cell>
          <cell r="BM397">
            <v>0</v>
          </cell>
          <cell r="BN397">
            <v>0</v>
          </cell>
          <cell r="BO397">
            <v>0</v>
          </cell>
          <cell r="BP397">
            <v>0</v>
          </cell>
          <cell r="BQ397">
            <v>0</v>
          </cell>
          <cell r="BR397">
            <v>0</v>
          </cell>
          <cell r="BS397">
            <v>8</v>
          </cell>
          <cell r="BT397">
            <v>0</v>
          </cell>
          <cell r="BU397">
            <v>0</v>
          </cell>
          <cell r="BV397">
            <v>0</v>
          </cell>
          <cell r="BW397">
            <v>0</v>
          </cell>
          <cell r="BX397">
            <v>0</v>
          </cell>
          <cell r="BY397">
            <v>0</v>
          </cell>
          <cell r="BZ397">
            <v>0</v>
          </cell>
          <cell r="CA397">
            <v>0</v>
          </cell>
          <cell r="CB397">
            <v>0</v>
          </cell>
          <cell r="CC397">
            <v>0</v>
          </cell>
          <cell r="CD397">
            <v>0</v>
          </cell>
        </row>
        <row r="398">
          <cell r="C398">
            <v>37848</v>
          </cell>
          <cell r="D398">
            <v>37867</v>
          </cell>
          <cell r="E398">
            <v>37865</v>
          </cell>
          <cell r="F398">
            <v>0.45833333333333331</v>
          </cell>
          <cell r="G398" t="str">
            <v>Perfiladora Dimeco Travesaños</v>
          </cell>
          <cell r="H398" t="str">
            <v>Eixo da cabeça de turco danificado, dificultando a retirada dos Rolamentos</v>
          </cell>
          <cell r="I398" t="str">
            <v>Corretiva</v>
          </cell>
          <cell r="J398" t="str">
            <v>Sim</v>
          </cell>
          <cell r="K398" t="str">
            <v>Mecânica</v>
          </cell>
          <cell r="L398" t="str">
            <v>Reparo</v>
          </cell>
          <cell r="M398" t="str">
            <v>Falha de Montagem / Preparação</v>
          </cell>
          <cell r="N398">
            <v>37865</v>
          </cell>
          <cell r="O398">
            <v>0.47916666666666669</v>
          </cell>
          <cell r="P398">
            <v>37865</v>
          </cell>
          <cell r="Q398">
            <v>0.47916666666666669</v>
          </cell>
          <cell r="T398">
            <v>37865</v>
          </cell>
          <cell r="U398">
            <v>0.52083333333333337</v>
          </cell>
          <cell r="V398">
            <v>37865</v>
          </cell>
          <cell r="W398">
            <v>0.52083333333333337</v>
          </cell>
          <cell r="X398">
            <v>4.1666666666666685E-2</v>
          </cell>
          <cell r="Y398">
            <v>4.1666666669091967E-2</v>
          </cell>
          <cell r="AB398">
            <v>9</v>
          </cell>
          <cell r="AC398">
            <v>8</v>
          </cell>
          <cell r="AD398">
            <v>0</v>
          </cell>
          <cell r="BF398">
            <v>0</v>
          </cell>
          <cell r="BG398">
            <v>0</v>
          </cell>
          <cell r="BH398">
            <v>0</v>
          </cell>
          <cell r="BI398">
            <v>0</v>
          </cell>
          <cell r="BJ398">
            <v>0</v>
          </cell>
          <cell r="BK398">
            <v>0</v>
          </cell>
          <cell r="BL398">
            <v>0</v>
          </cell>
          <cell r="BM398">
            <v>0</v>
          </cell>
          <cell r="BN398">
            <v>0</v>
          </cell>
          <cell r="BO398">
            <v>0</v>
          </cell>
          <cell r="BP398">
            <v>0</v>
          </cell>
          <cell r="BQ398">
            <v>0</v>
          </cell>
          <cell r="BR398">
            <v>0</v>
          </cell>
          <cell r="BS398">
            <v>9</v>
          </cell>
          <cell r="BT398">
            <v>0</v>
          </cell>
          <cell r="BU398">
            <v>0</v>
          </cell>
          <cell r="BV398">
            <v>0</v>
          </cell>
          <cell r="BW398">
            <v>0</v>
          </cell>
          <cell r="BX398">
            <v>0</v>
          </cell>
          <cell r="BY398">
            <v>0</v>
          </cell>
          <cell r="BZ398">
            <v>0</v>
          </cell>
          <cell r="CA398">
            <v>0</v>
          </cell>
          <cell r="CB398">
            <v>0</v>
          </cell>
          <cell r="CC398">
            <v>0</v>
          </cell>
          <cell r="CD398">
            <v>0</v>
          </cell>
        </row>
        <row r="399">
          <cell r="C399">
            <v>37848</v>
          </cell>
          <cell r="D399">
            <v>37868</v>
          </cell>
          <cell r="E399">
            <v>37865</v>
          </cell>
          <cell r="F399">
            <v>0.59722222222222221</v>
          </cell>
          <cell r="G399" t="str">
            <v>Prensa Gijón</v>
          </cell>
          <cell r="H399" t="str">
            <v>Barra roscada de Regulagem de distância está torta</v>
          </cell>
          <cell r="I399" t="str">
            <v>Corretiva</v>
          </cell>
          <cell r="J399" t="str">
            <v>Não</v>
          </cell>
          <cell r="K399" t="str">
            <v>Mecânica</v>
          </cell>
          <cell r="L399" t="str">
            <v>Reparo</v>
          </cell>
          <cell r="M399" t="str">
            <v>Falha Operacional</v>
          </cell>
          <cell r="N399">
            <v>37865</v>
          </cell>
          <cell r="O399">
            <v>0.70833333333333337</v>
          </cell>
          <cell r="P399">
            <v>37865</v>
          </cell>
          <cell r="Q399">
            <v>0.70833333333333337</v>
          </cell>
          <cell r="T399">
            <v>37865</v>
          </cell>
          <cell r="U399">
            <v>0.875</v>
          </cell>
          <cell r="V399">
            <v>37865</v>
          </cell>
          <cell r="W399">
            <v>0.875</v>
          </cell>
          <cell r="X399">
            <v>0.16666666666666663</v>
          </cell>
          <cell r="Y399">
            <v>0.16666666666666663</v>
          </cell>
          <cell r="AB399">
            <v>9</v>
          </cell>
          <cell r="AC399">
            <v>8</v>
          </cell>
          <cell r="AD399">
            <v>0</v>
          </cell>
          <cell r="BF399">
            <v>0</v>
          </cell>
          <cell r="BG399">
            <v>0</v>
          </cell>
          <cell r="BH399">
            <v>0</v>
          </cell>
          <cell r="BI399">
            <v>0</v>
          </cell>
          <cell r="BJ399">
            <v>0</v>
          </cell>
          <cell r="BK399">
            <v>0</v>
          </cell>
          <cell r="BL399">
            <v>0</v>
          </cell>
          <cell r="BM399">
            <v>0</v>
          </cell>
          <cell r="BN399">
            <v>0</v>
          </cell>
          <cell r="BO399">
            <v>0</v>
          </cell>
          <cell r="BP399">
            <v>0</v>
          </cell>
          <cell r="BQ399">
            <v>0</v>
          </cell>
          <cell r="BR399">
            <v>0</v>
          </cell>
          <cell r="BS399">
            <v>0</v>
          </cell>
          <cell r="BT399">
            <v>0</v>
          </cell>
          <cell r="BU399">
            <v>0</v>
          </cell>
          <cell r="BV399">
            <v>0</v>
          </cell>
          <cell r="BW399">
            <v>0</v>
          </cell>
          <cell r="BX399">
            <v>9</v>
          </cell>
          <cell r="BY399">
            <v>0</v>
          </cell>
          <cell r="BZ399">
            <v>0</v>
          </cell>
          <cell r="CA399">
            <v>0</v>
          </cell>
          <cell r="CB399">
            <v>0</v>
          </cell>
          <cell r="CC399">
            <v>0</v>
          </cell>
          <cell r="CD399">
            <v>0</v>
          </cell>
        </row>
        <row r="400">
          <cell r="C400">
            <v>37848</v>
          </cell>
          <cell r="D400">
            <v>37900</v>
          </cell>
          <cell r="E400">
            <v>37893</v>
          </cell>
          <cell r="F400">
            <v>0.44236111111111115</v>
          </cell>
          <cell r="G400" t="str">
            <v>Perfiladora Dimeco Travesaños</v>
          </cell>
          <cell r="H400" t="str">
            <v>Mangueira do Hidráulico furada</v>
          </cell>
          <cell r="I400" t="str">
            <v>Corretiva</v>
          </cell>
          <cell r="J400" t="str">
            <v>Sim</v>
          </cell>
          <cell r="K400" t="str">
            <v>Mecânica</v>
          </cell>
          <cell r="L400" t="str">
            <v>Substituição do(s) Componente(s)</v>
          </cell>
          <cell r="M400" t="str">
            <v>Desgaste / Fadiga</v>
          </cell>
          <cell r="N400">
            <v>37893</v>
          </cell>
          <cell r="O400">
            <v>0.44444444444444442</v>
          </cell>
          <cell r="P400">
            <v>37893</v>
          </cell>
          <cell r="Q400">
            <v>0.44444444444444442</v>
          </cell>
          <cell r="T400">
            <v>37893</v>
          </cell>
          <cell r="U400">
            <v>0.52777777777777779</v>
          </cell>
          <cell r="V400">
            <v>37893</v>
          </cell>
          <cell r="W400">
            <v>0.52777777777777779</v>
          </cell>
          <cell r="X400">
            <v>8.333333333333337E-2</v>
          </cell>
          <cell r="Y400">
            <v>8.3333333336567117E-2</v>
          </cell>
          <cell r="AB400">
            <v>9</v>
          </cell>
          <cell r="AC400">
            <v>8</v>
          </cell>
          <cell r="AD400">
            <v>0</v>
          </cell>
          <cell r="BF400">
            <v>0</v>
          </cell>
          <cell r="BG400">
            <v>0</v>
          </cell>
          <cell r="BH400">
            <v>0</v>
          </cell>
          <cell r="BI400">
            <v>0</v>
          </cell>
          <cell r="BJ400">
            <v>0</v>
          </cell>
          <cell r="BK400">
            <v>0</v>
          </cell>
          <cell r="BL400">
            <v>0</v>
          </cell>
          <cell r="BM400">
            <v>0</v>
          </cell>
          <cell r="BN400">
            <v>0</v>
          </cell>
          <cell r="BO400">
            <v>0</v>
          </cell>
          <cell r="BP400">
            <v>0</v>
          </cell>
          <cell r="BQ400">
            <v>0</v>
          </cell>
          <cell r="BR400">
            <v>0</v>
          </cell>
          <cell r="BS400">
            <v>9</v>
          </cell>
          <cell r="BT400">
            <v>0</v>
          </cell>
          <cell r="BU400">
            <v>0</v>
          </cell>
          <cell r="BV400">
            <v>0</v>
          </cell>
          <cell r="BW400">
            <v>0</v>
          </cell>
          <cell r="BX400">
            <v>0</v>
          </cell>
          <cell r="BY400">
            <v>0</v>
          </cell>
          <cell r="BZ400">
            <v>0</v>
          </cell>
          <cell r="CA400">
            <v>0</v>
          </cell>
          <cell r="CB400">
            <v>0</v>
          </cell>
          <cell r="CC400">
            <v>0</v>
          </cell>
          <cell r="CD400">
            <v>0</v>
          </cell>
        </row>
        <row r="401">
          <cell r="C401">
            <v>37848</v>
          </cell>
          <cell r="V401">
            <v>0</v>
          </cell>
          <cell r="W401">
            <v>0</v>
          </cell>
          <cell r="X401">
            <v>0</v>
          </cell>
          <cell r="AB401">
            <v>0</v>
          </cell>
          <cell r="AC401">
            <v>8</v>
          </cell>
          <cell r="AD401">
            <v>0</v>
          </cell>
          <cell r="BF401">
            <v>0</v>
          </cell>
          <cell r="BG401">
            <v>0</v>
          </cell>
          <cell r="BH401">
            <v>0</v>
          </cell>
          <cell r="BI401">
            <v>0</v>
          </cell>
          <cell r="BJ401">
            <v>0</v>
          </cell>
          <cell r="BK401">
            <v>0</v>
          </cell>
          <cell r="BL401">
            <v>0</v>
          </cell>
          <cell r="BM401">
            <v>0</v>
          </cell>
          <cell r="BN401">
            <v>0</v>
          </cell>
          <cell r="BO401">
            <v>0</v>
          </cell>
          <cell r="BP401">
            <v>0</v>
          </cell>
          <cell r="BQ401">
            <v>0</v>
          </cell>
          <cell r="BR401">
            <v>0</v>
          </cell>
          <cell r="BS401">
            <v>0</v>
          </cell>
          <cell r="BT401">
            <v>0</v>
          </cell>
          <cell r="BU401">
            <v>0</v>
          </cell>
          <cell r="BV401">
            <v>0</v>
          </cell>
          <cell r="BW401">
            <v>0</v>
          </cell>
          <cell r="BX401">
            <v>0</v>
          </cell>
          <cell r="BY401">
            <v>0</v>
          </cell>
          <cell r="BZ401">
            <v>0</v>
          </cell>
          <cell r="CA401">
            <v>0</v>
          </cell>
          <cell r="CB401">
            <v>0</v>
          </cell>
          <cell r="CC401">
            <v>0</v>
          </cell>
          <cell r="CD401">
            <v>0</v>
          </cell>
        </row>
        <row r="402">
          <cell r="C402">
            <v>37848</v>
          </cell>
          <cell r="D402">
            <v>37924</v>
          </cell>
          <cell r="E402">
            <v>37902</v>
          </cell>
          <cell r="F402">
            <v>0.70833333333333337</v>
          </cell>
          <cell r="G402" t="str">
            <v>Perfiladora Dimeco Travesaños</v>
          </cell>
          <cell r="H402" t="str">
            <v>Vazamento no pistão do cortante</v>
          </cell>
          <cell r="I402" t="str">
            <v>Corretiva</v>
          </cell>
          <cell r="J402" t="str">
            <v>Não</v>
          </cell>
          <cell r="K402" t="str">
            <v>Mecânica</v>
          </cell>
          <cell r="L402" t="str">
            <v>Reparo</v>
          </cell>
          <cell r="M402" t="str">
            <v>Desgaste / Fadiga</v>
          </cell>
          <cell r="N402">
            <v>37902</v>
          </cell>
          <cell r="O402">
            <v>0.70833333333333337</v>
          </cell>
          <cell r="P402">
            <v>37902</v>
          </cell>
          <cell r="Q402">
            <v>0.98958333333333337</v>
          </cell>
          <cell r="R402">
            <v>37908</v>
          </cell>
          <cell r="S402">
            <v>0.66666666666666663</v>
          </cell>
          <cell r="T402">
            <v>37908</v>
          </cell>
          <cell r="U402">
            <v>0.70833333333333337</v>
          </cell>
          <cell r="V402">
            <v>0</v>
          </cell>
          <cell r="W402">
            <v>0.32291666666666674</v>
          </cell>
          <cell r="X402">
            <v>0.32291666666666674</v>
          </cell>
          <cell r="Y402">
            <v>0.32291666666666674</v>
          </cell>
          <cell r="AB402">
            <v>10</v>
          </cell>
          <cell r="AC402">
            <v>8</v>
          </cell>
          <cell r="AD402">
            <v>0</v>
          </cell>
          <cell r="BF402">
            <v>0</v>
          </cell>
          <cell r="BG402">
            <v>0</v>
          </cell>
          <cell r="BH402">
            <v>0</v>
          </cell>
          <cell r="BI402">
            <v>0</v>
          </cell>
          <cell r="BJ402">
            <v>0</v>
          </cell>
          <cell r="BK402">
            <v>0</v>
          </cell>
          <cell r="BL402">
            <v>0</v>
          </cell>
          <cell r="BM402">
            <v>0</v>
          </cell>
          <cell r="BN402">
            <v>0</v>
          </cell>
          <cell r="BO402">
            <v>0</v>
          </cell>
          <cell r="BP402">
            <v>0</v>
          </cell>
          <cell r="BQ402">
            <v>0</v>
          </cell>
          <cell r="BR402">
            <v>0</v>
          </cell>
          <cell r="BS402">
            <v>10</v>
          </cell>
          <cell r="BT402">
            <v>0</v>
          </cell>
          <cell r="BU402">
            <v>0</v>
          </cell>
          <cell r="BV402">
            <v>0</v>
          </cell>
          <cell r="BW402">
            <v>0</v>
          </cell>
          <cell r="BX402">
            <v>0</v>
          </cell>
          <cell r="BY402">
            <v>0</v>
          </cell>
          <cell r="BZ402">
            <v>0</v>
          </cell>
          <cell r="CA402">
            <v>0</v>
          </cell>
          <cell r="CB402">
            <v>0</v>
          </cell>
          <cell r="CC402">
            <v>0</v>
          </cell>
          <cell r="CD402">
            <v>0</v>
          </cell>
        </row>
        <row r="403">
          <cell r="C403">
            <v>37848</v>
          </cell>
          <cell r="D403">
            <v>37918</v>
          </cell>
          <cell r="E403">
            <v>37907</v>
          </cell>
          <cell r="F403">
            <v>0.60416666666666663</v>
          </cell>
          <cell r="G403" t="str">
            <v>Perfiladora Dimeco Travesaños</v>
          </cell>
          <cell r="H403" t="str">
            <v>Funcionamento inadequado no grupo hidráulico</v>
          </cell>
          <cell r="I403" t="str">
            <v>Corretiva</v>
          </cell>
          <cell r="J403" t="str">
            <v>Sim</v>
          </cell>
          <cell r="K403" t="str">
            <v>Elétrica</v>
          </cell>
          <cell r="L403" t="str">
            <v>Ajuste / Regulagem</v>
          </cell>
          <cell r="M403" t="str">
            <v>Falha de Comando / Sistema</v>
          </cell>
          <cell r="N403">
            <v>37907</v>
          </cell>
          <cell r="O403">
            <v>0.625</v>
          </cell>
          <cell r="P403">
            <v>37907</v>
          </cell>
          <cell r="Q403">
            <v>0.625</v>
          </cell>
          <cell r="T403">
            <v>37907</v>
          </cell>
          <cell r="U403">
            <v>0.70833333333333337</v>
          </cell>
          <cell r="V403">
            <v>37907</v>
          </cell>
          <cell r="W403">
            <v>0.70833333333333337</v>
          </cell>
          <cell r="X403">
            <v>8.333333333333337E-2</v>
          </cell>
          <cell r="Y403">
            <v>8.3333333335758653E-2</v>
          </cell>
          <cell r="AB403">
            <v>10</v>
          </cell>
          <cell r="AC403">
            <v>8</v>
          </cell>
          <cell r="AD403">
            <v>0</v>
          </cell>
          <cell r="BF403">
            <v>0</v>
          </cell>
          <cell r="BG403">
            <v>0</v>
          </cell>
          <cell r="BH403">
            <v>0</v>
          </cell>
          <cell r="BI403">
            <v>0</v>
          </cell>
          <cell r="BJ403">
            <v>0</v>
          </cell>
          <cell r="BK403">
            <v>0</v>
          </cell>
          <cell r="BL403">
            <v>0</v>
          </cell>
          <cell r="BM403">
            <v>0</v>
          </cell>
          <cell r="BN403">
            <v>0</v>
          </cell>
          <cell r="BO403">
            <v>0</v>
          </cell>
          <cell r="BP403">
            <v>0</v>
          </cell>
          <cell r="BQ403">
            <v>0</v>
          </cell>
          <cell r="BR403">
            <v>0</v>
          </cell>
          <cell r="BS403">
            <v>10</v>
          </cell>
          <cell r="BT403">
            <v>0</v>
          </cell>
          <cell r="BU403">
            <v>0</v>
          </cell>
          <cell r="BV403">
            <v>0</v>
          </cell>
          <cell r="BW403">
            <v>0</v>
          </cell>
          <cell r="BX403">
            <v>0</v>
          </cell>
          <cell r="BY403">
            <v>0</v>
          </cell>
          <cell r="BZ403">
            <v>0</v>
          </cell>
          <cell r="CA403">
            <v>0</v>
          </cell>
          <cell r="CB403">
            <v>0</v>
          </cell>
          <cell r="CC403">
            <v>0</v>
          </cell>
          <cell r="CD403">
            <v>0</v>
          </cell>
        </row>
        <row r="404">
          <cell r="C404">
            <v>37848</v>
          </cell>
          <cell r="D404">
            <v>37928</v>
          </cell>
          <cell r="E404">
            <v>37902</v>
          </cell>
          <cell r="F404">
            <v>0.65833333333333333</v>
          </cell>
          <cell r="G404" t="str">
            <v>Perfiladora Dimeco Travesaños</v>
          </cell>
          <cell r="H404" t="str">
            <v>Carro de Corte não Funciona</v>
          </cell>
          <cell r="I404" t="str">
            <v>Corretiva</v>
          </cell>
          <cell r="J404" t="str">
            <v>Sim</v>
          </cell>
          <cell r="K404" t="str">
            <v>Elétrica</v>
          </cell>
          <cell r="L404" t="str">
            <v>Regulagem do Componente</v>
          </cell>
          <cell r="M404" t="str">
            <v>Causa não especificada</v>
          </cell>
          <cell r="N404">
            <v>37902</v>
          </cell>
          <cell r="O404">
            <v>0.65833333333333333</v>
          </cell>
          <cell r="P404">
            <v>37902</v>
          </cell>
          <cell r="Q404">
            <v>0.65833333333333333</v>
          </cell>
          <cell r="T404">
            <v>37902</v>
          </cell>
          <cell r="U404">
            <v>0.70138888888888884</v>
          </cell>
          <cell r="V404">
            <v>37902</v>
          </cell>
          <cell r="W404">
            <v>0.70138888888888884</v>
          </cell>
          <cell r="X404">
            <v>4.3055555555555514E-2</v>
          </cell>
          <cell r="Y404">
            <v>4.3055555557172442E-2</v>
          </cell>
          <cell r="AB404">
            <v>10</v>
          </cell>
          <cell r="AC404">
            <v>8</v>
          </cell>
          <cell r="AD404">
            <v>0</v>
          </cell>
          <cell r="BF404">
            <v>0</v>
          </cell>
          <cell r="BG404">
            <v>0</v>
          </cell>
          <cell r="BH404">
            <v>0</v>
          </cell>
          <cell r="BI404">
            <v>0</v>
          </cell>
          <cell r="BJ404">
            <v>0</v>
          </cell>
          <cell r="BK404">
            <v>0</v>
          </cell>
          <cell r="BL404">
            <v>0</v>
          </cell>
          <cell r="BM404">
            <v>0</v>
          </cell>
          <cell r="BN404">
            <v>0</v>
          </cell>
          <cell r="BO404">
            <v>0</v>
          </cell>
          <cell r="BP404">
            <v>0</v>
          </cell>
          <cell r="BQ404">
            <v>0</v>
          </cell>
          <cell r="BR404">
            <v>0</v>
          </cell>
          <cell r="BS404">
            <v>10</v>
          </cell>
          <cell r="BT404">
            <v>0</v>
          </cell>
          <cell r="BU404">
            <v>0</v>
          </cell>
          <cell r="BV404">
            <v>0</v>
          </cell>
          <cell r="BW404">
            <v>0</v>
          </cell>
          <cell r="BX404">
            <v>0</v>
          </cell>
          <cell r="BY404">
            <v>0</v>
          </cell>
          <cell r="BZ404">
            <v>0</v>
          </cell>
          <cell r="CA404">
            <v>0</v>
          </cell>
          <cell r="CB404">
            <v>0</v>
          </cell>
          <cell r="CC404">
            <v>0</v>
          </cell>
          <cell r="CD404">
            <v>0</v>
          </cell>
        </row>
        <row r="405">
          <cell r="C405">
            <v>37848</v>
          </cell>
          <cell r="D405">
            <v>37928</v>
          </cell>
          <cell r="E405">
            <v>37914</v>
          </cell>
          <cell r="F405">
            <v>0.45833333333333331</v>
          </cell>
          <cell r="G405" t="str">
            <v>Perfiladora Dimeco Travesaños</v>
          </cell>
          <cell r="H405" t="str">
            <v>Serra não funciona</v>
          </cell>
          <cell r="I405" t="str">
            <v>Corretiva</v>
          </cell>
          <cell r="J405" t="str">
            <v>Sim</v>
          </cell>
          <cell r="K405" t="str">
            <v>Elétrica</v>
          </cell>
          <cell r="L405" t="str">
            <v>Regulagem do Componente</v>
          </cell>
          <cell r="M405" t="str">
            <v>Vibração</v>
          </cell>
          <cell r="N405">
            <v>37914</v>
          </cell>
          <cell r="O405">
            <v>0.45833333333333331</v>
          </cell>
          <cell r="P405">
            <v>37914</v>
          </cell>
          <cell r="Q405">
            <v>0.45833333333333331</v>
          </cell>
          <cell r="T405">
            <v>37914</v>
          </cell>
          <cell r="U405">
            <v>0.4861111111111111</v>
          </cell>
          <cell r="V405">
            <v>37914</v>
          </cell>
          <cell r="W405">
            <v>0.4861111111111111</v>
          </cell>
          <cell r="X405">
            <v>2.777777777777779E-2</v>
          </cell>
          <cell r="Y405">
            <v>2.7777777776160917E-2</v>
          </cell>
          <cell r="AB405">
            <v>10</v>
          </cell>
          <cell r="AC405">
            <v>8</v>
          </cell>
          <cell r="AD405">
            <v>0</v>
          </cell>
          <cell r="BF405">
            <v>0</v>
          </cell>
          <cell r="BG405">
            <v>0</v>
          </cell>
          <cell r="BH405">
            <v>0</v>
          </cell>
          <cell r="BI405">
            <v>0</v>
          </cell>
          <cell r="BJ405">
            <v>0</v>
          </cell>
          <cell r="BK405">
            <v>0</v>
          </cell>
          <cell r="BL405">
            <v>0</v>
          </cell>
          <cell r="BM405">
            <v>0</v>
          </cell>
          <cell r="BN405">
            <v>0</v>
          </cell>
          <cell r="BO405">
            <v>0</v>
          </cell>
          <cell r="BP405">
            <v>0</v>
          </cell>
          <cell r="BQ405">
            <v>0</v>
          </cell>
          <cell r="BR405">
            <v>0</v>
          </cell>
          <cell r="BS405">
            <v>10</v>
          </cell>
          <cell r="BT405">
            <v>0</v>
          </cell>
          <cell r="BU405">
            <v>0</v>
          </cell>
          <cell r="BV405">
            <v>0</v>
          </cell>
          <cell r="BW405">
            <v>0</v>
          </cell>
          <cell r="BX405">
            <v>0</v>
          </cell>
          <cell r="BY405">
            <v>0</v>
          </cell>
          <cell r="BZ405">
            <v>0</v>
          </cell>
          <cell r="CA405">
            <v>0</v>
          </cell>
          <cell r="CB405">
            <v>0</v>
          </cell>
          <cell r="CC405">
            <v>0</v>
          </cell>
          <cell r="CD405">
            <v>0</v>
          </cell>
        </row>
        <row r="406">
          <cell r="C406">
            <v>37848</v>
          </cell>
          <cell r="D406">
            <v>37928</v>
          </cell>
          <cell r="E406">
            <v>37915</v>
          </cell>
          <cell r="F406">
            <v>0.41666666666666669</v>
          </cell>
          <cell r="G406" t="str">
            <v>Perfiladora Dimeco Travesaños</v>
          </cell>
          <cell r="H406" t="str">
            <v>Mordaça da serra enguiçando</v>
          </cell>
          <cell r="I406" t="str">
            <v>Corretiva</v>
          </cell>
          <cell r="J406" t="str">
            <v>Sim</v>
          </cell>
          <cell r="K406" t="str">
            <v>Elétrica</v>
          </cell>
          <cell r="L406" t="str">
            <v>Correção de mau contato</v>
          </cell>
          <cell r="M406" t="str">
            <v>Sujeira em excesso</v>
          </cell>
          <cell r="N406">
            <v>37915</v>
          </cell>
          <cell r="O406">
            <v>0.41666666666666669</v>
          </cell>
          <cell r="P406">
            <v>37915</v>
          </cell>
          <cell r="Q406">
            <v>0.41666666666666669</v>
          </cell>
          <cell r="T406">
            <v>37915</v>
          </cell>
          <cell r="U406">
            <v>0.44305555555555554</v>
          </cell>
          <cell r="V406">
            <v>37915</v>
          </cell>
          <cell r="W406">
            <v>0.44305555555555554</v>
          </cell>
          <cell r="X406">
            <v>2.6388888888888851E-2</v>
          </cell>
          <cell r="Y406">
            <v>2.6388888892446005E-2</v>
          </cell>
          <cell r="AB406">
            <v>10</v>
          </cell>
          <cell r="AC406">
            <v>8</v>
          </cell>
          <cell r="AD406">
            <v>0</v>
          </cell>
          <cell r="BF406">
            <v>0</v>
          </cell>
          <cell r="BG406">
            <v>0</v>
          </cell>
          <cell r="BH406">
            <v>0</v>
          </cell>
          <cell r="BI406">
            <v>0</v>
          </cell>
          <cell r="BJ406">
            <v>0</v>
          </cell>
          <cell r="BK406">
            <v>0</v>
          </cell>
          <cell r="BL406">
            <v>0</v>
          </cell>
          <cell r="BM406">
            <v>0</v>
          </cell>
          <cell r="BN406">
            <v>0</v>
          </cell>
          <cell r="BO406">
            <v>0</v>
          </cell>
          <cell r="BP406">
            <v>0</v>
          </cell>
          <cell r="BQ406">
            <v>0</v>
          </cell>
          <cell r="BR406">
            <v>0</v>
          </cell>
          <cell r="BS406">
            <v>10</v>
          </cell>
          <cell r="BT406">
            <v>0</v>
          </cell>
          <cell r="BU406">
            <v>0</v>
          </cell>
          <cell r="BV406">
            <v>0</v>
          </cell>
          <cell r="BW406">
            <v>0</v>
          </cell>
          <cell r="BX406">
            <v>0</v>
          </cell>
          <cell r="BY406">
            <v>0</v>
          </cell>
          <cell r="BZ406">
            <v>0</v>
          </cell>
          <cell r="CA406">
            <v>0</v>
          </cell>
          <cell r="CB406">
            <v>0</v>
          </cell>
          <cell r="CC406">
            <v>0</v>
          </cell>
          <cell r="CD406">
            <v>0</v>
          </cell>
        </row>
        <row r="407">
          <cell r="C407">
            <v>37848</v>
          </cell>
          <cell r="D407">
            <v>37928</v>
          </cell>
          <cell r="E407">
            <v>37915</v>
          </cell>
          <cell r="F407">
            <v>0.4513888888888889</v>
          </cell>
          <cell r="G407" t="str">
            <v>Perfiladora Dimeco Travesaños</v>
          </cell>
          <cell r="H407" t="str">
            <v>Disco de serra requer troca</v>
          </cell>
          <cell r="I407" t="str">
            <v>Corretiva</v>
          </cell>
          <cell r="J407" t="str">
            <v>Sim</v>
          </cell>
          <cell r="K407" t="str">
            <v>Mecânica</v>
          </cell>
          <cell r="L407" t="str">
            <v>Substituição do(s) Componente(s)</v>
          </cell>
          <cell r="M407" t="str">
            <v>Desgaste / Fadiga</v>
          </cell>
          <cell r="N407">
            <v>37915</v>
          </cell>
          <cell r="O407">
            <v>0.4513888888888889</v>
          </cell>
          <cell r="P407">
            <v>37915</v>
          </cell>
          <cell r="Q407">
            <v>0.4513888888888889</v>
          </cell>
          <cell r="T407">
            <v>37915</v>
          </cell>
          <cell r="U407">
            <v>0.5</v>
          </cell>
          <cell r="V407">
            <v>37915</v>
          </cell>
          <cell r="W407">
            <v>0.5</v>
          </cell>
          <cell r="X407">
            <v>4.8611111111111105E-2</v>
          </cell>
          <cell r="Y407">
            <v>4.8611111111111105E-2</v>
          </cell>
          <cell r="AB407">
            <v>10</v>
          </cell>
          <cell r="AC407">
            <v>8</v>
          </cell>
          <cell r="AD407">
            <v>0</v>
          </cell>
          <cell r="BF407">
            <v>0</v>
          </cell>
          <cell r="BG407">
            <v>0</v>
          </cell>
          <cell r="BH407">
            <v>0</v>
          </cell>
          <cell r="BI407">
            <v>0</v>
          </cell>
          <cell r="BJ407">
            <v>0</v>
          </cell>
          <cell r="BK407">
            <v>0</v>
          </cell>
          <cell r="BL407">
            <v>0</v>
          </cell>
          <cell r="BM407">
            <v>0</v>
          </cell>
          <cell r="BN407">
            <v>0</v>
          </cell>
          <cell r="BO407">
            <v>0</v>
          </cell>
          <cell r="BP407">
            <v>0</v>
          </cell>
          <cell r="BQ407">
            <v>0</v>
          </cell>
          <cell r="BR407">
            <v>0</v>
          </cell>
          <cell r="BS407">
            <v>10</v>
          </cell>
          <cell r="BT407">
            <v>0</v>
          </cell>
          <cell r="BU407">
            <v>0</v>
          </cell>
          <cell r="BV407">
            <v>0</v>
          </cell>
          <cell r="BW407">
            <v>0</v>
          </cell>
          <cell r="BX407">
            <v>0</v>
          </cell>
          <cell r="BY407">
            <v>0</v>
          </cell>
          <cell r="BZ407">
            <v>0</v>
          </cell>
          <cell r="CA407">
            <v>0</v>
          </cell>
          <cell r="CB407">
            <v>0</v>
          </cell>
          <cell r="CC407">
            <v>0</v>
          </cell>
          <cell r="CD407">
            <v>0</v>
          </cell>
        </row>
        <row r="408">
          <cell r="C408">
            <v>37848</v>
          </cell>
          <cell r="D408">
            <v>37928</v>
          </cell>
          <cell r="E408">
            <v>37918</v>
          </cell>
          <cell r="F408">
            <v>0.66666666666666663</v>
          </cell>
          <cell r="G408" t="str">
            <v>Perfiladora Dimeco Travesaños</v>
          </cell>
          <cell r="H408" t="str">
            <v>Disco de serra requer troca</v>
          </cell>
          <cell r="I408" t="str">
            <v>Corretiva</v>
          </cell>
          <cell r="J408" t="str">
            <v>Sim</v>
          </cell>
          <cell r="K408" t="str">
            <v>Mecânica</v>
          </cell>
          <cell r="L408" t="str">
            <v>Substituição do(s) Componente(s)</v>
          </cell>
          <cell r="M408" t="str">
            <v>Desgaste / Fadiga</v>
          </cell>
          <cell r="N408">
            <v>37918</v>
          </cell>
          <cell r="O408">
            <v>0.66666666666666663</v>
          </cell>
          <cell r="P408">
            <v>37918</v>
          </cell>
          <cell r="Q408">
            <v>0.66666666666666663</v>
          </cell>
          <cell r="T408">
            <v>37918</v>
          </cell>
          <cell r="U408">
            <v>0.69444444444444453</v>
          </cell>
          <cell r="V408">
            <v>37918</v>
          </cell>
          <cell r="W408">
            <v>0.69444444444444453</v>
          </cell>
          <cell r="X408">
            <v>2.7777777777777901E-2</v>
          </cell>
          <cell r="Y408">
            <v>2.7777777778586255E-2</v>
          </cell>
          <cell r="AB408">
            <v>10</v>
          </cell>
          <cell r="AC408">
            <v>8</v>
          </cell>
          <cell r="AD408">
            <v>0</v>
          </cell>
          <cell r="BF408">
            <v>0</v>
          </cell>
          <cell r="BG408">
            <v>0</v>
          </cell>
          <cell r="BH408">
            <v>0</v>
          </cell>
          <cell r="BI408">
            <v>0</v>
          </cell>
          <cell r="BJ408">
            <v>0</v>
          </cell>
          <cell r="BK408">
            <v>0</v>
          </cell>
          <cell r="BL408">
            <v>0</v>
          </cell>
          <cell r="BM408">
            <v>0</v>
          </cell>
          <cell r="BN408">
            <v>0</v>
          </cell>
          <cell r="BO408">
            <v>0</v>
          </cell>
          <cell r="BP408">
            <v>0</v>
          </cell>
          <cell r="BQ408">
            <v>0</v>
          </cell>
          <cell r="BR408">
            <v>0</v>
          </cell>
          <cell r="BS408">
            <v>10</v>
          </cell>
          <cell r="BT408">
            <v>0</v>
          </cell>
          <cell r="BU408">
            <v>0</v>
          </cell>
          <cell r="BV408">
            <v>0</v>
          </cell>
          <cell r="BW408">
            <v>0</v>
          </cell>
          <cell r="BX408">
            <v>0</v>
          </cell>
          <cell r="BY408">
            <v>0</v>
          </cell>
          <cell r="BZ408">
            <v>0</v>
          </cell>
          <cell r="CA408">
            <v>0</v>
          </cell>
          <cell r="CB408">
            <v>0</v>
          </cell>
          <cell r="CC408">
            <v>0</v>
          </cell>
          <cell r="CD408">
            <v>0</v>
          </cell>
        </row>
        <row r="409">
          <cell r="C409">
            <v>37848</v>
          </cell>
          <cell r="I409">
            <v>0</v>
          </cell>
          <cell r="N409">
            <v>0</v>
          </cell>
          <cell r="P409">
            <v>0</v>
          </cell>
          <cell r="T409">
            <v>0</v>
          </cell>
          <cell r="V409">
            <v>0</v>
          </cell>
          <cell r="W409">
            <v>0</v>
          </cell>
          <cell r="X409">
            <v>0</v>
          </cell>
          <cell r="Y409">
            <v>0</v>
          </cell>
          <cell r="AB409">
            <v>0</v>
          </cell>
          <cell r="AC409">
            <v>8</v>
          </cell>
          <cell r="AD409">
            <v>0</v>
          </cell>
          <cell r="BF409">
            <v>0</v>
          </cell>
          <cell r="BG409">
            <v>0</v>
          </cell>
          <cell r="BH409">
            <v>0</v>
          </cell>
          <cell r="BI409">
            <v>0</v>
          </cell>
          <cell r="BJ409">
            <v>0</v>
          </cell>
          <cell r="BK409">
            <v>0</v>
          </cell>
          <cell r="BL409">
            <v>0</v>
          </cell>
          <cell r="BM409">
            <v>0</v>
          </cell>
          <cell r="BN409">
            <v>0</v>
          </cell>
          <cell r="BO409">
            <v>0</v>
          </cell>
          <cell r="BP409">
            <v>0</v>
          </cell>
          <cell r="BQ409">
            <v>0</v>
          </cell>
          <cell r="BR409">
            <v>0</v>
          </cell>
          <cell r="BS409">
            <v>0</v>
          </cell>
          <cell r="BT409">
            <v>0</v>
          </cell>
          <cell r="BU409">
            <v>0</v>
          </cell>
          <cell r="BV409">
            <v>0</v>
          </cell>
          <cell r="BW409">
            <v>0</v>
          </cell>
          <cell r="BX409">
            <v>0</v>
          </cell>
          <cell r="BY409">
            <v>0</v>
          </cell>
          <cell r="BZ409">
            <v>0</v>
          </cell>
          <cell r="CA409">
            <v>0</v>
          </cell>
          <cell r="CB409">
            <v>0</v>
          </cell>
          <cell r="CC409">
            <v>0</v>
          </cell>
          <cell r="CD409">
            <v>0</v>
          </cell>
        </row>
        <row r="410">
          <cell r="C410">
            <v>37848</v>
          </cell>
          <cell r="D410">
            <v>37970</v>
          </cell>
          <cell r="E410">
            <v>37936</v>
          </cell>
          <cell r="F410">
            <v>37936</v>
          </cell>
          <cell r="G410">
            <v>0.37847222222222227</v>
          </cell>
          <cell r="H410" t="str">
            <v>Disco de serra requer troca</v>
          </cell>
          <cell r="I410">
            <v>0</v>
          </cell>
          <cell r="J410" t="str">
            <v>Sim</v>
          </cell>
          <cell r="K410" t="str">
            <v>Mecânica</v>
          </cell>
          <cell r="L410" t="str">
            <v>Sim</v>
          </cell>
          <cell r="M410" t="str">
            <v>Desgaste / Fadiga</v>
          </cell>
          <cell r="N410">
            <v>37936</v>
          </cell>
          <cell r="O410">
            <v>0.3888888888888889</v>
          </cell>
          <cell r="P410">
            <v>37936</v>
          </cell>
          <cell r="Q410">
            <v>0.3888888888888889</v>
          </cell>
          <cell r="T410">
            <v>37936</v>
          </cell>
          <cell r="U410">
            <v>0.41319444444444442</v>
          </cell>
          <cell r="V410">
            <v>37936</v>
          </cell>
          <cell r="W410">
            <v>0.41319444444444442</v>
          </cell>
          <cell r="X410">
            <v>2.4305555555555525E-2</v>
          </cell>
          <cell r="Y410">
            <v>2.4305555556363989E-2</v>
          </cell>
          <cell r="AB410">
            <v>11</v>
          </cell>
          <cell r="AC410">
            <v>8</v>
          </cell>
          <cell r="AD410">
            <v>0</v>
          </cell>
          <cell r="BF410">
            <v>0</v>
          </cell>
          <cell r="BG410">
            <v>0</v>
          </cell>
          <cell r="BH410">
            <v>0</v>
          </cell>
          <cell r="BI410">
            <v>0</v>
          </cell>
          <cell r="BJ410">
            <v>0</v>
          </cell>
          <cell r="BK410">
            <v>0</v>
          </cell>
          <cell r="BL410">
            <v>0</v>
          </cell>
          <cell r="BM410">
            <v>0</v>
          </cell>
          <cell r="BN410">
            <v>0</v>
          </cell>
          <cell r="BO410">
            <v>0</v>
          </cell>
          <cell r="BP410">
            <v>0</v>
          </cell>
          <cell r="BQ410">
            <v>0</v>
          </cell>
          <cell r="BR410">
            <v>0</v>
          </cell>
          <cell r="BS410">
            <v>11</v>
          </cell>
          <cell r="BT410">
            <v>0</v>
          </cell>
          <cell r="BU410">
            <v>0</v>
          </cell>
          <cell r="BV410">
            <v>0</v>
          </cell>
          <cell r="BW410">
            <v>0</v>
          </cell>
          <cell r="BX410">
            <v>0</v>
          </cell>
          <cell r="BY410">
            <v>0</v>
          </cell>
          <cell r="BZ410">
            <v>0</v>
          </cell>
          <cell r="CA410">
            <v>0</v>
          </cell>
          <cell r="CB410">
            <v>0</v>
          </cell>
          <cell r="CC410">
            <v>0</v>
          </cell>
          <cell r="CD410">
            <v>0</v>
          </cell>
        </row>
        <row r="411">
          <cell r="C411">
            <v>37848</v>
          </cell>
          <cell r="D411">
            <v>38008</v>
          </cell>
          <cell r="E411">
            <v>38000</v>
          </cell>
          <cell r="F411">
            <v>0.3263888888888889</v>
          </cell>
          <cell r="G411" t="str">
            <v>Prensa Gijón</v>
          </cell>
          <cell r="H411" t="str">
            <v>Não funciona</v>
          </cell>
          <cell r="I411">
            <v>0</v>
          </cell>
          <cell r="J411" t="str">
            <v>Sim</v>
          </cell>
          <cell r="K411" t="str">
            <v>Elétrica</v>
          </cell>
          <cell r="L411" t="str">
            <v>Ajuste / Regulagem</v>
          </cell>
          <cell r="M411" t="str">
            <v>Alteração na Localização da Máquina</v>
          </cell>
          <cell r="N411">
            <v>0</v>
          </cell>
          <cell r="O411">
            <v>0.33333333333333331</v>
          </cell>
          <cell r="P411">
            <v>0</v>
          </cell>
          <cell r="T411">
            <v>0</v>
          </cell>
          <cell r="U411">
            <v>0.35416666666666669</v>
          </cell>
          <cell r="V411">
            <v>0</v>
          </cell>
          <cell r="W411">
            <v>0</v>
          </cell>
          <cell r="X411">
            <v>0</v>
          </cell>
          <cell r="Y411">
            <v>0</v>
          </cell>
          <cell r="AB411">
            <v>0</v>
          </cell>
          <cell r="AC411">
            <v>8</v>
          </cell>
          <cell r="AD411">
            <v>0</v>
          </cell>
          <cell r="BF411">
            <v>0</v>
          </cell>
          <cell r="BG411">
            <v>0</v>
          </cell>
          <cell r="BH411">
            <v>0</v>
          </cell>
          <cell r="BI411">
            <v>0</v>
          </cell>
          <cell r="BJ411">
            <v>0</v>
          </cell>
          <cell r="BK411">
            <v>0</v>
          </cell>
          <cell r="BL411">
            <v>0</v>
          </cell>
          <cell r="BM411">
            <v>0</v>
          </cell>
          <cell r="BN411">
            <v>0</v>
          </cell>
          <cell r="BO411">
            <v>0</v>
          </cell>
          <cell r="BP411">
            <v>0</v>
          </cell>
          <cell r="BQ411">
            <v>0</v>
          </cell>
          <cell r="BR411">
            <v>0</v>
          </cell>
          <cell r="BS411">
            <v>0</v>
          </cell>
          <cell r="BT411">
            <v>0</v>
          </cell>
          <cell r="BU411">
            <v>0</v>
          </cell>
          <cell r="BV411">
            <v>0</v>
          </cell>
          <cell r="BW411">
            <v>0</v>
          </cell>
          <cell r="BX411">
            <v>0</v>
          </cell>
          <cell r="BY411">
            <v>0</v>
          </cell>
          <cell r="BZ411">
            <v>0</v>
          </cell>
          <cell r="CA411">
            <v>0</v>
          </cell>
          <cell r="CB411">
            <v>0</v>
          </cell>
          <cell r="CC411">
            <v>0</v>
          </cell>
          <cell r="CD411">
            <v>0</v>
          </cell>
        </row>
        <row r="412">
          <cell r="C412">
            <v>37848</v>
          </cell>
          <cell r="D412">
            <v>37970</v>
          </cell>
          <cell r="E412">
            <v>37946</v>
          </cell>
          <cell r="F412">
            <v>37946</v>
          </cell>
          <cell r="G412">
            <v>0.33333333333333331</v>
          </cell>
          <cell r="H412" t="str">
            <v>Suporte do sensor do carrinho da prensa quebrado</v>
          </cell>
          <cell r="I412">
            <v>0</v>
          </cell>
          <cell r="J412" t="str">
            <v>Não</v>
          </cell>
          <cell r="K412" t="str">
            <v>Mecânica</v>
          </cell>
          <cell r="L412" t="str">
            <v>Não</v>
          </cell>
          <cell r="M412" t="str">
            <v>Falha de Regulagem / Configuração / Dimensionamento</v>
          </cell>
          <cell r="N412">
            <v>37946</v>
          </cell>
          <cell r="O412">
            <v>0.41666666666666669</v>
          </cell>
          <cell r="P412">
            <v>37946</v>
          </cell>
          <cell r="Q412">
            <v>0.41666666666666669</v>
          </cell>
          <cell r="T412">
            <v>37946</v>
          </cell>
          <cell r="U412">
            <v>0.45833333333333331</v>
          </cell>
          <cell r="V412">
            <v>37946</v>
          </cell>
          <cell r="W412">
            <v>0.45833333333333331</v>
          </cell>
          <cell r="X412">
            <v>4.1666666669091967E-2</v>
          </cell>
          <cell r="Y412">
            <v>4.1666666669091967E-2</v>
          </cell>
          <cell r="AB412">
            <v>11</v>
          </cell>
          <cell r="AC412">
            <v>8</v>
          </cell>
          <cell r="AD412">
            <v>0</v>
          </cell>
          <cell r="BF412">
            <v>0</v>
          </cell>
          <cell r="BG412">
            <v>0</v>
          </cell>
          <cell r="BH412">
            <v>0</v>
          </cell>
          <cell r="BI412">
            <v>0</v>
          </cell>
          <cell r="BJ412">
            <v>0</v>
          </cell>
          <cell r="BK412">
            <v>0</v>
          </cell>
          <cell r="BL412">
            <v>0</v>
          </cell>
          <cell r="BM412">
            <v>0</v>
          </cell>
          <cell r="BN412">
            <v>0</v>
          </cell>
          <cell r="BO412">
            <v>0</v>
          </cell>
          <cell r="BP412">
            <v>0</v>
          </cell>
          <cell r="BQ412">
            <v>0</v>
          </cell>
          <cell r="BR412">
            <v>0</v>
          </cell>
          <cell r="BS412">
            <v>0</v>
          </cell>
          <cell r="BT412">
            <v>0</v>
          </cell>
          <cell r="BU412">
            <v>0</v>
          </cell>
          <cell r="BV412">
            <v>0</v>
          </cell>
          <cell r="BW412">
            <v>0</v>
          </cell>
          <cell r="BX412">
            <v>11</v>
          </cell>
          <cell r="BY412">
            <v>0</v>
          </cell>
          <cell r="BZ412">
            <v>0</v>
          </cell>
          <cell r="CA412">
            <v>0</v>
          </cell>
          <cell r="CB412">
            <v>0</v>
          </cell>
          <cell r="CC412">
            <v>0</v>
          </cell>
          <cell r="CD412">
            <v>0</v>
          </cell>
        </row>
        <row r="413">
          <cell r="C413">
            <v>37848</v>
          </cell>
          <cell r="D413">
            <v>37970</v>
          </cell>
          <cell r="E413">
            <v>37950</v>
          </cell>
          <cell r="F413">
            <v>37950</v>
          </cell>
          <cell r="G413">
            <v>0.7583333333333333</v>
          </cell>
          <cell r="H413" t="str">
            <v>Vazamento de óleo no varão do parafuso de fixação da máquina</v>
          </cell>
          <cell r="I413">
            <v>0</v>
          </cell>
          <cell r="J413" t="str">
            <v>Não</v>
          </cell>
          <cell r="K413" t="str">
            <v>Mecânica</v>
          </cell>
          <cell r="L413" t="str">
            <v>Não</v>
          </cell>
          <cell r="M413" t="str">
            <v>Vibração</v>
          </cell>
          <cell r="N413">
            <v>37950</v>
          </cell>
          <cell r="O413">
            <v>0.8125</v>
          </cell>
          <cell r="P413">
            <v>37950</v>
          </cell>
          <cell r="Q413">
            <v>0.8125</v>
          </cell>
          <cell r="T413">
            <v>37950</v>
          </cell>
          <cell r="U413">
            <v>0.83333333333333337</v>
          </cell>
          <cell r="V413">
            <v>37950</v>
          </cell>
          <cell r="W413">
            <v>0.83333333333333337</v>
          </cell>
          <cell r="X413">
            <v>2.0833333335758653E-2</v>
          </cell>
          <cell r="Y413">
            <v>2.0833333335758653E-2</v>
          </cell>
          <cell r="AB413">
            <v>11</v>
          </cell>
          <cell r="AC413">
            <v>8</v>
          </cell>
          <cell r="AD413">
            <v>0</v>
          </cell>
          <cell r="BF413">
            <v>0</v>
          </cell>
          <cell r="BG413">
            <v>0</v>
          </cell>
          <cell r="BH413">
            <v>0</v>
          </cell>
          <cell r="BI413">
            <v>0</v>
          </cell>
          <cell r="BJ413">
            <v>0</v>
          </cell>
          <cell r="BK413">
            <v>0</v>
          </cell>
          <cell r="BL413">
            <v>0</v>
          </cell>
          <cell r="BM413">
            <v>0</v>
          </cell>
          <cell r="BN413">
            <v>0</v>
          </cell>
          <cell r="BO413">
            <v>0</v>
          </cell>
          <cell r="BP413">
            <v>0</v>
          </cell>
          <cell r="BQ413">
            <v>0</v>
          </cell>
          <cell r="BR413">
            <v>0</v>
          </cell>
          <cell r="BS413">
            <v>11</v>
          </cell>
          <cell r="BT413">
            <v>0</v>
          </cell>
          <cell r="BU413">
            <v>0</v>
          </cell>
          <cell r="BV413">
            <v>0</v>
          </cell>
          <cell r="BW413">
            <v>0</v>
          </cell>
          <cell r="BX413">
            <v>0</v>
          </cell>
          <cell r="BY413">
            <v>0</v>
          </cell>
          <cell r="BZ413">
            <v>0</v>
          </cell>
          <cell r="CA413">
            <v>0</v>
          </cell>
          <cell r="CB413">
            <v>0</v>
          </cell>
          <cell r="CC413">
            <v>0</v>
          </cell>
          <cell r="CD413">
            <v>0</v>
          </cell>
        </row>
        <row r="414">
          <cell r="C414">
            <v>37848</v>
          </cell>
          <cell r="I414">
            <v>0</v>
          </cell>
          <cell r="N414">
            <v>0</v>
          </cell>
          <cell r="P414">
            <v>0</v>
          </cell>
          <cell r="T414">
            <v>0</v>
          </cell>
          <cell r="V414">
            <v>0</v>
          </cell>
          <cell r="W414">
            <v>0</v>
          </cell>
          <cell r="X414">
            <v>0</v>
          </cell>
          <cell r="Y414">
            <v>0</v>
          </cell>
          <cell r="AB414">
            <v>0</v>
          </cell>
          <cell r="AC414">
            <v>8</v>
          </cell>
          <cell r="AD414">
            <v>0</v>
          </cell>
          <cell r="BF414">
            <v>0</v>
          </cell>
          <cell r="BG414">
            <v>0</v>
          </cell>
          <cell r="BH414">
            <v>0</v>
          </cell>
          <cell r="BI414">
            <v>0</v>
          </cell>
          <cell r="BJ414">
            <v>0</v>
          </cell>
          <cell r="BK414">
            <v>0</v>
          </cell>
          <cell r="BL414">
            <v>0</v>
          </cell>
          <cell r="BM414">
            <v>0</v>
          </cell>
          <cell r="BN414">
            <v>0</v>
          </cell>
          <cell r="BO414">
            <v>0</v>
          </cell>
          <cell r="BP414">
            <v>0</v>
          </cell>
          <cell r="BQ414">
            <v>0</v>
          </cell>
          <cell r="BR414">
            <v>0</v>
          </cell>
          <cell r="BS414">
            <v>0</v>
          </cell>
          <cell r="BT414">
            <v>0</v>
          </cell>
          <cell r="BU414">
            <v>0</v>
          </cell>
          <cell r="BV414">
            <v>0</v>
          </cell>
          <cell r="BW414">
            <v>0</v>
          </cell>
          <cell r="BX414">
            <v>0</v>
          </cell>
          <cell r="BY414">
            <v>0</v>
          </cell>
          <cell r="BZ414">
            <v>0</v>
          </cell>
          <cell r="CA414">
            <v>0</v>
          </cell>
          <cell r="CB414">
            <v>0</v>
          </cell>
          <cell r="CC414">
            <v>0</v>
          </cell>
          <cell r="CD414">
            <v>0</v>
          </cell>
        </row>
        <row r="415">
          <cell r="C415">
            <v>37848</v>
          </cell>
          <cell r="I415">
            <v>0</v>
          </cell>
          <cell r="N415">
            <v>0</v>
          </cell>
          <cell r="P415">
            <v>0</v>
          </cell>
          <cell r="T415">
            <v>0</v>
          </cell>
          <cell r="V415">
            <v>0</v>
          </cell>
          <cell r="W415">
            <v>0</v>
          </cell>
          <cell r="X415">
            <v>0</v>
          </cell>
          <cell r="Y415">
            <v>0</v>
          </cell>
          <cell r="AB415">
            <v>0</v>
          </cell>
          <cell r="AC415">
            <v>8</v>
          </cell>
          <cell r="AD415">
            <v>0</v>
          </cell>
          <cell r="BF415">
            <v>0</v>
          </cell>
          <cell r="BG415">
            <v>0</v>
          </cell>
          <cell r="BH415">
            <v>0</v>
          </cell>
          <cell r="BI415">
            <v>0</v>
          </cell>
          <cell r="BJ415">
            <v>0</v>
          </cell>
          <cell r="BK415">
            <v>0</v>
          </cell>
          <cell r="BL415">
            <v>0</v>
          </cell>
          <cell r="BM415">
            <v>0</v>
          </cell>
          <cell r="BN415">
            <v>0</v>
          </cell>
          <cell r="BO415">
            <v>0</v>
          </cell>
          <cell r="BP415">
            <v>0</v>
          </cell>
          <cell r="BQ415">
            <v>0</v>
          </cell>
          <cell r="BR415">
            <v>0</v>
          </cell>
          <cell r="BS415">
            <v>0</v>
          </cell>
          <cell r="BT415">
            <v>0</v>
          </cell>
          <cell r="BU415">
            <v>0</v>
          </cell>
          <cell r="BV415">
            <v>0</v>
          </cell>
          <cell r="BW415">
            <v>0</v>
          </cell>
          <cell r="BX415">
            <v>0</v>
          </cell>
          <cell r="BY415">
            <v>0</v>
          </cell>
          <cell r="BZ415">
            <v>0</v>
          </cell>
          <cell r="CA415">
            <v>0</v>
          </cell>
          <cell r="CB415">
            <v>0</v>
          </cell>
          <cell r="CC415">
            <v>0</v>
          </cell>
          <cell r="CD415">
            <v>0</v>
          </cell>
        </row>
        <row r="416">
          <cell r="C416">
            <v>37848</v>
          </cell>
          <cell r="I416">
            <v>0</v>
          </cell>
          <cell r="N416">
            <v>0</v>
          </cell>
          <cell r="P416">
            <v>0</v>
          </cell>
          <cell r="T416">
            <v>0</v>
          </cell>
          <cell r="V416">
            <v>0</v>
          </cell>
          <cell r="W416">
            <v>0</v>
          </cell>
          <cell r="X416">
            <v>0</v>
          </cell>
          <cell r="Y416">
            <v>0</v>
          </cell>
          <cell r="AB416">
            <v>0</v>
          </cell>
          <cell r="AC416">
            <v>8</v>
          </cell>
          <cell r="AD416">
            <v>0</v>
          </cell>
          <cell r="BF416">
            <v>0</v>
          </cell>
          <cell r="BG416">
            <v>0</v>
          </cell>
          <cell r="BH416">
            <v>0</v>
          </cell>
          <cell r="BI416">
            <v>0</v>
          </cell>
          <cell r="BJ416">
            <v>0</v>
          </cell>
          <cell r="BK416">
            <v>0</v>
          </cell>
          <cell r="BL416">
            <v>0</v>
          </cell>
          <cell r="BM416">
            <v>0</v>
          </cell>
          <cell r="BN416">
            <v>0</v>
          </cell>
          <cell r="BO416">
            <v>0</v>
          </cell>
          <cell r="BP416">
            <v>0</v>
          </cell>
          <cell r="BQ416">
            <v>0</v>
          </cell>
          <cell r="BR416">
            <v>0</v>
          </cell>
          <cell r="BS416">
            <v>0</v>
          </cell>
          <cell r="BT416">
            <v>0</v>
          </cell>
          <cell r="BU416">
            <v>0</v>
          </cell>
          <cell r="BV416">
            <v>0</v>
          </cell>
          <cell r="BW416">
            <v>0</v>
          </cell>
          <cell r="BX416">
            <v>0</v>
          </cell>
          <cell r="BY416">
            <v>0</v>
          </cell>
          <cell r="BZ416">
            <v>0</v>
          </cell>
          <cell r="CA416">
            <v>0</v>
          </cell>
          <cell r="CB416">
            <v>0</v>
          </cell>
          <cell r="CC416">
            <v>0</v>
          </cell>
          <cell r="CD416">
            <v>0</v>
          </cell>
        </row>
        <row r="417">
          <cell r="C417">
            <v>37854</v>
          </cell>
          <cell r="I417">
            <v>0</v>
          </cell>
          <cell r="N417">
            <v>0</v>
          </cell>
          <cell r="P417">
            <v>0</v>
          </cell>
          <cell r="T417">
            <v>0</v>
          </cell>
          <cell r="V417">
            <v>0</v>
          </cell>
          <cell r="W417">
            <v>0</v>
          </cell>
          <cell r="X417">
            <v>0</v>
          </cell>
          <cell r="Y417">
            <v>0</v>
          </cell>
          <cell r="AB417">
            <v>0</v>
          </cell>
          <cell r="AC417">
            <v>8</v>
          </cell>
          <cell r="AD417">
            <v>0</v>
          </cell>
          <cell r="BF417">
            <v>0</v>
          </cell>
          <cell r="BG417">
            <v>0</v>
          </cell>
          <cell r="BH417">
            <v>0</v>
          </cell>
          <cell r="BI417">
            <v>0</v>
          </cell>
          <cell r="BJ417">
            <v>0</v>
          </cell>
          <cell r="BK417">
            <v>0</v>
          </cell>
          <cell r="BL417">
            <v>0</v>
          </cell>
          <cell r="BM417">
            <v>0</v>
          </cell>
          <cell r="BN417">
            <v>0</v>
          </cell>
          <cell r="BO417">
            <v>0</v>
          </cell>
          <cell r="BP417">
            <v>0</v>
          </cell>
          <cell r="BQ417">
            <v>0</v>
          </cell>
          <cell r="BR417">
            <v>0</v>
          </cell>
          <cell r="BS417">
            <v>0</v>
          </cell>
          <cell r="BT417">
            <v>0</v>
          </cell>
          <cell r="BU417">
            <v>0</v>
          </cell>
          <cell r="BV417">
            <v>0</v>
          </cell>
          <cell r="BW417">
            <v>0</v>
          </cell>
          <cell r="BX417">
            <v>0</v>
          </cell>
          <cell r="BY417">
            <v>0</v>
          </cell>
          <cell r="BZ417">
            <v>0</v>
          </cell>
          <cell r="CA417">
            <v>0</v>
          </cell>
          <cell r="CB417">
            <v>0</v>
          </cell>
          <cell r="CC417">
            <v>0</v>
          </cell>
          <cell r="CD417">
            <v>0</v>
          </cell>
        </row>
        <row r="418">
          <cell r="C418">
            <v>37854</v>
          </cell>
          <cell r="D418">
            <v>37970</v>
          </cell>
          <cell r="E418">
            <v>37959</v>
          </cell>
          <cell r="F418">
            <v>0.59027777777777779</v>
          </cell>
          <cell r="G418" t="str">
            <v>Linha de Pintura 8,5m</v>
          </cell>
          <cell r="H418" t="str">
            <v>Problema no carrinho hidráulico</v>
          </cell>
          <cell r="I418">
            <v>0</v>
          </cell>
          <cell r="J418" t="str">
            <v>Não</v>
          </cell>
          <cell r="K418" t="str">
            <v>Mecânica</v>
          </cell>
          <cell r="L418" t="str">
            <v>Reparo</v>
          </cell>
          <cell r="M418" t="str">
            <v>Falta de Lubrificação</v>
          </cell>
          <cell r="N418">
            <v>37959</v>
          </cell>
          <cell r="O418">
            <v>0.59375</v>
          </cell>
          <cell r="P418">
            <v>0</v>
          </cell>
          <cell r="T418">
            <v>37959</v>
          </cell>
          <cell r="U418">
            <v>0.63888888888888895</v>
          </cell>
          <cell r="V418">
            <v>0</v>
          </cell>
          <cell r="W418">
            <v>4.5138888890505768E-2</v>
          </cell>
          <cell r="X418">
            <v>0</v>
          </cell>
          <cell r="Y418">
            <v>0</v>
          </cell>
          <cell r="AB418">
            <v>12</v>
          </cell>
          <cell r="AC418">
            <v>8</v>
          </cell>
          <cell r="AD418">
            <v>0</v>
          </cell>
          <cell r="BF418">
            <v>0</v>
          </cell>
          <cell r="BG418">
            <v>0</v>
          </cell>
          <cell r="BH418">
            <v>0</v>
          </cell>
          <cell r="BI418">
            <v>0</v>
          </cell>
          <cell r="BJ418">
            <v>0</v>
          </cell>
          <cell r="BK418">
            <v>0</v>
          </cell>
          <cell r="BL418">
            <v>0</v>
          </cell>
          <cell r="BM418">
            <v>0</v>
          </cell>
          <cell r="BN418">
            <v>0</v>
          </cell>
          <cell r="BO418">
            <v>0</v>
          </cell>
          <cell r="BP418">
            <v>12</v>
          </cell>
          <cell r="BQ418">
            <v>0</v>
          </cell>
          <cell r="BR418">
            <v>0</v>
          </cell>
          <cell r="BS418">
            <v>0</v>
          </cell>
          <cell r="BT418">
            <v>0</v>
          </cell>
          <cell r="BU418">
            <v>0</v>
          </cell>
          <cell r="BV418">
            <v>0</v>
          </cell>
          <cell r="BW418">
            <v>0</v>
          </cell>
          <cell r="BX418">
            <v>0</v>
          </cell>
          <cell r="BY418">
            <v>0</v>
          </cell>
          <cell r="BZ418">
            <v>0</v>
          </cell>
          <cell r="CA418">
            <v>0</v>
          </cell>
          <cell r="CB418">
            <v>0</v>
          </cell>
          <cell r="CC418">
            <v>0</v>
          </cell>
          <cell r="CD418">
            <v>0</v>
          </cell>
        </row>
        <row r="419">
          <cell r="C419">
            <v>37854</v>
          </cell>
          <cell r="D419">
            <v>37970</v>
          </cell>
          <cell r="E419">
            <v>37937</v>
          </cell>
          <cell r="F419">
            <v>0.72569444444444453</v>
          </cell>
          <cell r="G419" t="str">
            <v>Linha de Pintura 8,5m</v>
          </cell>
          <cell r="H419" t="str">
            <v>Anomalia no Queimador do Fosfato</v>
          </cell>
          <cell r="I419">
            <v>0</v>
          </cell>
          <cell r="J419" t="str">
            <v>Sim</v>
          </cell>
          <cell r="K419" t="str">
            <v>Elétrica</v>
          </cell>
          <cell r="L419" t="str">
            <v>Limpeza do Equipamento / Componente</v>
          </cell>
          <cell r="M419" t="str">
            <v>Sujeira em excesso</v>
          </cell>
          <cell r="N419">
            <v>37937</v>
          </cell>
          <cell r="O419">
            <v>0.73611111111111116</v>
          </cell>
          <cell r="P419">
            <v>0</v>
          </cell>
          <cell r="T419">
            <v>37937</v>
          </cell>
          <cell r="U419">
            <v>0.75763888888888886</v>
          </cell>
          <cell r="V419">
            <v>0</v>
          </cell>
          <cell r="W419">
            <v>3.1944444447516429E-2</v>
          </cell>
          <cell r="X419">
            <v>0</v>
          </cell>
          <cell r="Y419">
            <v>0</v>
          </cell>
          <cell r="AB419">
            <v>11</v>
          </cell>
          <cell r="AC419">
            <v>8</v>
          </cell>
          <cell r="AD419">
            <v>0</v>
          </cell>
          <cell r="BF419">
            <v>0</v>
          </cell>
          <cell r="BG419">
            <v>0</v>
          </cell>
          <cell r="BH419">
            <v>0</v>
          </cell>
          <cell r="BI419">
            <v>0</v>
          </cell>
          <cell r="BJ419">
            <v>0</v>
          </cell>
          <cell r="BK419">
            <v>0</v>
          </cell>
          <cell r="BL419">
            <v>0</v>
          </cell>
          <cell r="BM419">
            <v>0</v>
          </cell>
          <cell r="BN419">
            <v>0</v>
          </cell>
          <cell r="BO419">
            <v>0</v>
          </cell>
          <cell r="BP419">
            <v>11</v>
          </cell>
          <cell r="BQ419">
            <v>0</v>
          </cell>
          <cell r="BR419">
            <v>0</v>
          </cell>
          <cell r="BS419">
            <v>0</v>
          </cell>
          <cell r="BT419">
            <v>0</v>
          </cell>
          <cell r="BU419">
            <v>0</v>
          </cell>
          <cell r="BV419">
            <v>0</v>
          </cell>
          <cell r="BW419">
            <v>0</v>
          </cell>
          <cell r="BX419">
            <v>0</v>
          </cell>
          <cell r="BY419">
            <v>0</v>
          </cell>
          <cell r="BZ419">
            <v>0</v>
          </cell>
          <cell r="CA419">
            <v>0</v>
          </cell>
          <cell r="CB419">
            <v>0</v>
          </cell>
          <cell r="CC419">
            <v>0</v>
          </cell>
          <cell r="CD419">
            <v>0</v>
          </cell>
        </row>
        <row r="420">
          <cell r="C420">
            <v>37854</v>
          </cell>
          <cell r="D420">
            <v>37970</v>
          </cell>
          <cell r="E420">
            <v>37956</v>
          </cell>
          <cell r="F420">
            <v>0.75</v>
          </cell>
          <cell r="G420" t="str">
            <v>Equipamentos diversos</v>
          </cell>
          <cell r="H420" t="str">
            <v>Problema na máquina de pressão WAP</v>
          </cell>
          <cell r="I420">
            <v>0</v>
          </cell>
          <cell r="J420" t="str">
            <v>Sim</v>
          </cell>
          <cell r="K420" t="str">
            <v>Elétrica</v>
          </cell>
          <cell r="L420" t="str">
            <v>Substituição do(s) Componente(s)</v>
          </cell>
          <cell r="M420" t="str">
            <v>Sobrecarga</v>
          </cell>
          <cell r="N420">
            <v>37956</v>
          </cell>
          <cell r="O420">
            <v>0.75</v>
          </cell>
          <cell r="P420">
            <v>0</v>
          </cell>
          <cell r="T420">
            <v>37956</v>
          </cell>
          <cell r="U420">
            <v>0.78125</v>
          </cell>
          <cell r="V420">
            <v>0</v>
          </cell>
          <cell r="W420">
            <v>3.125E-2</v>
          </cell>
          <cell r="X420">
            <v>0</v>
          </cell>
          <cell r="Y420">
            <v>0</v>
          </cell>
          <cell r="AB420">
            <v>12</v>
          </cell>
          <cell r="AC420">
            <v>8</v>
          </cell>
          <cell r="AD420">
            <v>0</v>
          </cell>
          <cell r="BF420">
            <v>0</v>
          </cell>
          <cell r="BG420">
            <v>0</v>
          </cell>
          <cell r="BH420">
            <v>0</v>
          </cell>
          <cell r="BI420">
            <v>0</v>
          </cell>
          <cell r="BJ420">
            <v>12</v>
          </cell>
          <cell r="BK420">
            <v>0</v>
          </cell>
          <cell r="BL420">
            <v>0</v>
          </cell>
          <cell r="BM420">
            <v>0</v>
          </cell>
          <cell r="BN420">
            <v>0</v>
          </cell>
          <cell r="BO420">
            <v>0</v>
          </cell>
          <cell r="BP420">
            <v>0</v>
          </cell>
          <cell r="BQ420">
            <v>0</v>
          </cell>
          <cell r="BR420">
            <v>0</v>
          </cell>
          <cell r="BS420">
            <v>0</v>
          </cell>
          <cell r="BT420">
            <v>0</v>
          </cell>
          <cell r="BU420">
            <v>0</v>
          </cell>
          <cell r="BV420">
            <v>0</v>
          </cell>
          <cell r="BW420">
            <v>0</v>
          </cell>
          <cell r="BX420">
            <v>0</v>
          </cell>
          <cell r="BY420">
            <v>0</v>
          </cell>
          <cell r="BZ420">
            <v>0</v>
          </cell>
          <cell r="CA420">
            <v>0</v>
          </cell>
          <cell r="CB420">
            <v>0</v>
          </cell>
          <cell r="CC420">
            <v>0</v>
          </cell>
          <cell r="CD420">
            <v>0</v>
          </cell>
        </row>
        <row r="421">
          <cell r="C421">
            <v>37854</v>
          </cell>
          <cell r="D421">
            <v>38008</v>
          </cell>
          <cell r="E421">
            <v>37957</v>
          </cell>
          <cell r="F421">
            <v>0.33333333333333331</v>
          </cell>
          <cell r="G421" t="str">
            <v>Linha de Pintura 8,5m</v>
          </cell>
          <cell r="H421" t="str">
            <v>Parada constante no elevador (Parô 03)</v>
          </cell>
          <cell r="I421">
            <v>0</v>
          </cell>
          <cell r="J421" t="str">
            <v>Não</v>
          </cell>
          <cell r="K421" t="str">
            <v>Mecânica</v>
          </cell>
          <cell r="L421" t="str">
            <v>Ajuste / Regulagem</v>
          </cell>
          <cell r="M421" t="str">
            <v>Falha de Ajuste / Parâmetros</v>
          </cell>
          <cell r="N421">
            <v>0</v>
          </cell>
          <cell r="O421">
            <v>0.35416666666666669</v>
          </cell>
          <cell r="P421">
            <v>0</v>
          </cell>
          <cell r="T421">
            <v>0</v>
          </cell>
          <cell r="U421">
            <v>0.39583333333333331</v>
          </cell>
          <cell r="V421">
            <v>0</v>
          </cell>
          <cell r="W421">
            <v>0</v>
          </cell>
          <cell r="X421">
            <v>0</v>
          </cell>
          <cell r="Y421">
            <v>0</v>
          </cell>
          <cell r="AB421">
            <v>0</v>
          </cell>
          <cell r="AC421">
            <v>8</v>
          </cell>
          <cell r="AD421">
            <v>0</v>
          </cell>
          <cell r="BF421">
            <v>0</v>
          </cell>
          <cell r="BG421">
            <v>0</v>
          </cell>
          <cell r="BH421">
            <v>0</v>
          </cell>
          <cell r="BI421">
            <v>0</v>
          </cell>
          <cell r="BJ421">
            <v>0</v>
          </cell>
          <cell r="BK421">
            <v>0</v>
          </cell>
          <cell r="BL421">
            <v>0</v>
          </cell>
          <cell r="BM421">
            <v>0</v>
          </cell>
          <cell r="BN421">
            <v>0</v>
          </cell>
          <cell r="BO421">
            <v>0</v>
          </cell>
          <cell r="BP421">
            <v>0</v>
          </cell>
          <cell r="BQ421">
            <v>0</v>
          </cell>
          <cell r="BR421">
            <v>0</v>
          </cell>
          <cell r="BS421">
            <v>0</v>
          </cell>
          <cell r="BT421">
            <v>0</v>
          </cell>
          <cell r="BU421">
            <v>0</v>
          </cell>
          <cell r="BV421">
            <v>0</v>
          </cell>
          <cell r="BW421">
            <v>0</v>
          </cell>
          <cell r="BX421">
            <v>0</v>
          </cell>
          <cell r="BY421">
            <v>0</v>
          </cell>
          <cell r="BZ421">
            <v>0</v>
          </cell>
          <cell r="CA421">
            <v>0</v>
          </cell>
          <cell r="CB421">
            <v>0</v>
          </cell>
          <cell r="CC421">
            <v>0</v>
          </cell>
          <cell r="CD421">
            <v>0</v>
          </cell>
        </row>
        <row r="422">
          <cell r="C422">
            <v>37854</v>
          </cell>
          <cell r="D422">
            <v>37970</v>
          </cell>
          <cell r="E422">
            <v>37935</v>
          </cell>
          <cell r="F422">
            <v>37935</v>
          </cell>
          <cell r="G422">
            <v>0.53125</v>
          </cell>
          <cell r="H422" t="str">
            <v>Parafuso do motor 01 quebrado</v>
          </cell>
          <cell r="I422">
            <v>0</v>
          </cell>
          <cell r="J422" t="str">
            <v>Sim</v>
          </cell>
          <cell r="K422" t="str">
            <v>Mecânica</v>
          </cell>
          <cell r="L422" t="str">
            <v>Sim</v>
          </cell>
          <cell r="M422" t="str">
            <v>Falha de Comando / Sistema</v>
          </cell>
          <cell r="N422">
            <v>37935</v>
          </cell>
          <cell r="O422">
            <v>0.53819444444444442</v>
          </cell>
          <cell r="P422">
            <v>37935</v>
          </cell>
          <cell r="Q422">
            <v>0.53819444444444442</v>
          </cell>
          <cell r="T422">
            <v>37935</v>
          </cell>
          <cell r="U422">
            <v>0.55208333333333337</v>
          </cell>
          <cell r="V422">
            <v>37935</v>
          </cell>
          <cell r="W422">
            <v>0.55208333333333337</v>
          </cell>
          <cell r="X422">
            <v>1.3888888888888951E-2</v>
          </cell>
          <cell r="Y422">
            <v>1.3888888891314233E-2</v>
          </cell>
          <cell r="AB422">
            <v>11</v>
          </cell>
          <cell r="AC422">
            <v>8</v>
          </cell>
          <cell r="AD422">
            <v>0</v>
          </cell>
          <cell r="BF422">
            <v>0</v>
          </cell>
          <cell r="BG422">
            <v>0</v>
          </cell>
          <cell r="BH422">
            <v>0</v>
          </cell>
          <cell r="BI422">
            <v>0</v>
          </cell>
          <cell r="BJ422">
            <v>0</v>
          </cell>
          <cell r="BK422">
            <v>0</v>
          </cell>
          <cell r="BL422">
            <v>0</v>
          </cell>
          <cell r="BM422">
            <v>0</v>
          </cell>
          <cell r="BN422">
            <v>0</v>
          </cell>
          <cell r="BO422">
            <v>0</v>
          </cell>
          <cell r="BP422">
            <v>11</v>
          </cell>
          <cell r="BQ422">
            <v>0</v>
          </cell>
          <cell r="BR422">
            <v>0</v>
          </cell>
          <cell r="BS422">
            <v>0</v>
          </cell>
          <cell r="BT422">
            <v>0</v>
          </cell>
          <cell r="BU422">
            <v>0</v>
          </cell>
          <cell r="BV422">
            <v>0</v>
          </cell>
          <cell r="BW422">
            <v>0</v>
          </cell>
          <cell r="BX422">
            <v>0</v>
          </cell>
          <cell r="BY422">
            <v>0</v>
          </cell>
          <cell r="BZ422">
            <v>0</v>
          </cell>
          <cell r="CA422">
            <v>0</v>
          </cell>
          <cell r="CB422">
            <v>0</v>
          </cell>
          <cell r="CC422">
            <v>0</v>
          </cell>
          <cell r="CD422">
            <v>0</v>
          </cell>
        </row>
        <row r="423">
          <cell r="C423">
            <v>37854</v>
          </cell>
          <cell r="D423">
            <v>37993</v>
          </cell>
          <cell r="E423">
            <v>37936</v>
          </cell>
          <cell r="F423">
            <v>0.625</v>
          </cell>
          <cell r="G423" t="str">
            <v>Linha de Pintura 8,5m</v>
          </cell>
          <cell r="H423" t="str">
            <v>Módulo apresenta mau contato</v>
          </cell>
          <cell r="I423">
            <v>0</v>
          </cell>
          <cell r="J423" t="str">
            <v>Não</v>
          </cell>
          <cell r="K423" t="str">
            <v>Elétrica</v>
          </cell>
          <cell r="L423" t="str">
            <v>Reaperto dos componentes</v>
          </cell>
          <cell r="M423" t="str">
            <v>Vibração</v>
          </cell>
          <cell r="N423">
            <v>0</v>
          </cell>
          <cell r="O423">
            <v>0.625</v>
          </cell>
          <cell r="P423">
            <v>0</v>
          </cell>
          <cell r="T423">
            <v>0</v>
          </cell>
          <cell r="U423">
            <v>0.66666666666666663</v>
          </cell>
          <cell r="V423">
            <v>0</v>
          </cell>
          <cell r="W423">
            <v>0</v>
          </cell>
          <cell r="X423">
            <v>0</v>
          </cell>
          <cell r="Y423">
            <v>0</v>
          </cell>
          <cell r="AB423">
            <v>0</v>
          </cell>
          <cell r="AC423">
            <v>8</v>
          </cell>
          <cell r="AD423">
            <v>0</v>
          </cell>
          <cell r="BF423">
            <v>0</v>
          </cell>
          <cell r="BG423">
            <v>0</v>
          </cell>
          <cell r="BH423">
            <v>0</v>
          </cell>
          <cell r="BI423">
            <v>0</v>
          </cell>
          <cell r="BJ423">
            <v>0</v>
          </cell>
          <cell r="BK423">
            <v>0</v>
          </cell>
          <cell r="BL423">
            <v>0</v>
          </cell>
          <cell r="BM423">
            <v>0</v>
          </cell>
          <cell r="BN423">
            <v>0</v>
          </cell>
          <cell r="BO423">
            <v>0</v>
          </cell>
          <cell r="BP423">
            <v>0</v>
          </cell>
          <cell r="BQ423">
            <v>0</v>
          </cell>
          <cell r="BR423">
            <v>0</v>
          </cell>
          <cell r="BS423">
            <v>0</v>
          </cell>
          <cell r="BT423">
            <v>0</v>
          </cell>
          <cell r="BU423">
            <v>0</v>
          </cell>
          <cell r="BV423">
            <v>0</v>
          </cell>
          <cell r="BW423">
            <v>0</v>
          </cell>
          <cell r="BX423">
            <v>0</v>
          </cell>
          <cell r="BY423">
            <v>0</v>
          </cell>
          <cell r="BZ423">
            <v>0</v>
          </cell>
          <cell r="CA423">
            <v>0</v>
          </cell>
          <cell r="CB423">
            <v>0</v>
          </cell>
          <cell r="CC423">
            <v>0</v>
          </cell>
          <cell r="CD423">
            <v>0</v>
          </cell>
        </row>
        <row r="424">
          <cell r="C424">
            <v>37854</v>
          </cell>
          <cell r="I424">
            <v>0</v>
          </cell>
          <cell r="N424">
            <v>0</v>
          </cell>
          <cell r="P424">
            <v>0</v>
          </cell>
          <cell r="T424">
            <v>0</v>
          </cell>
          <cell r="V424">
            <v>0</v>
          </cell>
          <cell r="W424">
            <v>0</v>
          </cell>
          <cell r="X424">
            <v>0</v>
          </cell>
          <cell r="Y424">
            <v>0</v>
          </cell>
          <cell r="AB424">
            <v>0</v>
          </cell>
          <cell r="AC424">
            <v>8</v>
          </cell>
          <cell r="AD424">
            <v>0</v>
          </cell>
          <cell r="BF424">
            <v>0</v>
          </cell>
          <cell r="BG424">
            <v>0</v>
          </cell>
          <cell r="BH424">
            <v>0</v>
          </cell>
          <cell r="BI424">
            <v>0</v>
          </cell>
          <cell r="BJ424">
            <v>0</v>
          </cell>
          <cell r="BK424">
            <v>0</v>
          </cell>
          <cell r="BL424">
            <v>0</v>
          </cell>
          <cell r="BM424">
            <v>0</v>
          </cell>
          <cell r="BN424">
            <v>0</v>
          </cell>
          <cell r="BO424">
            <v>0</v>
          </cell>
          <cell r="BP424">
            <v>0</v>
          </cell>
          <cell r="BQ424">
            <v>0</v>
          </cell>
          <cell r="BR424">
            <v>0</v>
          </cell>
          <cell r="BS424">
            <v>0</v>
          </cell>
          <cell r="BT424">
            <v>0</v>
          </cell>
          <cell r="BU424">
            <v>0</v>
          </cell>
          <cell r="BV424">
            <v>0</v>
          </cell>
          <cell r="BW424">
            <v>0</v>
          </cell>
          <cell r="BX424">
            <v>0</v>
          </cell>
          <cell r="BY424">
            <v>0</v>
          </cell>
          <cell r="BZ424">
            <v>0</v>
          </cell>
          <cell r="CA424">
            <v>0</v>
          </cell>
          <cell r="CB424">
            <v>0</v>
          </cell>
          <cell r="CC424">
            <v>0</v>
          </cell>
          <cell r="CD424">
            <v>0</v>
          </cell>
        </row>
        <row r="425">
          <cell r="C425">
            <v>37854</v>
          </cell>
          <cell r="D425">
            <v>37970</v>
          </cell>
          <cell r="E425">
            <v>37935</v>
          </cell>
          <cell r="F425">
            <v>37935</v>
          </cell>
          <cell r="G425">
            <v>0.77083333333333337</v>
          </cell>
          <cell r="H425" t="str">
            <v>Bastidor Travado</v>
          </cell>
          <cell r="I425">
            <v>0</v>
          </cell>
          <cell r="J425" t="str">
            <v>Sim</v>
          </cell>
          <cell r="K425" t="str">
            <v>Mecânica</v>
          </cell>
          <cell r="L425" t="str">
            <v>Sim</v>
          </cell>
          <cell r="M425" t="str">
            <v>Falha de Regulagem / Configuração / Dimensionamento</v>
          </cell>
          <cell r="N425">
            <v>37935</v>
          </cell>
          <cell r="O425">
            <v>0.77083333333333337</v>
          </cell>
          <cell r="P425">
            <v>37935</v>
          </cell>
          <cell r="Q425">
            <v>0.77083333333333337</v>
          </cell>
          <cell r="T425">
            <v>37935</v>
          </cell>
          <cell r="U425">
            <v>0.85416666666666663</v>
          </cell>
          <cell r="V425">
            <v>37935</v>
          </cell>
          <cell r="W425">
            <v>0.85416666666666663</v>
          </cell>
          <cell r="X425">
            <v>8.3333333333333259E-2</v>
          </cell>
          <cell r="Y425">
            <v>8.3333333330907977E-2</v>
          </cell>
          <cell r="AB425">
            <v>11</v>
          </cell>
          <cell r="AC425">
            <v>8</v>
          </cell>
          <cell r="AD425">
            <v>0</v>
          </cell>
          <cell r="BF425">
            <v>0</v>
          </cell>
          <cell r="BG425">
            <v>0</v>
          </cell>
          <cell r="BH425">
            <v>0</v>
          </cell>
          <cell r="BI425">
            <v>0</v>
          </cell>
          <cell r="BJ425">
            <v>0</v>
          </cell>
          <cell r="BK425">
            <v>0</v>
          </cell>
          <cell r="BL425">
            <v>0</v>
          </cell>
          <cell r="BM425">
            <v>0</v>
          </cell>
          <cell r="BN425">
            <v>11</v>
          </cell>
          <cell r="BO425">
            <v>0</v>
          </cell>
          <cell r="BP425">
            <v>0</v>
          </cell>
          <cell r="BQ425">
            <v>0</v>
          </cell>
          <cell r="BR425">
            <v>0</v>
          </cell>
          <cell r="BS425">
            <v>0</v>
          </cell>
          <cell r="BT425">
            <v>0</v>
          </cell>
          <cell r="BU425">
            <v>0</v>
          </cell>
          <cell r="BV425">
            <v>0</v>
          </cell>
          <cell r="BW425">
            <v>0</v>
          </cell>
          <cell r="BX425">
            <v>0</v>
          </cell>
          <cell r="BY425">
            <v>0</v>
          </cell>
          <cell r="BZ425">
            <v>0</v>
          </cell>
          <cell r="CA425">
            <v>0</v>
          </cell>
          <cell r="CB425">
            <v>0</v>
          </cell>
          <cell r="CC425">
            <v>0</v>
          </cell>
          <cell r="CD425">
            <v>0</v>
          </cell>
        </row>
        <row r="426">
          <cell r="C426">
            <v>37854</v>
          </cell>
          <cell r="D426">
            <v>37993</v>
          </cell>
          <cell r="E426">
            <v>37960</v>
          </cell>
          <cell r="F426">
            <v>0.58333333333333337</v>
          </cell>
          <cell r="G426" t="str">
            <v>Linha de Pintura 8,5m</v>
          </cell>
          <cell r="H426" t="str">
            <v>parada constante no elevador de descarga</v>
          </cell>
          <cell r="I426">
            <v>0</v>
          </cell>
          <cell r="J426" t="str">
            <v>Sim</v>
          </cell>
          <cell r="K426" t="str">
            <v>Mecânica</v>
          </cell>
          <cell r="L426" t="str">
            <v>Ajuste / Regulagem</v>
          </cell>
          <cell r="M426" t="str">
            <v>Falha de Regulagem / Configuração / Dimensionamento</v>
          </cell>
          <cell r="N426">
            <v>0</v>
          </cell>
          <cell r="O426">
            <v>0.58333333333333337</v>
          </cell>
          <cell r="P426">
            <v>0</v>
          </cell>
          <cell r="T426">
            <v>0</v>
          </cell>
          <cell r="U426">
            <v>0.625</v>
          </cell>
          <cell r="V426">
            <v>0</v>
          </cell>
          <cell r="W426">
            <v>0</v>
          </cell>
          <cell r="X426">
            <v>0</v>
          </cell>
          <cell r="Y426">
            <v>0</v>
          </cell>
          <cell r="AB426">
            <v>0</v>
          </cell>
          <cell r="AC426">
            <v>8</v>
          </cell>
          <cell r="AD426">
            <v>0</v>
          </cell>
          <cell r="BF426">
            <v>0</v>
          </cell>
          <cell r="BG426">
            <v>0</v>
          </cell>
          <cell r="BH426">
            <v>0</v>
          </cell>
          <cell r="BI426">
            <v>0</v>
          </cell>
          <cell r="BJ426">
            <v>0</v>
          </cell>
          <cell r="BK426">
            <v>0</v>
          </cell>
          <cell r="BL426">
            <v>0</v>
          </cell>
          <cell r="BM426">
            <v>0</v>
          </cell>
          <cell r="BN426">
            <v>0</v>
          </cell>
          <cell r="BO426">
            <v>0</v>
          </cell>
          <cell r="BP426">
            <v>0</v>
          </cell>
          <cell r="BQ426">
            <v>0</v>
          </cell>
          <cell r="BR426">
            <v>0</v>
          </cell>
          <cell r="BS426">
            <v>0</v>
          </cell>
          <cell r="BT426">
            <v>0</v>
          </cell>
          <cell r="BU426">
            <v>0</v>
          </cell>
          <cell r="BV426">
            <v>0</v>
          </cell>
          <cell r="BW426">
            <v>0</v>
          </cell>
          <cell r="BX426">
            <v>0</v>
          </cell>
          <cell r="BY426">
            <v>0</v>
          </cell>
          <cell r="BZ426">
            <v>0</v>
          </cell>
          <cell r="CA426">
            <v>0</v>
          </cell>
          <cell r="CB426">
            <v>0</v>
          </cell>
          <cell r="CC426">
            <v>0</v>
          </cell>
          <cell r="CD426">
            <v>0</v>
          </cell>
        </row>
        <row r="427">
          <cell r="C427">
            <v>37854</v>
          </cell>
          <cell r="D427">
            <v>37970</v>
          </cell>
          <cell r="E427">
            <v>37946</v>
          </cell>
          <cell r="F427">
            <v>0.33333333333333331</v>
          </cell>
          <cell r="G427" t="str">
            <v>Linha de Pintura 8,5m</v>
          </cell>
          <cell r="H427" t="str">
            <v>Problema no solenóide e bóia do tanque de fosfato</v>
          </cell>
          <cell r="I427">
            <v>0</v>
          </cell>
          <cell r="J427" t="str">
            <v>Não</v>
          </cell>
          <cell r="K427" t="str">
            <v>Mecânica</v>
          </cell>
          <cell r="L427" t="str">
            <v>Limpeza do Equipamento / Componente</v>
          </cell>
          <cell r="M427" t="str">
            <v>Sujeira em excesso</v>
          </cell>
          <cell r="N427">
            <v>37946</v>
          </cell>
          <cell r="O427">
            <v>0.34027777777777773</v>
          </cell>
          <cell r="P427">
            <v>0</v>
          </cell>
          <cell r="T427">
            <v>37946</v>
          </cell>
          <cell r="U427">
            <v>0.36805555555555558</v>
          </cell>
          <cell r="V427">
            <v>0</v>
          </cell>
          <cell r="W427">
            <v>2.7777777776969381E-2</v>
          </cell>
          <cell r="X427">
            <v>0</v>
          </cell>
          <cell r="Y427">
            <v>0</v>
          </cell>
          <cell r="AB427">
            <v>11</v>
          </cell>
          <cell r="AC427">
            <v>8</v>
          </cell>
          <cell r="AD427">
            <v>0</v>
          </cell>
          <cell r="BF427">
            <v>0</v>
          </cell>
          <cell r="BG427">
            <v>0</v>
          </cell>
          <cell r="BH427">
            <v>0</v>
          </cell>
          <cell r="BI427">
            <v>0</v>
          </cell>
          <cell r="BJ427">
            <v>0</v>
          </cell>
          <cell r="BK427">
            <v>0</v>
          </cell>
          <cell r="BL427">
            <v>0</v>
          </cell>
          <cell r="BM427">
            <v>0</v>
          </cell>
          <cell r="BN427">
            <v>0</v>
          </cell>
          <cell r="BO427">
            <v>0</v>
          </cell>
          <cell r="BP427">
            <v>11</v>
          </cell>
          <cell r="BQ427">
            <v>0</v>
          </cell>
          <cell r="BR427">
            <v>0</v>
          </cell>
          <cell r="BS427">
            <v>0</v>
          </cell>
          <cell r="BT427">
            <v>0</v>
          </cell>
          <cell r="BU427">
            <v>0</v>
          </cell>
          <cell r="BV427">
            <v>0</v>
          </cell>
          <cell r="BW427">
            <v>0</v>
          </cell>
          <cell r="BX427">
            <v>0</v>
          </cell>
          <cell r="BY427">
            <v>0</v>
          </cell>
          <cell r="BZ427">
            <v>0</v>
          </cell>
          <cell r="CA427">
            <v>0</v>
          </cell>
          <cell r="CB427">
            <v>0</v>
          </cell>
          <cell r="CC427">
            <v>0</v>
          </cell>
          <cell r="CD427">
            <v>0</v>
          </cell>
        </row>
        <row r="428">
          <cell r="C428">
            <v>37854</v>
          </cell>
          <cell r="I428">
            <v>0</v>
          </cell>
          <cell r="N428">
            <v>0</v>
          </cell>
          <cell r="P428">
            <v>0</v>
          </cell>
          <cell r="T428">
            <v>0</v>
          </cell>
          <cell r="V428">
            <v>0</v>
          </cell>
          <cell r="W428">
            <v>0</v>
          </cell>
          <cell r="X428">
            <v>0</v>
          </cell>
          <cell r="Y428">
            <v>0</v>
          </cell>
          <cell r="AB428">
            <v>0</v>
          </cell>
          <cell r="AC428">
            <v>8</v>
          </cell>
          <cell r="AD428">
            <v>0</v>
          </cell>
          <cell r="BF428">
            <v>0</v>
          </cell>
          <cell r="BG428">
            <v>0</v>
          </cell>
          <cell r="BH428">
            <v>0</v>
          </cell>
          <cell r="BI428">
            <v>0</v>
          </cell>
          <cell r="BJ428">
            <v>0</v>
          </cell>
          <cell r="BK428">
            <v>0</v>
          </cell>
          <cell r="BL428">
            <v>0</v>
          </cell>
          <cell r="BM428">
            <v>0</v>
          </cell>
          <cell r="BN428">
            <v>0</v>
          </cell>
          <cell r="BO428">
            <v>0</v>
          </cell>
          <cell r="BP428">
            <v>0</v>
          </cell>
          <cell r="BQ428">
            <v>0</v>
          </cell>
          <cell r="BR428">
            <v>0</v>
          </cell>
          <cell r="BS428">
            <v>0</v>
          </cell>
          <cell r="BT428">
            <v>0</v>
          </cell>
          <cell r="BU428">
            <v>0</v>
          </cell>
          <cell r="BV428">
            <v>0</v>
          </cell>
          <cell r="BW428">
            <v>0</v>
          </cell>
          <cell r="BX428">
            <v>0</v>
          </cell>
          <cell r="BY428">
            <v>0</v>
          </cell>
          <cell r="BZ428">
            <v>0</v>
          </cell>
          <cell r="CA428">
            <v>0</v>
          </cell>
          <cell r="CB428">
            <v>0</v>
          </cell>
          <cell r="CC428">
            <v>0</v>
          </cell>
          <cell r="CD428">
            <v>0</v>
          </cell>
        </row>
        <row r="429">
          <cell r="C429">
            <v>37854</v>
          </cell>
          <cell r="D429">
            <v>37970</v>
          </cell>
          <cell r="E429">
            <v>37950</v>
          </cell>
          <cell r="F429">
            <v>37950</v>
          </cell>
          <cell r="G429">
            <v>0.33333333333333331</v>
          </cell>
          <cell r="H429" t="str">
            <v>Eliminar vazamento de ar no transportador aéreo</v>
          </cell>
          <cell r="I429">
            <v>0</v>
          </cell>
          <cell r="J429" t="str">
            <v>Não</v>
          </cell>
          <cell r="K429" t="str">
            <v>Mecânica</v>
          </cell>
          <cell r="L429" t="str">
            <v>Não</v>
          </cell>
          <cell r="M429" t="str">
            <v>Desgaste / Fadiga</v>
          </cell>
          <cell r="N429">
            <v>37950</v>
          </cell>
          <cell r="O429">
            <v>0.34722222222222227</v>
          </cell>
          <cell r="P429">
            <v>37950</v>
          </cell>
          <cell r="Q429">
            <v>0.34722222222222227</v>
          </cell>
          <cell r="T429">
            <v>37950</v>
          </cell>
          <cell r="U429">
            <v>0.38194444444444442</v>
          </cell>
          <cell r="V429">
            <v>37950</v>
          </cell>
          <cell r="W429">
            <v>0.38194444444444442</v>
          </cell>
          <cell r="X429">
            <v>3.4722222223030619E-2</v>
          </cell>
          <cell r="Y429">
            <v>3.4722222223030619E-2</v>
          </cell>
          <cell r="AB429">
            <v>11</v>
          </cell>
          <cell r="AC429">
            <v>8</v>
          </cell>
          <cell r="AD429">
            <v>0</v>
          </cell>
          <cell r="BF429">
            <v>0</v>
          </cell>
          <cell r="BG429">
            <v>0</v>
          </cell>
          <cell r="BH429">
            <v>0</v>
          </cell>
          <cell r="BI429">
            <v>0</v>
          </cell>
          <cell r="BJ429">
            <v>0</v>
          </cell>
          <cell r="BK429">
            <v>0</v>
          </cell>
          <cell r="BL429">
            <v>0</v>
          </cell>
          <cell r="BM429">
            <v>0</v>
          </cell>
          <cell r="BN429">
            <v>0</v>
          </cell>
          <cell r="BO429">
            <v>0</v>
          </cell>
          <cell r="BP429">
            <v>11</v>
          </cell>
          <cell r="BQ429">
            <v>0</v>
          </cell>
          <cell r="BR429">
            <v>0</v>
          </cell>
          <cell r="BS429">
            <v>0</v>
          </cell>
          <cell r="BT429">
            <v>0</v>
          </cell>
          <cell r="BU429">
            <v>0</v>
          </cell>
          <cell r="BV429">
            <v>0</v>
          </cell>
          <cell r="BW429">
            <v>0</v>
          </cell>
          <cell r="BX429">
            <v>0</v>
          </cell>
          <cell r="BY429">
            <v>0</v>
          </cell>
          <cell r="BZ429">
            <v>0</v>
          </cell>
          <cell r="CA429">
            <v>0</v>
          </cell>
          <cell r="CB429">
            <v>0</v>
          </cell>
          <cell r="CC429">
            <v>0</v>
          </cell>
          <cell r="CD429">
            <v>0</v>
          </cell>
        </row>
        <row r="430">
          <cell r="C430">
            <v>37854</v>
          </cell>
          <cell r="D430">
            <v>37970</v>
          </cell>
          <cell r="E430">
            <v>37951</v>
          </cell>
          <cell r="F430">
            <v>37951</v>
          </cell>
          <cell r="G430">
            <v>0.41666666666666669</v>
          </cell>
          <cell r="H430" t="str">
            <v>Problema no engate rápido do Venturi</v>
          </cell>
          <cell r="I430">
            <v>0</v>
          </cell>
          <cell r="J430" t="str">
            <v>Não</v>
          </cell>
          <cell r="K430" t="str">
            <v>Mecânica</v>
          </cell>
          <cell r="L430" t="str">
            <v>Não</v>
          </cell>
          <cell r="M430" t="str">
            <v>Desgaste / Fadiga</v>
          </cell>
          <cell r="N430">
            <v>37951</v>
          </cell>
          <cell r="O430">
            <v>0.4236111111111111</v>
          </cell>
          <cell r="P430">
            <v>37951</v>
          </cell>
          <cell r="Q430">
            <v>0.4236111111111111</v>
          </cell>
          <cell r="T430">
            <v>37951</v>
          </cell>
          <cell r="U430">
            <v>0.44791666666666669</v>
          </cell>
          <cell r="V430">
            <v>37951</v>
          </cell>
          <cell r="W430">
            <v>0.44791666666666669</v>
          </cell>
          <cell r="X430">
            <v>2.4305555553130243E-2</v>
          </cell>
          <cell r="Y430">
            <v>2.4305555553130243E-2</v>
          </cell>
          <cell r="AB430">
            <v>11</v>
          </cell>
          <cell r="AC430">
            <v>8</v>
          </cell>
          <cell r="AD430">
            <v>0</v>
          </cell>
          <cell r="BF430">
            <v>0</v>
          </cell>
          <cell r="BG430">
            <v>0</v>
          </cell>
          <cell r="BH430">
            <v>0</v>
          </cell>
          <cell r="BI430">
            <v>0</v>
          </cell>
          <cell r="BJ430">
            <v>0</v>
          </cell>
          <cell r="BK430">
            <v>0</v>
          </cell>
          <cell r="BL430">
            <v>0</v>
          </cell>
          <cell r="BM430">
            <v>0</v>
          </cell>
          <cell r="BN430">
            <v>0</v>
          </cell>
          <cell r="BO430">
            <v>0</v>
          </cell>
          <cell r="BP430">
            <v>11</v>
          </cell>
          <cell r="BQ430">
            <v>0</v>
          </cell>
          <cell r="BR430">
            <v>0</v>
          </cell>
          <cell r="BS430">
            <v>0</v>
          </cell>
          <cell r="BT430">
            <v>0</v>
          </cell>
          <cell r="BU430">
            <v>0</v>
          </cell>
          <cell r="BV430">
            <v>0</v>
          </cell>
          <cell r="BW430">
            <v>0</v>
          </cell>
          <cell r="BX430">
            <v>0</v>
          </cell>
          <cell r="BY430">
            <v>0</v>
          </cell>
          <cell r="BZ430">
            <v>0</v>
          </cell>
          <cell r="CA430">
            <v>0</v>
          </cell>
          <cell r="CB430">
            <v>0</v>
          </cell>
          <cell r="CC430">
            <v>0</v>
          </cell>
          <cell r="CD430">
            <v>0</v>
          </cell>
        </row>
        <row r="431">
          <cell r="C431">
            <v>37854</v>
          </cell>
          <cell r="D431">
            <v>37993</v>
          </cell>
          <cell r="E431">
            <v>37901</v>
          </cell>
          <cell r="F431">
            <v>37901</v>
          </cell>
          <cell r="G431">
            <v>0.41666666666666669</v>
          </cell>
          <cell r="H431" t="str">
            <v>Mau contato na pistola manual</v>
          </cell>
          <cell r="I431">
            <v>0</v>
          </cell>
          <cell r="J431" t="str">
            <v>Não</v>
          </cell>
          <cell r="K431" t="str">
            <v>Elétrica</v>
          </cell>
          <cell r="L431" t="str">
            <v>Não</v>
          </cell>
          <cell r="M431" t="str">
            <v>Falha de Comando / Sistema</v>
          </cell>
          <cell r="N431">
            <v>37901</v>
          </cell>
          <cell r="O431">
            <v>0.41666666666666669</v>
          </cell>
          <cell r="P431">
            <v>0</v>
          </cell>
          <cell r="Q431">
            <v>0.45833333333333331</v>
          </cell>
          <cell r="R431">
            <v>37907</v>
          </cell>
          <cell r="S431">
            <v>0.41666666666666669</v>
          </cell>
          <cell r="T431">
            <v>0</v>
          </cell>
          <cell r="U431">
            <v>0.45833333333333331</v>
          </cell>
          <cell r="V431">
            <v>0</v>
          </cell>
          <cell r="W431">
            <v>0</v>
          </cell>
          <cell r="X431">
            <v>0</v>
          </cell>
          <cell r="Y431">
            <v>0</v>
          </cell>
          <cell r="AB431">
            <v>0</v>
          </cell>
          <cell r="AC431">
            <v>8</v>
          </cell>
          <cell r="AD431">
            <v>0</v>
          </cell>
          <cell r="BF431">
            <v>0</v>
          </cell>
          <cell r="BG431">
            <v>0</v>
          </cell>
          <cell r="BH431">
            <v>0</v>
          </cell>
          <cell r="BI431">
            <v>0</v>
          </cell>
          <cell r="BJ431">
            <v>0</v>
          </cell>
          <cell r="BK431">
            <v>0</v>
          </cell>
          <cell r="BL431">
            <v>0</v>
          </cell>
          <cell r="BM431">
            <v>0</v>
          </cell>
          <cell r="BN431">
            <v>0</v>
          </cell>
          <cell r="BO431">
            <v>0</v>
          </cell>
          <cell r="BP431">
            <v>1</v>
          </cell>
          <cell r="BQ431">
            <v>0</v>
          </cell>
          <cell r="BR431">
            <v>0</v>
          </cell>
          <cell r="BS431">
            <v>0</v>
          </cell>
          <cell r="BT431">
            <v>0</v>
          </cell>
          <cell r="BU431">
            <v>0</v>
          </cell>
          <cell r="BV431">
            <v>0</v>
          </cell>
          <cell r="BW431">
            <v>0</v>
          </cell>
          <cell r="BX431">
            <v>0</v>
          </cell>
          <cell r="BY431">
            <v>0</v>
          </cell>
          <cell r="BZ431">
            <v>0</v>
          </cell>
          <cell r="CA431">
            <v>0</v>
          </cell>
          <cell r="CB431">
            <v>0</v>
          </cell>
          <cell r="CC431">
            <v>0</v>
          </cell>
          <cell r="CD431">
            <v>0</v>
          </cell>
        </row>
        <row r="432">
          <cell r="C432">
            <v>37854</v>
          </cell>
          <cell r="I432">
            <v>0</v>
          </cell>
          <cell r="N432">
            <v>0</v>
          </cell>
          <cell r="P432">
            <v>0</v>
          </cell>
          <cell r="T432">
            <v>0</v>
          </cell>
          <cell r="V432">
            <v>0</v>
          </cell>
          <cell r="W432">
            <v>0</v>
          </cell>
          <cell r="X432">
            <v>0</v>
          </cell>
          <cell r="Y432">
            <v>0</v>
          </cell>
          <cell r="AB432">
            <v>0</v>
          </cell>
          <cell r="AC432">
            <v>8</v>
          </cell>
          <cell r="AD432">
            <v>0</v>
          </cell>
          <cell r="BF432">
            <v>0</v>
          </cell>
          <cell r="BG432">
            <v>0</v>
          </cell>
          <cell r="BH432">
            <v>0</v>
          </cell>
          <cell r="BI432">
            <v>0</v>
          </cell>
          <cell r="BJ432">
            <v>0</v>
          </cell>
          <cell r="BK432">
            <v>0</v>
          </cell>
          <cell r="BL432">
            <v>0</v>
          </cell>
          <cell r="BM432">
            <v>0</v>
          </cell>
          <cell r="BN432">
            <v>0</v>
          </cell>
          <cell r="BO432">
            <v>0</v>
          </cell>
          <cell r="BP432">
            <v>0</v>
          </cell>
          <cell r="BQ432">
            <v>0</v>
          </cell>
          <cell r="BR432">
            <v>0</v>
          </cell>
          <cell r="BS432">
            <v>0</v>
          </cell>
          <cell r="BT432">
            <v>0</v>
          </cell>
          <cell r="BU432">
            <v>0</v>
          </cell>
          <cell r="BV432">
            <v>0</v>
          </cell>
          <cell r="BW432">
            <v>0</v>
          </cell>
          <cell r="BX432">
            <v>0</v>
          </cell>
          <cell r="BY432">
            <v>0</v>
          </cell>
          <cell r="BZ432">
            <v>0</v>
          </cell>
          <cell r="CA432">
            <v>0</v>
          </cell>
          <cell r="CB432">
            <v>0</v>
          </cell>
          <cell r="CC432">
            <v>0</v>
          </cell>
          <cell r="CD432">
            <v>0</v>
          </cell>
        </row>
        <row r="433">
          <cell r="C433">
            <v>37854</v>
          </cell>
          <cell r="D433">
            <v>37970</v>
          </cell>
          <cell r="E433">
            <v>37952</v>
          </cell>
          <cell r="F433">
            <v>37952</v>
          </cell>
          <cell r="G433">
            <v>0.33333333333333331</v>
          </cell>
          <cell r="H433" t="str">
            <v>Rotâmetro do túnel de tratamento apresenta sujeira em excesso</v>
          </cell>
          <cell r="I433">
            <v>0</v>
          </cell>
          <cell r="J433" t="str">
            <v>Não</v>
          </cell>
          <cell r="K433" t="str">
            <v>Mecânica</v>
          </cell>
          <cell r="L433" t="str">
            <v>Sim</v>
          </cell>
          <cell r="M433" t="str">
            <v>Sujeira em excesso</v>
          </cell>
          <cell r="N433">
            <v>37953</v>
          </cell>
          <cell r="O433">
            <v>0.34375</v>
          </cell>
          <cell r="P433">
            <v>37953</v>
          </cell>
          <cell r="Q433">
            <v>0.34375</v>
          </cell>
          <cell r="T433">
            <v>37953</v>
          </cell>
          <cell r="U433">
            <v>0.375</v>
          </cell>
          <cell r="V433">
            <v>37953</v>
          </cell>
          <cell r="W433">
            <v>0.375</v>
          </cell>
          <cell r="X433">
            <v>3.125E-2</v>
          </cell>
          <cell r="Y433">
            <v>3.125E-2</v>
          </cell>
          <cell r="AB433">
            <v>11</v>
          </cell>
          <cell r="AC433">
            <v>8</v>
          </cell>
          <cell r="AD433">
            <v>0</v>
          </cell>
          <cell r="BF433">
            <v>0</v>
          </cell>
          <cell r="BG433">
            <v>0</v>
          </cell>
          <cell r="BH433">
            <v>0</v>
          </cell>
          <cell r="BI433">
            <v>0</v>
          </cell>
          <cell r="BJ433">
            <v>0</v>
          </cell>
          <cell r="BK433">
            <v>0</v>
          </cell>
          <cell r="BL433">
            <v>0</v>
          </cell>
          <cell r="BM433">
            <v>0</v>
          </cell>
          <cell r="BN433">
            <v>0</v>
          </cell>
          <cell r="BO433">
            <v>0</v>
          </cell>
          <cell r="BP433">
            <v>11</v>
          </cell>
          <cell r="BQ433">
            <v>0</v>
          </cell>
          <cell r="BR433">
            <v>0</v>
          </cell>
          <cell r="BS433">
            <v>0</v>
          </cell>
          <cell r="BT433">
            <v>0</v>
          </cell>
          <cell r="BU433">
            <v>0</v>
          </cell>
          <cell r="BV433">
            <v>0</v>
          </cell>
          <cell r="BW433">
            <v>0</v>
          </cell>
          <cell r="BX433">
            <v>0</v>
          </cell>
          <cell r="BY433">
            <v>0</v>
          </cell>
          <cell r="BZ433">
            <v>0</v>
          </cell>
          <cell r="CA433">
            <v>0</v>
          </cell>
          <cell r="CB433">
            <v>0</v>
          </cell>
          <cell r="CC433">
            <v>0</v>
          </cell>
          <cell r="CD433">
            <v>0</v>
          </cell>
        </row>
        <row r="434">
          <cell r="C434">
            <v>37854</v>
          </cell>
          <cell r="D434">
            <v>37970</v>
          </cell>
          <cell r="E434">
            <v>37953</v>
          </cell>
          <cell r="F434">
            <v>0.33333333333333331</v>
          </cell>
          <cell r="G434" t="str">
            <v>Linha de Pintura 8,5m</v>
          </cell>
          <cell r="H434" t="str">
            <v>Peneira do peneirador inadequada (muito fina)</v>
          </cell>
          <cell r="I434">
            <v>0</v>
          </cell>
          <cell r="J434" t="str">
            <v>Não</v>
          </cell>
          <cell r="K434" t="str">
            <v>Mecânica</v>
          </cell>
          <cell r="L434" t="str">
            <v>Substituição do(s) Componente(s)</v>
          </cell>
          <cell r="M434" t="str">
            <v>Umidade em excesso</v>
          </cell>
          <cell r="N434">
            <v>37957</v>
          </cell>
          <cell r="O434">
            <v>0.52777777777777779</v>
          </cell>
          <cell r="P434">
            <v>0</v>
          </cell>
          <cell r="T434">
            <v>37957</v>
          </cell>
          <cell r="U434">
            <v>0.55555555555555558</v>
          </cell>
          <cell r="V434">
            <v>0</v>
          </cell>
          <cell r="W434">
            <v>2.7777777776969326E-2</v>
          </cell>
          <cell r="X434">
            <v>0</v>
          </cell>
          <cell r="Y434">
            <v>0</v>
          </cell>
          <cell r="AB434">
            <v>12</v>
          </cell>
          <cell r="AC434">
            <v>8</v>
          </cell>
          <cell r="AD434">
            <v>0</v>
          </cell>
          <cell r="BF434">
            <v>0</v>
          </cell>
          <cell r="BG434">
            <v>0</v>
          </cell>
          <cell r="BH434">
            <v>0</v>
          </cell>
          <cell r="BI434">
            <v>0</v>
          </cell>
          <cell r="BJ434">
            <v>0</v>
          </cell>
          <cell r="BK434">
            <v>0</v>
          </cell>
          <cell r="BL434">
            <v>0</v>
          </cell>
          <cell r="BM434">
            <v>0</v>
          </cell>
          <cell r="BN434">
            <v>0</v>
          </cell>
          <cell r="BO434">
            <v>0</v>
          </cell>
          <cell r="BP434">
            <v>12</v>
          </cell>
          <cell r="BQ434">
            <v>0</v>
          </cell>
          <cell r="BR434">
            <v>0</v>
          </cell>
          <cell r="BS434">
            <v>0</v>
          </cell>
          <cell r="BT434">
            <v>0</v>
          </cell>
          <cell r="BU434">
            <v>0</v>
          </cell>
          <cell r="BV434">
            <v>0</v>
          </cell>
          <cell r="BW434">
            <v>0</v>
          </cell>
          <cell r="BX434">
            <v>0</v>
          </cell>
          <cell r="BY434">
            <v>0</v>
          </cell>
          <cell r="BZ434">
            <v>0</v>
          </cell>
          <cell r="CA434">
            <v>0</v>
          </cell>
          <cell r="CB434">
            <v>0</v>
          </cell>
          <cell r="CC434">
            <v>0</v>
          </cell>
          <cell r="CD434">
            <v>0</v>
          </cell>
        </row>
        <row r="435">
          <cell r="C435">
            <v>37854</v>
          </cell>
          <cell r="D435">
            <v>37970</v>
          </cell>
          <cell r="E435">
            <v>37953</v>
          </cell>
          <cell r="F435">
            <v>0.41666666666666669</v>
          </cell>
          <cell r="G435" t="str">
            <v>Linha de Pintura 8,5m</v>
          </cell>
          <cell r="H435" t="str">
            <v>Mau contato no módulo Nº 03</v>
          </cell>
          <cell r="I435">
            <v>0</v>
          </cell>
          <cell r="J435" t="str">
            <v>Não</v>
          </cell>
          <cell r="K435" t="str">
            <v>Elétrica</v>
          </cell>
          <cell r="L435" t="str">
            <v>Limpeza do Equipamento / Componente</v>
          </cell>
          <cell r="M435" t="str">
            <v>Sujeira em excesso</v>
          </cell>
          <cell r="N435">
            <v>37953</v>
          </cell>
          <cell r="O435">
            <v>0.4375</v>
          </cell>
          <cell r="P435">
            <v>0</v>
          </cell>
          <cell r="T435">
            <v>37953</v>
          </cell>
          <cell r="U435">
            <v>0.47222222222222227</v>
          </cell>
          <cell r="V435">
            <v>0</v>
          </cell>
          <cell r="W435">
            <v>3.4722222218988463E-2</v>
          </cell>
          <cell r="X435">
            <v>0</v>
          </cell>
          <cell r="Y435">
            <v>0</v>
          </cell>
          <cell r="AB435">
            <v>11</v>
          </cell>
          <cell r="AC435">
            <v>8</v>
          </cell>
          <cell r="AD435">
            <v>0</v>
          </cell>
          <cell r="BF435">
            <v>0</v>
          </cell>
          <cell r="BG435">
            <v>0</v>
          </cell>
          <cell r="BH435">
            <v>0</v>
          </cell>
          <cell r="BI435">
            <v>0</v>
          </cell>
          <cell r="BJ435">
            <v>0</v>
          </cell>
          <cell r="BK435">
            <v>0</v>
          </cell>
          <cell r="BL435">
            <v>0</v>
          </cell>
          <cell r="BM435">
            <v>0</v>
          </cell>
          <cell r="BN435">
            <v>0</v>
          </cell>
          <cell r="BO435">
            <v>0</v>
          </cell>
          <cell r="BP435">
            <v>11</v>
          </cell>
          <cell r="BQ435">
            <v>0</v>
          </cell>
          <cell r="BR435">
            <v>0</v>
          </cell>
          <cell r="BS435">
            <v>0</v>
          </cell>
          <cell r="BT435">
            <v>0</v>
          </cell>
          <cell r="BU435">
            <v>0</v>
          </cell>
          <cell r="BV435">
            <v>0</v>
          </cell>
          <cell r="BW435">
            <v>0</v>
          </cell>
          <cell r="BX435">
            <v>0</v>
          </cell>
          <cell r="BY435">
            <v>0</v>
          </cell>
          <cell r="BZ435">
            <v>0</v>
          </cell>
          <cell r="CA435">
            <v>0</v>
          </cell>
          <cell r="CB435">
            <v>0</v>
          </cell>
          <cell r="CC435">
            <v>0</v>
          </cell>
          <cell r="CD435">
            <v>0</v>
          </cell>
        </row>
        <row r="436">
          <cell r="C436">
            <v>37854</v>
          </cell>
          <cell r="D436">
            <v>37881</v>
          </cell>
          <cell r="E436">
            <v>37874</v>
          </cell>
          <cell r="F436">
            <v>0.375</v>
          </cell>
          <cell r="G436" t="str">
            <v>Linha de Pintura 8,5m</v>
          </cell>
          <cell r="H436" t="str">
            <v>Falha na chama do queimador do fosfato</v>
          </cell>
          <cell r="I436" t="str">
            <v>Corretiva</v>
          </cell>
          <cell r="J436" t="str">
            <v>Sim</v>
          </cell>
          <cell r="K436" t="str">
            <v>Elétrica</v>
          </cell>
          <cell r="L436" t="str">
            <v>Reinicialização do Equipamento / Componente</v>
          </cell>
          <cell r="M436" t="str">
            <v>Falha de Comando / Sistema</v>
          </cell>
          <cell r="N436">
            <v>37874</v>
          </cell>
          <cell r="O436">
            <v>0.38194444444444442</v>
          </cell>
          <cell r="P436">
            <v>37874</v>
          </cell>
          <cell r="Q436">
            <v>0.38194444444444442</v>
          </cell>
          <cell r="T436">
            <v>37874</v>
          </cell>
          <cell r="U436">
            <v>0.40277777777777773</v>
          </cell>
          <cell r="V436">
            <v>37874</v>
          </cell>
          <cell r="W436">
            <v>0.40277777777777773</v>
          </cell>
          <cell r="X436">
            <v>2.0833333333333315E-2</v>
          </cell>
          <cell r="Y436">
            <v>2.0833333336567117E-2</v>
          </cell>
          <cell r="AB436">
            <v>9</v>
          </cell>
          <cell r="AC436">
            <v>8</v>
          </cell>
          <cell r="AD436">
            <v>0</v>
          </cell>
          <cell r="BF436">
            <v>0</v>
          </cell>
          <cell r="BG436">
            <v>0</v>
          </cell>
          <cell r="BH436">
            <v>0</v>
          </cell>
          <cell r="BI436">
            <v>0</v>
          </cell>
          <cell r="BJ436">
            <v>0</v>
          </cell>
          <cell r="BK436">
            <v>0</v>
          </cell>
          <cell r="BL436">
            <v>0</v>
          </cell>
          <cell r="BM436">
            <v>0</v>
          </cell>
          <cell r="BN436">
            <v>0</v>
          </cell>
          <cell r="BO436">
            <v>0</v>
          </cell>
          <cell r="BP436">
            <v>9</v>
          </cell>
          <cell r="BQ436">
            <v>0</v>
          </cell>
          <cell r="BR436">
            <v>0</v>
          </cell>
          <cell r="BS436">
            <v>0</v>
          </cell>
          <cell r="BT436">
            <v>0</v>
          </cell>
          <cell r="BU436">
            <v>0</v>
          </cell>
          <cell r="BV436">
            <v>0</v>
          </cell>
          <cell r="BW436">
            <v>0</v>
          </cell>
          <cell r="BX436">
            <v>0</v>
          </cell>
          <cell r="BY436">
            <v>0</v>
          </cell>
          <cell r="BZ436">
            <v>0</v>
          </cell>
          <cell r="CA436">
            <v>0</v>
          </cell>
          <cell r="CB436">
            <v>0</v>
          </cell>
          <cell r="CC436">
            <v>0</v>
          </cell>
          <cell r="CD436">
            <v>0</v>
          </cell>
        </row>
        <row r="437">
          <cell r="C437">
            <v>37858</v>
          </cell>
          <cell r="D437">
            <v>37867</v>
          </cell>
          <cell r="E437">
            <v>37839</v>
          </cell>
          <cell r="F437">
            <v>0.25</v>
          </cell>
          <cell r="G437" t="str">
            <v>Linha de Pintura 15m</v>
          </cell>
          <cell r="H437" t="str">
            <v>Peneira do fosfato Rompida</v>
          </cell>
          <cell r="I437" t="str">
            <v>Corretiva</v>
          </cell>
          <cell r="J437" t="str">
            <v>Não</v>
          </cell>
          <cell r="K437" t="str">
            <v>Mecânica</v>
          </cell>
          <cell r="L437" t="str">
            <v>Reparo</v>
          </cell>
          <cell r="M437" t="str">
            <v>Desgaste / Fadiga</v>
          </cell>
          <cell r="N437">
            <v>37839</v>
          </cell>
          <cell r="O437">
            <v>0.25</v>
          </cell>
          <cell r="P437">
            <v>37839</v>
          </cell>
          <cell r="Q437">
            <v>0.25</v>
          </cell>
          <cell r="T437">
            <v>37839</v>
          </cell>
          <cell r="U437">
            <v>0.3125</v>
          </cell>
          <cell r="V437">
            <v>37839</v>
          </cell>
          <cell r="W437">
            <v>0.3125</v>
          </cell>
          <cell r="X437">
            <v>6.25E-2</v>
          </cell>
          <cell r="Y437">
            <v>6.25E-2</v>
          </cell>
          <cell r="AB437">
            <v>8</v>
          </cell>
          <cell r="AC437">
            <v>8</v>
          </cell>
          <cell r="AD437">
            <v>0</v>
          </cell>
          <cell r="BF437">
            <v>0</v>
          </cell>
          <cell r="BG437">
            <v>0</v>
          </cell>
          <cell r="BH437">
            <v>0</v>
          </cell>
          <cell r="BI437">
            <v>0</v>
          </cell>
          <cell r="BJ437">
            <v>0</v>
          </cell>
          <cell r="BK437">
            <v>0</v>
          </cell>
          <cell r="BL437">
            <v>0</v>
          </cell>
          <cell r="BM437">
            <v>0</v>
          </cell>
          <cell r="BN437">
            <v>8</v>
          </cell>
          <cell r="BO437">
            <v>0</v>
          </cell>
          <cell r="BP437">
            <v>0</v>
          </cell>
          <cell r="BQ437">
            <v>0</v>
          </cell>
          <cell r="BR437">
            <v>0</v>
          </cell>
          <cell r="BS437">
            <v>0</v>
          </cell>
          <cell r="BT437">
            <v>0</v>
          </cell>
          <cell r="BU437">
            <v>0</v>
          </cell>
          <cell r="BV437">
            <v>0</v>
          </cell>
          <cell r="BW437">
            <v>0</v>
          </cell>
          <cell r="BX437">
            <v>0</v>
          </cell>
          <cell r="BY437">
            <v>0</v>
          </cell>
          <cell r="BZ437">
            <v>0</v>
          </cell>
          <cell r="CA437">
            <v>0</v>
          </cell>
          <cell r="CB437">
            <v>0</v>
          </cell>
          <cell r="CC437">
            <v>0</v>
          </cell>
          <cell r="CD437">
            <v>0</v>
          </cell>
        </row>
        <row r="438">
          <cell r="C438">
            <v>37858</v>
          </cell>
          <cell r="D438">
            <v>37900</v>
          </cell>
          <cell r="E438">
            <v>37859</v>
          </cell>
          <cell r="F438">
            <v>0.41666666666666669</v>
          </cell>
          <cell r="G438" t="str">
            <v>Linha de Pintura 15m</v>
          </cell>
          <cell r="H438" t="str">
            <v>Pistola de Líquido parada</v>
          </cell>
          <cell r="I438" t="str">
            <v>Corretiva</v>
          </cell>
          <cell r="J438" t="str">
            <v>Não</v>
          </cell>
          <cell r="K438" t="str">
            <v>Mecânica</v>
          </cell>
          <cell r="L438" t="str">
            <v>Reparo</v>
          </cell>
          <cell r="M438" t="str">
            <v>Desgaste / Fadiga</v>
          </cell>
          <cell r="N438">
            <v>37859</v>
          </cell>
          <cell r="O438">
            <v>0.41666666666666669</v>
          </cell>
          <cell r="P438">
            <v>37859</v>
          </cell>
          <cell r="Q438">
            <v>0.4375</v>
          </cell>
          <cell r="R438">
            <v>37880</v>
          </cell>
          <cell r="S438">
            <v>0.375</v>
          </cell>
          <cell r="T438">
            <v>37881</v>
          </cell>
          <cell r="U438">
            <v>0.33333333333333331</v>
          </cell>
          <cell r="V438">
            <v>0</v>
          </cell>
          <cell r="W438">
            <v>0.97916666666666652</v>
          </cell>
          <cell r="X438">
            <v>0.97916666666666652</v>
          </cell>
          <cell r="Y438">
            <v>0.97916666666666652</v>
          </cell>
          <cell r="AB438">
            <v>9</v>
          </cell>
          <cell r="AC438">
            <v>8</v>
          </cell>
          <cell r="AD438">
            <v>0</v>
          </cell>
          <cell r="BF438">
            <v>0</v>
          </cell>
          <cell r="BG438">
            <v>0</v>
          </cell>
          <cell r="BH438">
            <v>0</v>
          </cell>
          <cell r="BI438">
            <v>0</v>
          </cell>
          <cell r="BJ438">
            <v>0</v>
          </cell>
          <cell r="BK438">
            <v>0</v>
          </cell>
          <cell r="BL438">
            <v>0</v>
          </cell>
          <cell r="BM438">
            <v>0</v>
          </cell>
          <cell r="BN438">
            <v>9</v>
          </cell>
          <cell r="BO438">
            <v>0</v>
          </cell>
          <cell r="BP438">
            <v>0</v>
          </cell>
          <cell r="BQ438">
            <v>0</v>
          </cell>
          <cell r="BR438">
            <v>0</v>
          </cell>
          <cell r="BS438">
            <v>0</v>
          </cell>
          <cell r="BT438">
            <v>0</v>
          </cell>
          <cell r="BU438">
            <v>0</v>
          </cell>
          <cell r="BV438">
            <v>0</v>
          </cell>
          <cell r="BW438">
            <v>0</v>
          </cell>
          <cell r="BX438">
            <v>0</v>
          </cell>
          <cell r="BY438">
            <v>0</v>
          </cell>
          <cell r="BZ438">
            <v>0</v>
          </cell>
          <cell r="CA438">
            <v>0</v>
          </cell>
          <cell r="CB438">
            <v>0</v>
          </cell>
          <cell r="CC438">
            <v>0</v>
          </cell>
          <cell r="CD438">
            <v>0</v>
          </cell>
        </row>
        <row r="439">
          <cell r="C439">
            <v>37858</v>
          </cell>
          <cell r="D439">
            <v>37900</v>
          </cell>
          <cell r="E439">
            <v>37873</v>
          </cell>
          <cell r="F439">
            <v>0.47916666666666669</v>
          </cell>
          <cell r="G439" t="str">
            <v>Linha de Pintura 15m</v>
          </cell>
          <cell r="H439" t="str">
            <v>Venturis do Recuperador de pó danificados</v>
          </cell>
          <cell r="I439" t="str">
            <v>Corretiva</v>
          </cell>
          <cell r="J439" t="str">
            <v>Não</v>
          </cell>
          <cell r="K439" t="str">
            <v>Mecânica</v>
          </cell>
          <cell r="L439" t="str">
            <v>Substituição do(s) Componente(s)</v>
          </cell>
          <cell r="M439" t="str">
            <v>Defeito de Fabricação</v>
          </cell>
          <cell r="N439">
            <v>37886</v>
          </cell>
          <cell r="O439">
            <v>0.41666666666666669</v>
          </cell>
          <cell r="P439">
            <v>37886</v>
          </cell>
          <cell r="Q439">
            <v>0.41666666666666669</v>
          </cell>
          <cell r="T439">
            <v>37886</v>
          </cell>
          <cell r="U439">
            <v>0.45833333333333331</v>
          </cell>
          <cell r="V439">
            <v>37886</v>
          </cell>
          <cell r="W439">
            <v>0.45833333333333331</v>
          </cell>
          <cell r="X439">
            <v>4.1666666669091967E-2</v>
          </cell>
          <cell r="Y439">
            <v>4.1666666669091967E-2</v>
          </cell>
          <cell r="AB439">
            <v>9</v>
          </cell>
          <cell r="AC439">
            <v>8</v>
          </cell>
          <cell r="AD439">
            <v>0</v>
          </cell>
          <cell r="BF439">
            <v>0</v>
          </cell>
          <cell r="BG439">
            <v>0</v>
          </cell>
          <cell r="BH439">
            <v>0</v>
          </cell>
          <cell r="BI439">
            <v>0</v>
          </cell>
          <cell r="BJ439">
            <v>0</v>
          </cell>
          <cell r="BK439">
            <v>0</v>
          </cell>
          <cell r="BL439">
            <v>0</v>
          </cell>
          <cell r="BM439">
            <v>0</v>
          </cell>
          <cell r="BN439">
            <v>9</v>
          </cell>
          <cell r="BO439">
            <v>0</v>
          </cell>
          <cell r="BP439">
            <v>0</v>
          </cell>
          <cell r="BQ439">
            <v>0</v>
          </cell>
          <cell r="BR439">
            <v>0</v>
          </cell>
          <cell r="BS439">
            <v>0</v>
          </cell>
          <cell r="BT439">
            <v>0</v>
          </cell>
          <cell r="BU439">
            <v>0</v>
          </cell>
          <cell r="BV439">
            <v>0</v>
          </cell>
          <cell r="BW439">
            <v>0</v>
          </cell>
          <cell r="BX439">
            <v>0</v>
          </cell>
          <cell r="BY439">
            <v>0</v>
          </cell>
          <cell r="BZ439">
            <v>0</v>
          </cell>
          <cell r="CA439">
            <v>0</v>
          </cell>
          <cell r="CB439">
            <v>0</v>
          </cell>
          <cell r="CC439">
            <v>0</v>
          </cell>
          <cell r="CD439">
            <v>0</v>
          </cell>
        </row>
        <row r="440">
          <cell r="C440">
            <v>37858</v>
          </cell>
          <cell r="D440">
            <v>37918</v>
          </cell>
          <cell r="E440">
            <v>37859</v>
          </cell>
          <cell r="F440">
            <v>0.58333333333333337</v>
          </cell>
          <cell r="G440" t="str">
            <v>Linha de Pintura 15m</v>
          </cell>
          <cell r="H440" t="str">
            <v>Há a necessidade se modificar a localização da botoeira de parada do transportador para a coluna pós-cabine</v>
          </cell>
          <cell r="I440" t="str">
            <v>Melhoria</v>
          </cell>
          <cell r="J440" t="str">
            <v>Não</v>
          </cell>
          <cell r="K440" t="str">
            <v>Elétrica</v>
          </cell>
          <cell r="L440" t="str">
            <v>Montagem / Instalação</v>
          </cell>
          <cell r="M440" t="str">
            <v>Melhoria Técnica</v>
          </cell>
          <cell r="N440">
            <v>37879</v>
          </cell>
          <cell r="O440">
            <v>0.95833333333333337</v>
          </cell>
          <cell r="P440">
            <v>37879</v>
          </cell>
          <cell r="Q440">
            <v>0.95833333333333337</v>
          </cell>
          <cell r="T440">
            <v>37880</v>
          </cell>
          <cell r="U440">
            <v>0.33333333333333331</v>
          </cell>
          <cell r="V440">
            <v>37880</v>
          </cell>
          <cell r="W440">
            <v>0.33333333333333331</v>
          </cell>
          <cell r="X440">
            <v>0.37500000000242528</v>
          </cell>
          <cell r="Y440">
            <v>0.37500000000242528</v>
          </cell>
          <cell r="AB440">
            <v>9</v>
          </cell>
          <cell r="AC440">
            <v>8</v>
          </cell>
          <cell r="AD440">
            <v>0</v>
          </cell>
          <cell r="BF440">
            <v>0</v>
          </cell>
          <cell r="BG440">
            <v>0</v>
          </cell>
          <cell r="BH440">
            <v>0</v>
          </cell>
          <cell r="BI440">
            <v>0</v>
          </cell>
          <cell r="BJ440">
            <v>0</v>
          </cell>
          <cell r="BK440">
            <v>0</v>
          </cell>
          <cell r="BL440">
            <v>0</v>
          </cell>
          <cell r="BM440">
            <v>0</v>
          </cell>
          <cell r="BN440">
            <v>9</v>
          </cell>
          <cell r="BO440">
            <v>0</v>
          </cell>
          <cell r="BP440">
            <v>0</v>
          </cell>
          <cell r="BQ440">
            <v>0</v>
          </cell>
          <cell r="BR440">
            <v>0</v>
          </cell>
          <cell r="BS440">
            <v>0</v>
          </cell>
          <cell r="BT440">
            <v>0</v>
          </cell>
          <cell r="BU440">
            <v>0</v>
          </cell>
          <cell r="BV440">
            <v>0</v>
          </cell>
          <cell r="BW440">
            <v>0</v>
          </cell>
          <cell r="BX440">
            <v>0</v>
          </cell>
          <cell r="BY440">
            <v>0</v>
          </cell>
          <cell r="BZ440">
            <v>0</v>
          </cell>
          <cell r="CA440">
            <v>0</v>
          </cell>
          <cell r="CB440">
            <v>0</v>
          </cell>
          <cell r="CC440">
            <v>0</v>
          </cell>
          <cell r="CD440">
            <v>0</v>
          </cell>
        </row>
        <row r="441">
          <cell r="C441">
            <v>37858</v>
          </cell>
          <cell r="D441">
            <v>37900</v>
          </cell>
          <cell r="E441">
            <v>37873</v>
          </cell>
          <cell r="F441">
            <v>0.47916666666666669</v>
          </cell>
          <cell r="G441" t="str">
            <v>Linha de Pintura 15m</v>
          </cell>
          <cell r="H441" t="str">
            <v>Falha na agulha da pistola líquida</v>
          </cell>
          <cell r="I441" t="str">
            <v>Corretiva</v>
          </cell>
          <cell r="J441" t="str">
            <v>Não</v>
          </cell>
          <cell r="K441" t="str">
            <v>Mecânica</v>
          </cell>
          <cell r="L441" t="str">
            <v>Limpeza e troca do Kit de Reparo</v>
          </cell>
          <cell r="M441" t="str">
            <v>Desgaste / Fadiga</v>
          </cell>
          <cell r="N441">
            <v>37888</v>
          </cell>
          <cell r="O441">
            <v>0.25</v>
          </cell>
          <cell r="P441">
            <v>37888</v>
          </cell>
          <cell r="Q441">
            <v>0.25</v>
          </cell>
          <cell r="T441">
            <v>37888</v>
          </cell>
          <cell r="U441">
            <v>0.5</v>
          </cell>
          <cell r="V441">
            <v>37888</v>
          </cell>
          <cell r="W441">
            <v>0.5</v>
          </cell>
          <cell r="X441">
            <v>0.25</v>
          </cell>
          <cell r="Y441">
            <v>0.25</v>
          </cell>
          <cell r="AB441">
            <v>9</v>
          </cell>
          <cell r="AC441">
            <v>8</v>
          </cell>
          <cell r="AD441">
            <v>0</v>
          </cell>
          <cell r="BF441">
            <v>0</v>
          </cell>
          <cell r="BG441">
            <v>0</v>
          </cell>
          <cell r="BH441">
            <v>0</v>
          </cell>
          <cell r="BI441">
            <v>0</v>
          </cell>
          <cell r="BJ441">
            <v>0</v>
          </cell>
          <cell r="BK441">
            <v>0</v>
          </cell>
          <cell r="BL441">
            <v>0</v>
          </cell>
          <cell r="BM441">
            <v>0</v>
          </cell>
          <cell r="BN441">
            <v>9</v>
          </cell>
          <cell r="BO441">
            <v>0</v>
          </cell>
          <cell r="BP441">
            <v>0</v>
          </cell>
          <cell r="BQ441">
            <v>0</v>
          </cell>
          <cell r="BR441">
            <v>0</v>
          </cell>
          <cell r="BS441">
            <v>0</v>
          </cell>
          <cell r="BT441">
            <v>0</v>
          </cell>
          <cell r="BU441">
            <v>0</v>
          </cell>
          <cell r="BV441">
            <v>0</v>
          </cell>
          <cell r="BW441">
            <v>0</v>
          </cell>
          <cell r="BX441">
            <v>0</v>
          </cell>
          <cell r="BY441">
            <v>0</v>
          </cell>
          <cell r="BZ441">
            <v>0</v>
          </cell>
          <cell r="CA441">
            <v>0</v>
          </cell>
          <cell r="CB441">
            <v>0</v>
          </cell>
          <cell r="CC441">
            <v>0</v>
          </cell>
          <cell r="CD441">
            <v>0</v>
          </cell>
        </row>
        <row r="442">
          <cell r="C442">
            <v>37858</v>
          </cell>
          <cell r="D442">
            <v>37900</v>
          </cell>
          <cell r="E442">
            <v>37889</v>
          </cell>
          <cell r="F442">
            <v>0.39583333333333331</v>
          </cell>
          <cell r="G442" t="str">
            <v>Linha de Pintura 15m</v>
          </cell>
          <cell r="H442" t="str">
            <v>Anomalia no variador VI</v>
          </cell>
          <cell r="I442" t="str">
            <v>Corretiva</v>
          </cell>
          <cell r="J442" t="str">
            <v>Sim</v>
          </cell>
          <cell r="K442" t="str">
            <v>Mecânica</v>
          </cell>
          <cell r="L442" t="str">
            <v>Reparo</v>
          </cell>
          <cell r="M442" t="str">
            <v>Falha de Comando / Sistema</v>
          </cell>
          <cell r="N442">
            <v>37889</v>
          </cell>
          <cell r="O442">
            <v>0.39583333333333331</v>
          </cell>
          <cell r="P442">
            <v>37889</v>
          </cell>
          <cell r="Q442">
            <v>0.39583333333333331</v>
          </cell>
          <cell r="T442">
            <v>37889</v>
          </cell>
          <cell r="U442">
            <v>0.40972222222222227</v>
          </cell>
          <cell r="V442">
            <v>37889</v>
          </cell>
          <cell r="W442">
            <v>0.40972222222222227</v>
          </cell>
          <cell r="X442">
            <v>1.3888888888888951E-2</v>
          </cell>
          <cell r="Y442">
            <v>1.3888888885655148E-2</v>
          </cell>
          <cell r="AB442">
            <v>9</v>
          </cell>
          <cell r="AC442">
            <v>8</v>
          </cell>
          <cell r="AD442">
            <v>0</v>
          </cell>
          <cell r="BF442">
            <v>0</v>
          </cell>
          <cell r="BG442">
            <v>0</v>
          </cell>
          <cell r="BH442">
            <v>0</v>
          </cell>
          <cell r="BI442">
            <v>0</v>
          </cell>
          <cell r="BJ442">
            <v>0</v>
          </cell>
          <cell r="BK442">
            <v>0</v>
          </cell>
          <cell r="BL442">
            <v>0</v>
          </cell>
          <cell r="BM442">
            <v>0</v>
          </cell>
          <cell r="BN442">
            <v>9</v>
          </cell>
          <cell r="BO442">
            <v>0</v>
          </cell>
          <cell r="BP442">
            <v>0</v>
          </cell>
          <cell r="BQ442">
            <v>0</v>
          </cell>
          <cell r="BR442">
            <v>0</v>
          </cell>
          <cell r="BS442">
            <v>0</v>
          </cell>
          <cell r="BT442">
            <v>0</v>
          </cell>
          <cell r="BU442">
            <v>0</v>
          </cell>
          <cell r="BV442">
            <v>0</v>
          </cell>
          <cell r="BW442">
            <v>0</v>
          </cell>
          <cell r="BX442">
            <v>0</v>
          </cell>
          <cell r="BY442">
            <v>0</v>
          </cell>
          <cell r="BZ442">
            <v>0</v>
          </cell>
          <cell r="CA442">
            <v>0</v>
          </cell>
          <cell r="CB442">
            <v>0</v>
          </cell>
          <cell r="CC442">
            <v>0</v>
          </cell>
          <cell r="CD442">
            <v>0</v>
          </cell>
        </row>
        <row r="443">
          <cell r="C443">
            <v>37858</v>
          </cell>
          <cell r="D443">
            <v>37918</v>
          </cell>
          <cell r="E443">
            <v>37908</v>
          </cell>
          <cell r="F443">
            <v>0.5</v>
          </cell>
          <cell r="G443" t="str">
            <v>Linha de Pintura 15m</v>
          </cell>
          <cell r="H443" t="str">
            <v>Problema no painel de regulagem de pó Nº 08</v>
          </cell>
          <cell r="I443" t="str">
            <v>Corretiva</v>
          </cell>
          <cell r="J443" t="str">
            <v>Sim</v>
          </cell>
          <cell r="K443" t="str">
            <v>Elétrica</v>
          </cell>
          <cell r="L443" t="str">
            <v>Substituição do(s) Componente(s)</v>
          </cell>
          <cell r="M443" t="str">
            <v>Desgaste / Fadiga</v>
          </cell>
          <cell r="N443">
            <v>37908</v>
          </cell>
          <cell r="O443">
            <v>0.5</v>
          </cell>
          <cell r="P443">
            <v>37908</v>
          </cell>
          <cell r="Q443">
            <v>0.5</v>
          </cell>
          <cell r="T443">
            <v>37908</v>
          </cell>
          <cell r="U443">
            <v>0.58333333333333337</v>
          </cell>
          <cell r="V443">
            <v>37908</v>
          </cell>
          <cell r="W443">
            <v>0.58333333333333337</v>
          </cell>
          <cell r="X443">
            <v>8.333333333333337E-2</v>
          </cell>
          <cell r="Y443">
            <v>8.3333333335758653E-2</v>
          </cell>
          <cell r="AB443">
            <v>10</v>
          </cell>
          <cell r="AC443">
            <v>8</v>
          </cell>
          <cell r="AD443">
            <v>0</v>
          </cell>
          <cell r="BF443">
            <v>0</v>
          </cell>
          <cell r="BG443">
            <v>0</v>
          </cell>
          <cell r="BH443">
            <v>0</v>
          </cell>
          <cell r="BI443">
            <v>0</v>
          </cell>
          <cell r="BJ443">
            <v>0</v>
          </cell>
          <cell r="BK443">
            <v>0</v>
          </cell>
          <cell r="BL443">
            <v>0</v>
          </cell>
          <cell r="BM443">
            <v>0</v>
          </cell>
          <cell r="BN443">
            <v>10</v>
          </cell>
          <cell r="BO443">
            <v>0</v>
          </cell>
          <cell r="BP443">
            <v>0</v>
          </cell>
          <cell r="BQ443">
            <v>0</v>
          </cell>
          <cell r="BR443">
            <v>0</v>
          </cell>
          <cell r="BS443">
            <v>0</v>
          </cell>
          <cell r="BT443">
            <v>0</v>
          </cell>
          <cell r="BU443">
            <v>0</v>
          </cell>
          <cell r="BV443">
            <v>0</v>
          </cell>
          <cell r="BW443">
            <v>0</v>
          </cell>
          <cell r="BX443">
            <v>0</v>
          </cell>
          <cell r="BY443">
            <v>0</v>
          </cell>
          <cell r="BZ443">
            <v>0</v>
          </cell>
          <cell r="CA443">
            <v>0</v>
          </cell>
          <cell r="CB443">
            <v>0</v>
          </cell>
          <cell r="CC443">
            <v>0</v>
          </cell>
          <cell r="CD443">
            <v>0</v>
          </cell>
        </row>
        <row r="444">
          <cell r="C444">
            <v>37858</v>
          </cell>
          <cell r="D444">
            <v>37928</v>
          </cell>
          <cell r="E444">
            <v>37911</v>
          </cell>
          <cell r="F444">
            <v>0.3125</v>
          </cell>
          <cell r="G444" t="str">
            <v>Linha de Pintura 15m</v>
          </cell>
          <cell r="H444" t="str">
            <v>Variador 01 de carga/descarga apresenta funcionamento inadequado</v>
          </cell>
          <cell r="I444" t="str">
            <v>Corretiva</v>
          </cell>
          <cell r="J444" t="str">
            <v>Sim</v>
          </cell>
          <cell r="K444" t="str">
            <v>Mecânica</v>
          </cell>
          <cell r="L444" t="str">
            <v>Reparo</v>
          </cell>
          <cell r="M444" t="str">
            <v>Travamento de Componente</v>
          </cell>
          <cell r="N444">
            <v>37911</v>
          </cell>
          <cell r="O444">
            <v>0.3611111111111111</v>
          </cell>
          <cell r="P444">
            <v>37911</v>
          </cell>
          <cell r="Q444">
            <v>0.3611111111111111</v>
          </cell>
          <cell r="T444">
            <v>37911</v>
          </cell>
          <cell r="U444">
            <v>0.3743055555555555</v>
          </cell>
          <cell r="V444">
            <v>37911</v>
          </cell>
          <cell r="W444">
            <v>0.3743055555555555</v>
          </cell>
          <cell r="X444">
            <v>1.3194444444444398E-2</v>
          </cell>
          <cell r="Y444">
            <v>1.3194444442180819E-2</v>
          </cell>
          <cell r="AB444">
            <v>10</v>
          </cell>
          <cell r="AC444">
            <v>8</v>
          </cell>
          <cell r="AD444">
            <v>0</v>
          </cell>
          <cell r="BF444">
            <v>0</v>
          </cell>
          <cell r="BG444">
            <v>0</v>
          </cell>
          <cell r="BH444">
            <v>0</v>
          </cell>
          <cell r="BI444">
            <v>0</v>
          </cell>
          <cell r="BJ444">
            <v>0</v>
          </cell>
          <cell r="BK444">
            <v>0</v>
          </cell>
          <cell r="BL444">
            <v>0</v>
          </cell>
          <cell r="BM444">
            <v>0</v>
          </cell>
          <cell r="BN444">
            <v>10</v>
          </cell>
          <cell r="BO444">
            <v>0</v>
          </cell>
          <cell r="BP444">
            <v>0</v>
          </cell>
          <cell r="BQ444">
            <v>0</v>
          </cell>
          <cell r="BR444">
            <v>0</v>
          </cell>
          <cell r="BS444">
            <v>0</v>
          </cell>
          <cell r="BT444">
            <v>0</v>
          </cell>
          <cell r="BU444">
            <v>0</v>
          </cell>
          <cell r="BV444">
            <v>0</v>
          </cell>
          <cell r="BW444">
            <v>0</v>
          </cell>
          <cell r="BX444">
            <v>0</v>
          </cell>
          <cell r="BY444">
            <v>0</v>
          </cell>
          <cell r="BZ444">
            <v>0</v>
          </cell>
          <cell r="CA444">
            <v>0</v>
          </cell>
          <cell r="CB444">
            <v>0</v>
          </cell>
          <cell r="CC444">
            <v>0</v>
          </cell>
          <cell r="CD444">
            <v>0</v>
          </cell>
        </row>
        <row r="445">
          <cell r="C445">
            <v>37858</v>
          </cell>
          <cell r="D445">
            <v>37928</v>
          </cell>
          <cell r="E445">
            <v>37909</v>
          </cell>
          <cell r="F445">
            <v>0.52083333333333337</v>
          </cell>
          <cell r="G445" t="str">
            <v>Linha de Pintura 15m</v>
          </cell>
          <cell r="H445" t="str">
            <v>Problema no parô do "Stock 05"</v>
          </cell>
          <cell r="I445" t="str">
            <v>Corretiva</v>
          </cell>
          <cell r="J445" t="str">
            <v>Sim</v>
          </cell>
          <cell r="K445" t="str">
            <v>Mecânica</v>
          </cell>
          <cell r="L445" t="str">
            <v>Regulagem do Componente</v>
          </cell>
          <cell r="M445" t="str">
            <v>Travamento de Componente</v>
          </cell>
          <cell r="N445">
            <v>37909</v>
          </cell>
          <cell r="O445">
            <v>0.52083333333333337</v>
          </cell>
          <cell r="P445">
            <v>37909</v>
          </cell>
          <cell r="Q445">
            <v>0.52083333333333337</v>
          </cell>
          <cell r="T445">
            <v>37909</v>
          </cell>
          <cell r="U445">
            <v>0.60416666666666663</v>
          </cell>
          <cell r="V445">
            <v>37909</v>
          </cell>
          <cell r="W445">
            <v>0.60416666666666663</v>
          </cell>
          <cell r="X445">
            <v>8.3333333333333259E-2</v>
          </cell>
          <cell r="Y445">
            <v>8.3333333330907977E-2</v>
          </cell>
          <cell r="AB445">
            <v>10</v>
          </cell>
          <cell r="AC445">
            <v>8</v>
          </cell>
          <cell r="AD445">
            <v>0</v>
          </cell>
          <cell r="BF445">
            <v>0</v>
          </cell>
          <cell r="BG445">
            <v>0</v>
          </cell>
          <cell r="BH445">
            <v>0</v>
          </cell>
          <cell r="BI445">
            <v>0</v>
          </cell>
          <cell r="BJ445">
            <v>0</v>
          </cell>
          <cell r="BK445">
            <v>0</v>
          </cell>
          <cell r="BL445">
            <v>0</v>
          </cell>
          <cell r="BM445">
            <v>0</v>
          </cell>
          <cell r="BN445">
            <v>10</v>
          </cell>
          <cell r="BO445">
            <v>0</v>
          </cell>
          <cell r="BP445">
            <v>0</v>
          </cell>
          <cell r="BQ445">
            <v>0</v>
          </cell>
          <cell r="BR445">
            <v>0</v>
          </cell>
          <cell r="BS445">
            <v>0</v>
          </cell>
          <cell r="BT445">
            <v>0</v>
          </cell>
          <cell r="BU445">
            <v>0</v>
          </cell>
          <cell r="BV445">
            <v>0</v>
          </cell>
          <cell r="BW445">
            <v>0</v>
          </cell>
          <cell r="BX445">
            <v>0</v>
          </cell>
          <cell r="BY445">
            <v>0</v>
          </cell>
          <cell r="BZ445">
            <v>0</v>
          </cell>
          <cell r="CA445">
            <v>0</v>
          </cell>
          <cell r="CB445">
            <v>0</v>
          </cell>
          <cell r="CC445">
            <v>0</v>
          </cell>
          <cell r="CD445">
            <v>0</v>
          </cell>
        </row>
        <row r="446">
          <cell r="C446">
            <v>37858</v>
          </cell>
          <cell r="D446">
            <v>37928</v>
          </cell>
          <cell r="E446">
            <v>37917</v>
          </cell>
          <cell r="F446">
            <v>0.58333333333333337</v>
          </cell>
          <cell r="G446" t="str">
            <v>Linha de Pintura 15m</v>
          </cell>
          <cell r="H446" t="str">
            <v>Abraçadeira do braço da pistola está quebrada</v>
          </cell>
          <cell r="I446" t="str">
            <v>Corretiva</v>
          </cell>
          <cell r="J446" t="str">
            <v>Não</v>
          </cell>
          <cell r="K446" t="str">
            <v>Mecânica</v>
          </cell>
          <cell r="L446" t="str">
            <v>Substituição do(s) Componente(s)</v>
          </cell>
          <cell r="M446" t="str">
            <v>Desgaste / Fadiga</v>
          </cell>
          <cell r="N446">
            <v>37917</v>
          </cell>
          <cell r="O446">
            <v>0.58333333333333337</v>
          </cell>
          <cell r="P446">
            <v>37917</v>
          </cell>
          <cell r="Q446">
            <v>0.58333333333333337</v>
          </cell>
          <cell r="T446">
            <v>37917</v>
          </cell>
          <cell r="U446">
            <v>0.60416666666666663</v>
          </cell>
          <cell r="V446">
            <v>37917</v>
          </cell>
          <cell r="W446">
            <v>0.60416666666666663</v>
          </cell>
          <cell r="X446">
            <v>2.0833333330907977E-2</v>
          </cell>
          <cell r="Y446">
            <v>2.0833333330907977E-2</v>
          </cell>
          <cell r="AB446">
            <v>10</v>
          </cell>
          <cell r="AC446">
            <v>8</v>
          </cell>
          <cell r="AD446">
            <v>0</v>
          </cell>
          <cell r="BF446">
            <v>0</v>
          </cell>
          <cell r="BG446">
            <v>0</v>
          </cell>
          <cell r="BH446">
            <v>0</v>
          </cell>
          <cell r="BI446">
            <v>0</v>
          </cell>
          <cell r="BJ446">
            <v>0</v>
          </cell>
          <cell r="BK446">
            <v>0</v>
          </cell>
          <cell r="BL446">
            <v>0</v>
          </cell>
          <cell r="BM446">
            <v>0</v>
          </cell>
          <cell r="BN446">
            <v>10</v>
          </cell>
          <cell r="BO446">
            <v>0</v>
          </cell>
          <cell r="BP446">
            <v>0</v>
          </cell>
          <cell r="BQ446">
            <v>0</v>
          </cell>
          <cell r="BR446">
            <v>0</v>
          </cell>
          <cell r="BS446">
            <v>0</v>
          </cell>
          <cell r="BT446">
            <v>0</v>
          </cell>
          <cell r="BU446">
            <v>0</v>
          </cell>
          <cell r="BV446">
            <v>0</v>
          </cell>
          <cell r="BW446">
            <v>0</v>
          </cell>
          <cell r="BX446">
            <v>0</v>
          </cell>
          <cell r="BY446">
            <v>0</v>
          </cell>
          <cell r="BZ446">
            <v>0</v>
          </cell>
          <cell r="CA446">
            <v>0</v>
          </cell>
          <cell r="CB446">
            <v>0</v>
          </cell>
          <cell r="CC446">
            <v>0</v>
          </cell>
          <cell r="CD446">
            <v>0</v>
          </cell>
        </row>
        <row r="447">
          <cell r="C447">
            <v>37858</v>
          </cell>
          <cell r="D447">
            <v>37970</v>
          </cell>
          <cell r="E447">
            <v>37925</v>
          </cell>
          <cell r="F447">
            <v>37925</v>
          </cell>
          <cell r="G447">
            <v>0.25</v>
          </cell>
          <cell r="H447" t="str">
            <v>03 Fusíveis do painel da cabine estão queimados</v>
          </cell>
          <cell r="I447">
            <v>0</v>
          </cell>
          <cell r="J447" t="str">
            <v>Sim</v>
          </cell>
          <cell r="K447" t="str">
            <v>Elétrica</v>
          </cell>
          <cell r="L447" t="str">
            <v>Sim</v>
          </cell>
          <cell r="M447" t="str">
            <v>Sobrecarga</v>
          </cell>
          <cell r="N447">
            <v>37925</v>
          </cell>
          <cell r="O447">
            <v>0.29166666666666669</v>
          </cell>
          <cell r="P447">
            <v>37925</v>
          </cell>
          <cell r="Q447">
            <v>0.29166666666666669</v>
          </cell>
          <cell r="T447">
            <v>37925</v>
          </cell>
          <cell r="U447">
            <v>0.30208333333333331</v>
          </cell>
          <cell r="V447">
            <v>37925</v>
          </cell>
          <cell r="W447">
            <v>0.30208333333333331</v>
          </cell>
          <cell r="X447">
            <v>1.041666666666663E-2</v>
          </cell>
          <cell r="Y447">
            <v>1.0416666669091967E-2</v>
          </cell>
          <cell r="AB447">
            <v>10</v>
          </cell>
          <cell r="AC447">
            <v>8</v>
          </cell>
          <cell r="AD447">
            <v>0</v>
          </cell>
          <cell r="BF447">
            <v>0</v>
          </cell>
          <cell r="BG447">
            <v>0</v>
          </cell>
          <cell r="BH447">
            <v>0</v>
          </cell>
          <cell r="BI447">
            <v>0</v>
          </cell>
          <cell r="BJ447">
            <v>0</v>
          </cell>
          <cell r="BK447">
            <v>0</v>
          </cell>
          <cell r="BL447">
            <v>0</v>
          </cell>
          <cell r="BM447">
            <v>0</v>
          </cell>
          <cell r="BN447">
            <v>10</v>
          </cell>
          <cell r="BO447">
            <v>0</v>
          </cell>
          <cell r="BP447">
            <v>0</v>
          </cell>
          <cell r="BQ447">
            <v>0</v>
          </cell>
          <cell r="BR447">
            <v>0</v>
          </cell>
          <cell r="BS447">
            <v>0</v>
          </cell>
          <cell r="BT447">
            <v>0</v>
          </cell>
          <cell r="BU447">
            <v>0</v>
          </cell>
          <cell r="BV447">
            <v>0</v>
          </cell>
          <cell r="BW447">
            <v>0</v>
          </cell>
          <cell r="BX447">
            <v>0</v>
          </cell>
          <cell r="BY447">
            <v>0</v>
          </cell>
          <cell r="BZ447">
            <v>0</v>
          </cell>
          <cell r="CA447">
            <v>0</v>
          </cell>
          <cell r="CB447">
            <v>0</v>
          </cell>
          <cell r="CC447">
            <v>0</v>
          </cell>
          <cell r="CD447">
            <v>0</v>
          </cell>
        </row>
        <row r="448">
          <cell r="C448">
            <v>37858</v>
          </cell>
          <cell r="D448">
            <v>37970</v>
          </cell>
          <cell r="E448">
            <v>37935</v>
          </cell>
          <cell r="F448">
            <v>37935</v>
          </cell>
          <cell r="G448">
            <v>0.3888888888888889</v>
          </cell>
          <cell r="H448" t="str">
            <v>Anomalia no variador VI</v>
          </cell>
          <cell r="I448">
            <v>0</v>
          </cell>
          <cell r="J448" t="str">
            <v>Sim</v>
          </cell>
          <cell r="K448" t="str">
            <v>Mecânica</v>
          </cell>
          <cell r="L448" t="str">
            <v>Sim</v>
          </cell>
          <cell r="M448" t="str">
            <v>Falha Operacional</v>
          </cell>
          <cell r="N448">
            <v>37935</v>
          </cell>
          <cell r="O448">
            <v>0.41666666666666669</v>
          </cell>
          <cell r="P448">
            <v>37935</v>
          </cell>
          <cell r="Q448">
            <v>0.41666666666666669</v>
          </cell>
          <cell r="T448">
            <v>37935</v>
          </cell>
          <cell r="U448">
            <v>0.70833333333333337</v>
          </cell>
          <cell r="V448">
            <v>37935</v>
          </cell>
          <cell r="W448">
            <v>0.70833333333333337</v>
          </cell>
          <cell r="X448">
            <v>0.29166666666666669</v>
          </cell>
          <cell r="Y448">
            <v>0.29166666666909197</v>
          </cell>
          <cell r="AB448">
            <v>11</v>
          </cell>
          <cell r="AC448">
            <v>8</v>
          </cell>
          <cell r="AD448">
            <v>0</v>
          </cell>
          <cell r="BF448">
            <v>0</v>
          </cell>
          <cell r="BG448">
            <v>0</v>
          </cell>
          <cell r="BH448">
            <v>0</v>
          </cell>
          <cell r="BI448">
            <v>0</v>
          </cell>
          <cell r="BJ448">
            <v>0</v>
          </cell>
          <cell r="BK448">
            <v>0</v>
          </cell>
          <cell r="BL448">
            <v>0</v>
          </cell>
          <cell r="BM448">
            <v>0</v>
          </cell>
          <cell r="BN448">
            <v>11</v>
          </cell>
          <cell r="BO448">
            <v>0</v>
          </cell>
          <cell r="BP448">
            <v>0</v>
          </cell>
          <cell r="BQ448">
            <v>0</v>
          </cell>
          <cell r="BR448">
            <v>0</v>
          </cell>
          <cell r="BS448">
            <v>0</v>
          </cell>
          <cell r="BT448">
            <v>0</v>
          </cell>
          <cell r="BU448">
            <v>0</v>
          </cell>
          <cell r="BV448">
            <v>0</v>
          </cell>
          <cell r="BW448">
            <v>0</v>
          </cell>
          <cell r="BX448">
            <v>0</v>
          </cell>
          <cell r="BY448">
            <v>0</v>
          </cell>
          <cell r="BZ448">
            <v>0</v>
          </cell>
          <cell r="CA448">
            <v>0</v>
          </cell>
          <cell r="CB448">
            <v>0</v>
          </cell>
          <cell r="CC448">
            <v>0</v>
          </cell>
          <cell r="CD448">
            <v>0</v>
          </cell>
        </row>
        <row r="449">
          <cell r="C449">
            <v>37858</v>
          </cell>
          <cell r="D449">
            <v>37970</v>
          </cell>
          <cell r="E449">
            <v>37937</v>
          </cell>
          <cell r="F449">
            <v>37937</v>
          </cell>
          <cell r="G449">
            <v>0.45833333333333331</v>
          </cell>
          <cell r="H449" t="str">
            <v>Sobrecarga no Motor de ventilação 02</v>
          </cell>
          <cell r="I449">
            <v>0</v>
          </cell>
          <cell r="J449" t="str">
            <v>Sim</v>
          </cell>
          <cell r="K449" t="str">
            <v>Elétrica</v>
          </cell>
          <cell r="L449" t="str">
            <v>Sim</v>
          </cell>
          <cell r="M449" t="str">
            <v>Mau contato</v>
          </cell>
          <cell r="N449">
            <v>37937</v>
          </cell>
          <cell r="O449">
            <v>0.45833333333333331</v>
          </cell>
          <cell r="P449">
            <v>37937</v>
          </cell>
          <cell r="Q449">
            <v>0.45833333333333331</v>
          </cell>
          <cell r="T449">
            <v>37937</v>
          </cell>
          <cell r="U449">
            <v>0.5</v>
          </cell>
          <cell r="V449">
            <v>37937</v>
          </cell>
          <cell r="W449">
            <v>0.5</v>
          </cell>
          <cell r="X449">
            <v>4.1666666666666685E-2</v>
          </cell>
          <cell r="Y449">
            <v>4.1666666666666685E-2</v>
          </cell>
          <cell r="AB449">
            <v>11</v>
          </cell>
          <cell r="AC449">
            <v>8</v>
          </cell>
          <cell r="AD449">
            <v>0</v>
          </cell>
          <cell r="BF449">
            <v>0</v>
          </cell>
          <cell r="BG449">
            <v>0</v>
          </cell>
          <cell r="BH449">
            <v>0</v>
          </cell>
          <cell r="BI449">
            <v>0</v>
          </cell>
          <cell r="BJ449">
            <v>0</v>
          </cell>
          <cell r="BK449">
            <v>0</v>
          </cell>
          <cell r="BL449">
            <v>0</v>
          </cell>
          <cell r="BM449">
            <v>0</v>
          </cell>
          <cell r="BN449">
            <v>11</v>
          </cell>
          <cell r="BO449">
            <v>0</v>
          </cell>
          <cell r="BP449">
            <v>0</v>
          </cell>
          <cell r="BQ449">
            <v>0</v>
          </cell>
          <cell r="BR449">
            <v>0</v>
          </cell>
          <cell r="BS449">
            <v>0</v>
          </cell>
          <cell r="BT449">
            <v>0</v>
          </cell>
          <cell r="BU449">
            <v>0</v>
          </cell>
          <cell r="BV449">
            <v>0</v>
          </cell>
          <cell r="BW449">
            <v>0</v>
          </cell>
          <cell r="BX449">
            <v>0</v>
          </cell>
          <cell r="BY449">
            <v>0</v>
          </cell>
          <cell r="BZ449">
            <v>0</v>
          </cell>
          <cell r="CA449">
            <v>0</v>
          </cell>
          <cell r="CB449">
            <v>0</v>
          </cell>
          <cell r="CC449">
            <v>0</v>
          </cell>
          <cell r="CD449">
            <v>0</v>
          </cell>
        </row>
        <row r="450">
          <cell r="C450">
            <v>37858</v>
          </cell>
          <cell r="D450">
            <v>37970</v>
          </cell>
          <cell r="E450">
            <v>37938</v>
          </cell>
          <cell r="F450">
            <v>37938</v>
          </cell>
          <cell r="G450">
            <v>0.4465277777777778</v>
          </cell>
          <cell r="H450" t="str">
            <v>Anomalia no variador VI</v>
          </cell>
          <cell r="I450">
            <v>0</v>
          </cell>
          <cell r="J450" t="str">
            <v>Sim</v>
          </cell>
          <cell r="K450" t="str">
            <v>Mecânica</v>
          </cell>
          <cell r="L450" t="str">
            <v>sim</v>
          </cell>
          <cell r="M450" t="str">
            <v>Falha de Comando / Sistema</v>
          </cell>
          <cell r="N450">
            <v>37938</v>
          </cell>
          <cell r="O450">
            <v>0.4513888888888889</v>
          </cell>
          <cell r="P450">
            <v>37938</v>
          </cell>
          <cell r="Q450">
            <v>0.4513888888888889</v>
          </cell>
          <cell r="T450">
            <v>37938</v>
          </cell>
          <cell r="U450">
            <v>0.46875</v>
          </cell>
          <cell r="V450">
            <v>37938</v>
          </cell>
          <cell r="W450">
            <v>0.46875</v>
          </cell>
          <cell r="X450">
            <v>1.7361111111111105E-2</v>
          </cell>
          <cell r="Y450">
            <v>1.7361111111111105E-2</v>
          </cell>
          <cell r="AB450">
            <v>11</v>
          </cell>
          <cell r="AC450">
            <v>8</v>
          </cell>
          <cell r="AD450">
            <v>0</v>
          </cell>
          <cell r="BF450">
            <v>0</v>
          </cell>
          <cell r="BG450">
            <v>0</v>
          </cell>
          <cell r="BH450">
            <v>0</v>
          </cell>
          <cell r="BI450">
            <v>0</v>
          </cell>
          <cell r="BJ450">
            <v>0</v>
          </cell>
          <cell r="BK450">
            <v>0</v>
          </cell>
          <cell r="BL450">
            <v>0</v>
          </cell>
          <cell r="BM450">
            <v>0</v>
          </cell>
          <cell r="BN450">
            <v>11</v>
          </cell>
          <cell r="BO450">
            <v>0</v>
          </cell>
          <cell r="BP450">
            <v>0</v>
          </cell>
          <cell r="BQ450">
            <v>0</v>
          </cell>
          <cell r="BR450">
            <v>0</v>
          </cell>
          <cell r="BS450">
            <v>0</v>
          </cell>
          <cell r="BT450">
            <v>0</v>
          </cell>
          <cell r="BU450">
            <v>0</v>
          </cell>
          <cell r="BV450">
            <v>0</v>
          </cell>
          <cell r="BW450">
            <v>0</v>
          </cell>
          <cell r="BX450">
            <v>0</v>
          </cell>
          <cell r="BY450">
            <v>0</v>
          </cell>
          <cell r="BZ450">
            <v>0</v>
          </cell>
          <cell r="CA450">
            <v>0</v>
          </cell>
          <cell r="CB450">
            <v>0</v>
          </cell>
          <cell r="CC450">
            <v>0</v>
          </cell>
          <cell r="CD450">
            <v>0</v>
          </cell>
        </row>
        <row r="451">
          <cell r="C451">
            <v>37858</v>
          </cell>
          <cell r="D451">
            <v>37970</v>
          </cell>
          <cell r="E451">
            <v>37937</v>
          </cell>
          <cell r="F451">
            <v>37937</v>
          </cell>
          <cell r="G451">
            <v>0.41666666666666669</v>
          </cell>
          <cell r="H451" t="str">
            <v>Problema nos conectores da mangueira de ar, pistola e máquina de embalagem</v>
          </cell>
          <cell r="I451">
            <v>0</v>
          </cell>
          <cell r="J451" t="str">
            <v>Não</v>
          </cell>
          <cell r="K451" t="str">
            <v>Mecânica</v>
          </cell>
          <cell r="L451" t="str">
            <v>Não</v>
          </cell>
          <cell r="M451" t="str">
            <v>Desgaste / Fadiga</v>
          </cell>
          <cell r="N451">
            <v>37937</v>
          </cell>
          <cell r="O451">
            <v>0.4236111111111111</v>
          </cell>
          <cell r="P451">
            <v>37937</v>
          </cell>
          <cell r="Q451">
            <v>0.4236111111111111</v>
          </cell>
          <cell r="T451">
            <v>37937</v>
          </cell>
          <cell r="U451">
            <v>0.44444444444444442</v>
          </cell>
          <cell r="V451">
            <v>37937</v>
          </cell>
          <cell r="W451">
            <v>0.44444444444444442</v>
          </cell>
          <cell r="X451">
            <v>2.0833333334141779E-2</v>
          </cell>
          <cell r="Y451">
            <v>2.0833333334141779E-2</v>
          </cell>
          <cell r="AB451">
            <v>11</v>
          </cell>
          <cell r="AC451">
            <v>8</v>
          </cell>
          <cell r="AD451">
            <v>0</v>
          </cell>
          <cell r="BF451">
            <v>0</v>
          </cell>
          <cell r="BG451">
            <v>0</v>
          </cell>
          <cell r="BH451">
            <v>0</v>
          </cell>
          <cell r="BI451">
            <v>0</v>
          </cell>
          <cell r="BJ451">
            <v>0</v>
          </cell>
          <cell r="BK451">
            <v>0</v>
          </cell>
          <cell r="BL451">
            <v>0</v>
          </cell>
          <cell r="BM451">
            <v>0</v>
          </cell>
          <cell r="BN451">
            <v>11</v>
          </cell>
          <cell r="BO451">
            <v>0</v>
          </cell>
          <cell r="BP451">
            <v>0</v>
          </cell>
          <cell r="BQ451">
            <v>0</v>
          </cell>
          <cell r="BR451">
            <v>0</v>
          </cell>
          <cell r="BS451">
            <v>0</v>
          </cell>
          <cell r="BT451">
            <v>0</v>
          </cell>
          <cell r="BU451">
            <v>0</v>
          </cell>
          <cell r="BV451">
            <v>0</v>
          </cell>
          <cell r="BW451">
            <v>0</v>
          </cell>
          <cell r="BX451">
            <v>0</v>
          </cell>
          <cell r="BY451">
            <v>0</v>
          </cell>
          <cell r="BZ451">
            <v>0</v>
          </cell>
          <cell r="CA451">
            <v>0</v>
          </cell>
          <cell r="CB451">
            <v>0</v>
          </cell>
          <cell r="CC451">
            <v>0</v>
          </cell>
          <cell r="CD451">
            <v>0</v>
          </cell>
        </row>
        <row r="452">
          <cell r="C452">
            <v>37858</v>
          </cell>
          <cell r="D452">
            <v>37970</v>
          </cell>
          <cell r="E452">
            <v>37943</v>
          </cell>
          <cell r="F452">
            <v>0.33333333333333331</v>
          </cell>
          <cell r="G452" t="str">
            <v>Linha de Pintura 15m</v>
          </cell>
          <cell r="H452" t="str">
            <v>Painel Nº 02 de regulagem de pó está parado</v>
          </cell>
          <cell r="I452">
            <v>0</v>
          </cell>
          <cell r="J452" t="str">
            <v>Não</v>
          </cell>
          <cell r="K452" t="str">
            <v>Elétrica</v>
          </cell>
          <cell r="L452" t="str">
            <v>Substituição do(s) Componente(s)</v>
          </cell>
          <cell r="M452" t="str">
            <v>Curto-circuito</v>
          </cell>
          <cell r="N452">
            <v>37943</v>
          </cell>
          <cell r="O452">
            <v>0.33333333333333331</v>
          </cell>
          <cell r="P452">
            <v>0</v>
          </cell>
          <cell r="T452">
            <v>37943</v>
          </cell>
          <cell r="U452">
            <v>0.375</v>
          </cell>
          <cell r="V452">
            <v>0</v>
          </cell>
          <cell r="W452">
            <v>4.1666666666666685E-2</v>
          </cell>
          <cell r="X452">
            <v>0</v>
          </cell>
          <cell r="Y452">
            <v>0</v>
          </cell>
          <cell r="AB452">
            <v>11</v>
          </cell>
          <cell r="AC452">
            <v>8</v>
          </cell>
          <cell r="AD452">
            <v>0</v>
          </cell>
          <cell r="BF452">
            <v>0</v>
          </cell>
          <cell r="BG452">
            <v>0</v>
          </cell>
          <cell r="BH452">
            <v>0</v>
          </cell>
          <cell r="BI452">
            <v>0</v>
          </cell>
          <cell r="BJ452">
            <v>0</v>
          </cell>
          <cell r="BK452">
            <v>0</v>
          </cell>
          <cell r="BL452">
            <v>0</v>
          </cell>
          <cell r="BM452">
            <v>0</v>
          </cell>
          <cell r="BN452">
            <v>11</v>
          </cell>
          <cell r="BO452">
            <v>0</v>
          </cell>
          <cell r="BP452">
            <v>0</v>
          </cell>
          <cell r="BQ452">
            <v>0</v>
          </cell>
          <cell r="BR452">
            <v>0</v>
          </cell>
          <cell r="BS452">
            <v>0</v>
          </cell>
          <cell r="BT452">
            <v>0</v>
          </cell>
          <cell r="BU452">
            <v>0</v>
          </cell>
          <cell r="BV452">
            <v>0</v>
          </cell>
          <cell r="BW452">
            <v>0</v>
          </cell>
          <cell r="BX452">
            <v>0</v>
          </cell>
          <cell r="BY452">
            <v>0</v>
          </cell>
          <cell r="BZ452">
            <v>0</v>
          </cell>
          <cell r="CA452">
            <v>0</v>
          </cell>
          <cell r="CB452">
            <v>0</v>
          </cell>
          <cell r="CC452">
            <v>0</v>
          </cell>
          <cell r="CD452">
            <v>0</v>
          </cell>
        </row>
        <row r="453">
          <cell r="C453">
            <v>37858</v>
          </cell>
          <cell r="D453">
            <v>37970</v>
          </cell>
          <cell r="E453">
            <v>37947</v>
          </cell>
          <cell r="F453">
            <v>0.41666666666666669</v>
          </cell>
          <cell r="G453" t="str">
            <v>Linha de Pintura 15m</v>
          </cell>
          <cell r="H453" t="str">
            <v>Fusível do controle de regulagem de pó da pistola Nº 02 queimado</v>
          </cell>
          <cell r="I453">
            <v>0</v>
          </cell>
          <cell r="J453" t="str">
            <v>Não</v>
          </cell>
          <cell r="K453" t="str">
            <v>Elétrica</v>
          </cell>
          <cell r="L453" t="str">
            <v>Substituição do(s) Componente(s)</v>
          </cell>
          <cell r="M453" t="str">
            <v>Curto-circuito</v>
          </cell>
          <cell r="N453">
            <v>37947</v>
          </cell>
          <cell r="O453">
            <v>0.4236111111111111</v>
          </cell>
          <cell r="P453">
            <v>0</v>
          </cell>
          <cell r="T453">
            <v>37947</v>
          </cell>
          <cell r="U453">
            <v>0.46527777777777773</v>
          </cell>
          <cell r="V453">
            <v>0</v>
          </cell>
          <cell r="W453">
            <v>4.1666666669900432E-2</v>
          </cell>
          <cell r="X453">
            <v>0</v>
          </cell>
          <cell r="Y453">
            <v>0</v>
          </cell>
          <cell r="AB453">
            <v>11</v>
          </cell>
          <cell r="AC453">
            <v>8</v>
          </cell>
          <cell r="AD453">
            <v>0</v>
          </cell>
          <cell r="BF453">
            <v>0</v>
          </cell>
          <cell r="BG453">
            <v>0</v>
          </cell>
          <cell r="BH453">
            <v>0</v>
          </cell>
          <cell r="BI453">
            <v>0</v>
          </cell>
          <cell r="BJ453">
            <v>0</v>
          </cell>
          <cell r="BK453">
            <v>0</v>
          </cell>
          <cell r="BL453">
            <v>0</v>
          </cell>
          <cell r="BM453">
            <v>0</v>
          </cell>
          <cell r="BN453">
            <v>11</v>
          </cell>
          <cell r="BO453">
            <v>0</v>
          </cell>
          <cell r="BP453">
            <v>0</v>
          </cell>
          <cell r="BQ453">
            <v>0</v>
          </cell>
          <cell r="BR453">
            <v>0</v>
          </cell>
          <cell r="BS453">
            <v>0</v>
          </cell>
          <cell r="BT453">
            <v>0</v>
          </cell>
          <cell r="BU453">
            <v>0</v>
          </cell>
          <cell r="BV453">
            <v>0</v>
          </cell>
          <cell r="BW453">
            <v>0</v>
          </cell>
          <cell r="BX453">
            <v>0</v>
          </cell>
          <cell r="BY453">
            <v>0</v>
          </cell>
          <cell r="BZ453">
            <v>0</v>
          </cell>
          <cell r="CA453">
            <v>0</v>
          </cell>
          <cell r="CB453">
            <v>0</v>
          </cell>
          <cell r="CC453">
            <v>0</v>
          </cell>
          <cell r="CD453">
            <v>0</v>
          </cell>
        </row>
        <row r="454">
          <cell r="C454">
            <v>37858</v>
          </cell>
          <cell r="D454">
            <v>37977</v>
          </cell>
          <cell r="E454">
            <v>37949</v>
          </cell>
          <cell r="F454">
            <v>0.36458333333333331</v>
          </cell>
          <cell r="G454" t="str">
            <v>Linha de Pintura 15m</v>
          </cell>
          <cell r="H454" t="str">
            <v>Painel Nº 02 de regulagem de pó está parado</v>
          </cell>
          <cell r="I454">
            <v>0</v>
          </cell>
          <cell r="J454" t="str">
            <v>Não</v>
          </cell>
          <cell r="K454" t="str">
            <v>Elétrica</v>
          </cell>
          <cell r="L454" t="str">
            <v>Substituição do(s) Componente(s)</v>
          </cell>
          <cell r="M454" t="str">
            <v>Curto-circuito</v>
          </cell>
          <cell r="N454">
            <v>37949</v>
          </cell>
          <cell r="O454">
            <v>0.36458333333333331</v>
          </cell>
          <cell r="P454">
            <v>0</v>
          </cell>
          <cell r="T454">
            <v>37949</v>
          </cell>
          <cell r="U454">
            <v>0.39583333333333331</v>
          </cell>
          <cell r="V454">
            <v>0</v>
          </cell>
          <cell r="W454">
            <v>3.1250000002425338E-2</v>
          </cell>
          <cell r="X454">
            <v>0</v>
          </cell>
          <cell r="Y454">
            <v>0</v>
          </cell>
          <cell r="AB454">
            <v>11</v>
          </cell>
          <cell r="AC454">
            <v>8</v>
          </cell>
          <cell r="AD454">
            <v>0</v>
          </cell>
          <cell r="BF454">
            <v>0</v>
          </cell>
          <cell r="BG454">
            <v>0</v>
          </cell>
          <cell r="BH454">
            <v>0</v>
          </cell>
          <cell r="BI454">
            <v>0</v>
          </cell>
          <cell r="BJ454">
            <v>0</v>
          </cell>
          <cell r="BK454">
            <v>0</v>
          </cell>
          <cell r="BL454">
            <v>0</v>
          </cell>
          <cell r="BM454">
            <v>0</v>
          </cell>
          <cell r="BN454">
            <v>11</v>
          </cell>
          <cell r="BO454">
            <v>0</v>
          </cell>
          <cell r="BP454">
            <v>0</v>
          </cell>
          <cell r="BQ454">
            <v>0</v>
          </cell>
          <cell r="BR454">
            <v>0</v>
          </cell>
          <cell r="BS454">
            <v>0</v>
          </cell>
          <cell r="BT454">
            <v>0</v>
          </cell>
          <cell r="BU454">
            <v>0</v>
          </cell>
          <cell r="BV454">
            <v>0</v>
          </cell>
          <cell r="BW454">
            <v>0</v>
          </cell>
          <cell r="BX454">
            <v>0</v>
          </cell>
          <cell r="BY454">
            <v>0</v>
          </cell>
          <cell r="BZ454">
            <v>0</v>
          </cell>
          <cell r="CA454">
            <v>0</v>
          </cell>
          <cell r="CB454">
            <v>0</v>
          </cell>
          <cell r="CC454">
            <v>0</v>
          </cell>
          <cell r="CD454">
            <v>0</v>
          </cell>
        </row>
        <row r="455">
          <cell r="C455">
            <v>37858</v>
          </cell>
          <cell r="E455">
            <v>37951</v>
          </cell>
          <cell r="F455">
            <v>37951</v>
          </cell>
          <cell r="G455">
            <v>0.70138888888888884</v>
          </cell>
          <cell r="H455" t="str">
            <v>Engate rápido do recuperador de pó quebrado</v>
          </cell>
          <cell r="I455">
            <v>0</v>
          </cell>
          <cell r="J455" t="str">
            <v>Sim</v>
          </cell>
          <cell r="K455" t="str">
            <v>Mecânica</v>
          </cell>
          <cell r="L455" t="str">
            <v>sim</v>
          </cell>
          <cell r="M455" t="str">
            <v>Falha Operacional</v>
          </cell>
          <cell r="N455">
            <v>0</v>
          </cell>
          <cell r="P455">
            <v>0</v>
          </cell>
          <cell r="T455">
            <v>0</v>
          </cell>
          <cell r="V455">
            <v>0</v>
          </cell>
          <cell r="W455">
            <v>0</v>
          </cell>
          <cell r="X455">
            <v>0</v>
          </cell>
          <cell r="Y455">
            <v>0</v>
          </cell>
          <cell r="AB455">
            <v>0</v>
          </cell>
          <cell r="AC455">
            <v>8</v>
          </cell>
          <cell r="AD455">
            <v>0</v>
          </cell>
          <cell r="BF455">
            <v>0</v>
          </cell>
          <cell r="BG455">
            <v>0</v>
          </cell>
          <cell r="BH455">
            <v>0</v>
          </cell>
          <cell r="BI455">
            <v>0</v>
          </cell>
          <cell r="BJ455">
            <v>0</v>
          </cell>
          <cell r="BK455">
            <v>0</v>
          </cell>
          <cell r="BL455">
            <v>0</v>
          </cell>
          <cell r="BM455">
            <v>0</v>
          </cell>
          <cell r="BN455">
            <v>1</v>
          </cell>
          <cell r="BO455">
            <v>0</v>
          </cell>
          <cell r="BP455">
            <v>0</v>
          </cell>
          <cell r="BQ455">
            <v>0</v>
          </cell>
          <cell r="BR455">
            <v>0</v>
          </cell>
          <cell r="BS455">
            <v>0</v>
          </cell>
          <cell r="BT455">
            <v>0</v>
          </cell>
          <cell r="BU455">
            <v>0</v>
          </cell>
          <cell r="BV455">
            <v>0</v>
          </cell>
          <cell r="BW455">
            <v>0</v>
          </cell>
          <cell r="BX455">
            <v>0</v>
          </cell>
          <cell r="BY455">
            <v>0</v>
          </cell>
          <cell r="BZ455">
            <v>0</v>
          </cell>
          <cell r="CA455">
            <v>0</v>
          </cell>
          <cell r="CB455">
            <v>0</v>
          </cell>
          <cell r="CC455">
            <v>0</v>
          </cell>
          <cell r="CD455">
            <v>0</v>
          </cell>
        </row>
        <row r="456">
          <cell r="C456">
            <v>37858</v>
          </cell>
          <cell r="D456">
            <v>37970</v>
          </cell>
          <cell r="E456">
            <v>37952</v>
          </cell>
          <cell r="F456">
            <v>0.48958333333333331</v>
          </cell>
          <cell r="G456" t="str">
            <v>Linha de Pintura 15m</v>
          </cell>
          <cell r="H456" t="str">
            <v>Sobrecarga no motor Nº 02</v>
          </cell>
          <cell r="I456">
            <v>0</v>
          </cell>
          <cell r="J456" t="str">
            <v>Sim</v>
          </cell>
          <cell r="K456" t="str">
            <v>Elétrica</v>
          </cell>
          <cell r="L456" t="str">
            <v>Destravamento dos Componentes</v>
          </cell>
          <cell r="M456" t="str">
            <v>Falha de Regulagem / Configuração / Dimensionamento</v>
          </cell>
          <cell r="N456">
            <v>37952</v>
          </cell>
          <cell r="O456">
            <v>0.49305555555555558</v>
          </cell>
          <cell r="P456">
            <v>0</v>
          </cell>
          <cell r="T456">
            <v>37952</v>
          </cell>
          <cell r="U456">
            <v>0.51388888888888895</v>
          </cell>
          <cell r="V456">
            <v>0</v>
          </cell>
          <cell r="W456">
            <v>2.4305555557172454E-2</v>
          </cell>
          <cell r="X456">
            <v>0</v>
          </cell>
          <cell r="Y456">
            <v>0</v>
          </cell>
          <cell r="AB456">
            <v>11</v>
          </cell>
          <cell r="AC456">
            <v>8</v>
          </cell>
          <cell r="AD456">
            <v>0</v>
          </cell>
          <cell r="BF456">
            <v>0</v>
          </cell>
          <cell r="BG456">
            <v>0</v>
          </cell>
          <cell r="BH456">
            <v>0</v>
          </cell>
          <cell r="BI456">
            <v>0</v>
          </cell>
          <cell r="BJ456">
            <v>0</v>
          </cell>
          <cell r="BK456">
            <v>0</v>
          </cell>
          <cell r="BL456">
            <v>0</v>
          </cell>
          <cell r="BM456">
            <v>0</v>
          </cell>
          <cell r="BN456">
            <v>11</v>
          </cell>
          <cell r="BO456">
            <v>0</v>
          </cell>
          <cell r="BP456">
            <v>0</v>
          </cell>
          <cell r="BQ456">
            <v>0</v>
          </cell>
          <cell r="BR456">
            <v>0</v>
          </cell>
          <cell r="BS456">
            <v>0</v>
          </cell>
          <cell r="BT456">
            <v>0</v>
          </cell>
          <cell r="BU456">
            <v>0</v>
          </cell>
          <cell r="BV456">
            <v>0</v>
          </cell>
          <cell r="BW456">
            <v>0</v>
          </cell>
          <cell r="BX456">
            <v>0</v>
          </cell>
          <cell r="BY456">
            <v>0</v>
          </cell>
          <cell r="BZ456">
            <v>0</v>
          </cell>
          <cell r="CA456">
            <v>0</v>
          </cell>
          <cell r="CB456">
            <v>0</v>
          </cell>
          <cell r="CC456">
            <v>0</v>
          </cell>
          <cell r="CD456">
            <v>0</v>
          </cell>
        </row>
        <row r="457">
          <cell r="C457">
            <v>37861</v>
          </cell>
          <cell r="D457">
            <v>37867</v>
          </cell>
          <cell r="E457">
            <v>37865</v>
          </cell>
          <cell r="F457">
            <v>0.39930555555555558</v>
          </cell>
          <cell r="G457" t="str">
            <v>Dobradeira Sorg</v>
          </cell>
          <cell r="H457" t="str">
            <v>Pedal não Funciona</v>
          </cell>
          <cell r="I457" t="str">
            <v>Corretiva</v>
          </cell>
          <cell r="J457" t="str">
            <v>Sim</v>
          </cell>
          <cell r="K457" t="str">
            <v>Elétrica</v>
          </cell>
          <cell r="L457" t="str">
            <v>Substituição do(s) Componente(s)</v>
          </cell>
          <cell r="M457" t="str">
            <v>Desgaste / Fadiga</v>
          </cell>
          <cell r="N457">
            <v>37865</v>
          </cell>
          <cell r="O457">
            <v>0.40277777777777773</v>
          </cell>
          <cell r="P457">
            <v>37865</v>
          </cell>
          <cell r="Q457">
            <v>0.40277777777777773</v>
          </cell>
          <cell r="T457">
            <v>37865</v>
          </cell>
          <cell r="U457">
            <v>0.41666666666666669</v>
          </cell>
          <cell r="V457">
            <v>37865</v>
          </cell>
          <cell r="W457">
            <v>0.41666666666666669</v>
          </cell>
          <cell r="X457">
            <v>1.3888888888888951E-2</v>
          </cell>
          <cell r="Y457">
            <v>1.3888888886463613E-2</v>
          </cell>
          <cell r="AB457">
            <v>9</v>
          </cell>
          <cell r="AC457">
            <v>8</v>
          </cell>
          <cell r="AD457">
            <v>0</v>
          </cell>
          <cell r="BF457">
            <v>0</v>
          </cell>
          <cell r="BG457">
            <v>0</v>
          </cell>
          <cell r="BH457">
            <v>9</v>
          </cell>
          <cell r="BI457">
            <v>0</v>
          </cell>
          <cell r="BJ457">
            <v>0</v>
          </cell>
          <cell r="BK457">
            <v>0</v>
          </cell>
          <cell r="BL457">
            <v>0</v>
          </cell>
          <cell r="BM457">
            <v>0</v>
          </cell>
          <cell r="BN457">
            <v>0</v>
          </cell>
          <cell r="BO457">
            <v>0</v>
          </cell>
          <cell r="BP457">
            <v>0</v>
          </cell>
          <cell r="BQ457">
            <v>0</v>
          </cell>
          <cell r="BR457">
            <v>0</v>
          </cell>
          <cell r="BS457">
            <v>0</v>
          </cell>
          <cell r="BT457">
            <v>0</v>
          </cell>
          <cell r="BU457">
            <v>0</v>
          </cell>
          <cell r="BV457">
            <v>0</v>
          </cell>
          <cell r="BW457">
            <v>0</v>
          </cell>
          <cell r="BX457">
            <v>0</v>
          </cell>
          <cell r="BY457">
            <v>0</v>
          </cell>
          <cell r="BZ457">
            <v>0</v>
          </cell>
          <cell r="CA457">
            <v>0</v>
          </cell>
          <cell r="CB457">
            <v>0</v>
          </cell>
          <cell r="CC457">
            <v>0</v>
          </cell>
          <cell r="CD457">
            <v>0</v>
          </cell>
        </row>
        <row r="458">
          <cell r="C458">
            <v>37861</v>
          </cell>
          <cell r="D458">
            <v>37881</v>
          </cell>
          <cell r="E458">
            <v>37872</v>
          </cell>
          <cell r="F458">
            <v>0.8125</v>
          </cell>
          <cell r="G458" t="str">
            <v>Prensa Jundiaí</v>
          </cell>
          <cell r="H458" t="str">
            <v>Máquina travada</v>
          </cell>
          <cell r="I458" t="str">
            <v>Corretiva</v>
          </cell>
          <cell r="J458" t="str">
            <v>Sim</v>
          </cell>
          <cell r="K458" t="str">
            <v>Elétrica</v>
          </cell>
          <cell r="L458" t="str">
            <v>Ajuste / Regulagem</v>
          </cell>
          <cell r="M458" t="str">
            <v>Falha Operacional</v>
          </cell>
          <cell r="N458">
            <v>37872</v>
          </cell>
          <cell r="O458">
            <v>0.8125</v>
          </cell>
          <cell r="P458">
            <v>37872</v>
          </cell>
          <cell r="Q458">
            <v>0.8125</v>
          </cell>
          <cell r="T458">
            <v>37872</v>
          </cell>
          <cell r="U458">
            <v>0.98611111111111116</v>
          </cell>
          <cell r="V458">
            <v>37872</v>
          </cell>
          <cell r="W458">
            <v>0.98611111111111116</v>
          </cell>
          <cell r="X458">
            <v>0.17361111111111116</v>
          </cell>
          <cell r="Y458">
            <v>0.17361111110949423</v>
          </cell>
          <cell r="AB458">
            <v>9</v>
          </cell>
          <cell r="AC458">
            <v>8</v>
          </cell>
          <cell r="AD458">
            <v>0</v>
          </cell>
          <cell r="BF458">
            <v>0</v>
          </cell>
          <cell r="BG458">
            <v>0</v>
          </cell>
          <cell r="BH458">
            <v>0</v>
          </cell>
          <cell r="BI458">
            <v>0</v>
          </cell>
          <cell r="BJ458">
            <v>0</v>
          </cell>
          <cell r="BK458">
            <v>0</v>
          </cell>
          <cell r="BL458">
            <v>0</v>
          </cell>
          <cell r="BM458">
            <v>0</v>
          </cell>
          <cell r="BN458">
            <v>0</v>
          </cell>
          <cell r="BO458">
            <v>0</v>
          </cell>
          <cell r="BP458">
            <v>0</v>
          </cell>
          <cell r="BQ458">
            <v>0</v>
          </cell>
          <cell r="BR458">
            <v>0</v>
          </cell>
          <cell r="BS458">
            <v>0</v>
          </cell>
          <cell r="BT458">
            <v>0</v>
          </cell>
          <cell r="BU458">
            <v>0</v>
          </cell>
          <cell r="BV458">
            <v>0</v>
          </cell>
          <cell r="BW458">
            <v>0</v>
          </cell>
          <cell r="BX458">
            <v>0</v>
          </cell>
          <cell r="BY458">
            <v>9</v>
          </cell>
          <cell r="BZ458">
            <v>0</v>
          </cell>
          <cell r="CA458">
            <v>0</v>
          </cell>
          <cell r="CB458">
            <v>0</v>
          </cell>
          <cell r="CC458">
            <v>0</v>
          </cell>
          <cell r="CD458">
            <v>0</v>
          </cell>
        </row>
        <row r="459">
          <cell r="C459">
            <v>37861</v>
          </cell>
          <cell r="D459">
            <v>37874</v>
          </cell>
          <cell r="E459">
            <v>37873</v>
          </cell>
          <cell r="F459">
            <v>0.31944444444444448</v>
          </cell>
          <cell r="G459" t="str">
            <v>Prensa Jundiaí</v>
          </cell>
          <cell r="H459" t="str">
            <v>Posicionamento incorreto do Martelo</v>
          </cell>
          <cell r="I459" t="str">
            <v>Corretiva</v>
          </cell>
          <cell r="J459" t="str">
            <v>Sim</v>
          </cell>
          <cell r="K459" t="str">
            <v>Mecânica</v>
          </cell>
          <cell r="L459" t="str">
            <v>Ajuste / Regulagem</v>
          </cell>
          <cell r="M459" t="str">
            <v>Vibração</v>
          </cell>
          <cell r="N459">
            <v>37873</v>
          </cell>
          <cell r="O459">
            <v>0.31944444444444448</v>
          </cell>
          <cell r="P459">
            <v>37873</v>
          </cell>
          <cell r="Q459">
            <v>0.31944444444444448</v>
          </cell>
          <cell r="T459">
            <v>37873</v>
          </cell>
          <cell r="U459">
            <v>0.33333333333333331</v>
          </cell>
          <cell r="V459">
            <v>37873</v>
          </cell>
          <cell r="W459">
            <v>0.33333333333333331</v>
          </cell>
          <cell r="X459">
            <v>1.388888888888884E-2</v>
          </cell>
          <cell r="Y459">
            <v>1.3888888891314177E-2</v>
          </cell>
          <cell r="AB459">
            <v>9</v>
          </cell>
          <cell r="AC459">
            <v>8</v>
          </cell>
          <cell r="AD459">
            <v>0</v>
          </cell>
          <cell r="BF459">
            <v>0</v>
          </cell>
          <cell r="BG459">
            <v>0</v>
          </cell>
          <cell r="BH459">
            <v>0</v>
          </cell>
          <cell r="BI459">
            <v>0</v>
          </cell>
          <cell r="BJ459">
            <v>0</v>
          </cell>
          <cell r="BK459">
            <v>0</v>
          </cell>
          <cell r="BL459">
            <v>0</v>
          </cell>
          <cell r="BM459">
            <v>0</v>
          </cell>
          <cell r="BN459">
            <v>0</v>
          </cell>
          <cell r="BO459">
            <v>0</v>
          </cell>
          <cell r="BP459">
            <v>0</v>
          </cell>
          <cell r="BQ459">
            <v>0</v>
          </cell>
          <cell r="BR459">
            <v>0</v>
          </cell>
          <cell r="BS459">
            <v>0</v>
          </cell>
          <cell r="BT459">
            <v>0</v>
          </cell>
          <cell r="BU459">
            <v>0</v>
          </cell>
          <cell r="BV459">
            <v>0</v>
          </cell>
          <cell r="BW459">
            <v>0</v>
          </cell>
          <cell r="BX459">
            <v>0</v>
          </cell>
          <cell r="BY459">
            <v>9</v>
          </cell>
          <cell r="BZ459">
            <v>0</v>
          </cell>
          <cell r="CA459">
            <v>0</v>
          </cell>
          <cell r="CB459">
            <v>0</v>
          </cell>
          <cell r="CC459">
            <v>0</v>
          </cell>
          <cell r="CD459">
            <v>0</v>
          </cell>
        </row>
        <row r="460">
          <cell r="C460">
            <v>37861</v>
          </cell>
          <cell r="D460">
            <v>37874</v>
          </cell>
          <cell r="E460">
            <v>37873</v>
          </cell>
          <cell r="F460">
            <v>0.41666666666666669</v>
          </cell>
          <cell r="G460" t="str">
            <v>Prensa Jundiaí</v>
          </cell>
          <cell r="H460" t="str">
            <v>Martelo travado</v>
          </cell>
          <cell r="I460" t="str">
            <v>Corretiva</v>
          </cell>
          <cell r="J460" t="str">
            <v>Sim</v>
          </cell>
          <cell r="K460" t="str">
            <v>Mecânica</v>
          </cell>
          <cell r="L460" t="str">
            <v>Ajuste / Regulagem</v>
          </cell>
          <cell r="M460" t="str">
            <v>Falha de Regulagem / Configuração / Dimensionamento</v>
          </cell>
          <cell r="N460">
            <v>37873</v>
          </cell>
          <cell r="O460">
            <v>0.41666666666666669</v>
          </cell>
          <cell r="P460">
            <v>37873</v>
          </cell>
          <cell r="Q460">
            <v>0.41666666666666669</v>
          </cell>
          <cell r="T460">
            <v>37873</v>
          </cell>
          <cell r="U460">
            <v>0.45833333333333331</v>
          </cell>
          <cell r="V460">
            <v>37873</v>
          </cell>
          <cell r="W460">
            <v>0.45833333333333331</v>
          </cell>
          <cell r="X460">
            <v>4.166666666666663E-2</v>
          </cell>
          <cell r="Y460">
            <v>4.1666666669091967E-2</v>
          </cell>
          <cell r="AB460">
            <v>9</v>
          </cell>
          <cell r="AC460">
            <v>8</v>
          </cell>
          <cell r="AD460">
            <v>0</v>
          </cell>
          <cell r="BF460">
            <v>0</v>
          </cell>
          <cell r="BG460">
            <v>0</v>
          </cell>
          <cell r="BH460">
            <v>0</v>
          </cell>
          <cell r="BI460">
            <v>0</v>
          </cell>
          <cell r="BJ460">
            <v>0</v>
          </cell>
          <cell r="BK460">
            <v>0</v>
          </cell>
          <cell r="BL460">
            <v>0</v>
          </cell>
          <cell r="BM460">
            <v>0</v>
          </cell>
          <cell r="BN460">
            <v>0</v>
          </cell>
          <cell r="BO460">
            <v>0</v>
          </cell>
          <cell r="BP460">
            <v>0</v>
          </cell>
          <cell r="BQ460">
            <v>0</v>
          </cell>
          <cell r="BR460">
            <v>0</v>
          </cell>
          <cell r="BS460">
            <v>0</v>
          </cell>
          <cell r="BT460">
            <v>0</v>
          </cell>
          <cell r="BU460">
            <v>0</v>
          </cell>
          <cell r="BV460">
            <v>0</v>
          </cell>
          <cell r="BW460">
            <v>0</v>
          </cell>
          <cell r="BX460">
            <v>0</v>
          </cell>
          <cell r="BY460">
            <v>9</v>
          </cell>
          <cell r="BZ460">
            <v>0</v>
          </cell>
          <cell r="CA460">
            <v>0</v>
          </cell>
          <cell r="CB460">
            <v>0</v>
          </cell>
          <cell r="CC460">
            <v>0</v>
          </cell>
          <cell r="CD460">
            <v>0</v>
          </cell>
        </row>
        <row r="461">
          <cell r="C461">
            <v>37861</v>
          </cell>
          <cell r="D461">
            <v>37900</v>
          </cell>
          <cell r="E461">
            <v>37887</v>
          </cell>
          <cell r="F461">
            <v>0.6875</v>
          </cell>
          <cell r="G461" t="str">
            <v>Guilhotina Sorg</v>
          </cell>
          <cell r="H461" t="str">
            <v>Variação dimensional</v>
          </cell>
          <cell r="I461" t="str">
            <v>Corretiva</v>
          </cell>
          <cell r="J461" t="str">
            <v>Sim</v>
          </cell>
          <cell r="K461" t="str">
            <v>Elétrica</v>
          </cell>
          <cell r="L461" t="str">
            <v>Reinicialização do Equipamento / Componente</v>
          </cell>
          <cell r="M461" t="str">
            <v>Desgaste / Fadiga</v>
          </cell>
          <cell r="N461">
            <v>37887</v>
          </cell>
          <cell r="O461">
            <v>0.6875</v>
          </cell>
          <cell r="P461">
            <v>37887</v>
          </cell>
          <cell r="Q461">
            <v>0.6875</v>
          </cell>
          <cell r="T461">
            <v>37887</v>
          </cell>
          <cell r="U461">
            <v>0.75</v>
          </cell>
          <cell r="V461">
            <v>37887</v>
          </cell>
          <cell r="W461">
            <v>0.75</v>
          </cell>
          <cell r="X461">
            <v>6.25E-2</v>
          </cell>
          <cell r="Y461">
            <v>6.25E-2</v>
          </cell>
          <cell r="AB461">
            <v>9</v>
          </cell>
          <cell r="AC461">
            <v>8</v>
          </cell>
          <cell r="AD461">
            <v>0</v>
          </cell>
          <cell r="BF461">
            <v>0</v>
          </cell>
          <cell r="BG461">
            <v>0</v>
          </cell>
          <cell r="BH461">
            <v>0</v>
          </cell>
          <cell r="BI461">
            <v>0</v>
          </cell>
          <cell r="BJ461">
            <v>0</v>
          </cell>
          <cell r="BK461">
            <v>0</v>
          </cell>
          <cell r="BL461">
            <v>0</v>
          </cell>
          <cell r="BM461">
            <v>9</v>
          </cell>
          <cell r="BN461">
            <v>0</v>
          </cell>
          <cell r="BO461">
            <v>0</v>
          </cell>
          <cell r="BP461">
            <v>0</v>
          </cell>
          <cell r="BQ461">
            <v>0</v>
          </cell>
          <cell r="BR461">
            <v>0</v>
          </cell>
          <cell r="BS461">
            <v>0</v>
          </cell>
          <cell r="BT461">
            <v>0</v>
          </cell>
          <cell r="BU461">
            <v>0</v>
          </cell>
          <cell r="BV461">
            <v>0</v>
          </cell>
          <cell r="BW461">
            <v>0</v>
          </cell>
          <cell r="BX461">
            <v>0</v>
          </cell>
          <cell r="BY461">
            <v>0</v>
          </cell>
          <cell r="BZ461">
            <v>0</v>
          </cell>
          <cell r="CA461">
            <v>0</v>
          </cell>
          <cell r="CB461">
            <v>0</v>
          </cell>
          <cell r="CC461">
            <v>0</v>
          </cell>
          <cell r="CD461">
            <v>0</v>
          </cell>
        </row>
        <row r="462">
          <cell r="C462">
            <v>37861</v>
          </cell>
          <cell r="I462">
            <v>0</v>
          </cell>
          <cell r="N462">
            <v>0</v>
          </cell>
          <cell r="P462">
            <v>0</v>
          </cell>
          <cell r="T462">
            <v>0</v>
          </cell>
          <cell r="V462">
            <v>0</v>
          </cell>
          <cell r="W462">
            <v>0</v>
          </cell>
          <cell r="X462">
            <v>0</v>
          </cell>
          <cell r="Y462">
            <v>0</v>
          </cell>
          <cell r="AB462">
            <v>0</v>
          </cell>
          <cell r="AC462">
            <v>8</v>
          </cell>
          <cell r="AD462">
            <v>0</v>
          </cell>
          <cell r="BF462">
            <v>0</v>
          </cell>
          <cell r="BG462">
            <v>0</v>
          </cell>
          <cell r="BH462">
            <v>0</v>
          </cell>
          <cell r="BI462">
            <v>0</v>
          </cell>
          <cell r="BJ462">
            <v>0</v>
          </cell>
          <cell r="BK462">
            <v>0</v>
          </cell>
          <cell r="BL462">
            <v>0</v>
          </cell>
          <cell r="BM462">
            <v>0</v>
          </cell>
          <cell r="BN462">
            <v>0</v>
          </cell>
          <cell r="BO462">
            <v>0</v>
          </cell>
          <cell r="BP462">
            <v>0</v>
          </cell>
          <cell r="BQ462">
            <v>0</v>
          </cell>
          <cell r="BR462">
            <v>0</v>
          </cell>
          <cell r="BS462">
            <v>0</v>
          </cell>
          <cell r="BT462">
            <v>0</v>
          </cell>
          <cell r="BU462">
            <v>0</v>
          </cell>
          <cell r="BV462">
            <v>0</v>
          </cell>
          <cell r="BW462">
            <v>0</v>
          </cell>
          <cell r="BX462">
            <v>0</v>
          </cell>
          <cell r="BY462">
            <v>0</v>
          </cell>
          <cell r="BZ462">
            <v>0</v>
          </cell>
          <cell r="CA462">
            <v>0</v>
          </cell>
          <cell r="CB462">
            <v>0</v>
          </cell>
          <cell r="CC462">
            <v>0</v>
          </cell>
          <cell r="CD462">
            <v>0</v>
          </cell>
        </row>
        <row r="463">
          <cell r="C463">
            <v>37861</v>
          </cell>
          <cell r="I463">
            <v>0</v>
          </cell>
          <cell r="N463">
            <v>0</v>
          </cell>
          <cell r="P463">
            <v>0</v>
          </cell>
          <cell r="T463">
            <v>0</v>
          </cell>
          <cell r="V463">
            <v>0</v>
          </cell>
          <cell r="W463">
            <v>0</v>
          </cell>
          <cell r="X463">
            <v>0</v>
          </cell>
          <cell r="Y463">
            <v>0</v>
          </cell>
          <cell r="AB463">
            <v>0</v>
          </cell>
          <cell r="AC463">
            <v>8</v>
          </cell>
          <cell r="AD463">
            <v>0</v>
          </cell>
          <cell r="BF463">
            <v>0</v>
          </cell>
          <cell r="BG463">
            <v>0</v>
          </cell>
          <cell r="BH463">
            <v>0</v>
          </cell>
          <cell r="BI463">
            <v>0</v>
          </cell>
          <cell r="BJ463">
            <v>0</v>
          </cell>
          <cell r="BK463">
            <v>0</v>
          </cell>
          <cell r="BL463">
            <v>0</v>
          </cell>
          <cell r="BM463">
            <v>0</v>
          </cell>
          <cell r="BN463">
            <v>0</v>
          </cell>
          <cell r="BO463">
            <v>0</v>
          </cell>
          <cell r="BP463">
            <v>0</v>
          </cell>
          <cell r="BQ463">
            <v>0</v>
          </cell>
          <cell r="BR463">
            <v>0</v>
          </cell>
          <cell r="BS463">
            <v>0</v>
          </cell>
          <cell r="BT463">
            <v>0</v>
          </cell>
          <cell r="BU463">
            <v>0</v>
          </cell>
          <cell r="BV463">
            <v>0</v>
          </cell>
          <cell r="BW463">
            <v>0</v>
          </cell>
          <cell r="BX463">
            <v>0</v>
          </cell>
          <cell r="BY463">
            <v>0</v>
          </cell>
          <cell r="BZ463">
            <v>0</v>
          </cell>
          <cell r="CA463">
            <v>0</v>
          </cell>
          <cell r="CB463">
            <v>0</v>
          </cell>
          <cell r="CC463">
            <v>0</v>
          </cell>
          <cell r="CD463">
            <v>0</v>
          </cell>
        </row>
        <row r="464">
          <cell r="C464">
            <v>37861</v>
          </cell>
          <cell r="I464">
            <v>0</v>
          </cell>
          <cell r="N464">
            <v>0</v>
          </cell>
          <cell r="P464">
            <v>0</v>
          </cell>
          <cell r="T464">
            <v>0</v>
          </cell>
          <cell r="V464">
            <v>0</v>
          </cell>
          <cell r="W464">
            <v>0</v>
          </cell>
          <cell r="X464">
            <v>0</v>
          </cell>
          <cell r="Y464">
            <v>0</v>
          </cell>
          <cell r="AB464">
            <v>0</v>
          </cell>
          <cell r="AC464">
            <v>8</v>
          </cell>
          <cell r="AD464">
            <v>0</v>
          </cell>
          <cell r="BF464">
            <v>0</v>
          </cell>
          <cell r="BG464">
            <v>0</v>
          </cell>
          <cell r="BH464">
            <v>0</v>
          </cell>
          <cell r="BI464">
            <v>0</v>
          </cell>
          <cell r="BJ464">
            <v>0</v>
          </cell>
          <cell r="BK464">
            <v>0</v>
          </cell>
          <cell r="BL464">
            <v>0</v>
          </cell>
          <cell r="BM464">
            <v>0</v>
          </cell>
          <cell r="BN464">
            <v>0</v>
          </cell>
          <cell r="BO464">
            <v>0</v>
          </cell>
          <cell r="BP464">
            <v>0</v>
          </cell>
          <cell r="BQ464">
            <v>0</v>
          </cell>
          <cell r="BR464">
            <v>0</v>
          </cell>
          <cell r="BS464">
            <v>0</v>
          </cell>
          <cell r="BT464">
            <v>0</v>
          </cell>
          <cell r="BU464">
            <v>0</v>
          </cell>
          <cell r="BV464">
            <v>0</v>
          </cell>
          <cell r="BW464">
            <v>0</v>
          </cell>
          <cell r="BX464">
            <v>0</v>
          </cell>
          <cell r="BY464">
            <v>0</v>
          </cell>
          <cell r="BZ464">
            <v>0</v>
          </cell>
          <cell r="CA464">
            <v>0</v>
          </cell>
          <cell r="CB464">
            <v>0</v>
          </cell>
          <cell r="CC464">
            <v>0</v>
          </cell>
          <cell r="CD464">
            <v>0</v>
          </cell>
        </row>
        <row r="465">
          <cell r="C465">
            <v>37861</v>
          </cell>
          <cell r="I465">
            <v>0</v>
          </cell>
          <cell r="N465">
            <v>0</v>
          </cell>
          <cell r="P465">
            <v>0</v>
          </cell>
          <cell r="T465">
            <v>0</v>
          </cell>
          <cell r="V465">
            <v>0</v>
          </cell>
          <cell r="W465">
            <v>0</v>
          </cell>
          <cell r="X465">
            <v>0</v>
          </cell>
          <cell r="Y465">
            <v>0</v>
          </cell>
          <cell r="AB465">
            <v>0</v>
          </cell>
          <cell r="AC465">
            <v>8</v>
          </cell>
          <cell r="AD465">
            <v>0</v>
          </cell>
          <cell r="BF465">
            <v>0</v>
          </cell>
          <cell r="BG465">
            <v>0</v>
          </cell>
          <cell r="BH465">
            <v>0</v>
          </cell>
          <cell r="BI465">
            <v>0</v>
          </cell>
          <cell r="BJ465">
            <v>0</v>
          </cell>
          <cell r="BK465">
            <v>0</v>
          </cell>
          <cell r="BL465">
            <v>0</v>
          </cell>
          <cell r="BM465">
            <v>0</v>
          </cell>
          <cell r="BN465">
            <v>0</v>
          </cell>
          <cell r="BO465">
            <v>0</v>
          </cell>
          <cell r="BP465">
            <v>0</v>
          </cell>
          <cell r="BQ465">
            <v>0</v>
          </cell>
          <cell r="BR465">
            <v>0</v>
          </cell>
          <cell r="BS465">
            <v>0</v>
          </cell>
          <cell r="BT465">
            <v>0</v>
          </cell>
          <cell r="BU465">
            <v>0</v>
          </cell>
          <cell r="BV465">
            <v>0</v>
          </cell>
          <cell r="BW465">
            <v>0</v>
          </cell>
          <cell r="BX465">
            <v>0</v>
          </cell>
          <cell r="BY465">
            <v>0</v>
          </cell>
          <cell r="BZ465">
            <v>0</v>
          </cell>
          <cell r="CA465">
            <v>0</v>
          </cell>
          <cell r="CB465">
            <v>0</v>
          </cell>
          <cell r="CC465">
            <v>0</v>
          </cell>
          <cell r="CD465">
            <v>0</v>
          </cell>
        </row>
        <row r="466">
          <cell r="C466">
            <v>37861</v>
          </cell>
          <cell r="I466">
            <v>0</v>
          </cell>
          <cell r="N466">
            <v>0</v>
          </cell>
          <cell r="P466">
            <v>0</v>
          </cell>
          <cell r="T466">
            <v>0</v>
          </cell>
          <cell r="V466">
            <v>0</v>
          </cell>
          <cell r="W466">
            <v>0</v>
          </cell>
          <cell r="X466">
            <v>0</v>
          </cell>
          <cell r="Y466">
            <v>0</v>
          </cell>
          <cell r="AB466">
            <v>0</v>
          </cell>
          <cell r="AC466">
            <v>8</v>
          </cell>
          <cell r="AD466">
            <v>0</v>
          </cell>
          <cell r="BF466">
            <v>0</v>
          </cell>
          <cell r="BG466">
            <v>0</v>
          </cell>
          <cell r="BH466">
            <v>0</v>
          </cell>
          <cell r="BI466">
            <v>0</v>
          </cell>
          <cell r="BJ466">
            <v>0</v>
          </cell>
          <cell r="BK466">
            <v>0</v>
          </cell>
          <cell r="BL466">
            <v>0</v>
          </cell>
          <cell r="BM466">
            <v>0</v>
          </cell>
          <cell r="BN466">
            <v>0</v>
          </cell>
          <cell r="BO466">
            <v>0</v>
          </cell>
          <cell r="BP466">
            <v>0</v>
          </cell>
          <cell r="BQ466">
            <v>0</v>
          </cell>
          <cell r="BR466">
            <v>0</v>
          </cell>
          <cell r="BS466">
            <v>0</v>
          </cell>
          <cell r="BT466">
            <v>0</v>
          </cell>
          <cell r="BU466">
            <v>0</v>
          </cell>
          <cell r="BV466">
            <v>0</v>
          </cell>
          <cell r="BW466">
            <v>0</v>
          </cell>
          <cell r="BX466">
            <v>0</v>
          </cell>
          <cell r="BY466">
            <v>0</v>
          </cell>
          <cell r="BZ466">
            <v>0</v>
          </cell>
          <cell r="CA466">
            <v>0</v>
          </cell>
          <cell r="CB466">
            <v>0</v>
          </cell>
          <cell r="CC466">
            <v>0</v>
          </cell>
          <cell r="CD466">
            <v>0</v>
          </cell>
        </row>
        <row r="467">
          <cell r="C467">
            <v>37861</v>
          </cell>
          <cell r="I467">
            <v>0</v>
          </cell>
          <cell r="N467">
            <v>0</v>
          </cell>
          <cell r="P467">
            <v>0</v>
          </cell>
          <cell r="T467">
            <v>0</v>
          </cell>
          <cell r="V467">
            <v>0</v>
          </cell>
          <cell r="W467">
            <v>0</v>
          </cell>
          <cell r="X467">
            <v>0</v>
          </cell>
          <cell r="Y467">
            <v>0</v>
          </cell>
          <cell r="AB467">
            <v>0</v>
          </cell>
          <cell r="AC467">
            <v>8</v>
          </cell>
          <cell r="AD467">
            <v>0</v>
          </cell>
          <cell r="BF467">
            <v>0</v>
          </cell>
          <cell r="BG467">
            <v>0</v>
          </cell>
          <cell r="BH467">
            <v>0</v>
          </cell>
          <cell r="BI467">
            <v>0</v>
          </cell>
          <cell r="BJ467">
            <v>0</v>
          </cell>
          <cell r="BK467">
            <v>0</v>
          </cell>
          <cell r="BL467">
            <v>0</v>
          </cell>
          <cell r="BM467">
            <v>0</v>
          </cell>
          <cell r="BN467">
            <v>0</v>
          </cell>
          <cell r="BO467">
            <v>0</v>
          </cell>
          <cell r="BP467">
            <v>0</v>
          </cell>
          <cell r="BQ467">
            <v>0</v>
          </cell>
          <cell r="BR467">
            <v>0</v>
          </cell>
          <cell r="BS467">
            <v>0</v>
          </cell>
          <cell r="BT467">
            <v>0</v>
          </cell>
          <cell r="BU467">
            <v>0</v>
          </cell>
          <cell r="BV467">
            <v>0</v>
          </cell>
          <cell r="BW467">
            <v>0</v>
          </cell>
          <cell r="BX467">
            <v>0</v>
          </cell>
          <cell r="BY467">
            <v>0</v>
          </cell>
          <cell r="BZ467">
            <v>0</v>
          </cell>
          <cell r="CA467">
            <v>0</v>
          </cell>
          <cell r="CB467">
            <v>0</v>
          </cell>
          <cell r="CC467">
            <v>0</v>
          </cell>
          <cell r="CD467">
            <v>0</v>
          </cell>
        </row>
        <row r="468">
          <cell r="C468">
            <v>37861</v>
          </cell>
          <cell r="I468">
            <v>0</v>
          </cell>
          <cell r="N468">
            <v>0</v>
          </cell>
          <cell r="P468">
            <v>0</v>
          </cell>
          <cell r="T468">
            <v>0</v>
          </cell>
          <cell r="V468">
            <v>0</v>
          </cell>
          <cell r="W468">
            <v>0</v>
          </cell>
          <cell r="X468">
            <v>0</v>
          </cell>
          <cell r="Y468">
            <v>0</v>
          </cell>
          <cell r="AB468">
            <v>0</v>
          </cell>
          <cell r="AC468">
            <v>8</v>
          </cell>
          <cell r="AD468">
            <v>0</v>
          </cell>
          <cell r="BF468">
            <v>0</v>
          </cell>
          <cell r="BG468">
            <v>0</v>
          </cell>
          <cell r="BH468">
            <v>0</v>
          </cell>
          <cell r="BI468">
            <v>0</v>
          </cell>
          <cell r="BJ468">
            <v>0</v>
          </cell>
          <cell r="BK468">
            <v>0</v>
          </cell>
          <cell r="BL468">
            <v>0</v>
          </cell>
          <cell r="BM468">
            <v>0</v>
          </cell>
          <cell r="BN468">
            <v>0</v>
          </cell>
          <cell r="BO468">
            <v>0</v>
          </cell>
          <cell r="BP468">
            <v>0</v>
          </cell>
          <cell r="BQ468">
            <v>0</v>
          </cell>
          <cell r="BR468">
            <v>0</v>
          </cell>
          <cell r="BS468">
            <v>0</v>
          </cell>
          <cell r="BT468">
            <v>0</v>
          </cell>
          <cell r="BU468">
            <v>0</v>
          </cell>
          <cell r="BV468">
            <v>0</v>
          </cell>
          <cell r="BW468">
            <v>0</v>
          </cell>
          <cell r="BX468">
            <v>0</v>
          </cell>
          <cell r="BY468">
            <v>0</v>
          </cell>
          <cell r="BZ468">
            <v>0</v>
          </cell>
          <cell r="CA468">
            <v>0</v>
          </cell>
          <cell r="CB468">
            <v>0</v>
          </cell>
          <cell r="CC468">
            <v>0</v>
          </cell>
          <cell r="CD468">
            <v>0</v>
          </cell>
        </row>
        <row r="469">
          <cell r="C469">
            <v>37861</v>
          </cell>
          <cell r="I469">
            <v>0</v>
          </cell>
          <cell r="N469">
            <v>0</v>
          </cell>
          <cell r="P469">
            <v>0</v>
          </cell>
          <cell r="T469">
            <v>0</v>
          </cell>
          <cell r="V469">
            <v>0</v>
          </cell>
          <cell r="W469">
            <v>0</v>
          </cell>
          <cell r="X469">
            <v>0</v>
          </cell>
          <cell r="Y469">
            <v>0</v>
          </cell>
          <cell r="AB469">
            <v>0</v>
          </cell>
          <cell r="AC469">
            <v>8</v>
          </cell>
          <cell r="AD469">
            <v>0</v>
          </cell>
          <cell r="BF469">
            <v>0</v>
          </cell>
          <cell r="BG469">
            <v>0</v>
          </cell>
          <cell r="BH469">
            <v>0</v>
          </cell>
          <cell r="BI469">
            <v>0</v>
          </cell>
          <cell r="BJ469">
            <v>0</v>
          </cell>
          <cell r="BK469">
            <v>0</v>
          </cell>
          <cell r="BL469">
            <v>0</v>
          </cell>
          <cell r="BM469">
            <v>0</v>
          </cell>
          <cell r="BN469">
            <v>0</v>
          </cell>
          <cell r="BO469">
            <v>0</v>
          </cell>
          <cell r="BP469">
            <v>0</v>
          </cell>
          <cell r="BQ469">
            <v>0</v>
          </cell>
          <cell r="BR469">
            <v>0</v>
          </cell>
          <cell r="BS469">
            <v>0</v>
          </cell>
          <cell r="BT469">
            <v>0</v>
          </cell>
          <cell r="BU469">
            <v>0</v>
          </cell>
          <cell r="BV469">
            <v>0</v>
          </cell>
          <cell r="BW469">
            <v>0</v>
          </cell>
          <cell r="BX469">
            <v>0</v>
          </cell>
          <cell r="BY469">
            <v>0</v>
          </cell>
          <cell r="BZ469">
            <v>0</v>
          </cell>
          <cell r="CA469">
            <v>0</v>
          </cell>
          <cell r="CB469">
            <v>0</v>
          </cell>
          <cell r="CC469">
            <v>0</v>
          </cell>
          <cell r="CD469">
            <v>0</v>
          </cell>
        </row>
        <row r="470">
          <cell r="C470">
            <v>37861</v>
          </cell>
          <cell r="I470">
            <v>0</v>
          </cell>
          <cell r="N470">
            <v>0</v>
          </cell>
          <cell r="P470">
            <v>0</v>
          </cell>
          <cell r="T470">
            <v>0</v>
          </cell>
          <cell r="V470">
            <v>0</v>
          </cell>
          <cell r="W470">
            <v>0</v>
          </cell>
          <cell r="X470">
            <v>0</v>
          </cell>
          <cell r="Y470">
            <v>0</v>
          </cell>
          <cell r="AB470">
            <v>0</v>
          </cell>
          <cell r="AC470">
            <v>8</v>
          </cell>
          <cell r="AD470">
            <v>0</v>
          </cell>
          <cell r="BF470">
            <v>0</v>
          </cell>
          <cell r="BG470">
            <v>0</v>
          </cell>
          <cell r="BH470">
            <v>0</v>
          </cell>
          <cell r="BI470">
            <v>0</v>
          </cell>
          <cell r="BJ470">
            <v>0</v>
          </cell>
          <cell r="BK470">
            <v>0</v>
          </cell>
          <cell r="BL470">
            <v>0</v>
          </cell>
          <cell r="BM470">
            <v>0</v>
          </cell>
          <cell r="BN470">
            <v>0</v>
          </cell>
          <cell r="BO470">
            <v>0</v>
          </cell>
          <cell r="BP470">
            <v>0</v>
          </cell>
          <cell r="BQ470">
            <v>0</v>
          </cell>
          <cell r="BR470">
            <v>0</v>
          </cell>
          <cell r="BS470">
            <v>0</v>
          </cell>
          <cell r="BT470">
            <v>0</v>
          </cell>
          <cell r="BU470">
            <v>0</v>
          </cell>
          <cell r="BV470">
            <v>0</v>
          </cell>
          <cell r="BW470">
            <v>0</v>
          </cell>
          <cell r="BX470">
            <v>0</v>
          </cell>
          <cell r="BY470">
            <v>0</v>
          </cell>
          <cell r="BZ470">
            <v>0</v>
          </cell>
          <cell r="CA470">
            <v>0</v>
          </cell>
          <cell r="CB470">
            <v>0</v>
          </cell>
          <cell r="CC470">
            <v>0</v>
          </cell>
          <cell r="CD470">
            <v>0</v>
          </cell>
        </row>
        <row r="471">
          <cell r="C471">
            <v>37861</v>
          </cell>
          <cell r="I471">
            <v>0</v>
          </cell>
          <cell r="N471">
            <v>0</v>
          </cell>
          <cell r="P471">
            <v>0</v>
          </cell>
          <cell r="T471">
            <v>0</v>
          </cell>
          <cell r="V471">
            <v>0</v>
          </cell>
          <cell r="W471">
            <v>0</v>
          </cell>
          <cell r="X471">
            <v>0</v>
          </cell>
          <cell r="Y471">
            <v>0</v>
          </cell>
          <cell r="AB471">
            <v>0</v>
          </cell>
          <cell r="AC471">
            <v>8</v>
          </cell>
          <cell r="AD471">
            <v>0</v>
          </cell>
          <cell r="BF471">
            <v>0</v>
          </cell>
          <cell r="BG471">
            <v>0</v>
          </cell>
          <cell r="BH471">
            <v>0</v>
          </cell>
          <cell r="BI471">
            <v>0</v>
          </cell>
          <cell r="BJ471">
            <v>0</v>
          </cell>
          <cell r="BK471">
            <v>0</v>
          </cell>
          <cell r="BL471">
            <v>0</v>
          </cell>
          <cell r="BM471">
            <v>0</v>
          </cell>
          <cell r="BN471">
            <v>0</v>
          </cell>
          <cell r="BO471">
            <v>0</v>
          </cell>
          <cell r="BP471">
            <v>0</v>
          </cell>
          <cell r="BQ471">
            <v>0</v>
          </cell>
          <cell r="BR471">
            <v>0</v>
          </cell>
          <cell r="BS471">
            <v>0</v>
          </cell>
          <cell r="BT471">
            <v>0</v>
          </cell>
          <cell r="BU471">
            <v>0</v>
          </cell>
          <cell r="BV471">
            <v>0</v>
          </cell>
          <cell r="BW471">
            <v>0</v>
          </cell>
          <cell r="BX471">
            <v>0</v>
          </cell>
          <cell r="BY471">
            <v>0</v>
          </cell>
          <cell r="BZ471">
            <v>0</v>
          </cell>
          <cell r="CA471">
            <v>0</v>
          </cell>
          <cell r="CB471">
            <v>0</v>
          </cell>
          <cell r="CC471">
            <v>0</v>
          </cell>
          <cell r="CD471">
            <v>0</v>
          </cell>
        </row>
        <row r="472">
          <cell r="C472">
            <v>37861</v>
          </cell>
          <cell r="I472">
            <v>0</v>
          </cell>
          <cell r="N472">
            <v>0</v>
          </cell>
          <cell r="P472">
            <v>0</v>
          </cell>
          <cell r="T472">
            <v>0</v>
          </cell>
          <cell r="V472">
            <v>0</v>
          </cell>
          <cell r="W472">
            <v>0</v>
          </cell>
          <cell r="X472">
            <v>0</v>
          </cell>
          <cell r="Y472">
            <v>0</v>
          </cell>
          <cell r="AB472">
            <v>0</v>
          </cell>
          <cell r="AC472">
            <v>8</v>
          </cell>
          <cell r="AD472">
            <v>0</v>
          </cell>
          <cell r="BF472">
            <v>0</v>
          </cell>
          <cell r="BG472">
            <v>0</v>
          </cell>
          <cell r="BH472">
            <v>0</v>
          </cell>
          <cell r="BI472">
            <v>0</v>
          </cell>
          <cell r="BJ472">
            <v>0</v>
          </cell>
          <cell r="BK472">
            <v>0</v>
          </cell>
          <cell r="BL472">
            <v>0</v>
          </cell>
          <cell r="BM472">
            <v>0</v>
          </cell>
          <cell r="BN472">
            <v>0</v>
          </cell>
          <cell r="BO472">
            <v>0</v>
          </cell>
          <cell r="BP472">
            <v>0</v>
          </cell>
          <cell r="BQ472">
            <v>0</v>
          </cell>
          <cell r="BR472">
            <v>0</v>
          </cell>
          <cell r="BS472">
            <v>0</v>
          </cell>
          <cell r="BT472">
            <v>0</v>
          </cell>
          <cell r="BU472">
            <v>0</v>
          </cell>
          <cell r="BV472">
            <v>0</v>
          </cell>
          <cell r="BW472">
            <v>0</v>
          </cell>
          <cell r="BX472">
            <v>0</v>
          </cell>
          <cell r="BY472">
            <v>0</v>
          </cell>
          <cell r="BZ472">
            <v>0</v>
          </cell>
          <cell r="CA472">
            <v>0</v>
          </cell>
          <cell r="CB472">
            <v>0</v>
          </cell>
          <cell r="CC472">
            <v>0</v>
          </cell>
          <cell r="CD472">
            <v>0</v>
          </cell>
        </row>
        <row r="473">
          <cell r="C473">
            <v>37861</v>
          </cell>
          <cell r="I473">
            <v>0</v>
          </cell>
          <cell r="N473">
            <v>0</v>
          </cell>
          <cell r="P473">
            <v>0</v>
          </cell>
          <cell r="T473">
            <v>0</v>
          </cell>
          <cell r="V473">
            <v>0</v>
          </cell>
          <cell r="W473">
            <v>0</v>
          </cell>
          <cell r="X473">
            <v>0</v>
          </cell>
          <cell r="Y473">
            <v>0</v>
          </cell>
          <cell r="AB473">
            <v>0</v>
          </cell>
          <cell r="AC473">
            <v>8</v>
          </cell>
          <cell r="AD473">
            <v>0</v>
          </cell>
          <cell r="BF473">
            <v>0</v>
          </cell>
          <cell r="BG473">
            <v>0</v>
          </cell>
          <cell r="BH473">
            <v>0</v>
          </cell>
          <cell r="BI473">
            <v>0</v>
          </cell>
          <cell r="BJ473">
            <v>0</v>
          </cell>
          <cell r="BK473">
            <v>0</v>
          </cell>
          <cell r="BL473">
            <v>0</v>
          </cell>
          <cell r="BM473">
            <v>0</v>
          </cell>
          <cell r="BN473">
            <v>0</v>
          </cell>
          <cell r="BO473">
            <v>0</v>
          </cell>
          <cell r="BP473">
            <v>0</v>
          </cell>
          <cell r="BQ473">
            <v>0</v>
          </cell>
          <cell r="BR473">
            <v>0</v>
          </cell>
          <cell r="BS473">
            <v>0</v>
          </cell>
          <cell r="BT473">
            <v>0</v>
          </cell>
          <cell r="BU473">
            <v>0</v>
          </cell>
          <cell r="BV473">
            <v>0</v>
          </cell>
          <cell r="BW473">
            <v>0</v>
          </cell>
          <cell r="BX473">
            <v>0</v>
          </cell>
          <cell r="BY473">
            <v>0</v>
          </cell>
          <cell r="BZ473">
            <v>0</v>
          </cell>
          <cell r="CA473">
            <v>0</v>
          </cell>
          <cell r="CB473">
            <v>0</v>
          </cell>
          <cell r="CC473">
            <v>0</v>
          </cell>
          <cell r="CD473">
            <v>0</v>
          </cell>
        </row>
        <row r="474">
          <cell r="C474">
            <v>37861</v>
          </cell>
          <cell r="I474">
            <v>0</v>
          </cell>
          <cell r="N474">
            <v>0</v>
          </cell>
          <cell r="P474">
            <v>0</v>
          </cell>
          <cell r="T474">
            <v>0</v>
          </cell>
          <cell r="V474">
            <v>0</v>
          </cell>
          <cell r="W474">
            <v>0</v>
          </cell>
          <cell r="X474">
            <v>0</v>
          </cell>
          <cell r="Y474">
            <v>0</v>
          </cell>
          <cell r="AB474">
            <v>0</v>
          </cell>
          <cell r="AC474">
            <v>8</v>
          </cell>
          <cell r="AD474">
            <v>0</v>
          </cell>
          <cell r="BF474">
            <v>0</v>
          </cell>
          <cell r="BG474">
            <v>0</v>
          </cell>
          <cell r="BH474">
            <v>0</v>
          </cell>
          <cell r="BI474">
            <v>0</v>
          </cell>
          <cell r="BJ474">
            <v>0</v>
          </cell>
          <cell r="BK474">
            <v>0</v>
          </cell>
          <cell r="BL474">
            <v>0</v>
          </cell>
          <cell r="BM474">
            <v>0</v>
          </cell>
          <cell r="BN474">
            <v>0</v>
          </cell>
          <cell r="BO474">
            <v>0</v>
          </cell>
          <cell r="BP474">
            <v>0</v>
          </cell>
          <cell r="BQ474">
            <v>0</v>
          </cell>
          <cell r="BR474">
            <v>0</v>
          </cell>
          <cell r="BS474">
            <v>0</v>
          </cell>
          <cell r="BT474">
            <v>0</v>
          </cell>
          <cell r="BU474">
            <v>0</v>
          </cell>
          <cell r="BV474">
            <v>0</v>
          </cell>
          <cell r="BW474">
            <v>0</v>
          </cell>
          <cell r="BX474">
            <v>0</v>
          </cell>
          <cell r="BY474">
            <v>0</v>
          </cell>
          <cell r="BZ474">
            <v>0</v>
          </cell>
          <cell r="CA474">
            <v>0</v>
          </cell>
          <cell r="CB474">
            <v>0</v>
          </cell>
          <cell r="CC474">
            <v>0</v>
          </cell>
          <cell r="CD474">
            <v>0</v>
          </cell>
        </row>
        <row r="475">
          <cell r="C475">
            <v>37861</v>
          </cell>
          <cell r="I475">
            <v>0</v>
          </cell>
          <cell r="N475">
            <v>0</v>
          </cell>
          <cell r="P475">
            <v>0</v>
          </cell>
          <cell r="T475">
            <v>0</v>
          </cell>
          <cell r="V475">
            <v>0</v>
          </cell>
          <cell r="W475">
            <v>0</v>
          </cell>
          <cell r="X475">
            <v>0</v>
          </cell>
          <cell r="Y475">
            <v>0</v>
          </cell>
          <cell r="AB475">
            <v>0</v>
          </cell>
          <cell r="AC475">
            <v>8</v>
          </cell>
          <cell r="AD475">
            <v>0</v>
          </cell>
          <cell r="BF475">
            <v>0</v>
          </cell>
          <cell r="BG475">
            <v>0</v>
          </cell>
          <cell r="BH475">
            <v>0</v>
          </cell>
          <cell r="BI475">
            <v>0</v>
          </cell>
          <cell r="BJ475">
            <v>0</v>
          </cell>
          <cell r="BK475">
            <v>0</v>
          </cell>
          <cell r="BL475">
            <v>0</v>
          </cell>
          <cell r="BM475">
            <v>0</v>
          </cell>
          <cell r="BN475">
            <v>0</v>
          </cell>
          <cell r="BO475">
            <v>0</v>
          </cell>
          <cell r="BP475">
            <v>0</v>
          </cell>
          <cell r="BQ475">
            <v>0</v>
          </cell>
          <cell r="BR475">
            <v>0</v>
          </cell>
          <cell r="BS475">
            <v>0</v>
          </cell>
          <cell r="BT475">
            <v>0</v>
          </cell>
          <cell r="BU475">
            <v>0</v>
          </cell>
          <cell r="BV475">
            <v>0</v>
          </cell>
          <cell r="BW475">
            <v>0</v>
          </cell>
          <cell r="BX475">
            <v>0</v>
          </cell>
          <cell r="BY475">
            <v>0</v>
          </cell>
          <cell r="BZ475">
            <v>0</v>
          </cell>
          <cell r="CA475">
            <v>0</v>
          </cell>
          <cell r="CB475">
            <v>0</v>
          </cell>
          <cell r="CC475">
            <v>0</v>
          </cell>
          <cell r="CD475">
            <v>0</v>
          </cell>
        </row>
        <row r="476">
          <cell r="C476">
            <v>37861</v>
          </cell>
          <cell r="I476">
            <v>0</v>
          </cell>
          <cell r="N476">
            <v>0</v>
          </cell>
          <cell r="P476">
            <v>0</v>
          </cell>
          <cell r="T476">
            <v>0</v>
          </cell>
          <cell r="V476">
            <v>0</v>
          </cell>
          <cell r="W476">
            <v>0</v>
          </cell>
          <cell r="X476">
            <v>0</v>
          </cell>
          <cell r="Y476">
            <v>0</v>
          </cell>
          <cell r="AB476">
            <v>0</v>
          </cell>
          <cell r="AC476">
            <v>8</v>
          </cell>
          <cell r="AD476">
            <v>0</v>
          </cell>
          <cell r="BF476">
            <v>0</v>
          </cell>
          <cell r="BG476">
            <v>0</v>
          </cell>
          <cell r="BH476">
            <v>0</v>
          </cell>
          <cell r="BI476">
            <v>0</v>
          </cell>
          <cell r="BJ476">
            <v>0</v>
          </cell>
          <cell r="BK476">
            <v>0</v>
          </cell>
          <cell r="BL476">
            <v>0</v>
          </cell>
          <cell r="BM476">
            <v>0</v>
          </cell>
          <cell r="BN476">
            <v>0</v>
          </cell>
          <cell r="BO476">
            <v>0</v>
          </cell>
          <cell r="BP476">
            <v>0</v>
          </cell>
          <cell r="BQ476">
            <v>0</v>
          </cell>
          <cell r="BR476">
            <v>0</v>
          </cell>
          <cell r="BS476">
            <v>0</v>
          </cell>
          <cell r="BT476">
            <v>0</v>
          </cell>
          <cell r="BU476">
            <v>0</v>
          </cell>
          <cell r="BV476">
            <v>0</v>
          </cell>
          <cell r="BW476">
            <v>0</v>
          </cell>
          <cell r="BX476">
            <v>0</v>
          </cell>
          <cell r="BY476">
            <v>0</v>
          </cell>
          <cell r="BZ476">
            <v>0</v>
          </cell>
          <cell r="CA476">
            <v>0</v>
          </cell>
          <cell r="CB476">
            <v>0</v>
          </cell>
          <cell r="CC476">
            <v>0</v>
          </cell>
          <cell r="CD476">
            <v>0</v>
          </cell>
        </row>
        <row r="477">
          <cell r="C477">
            <v>37873</v>
          </cell>
          <cell r="D477">
            <v>37902</v>
          </cell>
          <cell r="E477">
            <v>37875</v>
          </cell>
          <cell r="F477">
            <v>0.29166666666666669</v>
          </cell>
          <cell r="G477" t="str">
            <v>Serra de Fita</v>
          </cell>
          <cell r="H477" t="str">
            <v>Manípulo quebrado</v>
          </cell>
          <cell r="I477" t="str">
            <v>Corretiva</v>
          </cell>
          <cell r="J477" t="str">
            <v>Não</v>
          </cell>
          <cell r="K477" t="str">
            <v>Mecânica</v>
          </cell>
          <cell r="L477" t="str">
            <v>Substituição do(s) Componente(s)</v>
          </cell>
          <cell r="M477" t="str">
            <v>Defeito de Fabricação</v>
          </cell>
          <cell r="N477">
            <v>37895</v>
          </cell>
          <cell r="O477">
            <v>0.875</v>
          </cell>
          <cell r="P477">
            <v>37895</v>
          </cell>
          <cell r="Q477">
            <v>0.99305555555555547</v>
          </cell>
          <cell r="R477">
            <v>37896</v>
          </cell>
          <cell r="S477">
            <v>0.625</v>
          </cell>
          <cell r="T477">
            <v>37896</v>
          </cell>
          <cell r="U477">
            <v>0.75</v>
          </cell>
          <cell r="V477">
            <v>0</v>
          </cell>
          <cell r="W477">
            <v>0.24305555555555547</v>
          </cell>
          <cell r="X477">
            <v>0.24305555555555547</v>
          </cell>
          <cell r="Y477">
            <v>0.24305555555555547</v>
          </cell>
          <cell r="AB477">
            <v>10</v>
          </cell>
          <cell r="AC477">
            <v>9</v>
          </cell>
          <cell r="AD477">
            <v>0</v>
          </cell>
          <cell r="BF477">
            <v>0</v>
          </cell>
          <cell r="BG477">
            <v>0</v>
          </cell>
          <cell r="BH477">
            <v>0</v>
          </cell>
          <cell r="BI477">
            <v>0</v>
          </cell>
          <cell r="BJ477">
            <v>0</v>
          </cell>
          <cell r="BK477">
            <v>0</v>
          </cell>
          <cell r="BL477">
            <v>0</v>
          </cell>
          <cell r="BM477">
            <v>0</v>
          </cell>
          <cell r="BN477">
            <v>0</v>
          </cell>
          <cell r="BO477">
            <v>0</v>
          </cell>
          <cell r="BP477">
            <v>0</v>
          </cell>
          <cell r="BQ477">
            <v>0</v>
          </cell>
          <cell r="BR477">
            <v>0</v>
          </cell>
          <cell r="BS477">
            <v>0</v>
          </cell>
          <cell r="BT477">
            <v>0</v>
          </cell>
          <cell r="BU477">
            <v>0</v>
          </cell>
          <cell r="BV477">
            <v>0</v>
          </cell>
          <cell r="BW477">
            <v>0</v>
          </cell>
          <cell r="BX477">
            <v>0</v>
          </cell>
          <cell r="BY477">
            <v>0</v>
          </cell>
          <cell r="BZ477">
            <v>0</v>
          </cell>
          <cell r="CA477">
            <v>0</v>
          </cell>
          <cell r="CB477">
            <v>0</v>
          </cell>
          <cell r="CC477">
            <v>10</v>
          </cell>
          <cell r="CD477">
            <v>0</v>
          </cell>
        </row>
        <row r="478">
          <cell r="C478">
            <v>37873</v>
          </cell>
          <cell r="I478">
            <v>0</v>
          </cell>
          <cell r="N478">
            <v>0</v>
          </cell>
          <cell r="P478">
            <v>0</v>
          </cell>
          <cell r="T478">
            <v>0</v>
          </cell>
          <cell r="V478">
            <v>0</v>
          </cell>
          <cell r="W478">
            <v>0</v>
          </cell>
          <cell r="X478">
            <v>0</v>
          </cell>
          <cell r="Y478">
            <v>0</v>
          </cell>
          <cell r="AB478">
            <v>0</v>
          </cell>
          <cell r="AC478">
            <v>9</v>
          </cell>
          <cell r="AD478">
            <v>0</v>
          </cell>
          <cell r="BF478">
            <v>0</v>
          </cell>
          <cell r="BG478">
            <v>0</v>
          </cell>
          <cell r="BH478">
            <v>0</v>
          </cell>
          <cell r="BI478">
            <v>0</v>
          </cell>
          <cell r="BJ478">
            <v>0</v>
          </cell>
          <cell r="BK478">
            <v>0</v>
          </cell>
          <cell r="BL478">
            <v>0</v>
          </cell>
          <cell r="BM478">
            <v>0</v>
          </cell>
          <cell r="BN478">
            <v>0</v>
          </cell>
          <cell r="BO478">
            <v>0</v>
          </cell>
          <cell r="BP478">
            <v>0</v>
          </cell>
          <cell r="BQ478">
            <v>0</v>
          </cell>
          <cell r="BR478">
            <v>0</v>
          </cell>
          <cell r="BS478">
            <v>0</v>
          </cell>
          <cell r="BT478">
            <v>0</v>
          </cell>
          <cell r="BU478">
            <v>0</v>
          </cell>
          <cell r="BV478">
            <v>0</v>
          </cell>
          <cell r="BW478">
            <v>0</v>
          </cell>
          <cell r="BX478">
            <v>0</v>
          </cell>
          <cell r="BY478">
            <v>0</v>
          </cell>
          <cell r="BZ478">
            <v>0</v>
          </cell>
          <cell r="CA478">
            <v>0</v>
          </cell>
          <cell r="CB478">
            <v>0</v>
          </cell>
          <cell r="CC478">
            <v>0</v>
          </cell>
          <cell r="CD478">
            <v>0</v>
          </cell>
        </row>
        <row r="479">
          <cell r="C479">
            <v>37873</v>
          </cell>
          <cell r="I479">
            <v>0</v>
          </cell>
          <cell r="N479">
            <v>0</v>
          </cell>
          <cell r="P479">
            <v>0</v>
          </cell>
          <cell r="T479">
            <v>0</v>
          </cell>
          <cell r="V479">
            <v>0</v>
          </cell>
          <cell r="W479">
            <v>0</v>
          </cell>
          <cell r="X479">
            <v>0</v>
          </cell>
          <cell r="Y479">
            <v>0</v>
          </cell>
          <cell r="AB479">
            <v>0</v>
          </cell>
          <cell r="AC479">
            <v>9</v>
          </cell>
          <cell r="AD479">
            <v>0</v>
          </cell>
          <cell r="BF479">
            <v>0</v>
          </cell>
          <cell r="BG479">
            <v>0</v>
          </cell>
          <cell r="BH479">
            <v>0</v>
          </cell>
          <cell r="BI479">
            <v>0</v>
          </cell>
          <cell r="BJ479">
            <v>0</v>
          </cell>
          <cell r="BK479">
            <v>0</v>
          </cell>
          <cell r="BL479">
            <v>0</v>
          </cell>
          <cell r="BM479">
            <v>0</v>
          </cell>
          <cell r="BN479">
            <v>0</v>
          </cell>
          <cell r="BO479">
            <v>0</v>
          </cell>
          <cell r="BP479">
            <v>0</v>
          </cell>
          <cell r="BQ479">
            <v>0</v>
          </cell>
          <cell r="BR479">
            <v>0</v>
          </cell>
          <cell r="BS479">
            <v>0</v>
          </cell>
          <cell r="BT479">
            <v>0</v>
          </cell>
          <cell r="BU479">
            <v>0</v>
          </cell>
          <cell r="BV479">
            <v>0</v>
          </cell>
          <cell r="BW479">
            <v>0</v>
          </cell>
          <cell r="BX479">
            <v>0</v>
          </cell>
          <cell r="BY479">
            <v>0</v>
          </cell>
          <cell r="BZ479">
            <v>0</v>
          </cell>
          <cell r="CA479">
            <v>0</v>
          </cell>
          <cell r="CB479">
            <v>0</v>
          </cell>
          <cell r="CC479">
            <v>0</v>
          </cell>
          <cell r="CD479">
            <v>0</v>
          </cell>
        </row>
        <row r="480">
          <cell r="C480">
            <v>37873</v>
          </cell>
          <cell r="D480">
            <v>37900</v>
          </cell>
          <cell r="E480">
            <v>37881</v>
          </cell>
          <cell r="F480">
            <v>0.38194444444444442</v>
          </cell>
          <cell r="G480" t="str">
            <v>Células de Solda Manual</v>
          </cell>
          <cell r="H480" t="str">
            <v>Isolador de Gás quebrado</v>
          </cell>
          <cell r="I480" t="str">
            <v>Corretiva</v>
          </cell>
          <cell r="J480" t="str">
            <v>Sim</v>
          </cell>
          <cell r="K480" t="str">
            <v>Elétrica</v>
          </cell>
          <cell r="L480" t="str">
            <v>Substituição do(s) Componente(s)</v>
          </cell>
          <cell r="M480" t="str">
            <v>Desgaste / Fadiga</v>
          </cell>
          <cell r="N480">
            <v>37881</v>
          </cell>
          <cell r="O480">
            <v>0.38194444444444442</v>
          </cell>
          <cell r="P480">
            <v>37881</v>
          </cell>
          <cell r="Q480">
            <v>0.38194444444444442</v>
          </cell>
          <cell r="T480">
            <v>37881</v>
          </cell>
          <cell r="U480">
            <v>0.39583333333333331</v>
          </cell>
          <cell r="V480">
            <v>37881</v>
          </cell>
          <cell r="W480">
            <v>0.39583333333333331</v>
          </cell>
          <cell r="X480">
            <v>1.3888888888888895E-2</v>
          </cell>
          <cell r="Y480">
            <v>1.3888888891314233E-2</v>
          </cell>
          <cell r="AB480">
            <v>9</v>
          </cell>
          <cell r="AC480">
            <v>9</v>
          </cell>
          <cell r="AD480">
            <v>0</v>
          </cell>
          <cell r="BF480">
            <v>0</v>
          </cell>
          <cell r="BG480">
            <v>9</v>
          </cell>
          <cell r="BH480">
            <v>0</v>
          </cell>
          <cell r="BI480">
            <v>0</v>
          </cell>
          <cell r="BJ480">
            <v>0</v>
          </cell>
          <cell r="BK480">
            <v>0</v>
          </cell>
          <cell r="BL480">
            <v>0</v>
          </cell>
          <cell r="BM480">
            <v>0</v>
          </cell>
          <cell r="BN480">
            <v>0</v>
          </cell>
          <cell r="BO480">
            <v>0</v>
          </cell>
          <cell r="BP480">
            <v>0</v>
          </cell>
          <cell r="BQ480">
            <v>0</v>
          </cell>
          <cell r="BR480">
            <v>0</v>
          </cell>
          <cell r="BS480">
            <v>0</v>
          </cell>
          <cell r="BT480">
            <v>0</v>
          </cell>
          <cell r="BU480">
            <v>0</v>
          </cell>
          <cell r="BV480">
            <v>0</v>
          </cell>
          <cell r="BW480">
            <v>0</v>
          </cell>
          <cell r="BX480">
            <v>0</v>
          </cell>
          <cell r="BY480">
            <v>0</v>
          </cell>
          <cell r="BZ480">
            <v>0</v>
          </cell>
          <cell r="CA480">
            <v>0</v>
          </cell>
          <cell r="CB480">
            <v>0</v>
          </cell>
          <cell r="CC480">
            <v>0</v>
          </cell>
          <cell r="CD480">
            <v>0</v>
          </cell>
        </row>
        <row r="481">
          <cell r="C481">
            <v>37873</v>
          </cell>
          <cell r="I481">
            <v>0</v>
          </cell>
          <cell r="N481">
            <v>0</v>
          </cell>
          <cell r="P481">
            <v>0</v>
          </cell>
          <cell r="T481">
            <v>0</v>
          </cell>
          <cell r="V481">
            <v>0</v>
          </cell>
          <cell r="W481">
            <v>0</v>
          </cell>
          <cell r="X481">
            <v>0</v>
          </cell>
          <cell r="Y481">
            <v>0</v>
          </cell>
          <cell r="AB481">
            <v>0</v>
          </cell>
          <cell r="AC481">
            <v>9</v>
          </cell>
          <cell r="AD481">
            <v>0</v>
          </cell>
          <cell r="BF481">
            <v>0</v>
          </cell>
          <cell r="BG481">
            <v>0</v>
          </cell>
          <cell r="BH481">
            <v>0</v>
          </cell>
          <cell r="BI481">
            <v>0</v>
          </cell>
          <cell r="BJ481">
            <v>0</v>
          </cell>
          <cell r="BK481">
            <v>0</v>
          </cell>
          <cell r="BL481">
            <v>0</v>
          </cell>
          <cell r="BM481">
            <v>0</v>
          </cell>
          <cell r="BN481">
            <v>0</v>
          </cell>
          <cell r="BO481">
            <v>0</v>
          </cell>
          <cell r="BP481">
            <v>0</v>
          </cell>
          <cell r="BQ481">
            <v>0</v>
          </cell>
          <cell r="BR481">
            <v>0</v>
          </cell>
          <cell r="BS481">
            <v>0</v>
          </cell>
          <cell r="BT481">
            <v>0</v>
          </cell>
          <cell r="BU481">
            <v>0</v>
          </cell>
          <cell r="BV481">
            <v>0</v>
          </cell>
          <cell r="BW481">
            <v>0</v>
          </cell>
          <cell r="BX481">
            <v>0</v>
          </cell>
          <cell r="BY481">
            <v>0</v>
          </cell>
          <cell r="BZ481">
            <v>0</v>
          </cell>
          <cell r="CA481">
            <v>0</v>
          </cell>
          <cell r="CB481">
            <v>0</v>
          </cell>
          <cell r="CC481">
            <v>0</v>
          </cell>
          <cell r="CD481">
            <v>0</v>
          </cell>
        </row>
        <row r="482">
          <cell r="C482">
            <v>37873</v>
          </cell>
          <cell r="I482">
            <v>0</v>
          </cell>
          <cell r="N482">
            <v>0</v>
          </cell>
          <cell r="P482">
            <v>0</v>
          </cell>
          <cell r="T482">
            <v>0</v>
          </cell>
          <cell r="V482">
            <v>0</v>
          </cell>
          <cell r="W482">
            <v>0</v>
          </cell>
          <cell r="X482">
            <v>0</v>
          </cell>
          <cell r="Y482">
            <v>0</v>
          </cell>
          <cell r="AB482">
            <v>0</v>
          </cell>
          <cell r="AC482">
            <v>9</v>
          </cell>
          <cell r="AD482">
            <v>0</v>
          </cell>
          <cell r="BF482">
            <v>0</v>
          </cell>
          <cell r="BG482">
            <v>0</v>
          </cell>
          <cell r="BH482">
            <v>0</v>
          </cell>
          <cell r="BI482">
            <v>0</v>
          </cell>
          <cell r="BJ482">
            <v>0</v>
          </cell>
          <cell r="BK482">
            <v>0</v>
          </cell>
          <cell r="BL482">
            <v>0</v>
          </cell>
          <cell r="BM482">
            <v>0</v>
          </cell>
          <cell r="BN482">
            <v>0</v>
          </cell>
          <cell r="BO482">
            <v>0</v>
          </cell>
          <cell r="BP482">
            <v>0</v>
          </cell>
          <cell r="BQ482">
            <v>0</v>
          </cell>
          <cell r="BR482">
            <v>0</v>
          </cell>
          <cell r="BS482">
            <v>0</v>
          </cell>
          <cell r="BT482">
            <v>0</v>
          </cell>
          <cell r="BU482">
            <v>0</v>
          </cell>
          <cell r="BV482">
            <v>0</v>
          </cell>
          <cell r="BW482">
            <v>0</v>
          </cell>
          <cell r="BX482">
            <v>0</v>
          </cell>
          <cell r="BY482">
            <v>0</v>
          </cell>
          <cell r="BZ482">
            <v>0</v>
          </cell>
          <cell r="CA482">
            <v>0</v>
          </cell>
          <cell r="CB482">
            <v>0</v>
          </cell>
          <cell r="CC482">
            <v>0</v>
          </cell>
          <cell r="CD482">
            <v>0</v>
          </cell>
        </row>
        <row r="483">
          <cell r="C483">
            <v>37873</v>
          </cell>
          <cell r="D483">
            <v>37918</v>
          </cell>
          <cell r="E483">
            <v>37900</v>
          </cell>
          <cell r="F483">
            <v>0.4375</v>
          </cell>
          <cell r="G483" t="str">
            <v>Serra de Fita</v>
          </cell>
          <cell r="H483" t="str">
            <v>Máquina não funciona</v>
          </cell>
          <cell r="I483" t="str">
            <v>Corretiva</v>
          </cell>
          <cell r="J483" t="str">
            <v>Sim</v>
          </cell>
          <cell r="K483" t="str">
            <v>Elétrica</v>
          </cell>
          <cell r="L483" t="str">
            <v>Reinicialização do Equipamento / Componente</v>
          </cell>
          <cell r="M483" t="str">
            <v>Sobrecarga</v>
          </cell>
          <cell r="N483">
            <v>37900</v>
          </cell>
          <cell r="O483">
            <v>0.4375</v>
          </cell>
          <cell r="P483">
            <v>37900</v>
          </cell>
          <cell r="Q483">
            <v>0.4375</v>
          </cell>
          <cell r="T483">
            <v>37900</v>
          </cell>
          <cell r="U483">
            <v>0.44791666666666669</v>
          </cell>
          <cell r="V483">
            <v>37900</v>
          </cell>
          <cell r="W483">
            <v>0.44791666666666669</v>
          </cell>
          <cell r="X483">
            <v>1.0416666666666685E-2</v>
          </cell>
          <cell r="Y483">
            <v>1.0416666664241347E-2</v>
          </cell>
          <cell r="AB483">
            <v>10</v>
          </cell>
          <cell r="AC483">
            <v>9</v>
          </cell>
          <cell r="AD483">
            <v>0</v>
          </cell>
          <cell r="BF483">
            <v>0</v>
          </cell>
          <cell r="BG483">
            <v>0</v>
          </cell>
          <cell r="BH483">
            <v>0</v>
          </cell>
          <cell r="BI483">
            <v>0</v>
          </cell>
          <cell r="BJ483">
            <v>0</v>
          </cell>
          <cell r="BK483">
            <v>0</v>
          </cell>
          <cell r="BL483">
            <v>0</v>
          </cell>
          <cell r="BM483">
            <v>0</v>
          </cell>
          <cell r="BN483">
            <v>0</v>
          </cell>
          <cell r="BO483">
            <v>0</v>
          </cell>
          <cell r="BP483">
            <v>0</v>
          </cell>
          <cell r="BQ483">
            <v>0</v>
          </cell>
          <cell r="BR483">
            <v>0</v>
          </cell>
          <cell r="BS483">
            <v>0</v>
          </cell>
          <cell r="BT483">
            <v>0</v>
          </cell>
          <cell r="BU483">
            <v>0</v>
          </cell>
          <cell r="BV483">
            <v>0</v>
          </cell>
          <cell r="BW483">
            <v>0</v>
          </cell>
          <cell r="BX483">
            <v>0</v>
          </cell>
          <cell r="BY483">
            <v>0</v>
          </cell>
          <cell r="BZ483">
            <v>0</v>
          </cell>
          <cell r="CA483">
            <v>0</v>
          </cell>
          <cell r="CB483">
            <v>0</v>
          </cell>
          <cell r="CC483">
            <v>10</v>
          </cell>
          <cell r="CD483">
            <v>0</v>
          </cell>
        </row>
        <row r="484">
          <cell r="C484">
            <v>37873</v>
          </cell>
          <cell r="D484">
            <v>37970</v>
          </cell>
          <cell r="E484">
            <v>37910</v>
          </cell>
          <cell r="F484">
            <v>0.76388888888888884</v>
          </cell>
          <cell r="G484" t="str">
            <v>Máquina de Solda MIG</v>
          </cell>
          <cell r="H484" t="str">
            <v>Sistema de tração do arame não funciona</v>
          </cell>
          <cell r="I484">
            <v>0</v>
          </cell>
          <cell r="J484" t="str">
            <v>Não</v>
          </cell>
          <cell r="K484" t="str">
            <v>Elétrica</v>
          </cell>
          <cell r="L484" t="str">
            <v>Substituição do(s) Componente(s)</v>
          </cell>
          <cell r="M484" t="str">
            <v>Sobrecarga</v>
          </cell>
          <cell r="N484">
            <v>37911</v>
          </cell>
          <cell r="O484">
            <v>0.70833333333333337</v>
          </cell>
          <cell r="P484">
            <v>0</v>
          </cell>
          <cell r="Q484">
            <v>0.70833333333333337</v>
          </cell>
          <cell r="R484">
            <v>37916</v>
          </cell>
          <cell r="S484">
            <v>0.5</v>
          </cell>
          <cell r="T484">
            <v>37916</v>
          </cell>
          <cell r="U484">
            <v>0.53472222222222221</v>
          </cell>
          <cell r="V484">
            <v>0</v>
          </cell>
          <cell r="W484">
            <v>3.472222222222221E-2</v>
          </cell>
          <cell r="X484">
            <v>0</v>
          </cell>
          <cell r="Y484">
            <v>0</v>
          </cell>
          <cell r="AB484">
            <v>10</v>
          </cell>
          <cell r="AC484">
            <v>9</v>
          </cell>
          <cell r="AD484">
            <v>0</v>
          </cell>
          <cell r="BF484">
            <v>0</v>
          </cell>
          <cell r="BG484">
            <v>0</v>
          </cell>
          <cell r="BH484">
            <v>0</v>
          </cell>
          <cell r="BI484">
            <v>0</v>
          </cell>
          <cell r="BJ484">
            <v>0</v>
          </cell>
          <cell r="BK484">
            <v>0</v>
          </cell>
          <cell r="BL484">
            <v>0</v>
          </cell>
          <cell r="BM484">
            <v>0</v>
          </cell>
          <cell r="BN484">
            <v>0</v>
          </cell>
          <cell r="BO484">
            <v>0</v>
          </cell>
          <cell r="BP484">
            <v>0</v>
          </cell>
          <cell r="BQ484">
            <v>0</v>
          </cell>
          <cell r="BR484">
            <v>10</v>
          </cell>
          <cell r="BS484">
            <v>0</v>
          </cell>
          <cell r="BT484">
            <v>0</v>
          </cell>
          <cell r="BU484">
            <v>0</v>
          </cell>
          <cell r="BV484">
            <v>0</v>
          </cell>
          <cell r="BW484">
            <v>0</v>
          </cell>
          <cell r="BX484">
            <v>0</v>
          </cell>
          <cell r="BY484">
            <v>0</v>
          </cell>
          <cell r="BZ484">
            <v>0</v>
          </cell>
          <cell r="CA484">
            <v>0</v>
          </cell>
          <cell r="CB484">
            <v>0</v>
          </cell>
          <cell r="CC484">
            <v>0</v>
          </cell>
          <cell r="CD484">
            <v>0</v>
          </cell>
        </row>
        <row r="485">
          <cell r="C485">
            <v>37873</v>
          </cell>
          <cell r="D485">
            <v>37972</v>
          </cell>
          <cell r="E485">
            <v>37951</v>
          </cell>
          <cell r="F485">
            <v>0.64583333333333337</v>
          </cell>
          <cell r="G485" t="str">
            <v>Máquina de Solda MIG</v>
          </cell>
          <cell r="H485" t="str">
            <v>Cabo terra danificado</v>
          </cell>
          <cell r="I485">
            <v>0</v>
          </cell>
          <cell r="J485" t="str">
            <v>Não</v>
          </cell>
          <cell r="K485" t="str">
            <v>Elétrica</v>
          </cell>
          <cell r="L485" t="str">
            <v>Reparo</v>
          </cell>
          <cell r="M485" t="str">
            <v>Aquecimento</v>
          </cell>
          <cell r="N485">
            <v>37951</v>
          </cell>
          <cell r="O485">
            <v>0.65277777777777779</v>
          </cell>
          <cell r="P485">
            <v>0</v>
          </cell>
          <cell r="Q485">
            <v>0.70833333333333337</v>
          </cell>
          <cell r="R485">
            <v>37964</v>
          </cell>
          <cell r="S485">
            <v>0.54166666666666663</v>
          </cell>
          <cell r="T485">
            <v>37964</v>
          </cell>
          <cell r="U485">
            <v>0.58333333333333337</v>
          </cell>
          <cell r="V485">
            <v>0</v>
          </cell>
          <cell r="W485">
            <v>9.7222222222222321E-2</v>
          </cell>
          <cell r="X485">
            <v>0</v>
          </cell>
          <cell r="Y485">
            <v>0</v>
          </cell>
          <cell r="AB485">
            <v>12</v>
          </cell>
          <cell r="AC485">
            <v>9</v>
          </cell>
          <cell r="AD485">
            <v>0</v>
          </cell>
          <cell r="BF485">
            <v>0</v>
          </cell>
          <cell r="BG485">
            <v>0</v>
          </cell>
          <cell r="BH485">
            <v>0</v>
          </cell>
          <cell r="BI485">
            <v>0</v>
          </cell>
          <cell r="BJ485">
            <v>0</v>
          </cell>
          <cell r="BK485">
            <v>0</v>
          </cell>
          <cell r="BL485">
            <v>0</v>
          </cell>
          <cell r="BM485">
            <v>0</v>
          </cell>
          <cell r="BN485">
            <v>0</v>
          </cell>
          <cell r="BO485">
            <v>0</v>
          </cell>
          <cell r="BP485">
            <v>0</v>
          </cell>
          <cell r="BQ485">
            <v>0</v>
          </cell>
          <cell r="BR485">
            <v>12</v>
          </cell>
          <cell r="BS485">
            <v>0</v>
          </cell>
          <cell r="BT485">
            <v>0</v>
          </cell>
          <cell r="BU485">
            <v>0</v>
          </cell>
          <cell r="BV485">
            <v>0</v>
          </cell>
          <cell r="BW485">
            <v>0</v>
          </cell>
          <cell r="BX485">
            <v>0</v>
          </cell>
          <cell r="BY485">
            <v>0</v>
          </cell>
          <cell r="BZ485">
            <v>0</v>
          </cell>
          <cell r="CA485">
            <v>0</v>
          </cell>
          <cell r="CB485">
            <v>0</v>
          </cell>
          <cell r="CC485">
            <v>0</v>
          </cell>
          <cell r="CD485">
            <v>0</v>
          </cell>
        </row>
        <row r="486">
          <cell r="C486">
            <v>37873</v>
          </cell>
          <cell r="D486">
            <v>37918</v>
          </cell>
          <cell r="E486">
            <v>37901</v>
          </cell>
          <cell r="F486">
            <v>0.35416666666666669</v>
          </cell>
          <cell r="G486" t="str">
            <v>Máquina de Solda MIG</v>
          </cell>
          <cell r="H486" t="str">
            <v>Ventulação não funciona</v>
          </cell>
          <cell r="I486" t="str">
            <v>Corretiva</v>
          </cell>
          <cell r="J486" t="str">
            <v>Sim</v>
          </cell>
          <cell r="K486" t="str">
            <v>Elétrica</v>
          </cell>
          <cell r="L486" t="str">
            <v>Substituição do(s) Componente(s)</v>
          </cell>
          <cell r="M486" t="str">
            <v>Travamento de Componente</v>
          </cell>
          <cell r="N486">
            <v>37901</v>
          </cell>
          <cell r="O486">
            <v>0.35416666666666669</v>
          </cell>
          <cell r="P486">
            <v>37901</v>
          </cell>
          <cell r="Q486">
            <v>0.35416666666666669</v>
          </cell>
          <cell r="T486">
            <v>37901</v>
          </cell>
          <cell r="U486">
            <v>0.375</v>
          </cell>
          <cell r="V486">
            <v>37901</v>
          </cell>
          <cell r="W486">
            <v>0.375</v>
          </cell>
          <cell r="X486">
            <v>2.0833333333333315E-2</v>
          </cell>
          <cell r="Y486">
            <v>2.0833333333333315E-2</v>
          </cell>
          <cell r="AB486">
            <v>10</v>
          </cell>
          <cell r="AC486">
            <v>9</v>
          </cell>
          <cell r="AD486">
            <v>0</v>
          </cell>
          <cell r="BF486">
            <v>0</v>
          </cell>
          <cell r="BG486">
            <v>0</v>
          </cell>
          <cell r="BH486">
            <v>0</v>
          </cell>
          <cell r="BI486">
            <v>0</v>
          </cell>
          <cell r="BJ486">
            <v>0</v>
          </cell>
          <cell r="BK486">
            <v>0</v>
          </cell>
          <cell r="BL486">
            <v>0</v>
          </cell>
          <cell r="BM486">
            <v>0</v>
          </cell>
          <cell r="BN486">
            <v>0</v>
          </cell>
          <cell r="BO486">
            <v>0</v>
          </cell>
          <cell r="BP486">
            <v>0</v>
          </cell>
          <cell r="BQ486">
            <v>0</v>
          </cell>
          <cell r="BR486">
            <v>10</v>
          </cell>
          <cell r="BS486">
            <v>0</v>
          </cell>
          <cell r="BT486">
            <v>0</v>
          </cell>
          <cell r="BU486">
            <v>0</v>
          </cell>
          <cell r="BV486">
            <v>0</v>
          </cell>
          <cell r="BW486">
            <v>0</v>
          </cell>
          <cell r="BX486">
            <v>0</v>
          </cell>
          <cell r="BY486">
            <v>0</v>
          </cell>
          <cell r="BZ486">
            <v>0</v>
          </cell>
          <cell r="CA486">
            <v>0</v>
          </cell>
          <cell r="CB486">
            <v>0</v>
          </cell>
          <cell r="CC486">
            <v>0</v>
          </cell>
          <cell r="CD486">
            <v>0</v>
          </cell>
        </row>
        <row r="487">
          <cell r="C487">
            <v>37873</v>
          </cell>
          <cell r="D487">
            <v>37970</v>
          </cell>
          <cell r="E487">
            <v>37953</v>
          </cell>
          <cell r="F487">
            <v>0.625</v>
          </cell>
          <cell r="G487" t="str">
            <v>Máquina de Solda MIG</v>
          </cell>
          <cell r="H487" t="str">
            <v>Ventilador não liga</v>
          </cell>
          <cell r="I487">
            <v>0</v>
          </cell>
          <cell r="J487" t="str">
            <v>Sim</v>
          </cell>
          <cell r="K487" t="str">
            <v>Elétrica</v>
          </cell>
          <cell r="L487" t="str">
            <v>Substituição do(s) Componente(s)</v>
          </cell>
          <cell r="M487" t="str">
            <v>Falha de Comando / Sistema</v>
          </cell>
          <cell r="N487">
            <v>37953</v>
          </cell>
          <cell r="O487">
            <v>0.625</v>
          </cell>
          <cell r="P487">
            <v>0</v>
          </cell>
          <cell r="T487">
            <v>37953</v>
          </cell>
          <cell r="U487">
            <v>0.70833333333333337</v>
          </cell>
          <cell r="V487">
            <v>0</v>
          </cell>
          <cell r="W487">
            <v>8.3333333335758653E-2</v>
          </cell>
          <cell r="X487">
            <v>0</v>
          </cell>
          <cell r="Y487">
            <v>0</v>
          </cell>
          <cell r="AB487">
            <v>11</v>
          </cell>
          <cell r="AC487">
            <v>9</v>
          </cell>
          <cell r="AD487">
            <v>0</v>
          </cell>
          <cell r="BF487">
            <v>0</v>
          </cell>
          <cell r="BG487">
            <v>0</v>
          </cell>
          <cell r="BH487">
            <v>0</v>
          </cell>
          <cell r="BI487">
            <v>0</v>
          </cell>
          <cell r="BJ487">
            <v>0</v>
          </cell>
          <cell r="BK487">
            <v>0</v>
          </cell>
          <cell r="BL487">
            <v>0</v>
          </cell>
          <cell r="BM487">
            <v>0</v>
          </cell>
          <cell r="BN487">
            <v>0</v>
          </cell>
          <cell r="BO487">
            <v>0</v>
          </cell>
          <cell r="BP487">
            <v>0</v>
          </cell>
          <cell r="BQ487">
            <v>0</v>
          </cell>
          <cell r="BR487">
            <v>11</v>
          </cell>
          <cell r="BS487">
            <v>0</v>
          </cell>
          <cell r="BT487">
            <v>0</v>
          </cell>
          <cell r="BU487">
            <v>0</v>
          </cell>
          <cell r="BV487">
            <v>0</v>
          </cell>
          <cell r="BW487">
            <v>0</v>
          </cell>
          <cell r="BX487">
            <v>0</v>
          </cell>
          <cell r="BY487">
            <v>0</v>
          </cell>
          <cell r="BZ487">
            <v>0</v>
          </cell>
          <cell r="CA487">
            <v>0</v>
          </cell>
          <cell r="CB487">
            <v>0</v>
          </cell>
          <cell r="CC487">
            <v>0</v>
          </cell>
          <cell r="CD487">
            <v>0</v>
          </cell>
        </row>
        <row r="488">
          <cell r="C488">
            <v>37873</v>
          </cell>
          <cell r="D488">
            <v>37970</v>
          </cell>
          <cell r="E488">
            <v>37959</v>
          </cell>
          <cell r="F488">
            <v>0.96527777777777779</v>
          </cell>
          <cell r="G488" t="str">
            <v>Serra de Fita</v>
          </cell>
          <cell r="H488" t="str">
            <v>Máquina não liga</v>
          </cell>
          <cell r="I488">
            <v>0</v>
          </cell>
          <cell r="J488" t="str">
            <v>Sim</v>
          </cell>
          <cell r="K488" t="str">
            <v>Elétrica</v>
          </cell>
          <cell r="L488" t="str">
            <v>Reinicialização do Equipamento / Componente</v>
          </cell>
          <cell r="M488" t="str">
            <v>Sobrecarga</v>
          </cell>
          <cell r="N488">
            <v>37959</v>
          </cell>
          <cell r="O488">
            <v>0.97222222222222221</v>
          </cell>
          <cell r="P488">
            <v>0</v>
          </cell>
          <cell r="T488">
            <v>37959</v>
          </cell>
          <cell r="U488">
            <v>0.97916666666666663</v>
          </cell>
          <cell r="V488">
            <v>0</v>
          </cell>
          <cell r="W488">
            <v>1.3888888886463557E-2</v>
          </cell>
          <cell r="X488">
            <v>0</v>
          </cell>
          <cell r="Y488">
            <v>0</v>
          </cell>
          <cell r="AB488">
            <v>12</v>
          </cell>
          <cell r="AC488">
            <v>9</v>
          </cell>
          <cell r="AD488">
            <v>0</v>
          </cell>
          <cell r="BF488">
            <v>0</v>
          </cell>
          <cell r="BG488">
            <v>0</v>
          </cell>
          <cell r="BH488">
            <v>0</v>
          </cell>
          <cell r="BI488">
            <v>0</v>
          </cell>
          <cell r="BJ488">
            <v>0</v>
          </cell>
          <cell r="BK488">
            <v>0</v>
          </cell>
          <cell r="BL488">
            <v>0</v>
          </cell>
          <cell r="BM488">
            <v>0</v>
          </cell>
          <cell r="BN488">
            <v>0</v>
          </cell>
          <cell r="BO488">
            <v>0</v>
          </cell>
          <cell r="BP488">
            <v>0</v>
          </cell>
          <cell r="BQ488">
            <v>0</v>
          </cell>
          <cell r="BR488">
            <v>0</v>
          </cell>
          <cell r="BS488">
            <v>0</v>
          </cell>
          <cell r="BT488">
            <v>0</v>
          </cell>
          <cell r="BU488">
            <v>0</v>
          </cell>
          <cell r="BV488">
            <v>0</v>
          </cell>
          <cell r="BW488">
            <v>0</v>
          </cell>
          <cell r="BX488">
            <v>0</v>
          </cell>
          <cell r="BY488">
            <v>0</v>
          </cell>
          <cell r="BZ488">
            <v>0</v>
          </cell>
          <cell r="CA488">
            <v>0</v>
          </cell>
          <cell r="CB488">
            <v>0</v>
          </cell>
          <cell r="CC488">
            <v>12</v>
          </cell>
          <cell r="CD488">
            <v>0</v>
          </cell>
        </row>
        <row r="489">
          <cell r="C489">
            <v>37873</v>
          </cell>
          <cell r="I489">
            <v>0</v>
          </cell>
          <cell r="N489">
            <v>0</v>
          </cell>
          <cell r="P489">
            <v>0</v>
          </cell>
          <cell r="T489">
            <v>0</v>
          </cell>
          <cell r="V489">
            <v>0</v>
          </cell>
          <cell r="W489">
            <v>0</v>
          </cell>
          <cell r="X489">
            <v>0</v>
          </cell>
          <cell r="Y489">
            <v>0</v>
          </cell>
          <cell r="AB489">
            <v>0</v>
          </cell>
          <cell r="AC489">
            <v>9</v>
          </cell>
          <cell r="AD489">
            <v>0</v>
          </cell>
          <cell r="BF489">
            <v>0</v>
          </cell>
          <cell r="BG489">
            <v>0</v>
          </cell>
          <cell r="BH489">
            <v>0</v>
          </cell>
          <cell r="BI489">
            <v>0</v>
          </cell>
          <cell r="BJ489">
            <v>0</v>
          </cell>
          <cell r="BK489">
            <v>0</v>
          </cell>
          <cell r="BL489">
            <v>0</v>
          </cell>
          <cell r="BM489">
            <v>0</v>
          </cell>
          <cell r="BN489">
            <v>0</v>
          </cell>
          <cell r="BO489">
            <v>0</v>
          </cell>
          <cell r="BP489">
            <v>0</v>
          </cell>
          <cell r="BQ489">
            <v>0</v>
          </cell>
          <cell r="BR489">
            <v>0</v>
          </cell>
          <cell r="BS489">
            <v>0</v>
          </cell>
          <cell r="BT489">
            <v>0</v>
          </cell>
          <cell r="BU489">
            <v>0</v>
          </cell>
          <cell r="BV489">
            <v>0</v>
          </cell>
          <cell r="BW489">
            <v>0</v>
          </cell>
          <cell r="BX489">
            <v>0</v>
          </cell>
          <cell r="BY489">
            <v>0</v>
          </cell>
          <cell r="BZ489">
            <v>0</v>
          </cell>
          <cell r="CA489">
            <v>0</v>
          </cell>
          <cell r="CB489">
            <v>0</v>
          </cell>
          <cell r="CC489">
            <v>0</v>
          </cell>
          <cell r="CD489">
            <v>0</v>
          </cell>
        </row>
        <row r="490">
          <cell r="C490">
            <v>37873</v>
          </cell>
          <cell r="D490">
            <v>37972</v>
          </cell>
          <cell r="E490">
            <v>37967</v>
          </cell>
          <cell r="F490">
            <v>0.47569444444444442</v>
          </cell>
          <cell r="G490" t="str">
            <v>Serra de Fita</v>
          </cell>
          <cell r="H490" t="str">
            <v>Máquina não funciona</v>
          </cell>
          <cell r="I490">
            <v>0</v>
          </cell>
          <cell r="J490" t="str">
            <v>Sim</v>
          </cell>
          <cell r="K490" t="str">
            <v>Elétrica</v>
          </cell>
          <cell r="L490" t="str">
            <v>Reinicialização do Equipamento / Componente</v>
          </cell>
          <cell r="M490" t="str">
            <v>Travamento de Componente</v>
          </cell>
          <cell r="N490">
            <v>37967</v>
          </cell>
          <cell r="O490">
            <v>0.49305555555555558</v>
          </cell>
          <cell r="P490">
            <v>0</v>
          </cell>
          <cell r="T490">
            <v>37967</v>
          </cell>
          <cell r="U490">
            <v>0.49861111111111112</v>
          </cell>
          <cell r="V490">
            <v>0</v>
          </cell>
          <cell r="W490">
            <v>2.2916666669415386E-2</v>
          </cell>
          <cell r="X490">
            <v>0</v>
          </cell>
          <cell r="Y490">
            <v>0</v>
          </cell>
          <cell r="AB490">
            <v>12</v>
          </cell>
          <cell r="AC490">
            <v>9</v>
          </cell>
          <cell r="AD490">
            <v>0</v>
          </cell>
          <cell r="BF490">
            <v>0</v>
          </cell>
          <cell r="BG490">
            <v>0</v>
          </cell>
          <cell r="BH490">
            <v>0</v>
          </cell>
          <cell r="BI490">
            <v>0</v>
          </cell>
          <cell r="BJ490">
            <v>0</v>
          </cell>
          <cell r="BK490">
            <v>0</v>
          </cell>
          <cell r="BL490">
            <v>0</v>
          </cell>
          <cell r="BM490">
            <v>0</v>
          </cell>
          <cell r="BN490">
            <v>0</v>
          </cell>
          <cell r="BO490">
            <v>0</v>
          </cell>
          <cell r="BP490">
            <v>0</v>
          </cell>
          <cell r="BQ490">
            <v>0</v>
          </cell>
          <cell r="BR490">
            <v>0</v>
          </cell>
          <cell r="BS490">
            <v>0</v>
          </cell>
          <cell r="BT490">
            <v>0</v>
          </cell>
          <cell r="BU490">
            <v>0</v>
          </cell>
          <cell r="BV490">
            <v>0</v>
          </cell>
          <cell r="BW490">
            <v>0</v>
          </cell>
          <cell r="BX490">
            <v>0</v>
          </cell>
          <cell r="BY490">
            <v>0</v>
          </cell>
          <cell r="BZ490">
            <v>0</v>
          </cell>
          <cell r="CA490">
            <v>0</v>
          </cell>
          <cell r="CB490">
            <v>0</v>
          </cell>
          <cell r="CC490">
            <v>12</v>
          </cell>
          <cell r="CD490">
            <v>0</v>
          </cell>
        </row>
        <row r="491">
          <cell r="C491">
            <v>37873</v>
          </cell>
          <cell r="I491">
            <v>0</v>
          </cell>
          <cell r="N491">
            <v>0</v>
          </cell>
          <cell r="P491">
            <v>0</v>
          </cell>
          <cell r="T491">
            <v>0</v>
          </cell>
          <cell r="V491">
            <v>0</v>
          </cell>
          <cell r="W491">
            <v>0</v>
          </cell>
          <cell r="X491">
            <v>0</v>
          </cell>
          <cell r="Y491">
            <v>0</v>
          </cell>
          <cell r="AB491">
            <v>0</v>
          </cell>
          <cell r="AC491">
            <v>9</v>
          </cell>
          <cell r="AD491">
            <v>0</v>
          </cell>
          <cell r="BF491">
            <v>0</v>
          </cell>
          <cell r="BG491">
            <v>0</v>
          </cell>
          <cell r="BH491">
            <v>0</v>
          </cell>
          <cell r="BI491">
            <v>0</v>
          </cell>
          <cell r="BJ491">
            <v>0</v>
          </cell>
          <cell r="BK491">
            <v>0</v>
          </cell>
          <cell r="BL491">
            <v>0</v>
          </cell>
          <cell r="BM491">
            <v>0</v>
          </cell>
          <cell r="BN491">
            <v>0</v>
          </cell>
          <cell r="BO491">
            <v>0</v>
          </cell>
          <cell r="BP491">
            <v>0</v>
          </cell>
          <cell r="BQ491">
            <v>0</v>
          </cell>
          <cell r="BR491">
            <v>0</v>
          </cell>
          <cell r="BS491">
            <v>0</v>
          </cell>
          <cell r="BT491">
            <v>0</v>
          </cell>
          <cell r="BU491">
            <v>0</v>
          </cell>
          <cell r="BV491">
            <v>0</v>
          </cell>
          <cell r="BW491">
            <v>0</v>
          </cell>
          <cell r="BX491">
            <v>0</v>
          </cell>
          <cell r="BY491">
            <v>0</v>
          </cell>
          <cell r="BZ491">
            <v>0</v>
          </cell>
          <cell r="CA491">
            <v>0</v>
          </cell>
          <cell r="CB491">
            <v>0</v>
          </cell>
          <cell r="CC491">
            <v>0</v>
          </cell>
          <cell r="CD491">
            <v>0</v>
          </cell>
        </row>
        <row r="492">
          <cell r="C492">
            <v>37873</v>
          </cell>
          <cell r="D492">
            <v>38008</v>
          </cell>
          <cell r="E492">
            <v>37999</v>
          </cell>
          <cell r="F492">
            <v>0.79166666666666663</v>
          </cell>
          <cell r="G492" t="str">
            <v>Equipamentos diversos</v>
          </cell>
          <cell r="H492" t="str">
            <v>Há a necessidade de fabricação de um pino de trava (esteira de roletes)</v>
          </cell>
          <cell r="I492">
            <v>0</v>
          </cell>
          <cell r="J492" t="str">
            <v>Não</v>
          </cell>
          <cell r="K492" t="str">
            <v>Mecânica</v>
          </cell>
          <cell r="L492" t="str">
            <v>Montagem / Instalação</v>
          </cell>
          <cell r="M492" t="str">
            <v>Melhoria Técnica</v>
          </cell>
          <cell r="N492">
            <v>0</v>
          </cell>
          <cell r="O492">
            <v>0.79166666666666663</v>
          </cell>
          <cell r="P492">
            <v>0</v>
          </cell>
          <cell r="T492">
            <v>0</v>
          </cell>
          <cell r="U492">
            <v>0.91666666666666663</v>
          </cell>
          <cell r="V492">
            <v>0</v>
          </cell>
          <cell r="W492">
            <v>0</v>
          </cell>
          <cell r="X492">
            <v>0</v>
          </cell>
          <cell r="Y492">
            <v>0</v>
          </cell>
          <cell r="AB492">
            <v>0</v>
          </cell>
          <cell r="AC492">
            <v>9</v>
          </cell>
          <cell r="AD492">
            <v>0</v>
          </cell>
          <cell r="BF492">
            <v>0</v>
          </cell>
          <cell r="BG492">
            <v>0</v>
          </cell>
          <cell r="BH492">
            <v>0</v>
          </cell>
          <cell r="BI492">
            <v>0</v>
          </cell>
          <cell r="BJ492">
            <v>0</v>
          </cell>
          <cell r="BK492">
            <v>0</v>
          </cell>
          <cell r="BL492">
            <v>0</v>
          </cell>
          <cell r="BM492">
            <v>0</v>
          </cell>
          <cell r="BN492">
            <v>0</v>
          </cell>
          <cell r="BO492">
            <v>0</v>
          </cell>
          <cell r="BP492">
            <v>0</v>
          </cell>
          <cell r="BQ492">
            <v>0</v>
          </cell>
          <cell r="BR492">
            <v>0</v>
          </cell>
          <cell r="BS492">
            <v>0</v>
          </cell>
          <cell r="BT492">
            <v>0</v>
          </cell>
          <cell r="BU492">
            <v>0</v>
          </cell>
          <cell r="BV492">
            <v>0</v>
          </cell>
          <cell r="BW492">
            <v>0</v>
          </cell>
          <cell r="BX492">
            <v>0</v>
          </cell>
          <cell r="BY492">
            <v>0</v>
          </cell>
          <cell r="BZ492">
            <v>0</v>
          </cell>
          <cell r="CA492">
            <v>0</v>
          </cell>
          <cell r="CB492">
            <v>0</v>
          </cell>
          <cell r="CC492">
            <v>0</v>
          </cell>
          <cell r="CD492">
            <v>0</v>
          </cell>
        </row>
        <row r="493">
          <cell r="C493">
            <v>37873</v>
          </cell>
          <cell r="D493">
            <v>37928</v>
          </cell>
          <cell r="E493">
            <v>37921</v>
          </cell>
          <cell r="F493">
            <v>0.59722222222222221</v>
          </cell>
          <cell r="G493" t="str">
            <v>Equipamentos diversos</v>
          </cell>
          <cell r="H493" t="str">
            <v>Não funciona</v>
          </cell>
          <cell r="I493" t="str">
            <v>Corretiva</v>
          </cell>
          <cell r="J493" t="str">
            <v>Sim</v>
          </cell>
          <cell r="K493" t="str">
            <v>Elétrica</v>
          </cell>
          <cell r="L493" t="str">
            <v>Correção de mau contato</v>
          </cell>
          <cell r="M493" t="str">
            <v>Mau contato</v>
          </cell>
          <cell r="N493">
            <v>37921</v>
          </cell>
          <cell r="O493">
            <v>0.625</v>
          </cell>
          <cell r="P493">
            <v>37921</v>
          </cell>
          <cell r="Q493">
            <v>0.625</v>
          </cell>
          <cell r="T493">
            <v>37921</v>
          </cell>
          <cell r="U493">
            <v>0.64930555555555558</v>
          </cell>
          <cell r="V493">
            <v>37921</v>
          </cell>
          <cell r="W493">
            <v>0.64930555555555558</v>
          </cell>
          <cell r="X493">
            <v>2.430555555555558E-2</v>
          </cell>
          <cell r="Y493">
            <v>2.4305555554747116E-2</v>
          </cell>
          <cell r="AB493">
            <v>10</v>
          </cell>
          <cell r="AC493">
            <v>9</v>
          </cell>
          <cell r="AD493">
            <v>0</v>
          </cell>
          <cell r="BF493">
            <v>0</v>
          </cell>
          <cell r="BG493">
            <v>0</v>
          </cell>
          <cell r="BH493">
            <v>0</v>
          </cell>
          <cell r="BI493">
            <v>0</v>
          </cell>
          <cell r="BJ493">
            <v>10</v>
          </cell>
          <cell r="BK493">
            <v>0</v>
          </cell>
          <cell r="BL493">
            <v>0</v>
          </cell>
          <cell r="BM493">
            <v>0</v>
          </cell>
          <cell r="BN493">
            <v>0</v>
          </cell>
          <cell r="BO493">
            <v>0</v>
          </cell>
          <cell r="BP493">
            <v>0</v>
          </cell>
          <cell r="BQ493">
            <v>0</v>
          </cell>
          <cell r="BR493">
            <v>0</v>
          </cell>
          <cell r="BS493">
            <v>0</v>
          </cell>
          <cell r="BT493">
            <v>0</v>
          </cell>
          <cell r="BU493">
            <v>0</v>
          </cell>
          <cell r="BV493">
            <v>0</v>
          </cell>
          <cell r="BW493">
            <v>0</v>
          </cell>
          <cell r="BX493">
            <v>0</v>
          </cell>
          <cell r="BY493">
            <v>0</v>
          </cell>
          <cell r="BZ493">
            <v>0</v>
          </cell>
          <cell r="CA493">
            <v>0</v>
          </cell>
          <cell r="CB493">
            <v>0</v>
          </cell>
          <cell r="CC493">
            <v>0</v>
          </cell>
          <cell r="CD493">
            <v>0</v>
          </cell>
        </row>
        <row r="494">
          <cell r="C494">
            <v>37873</v>
          </cell>
          <cell r="I494">
            <v>0</v>
          </cell>
          <cell r="N494">
            <v>0</v>
          </cell>
          <cell r="P494">
            <v>0</v>
          </cell>
          <cell r="T494">
            <v>0</v>
          </cell>
          <cell r="V494">
            <v>0</v>
          </cell>
          <cell r="W494">
            <v>0</v>
          </cell>
          <cell r="X494">
            <v>0</v>
          </cell>
          <cell r="Y494">
            <v>0</v>
          </cell>
          <cell r="AB494">
            <v>0</v>
          </cell>
          <cell r="AC494">
            <v>9</v>
          </cell>
          <cell r="AD494">
            <v>0</v>
          </cell>
          <cell r="BF494">
            <v>0</v>
          </cell>
          <cell r="BG494">
            <v>0</v>
          </cell>
          <cell r="BH494">
            <v>0</v>
          </cell>
          <cell r="BI494">
            <v>0</v>
          </cell>
          <cell r="BJ494">
            <v>0</v>
          </cell>
          <cell r="BK494">
            <v>0</v>
          </cell>
          <cell r="BL494">
            <v>0</v>
          </cell>
          <cell r="BM494">
            <v>0</v>
          </cell>
          <cell r="BN494">
            <v>0</v>
          </cell>
          <cell r="BO494">
            <v>0</v>
          </cell>
          <cell r="BP494">
            <v>0</v>
          </cell>
          <cell r="BQ494">
            <v>0</v>
          </cell>
          <cell r="BR494">
            <v>0</v>
          </cell>
          <cell r="BS494">
            <v>0</v>
          </cell>
          <cell r="BT494">
            <v>0</v>
          </cell>
          <cell r="BU494">
            <v>0</v>
          </cell>
          <cell r="BV494">
            <v>0</v>
          </cell>
          <cell r="BW494">
            <v>0</v>
          </cell>
          <cell r="BX494">
            <v>0</v>
          </cell>
          <cell r="BY494">
            <v>0</v>
          </cell>
          <cell r="BZ494">
            <v>0</v>
          </cell>
          <cell r="CA494">
            <v>0</v>
          </cell>
          <cell r="CB494">
            <v>0</v>
          </cell>
          <cell r="CC494">
            <v>0</v>
          </cell>
          <cell r="CD494">
            <v>0</v>
          </cell>
        </row>
        <row r="495">
          <cell r="C495">
            <v>37873</v>
          </cell>
          <cell r="I495">
            <v>0</v>
          </cell>
          <cell r="N495">
            <v>0</v>
          </cell>
          <cell r="P495">
            <v>0</v>
          </cell>
          <cell r="T495">
            <v>0</v>
          </cell>
          <cell r="V495">
            <v>0</v>
          </cell>
          <cell r="W495">
            <v>0</v>
          </cell>
          <cell r="X495">
            <v>0</v>
          </cell>
          <cell r="Y495">
            <v>0</v>
          </cell>
          <cell r="AB495">
            <v>0</v>
          </cell>
          <cell r="AC495">
            <v>9</v>
          </cell>
          <cell r="AD495">
            <v>0</v>
          </cell>
          <cell r="BF495">
            <v>0</v>
          </cell>
          <cell r="BG495">
            <v>0</v>
          </cell>
          <cell r="BH495">
            <v>0</v>
          </cell>
          <cell r="BI495">
            <v>0</v>
          </cell>
          <cell r="BJ495">
            <v>0</v>
          </cell>
          <cell r="BK495">
            <v>0</v>
          </cell>
          <cell r="BL495">
            <v>0</v>
          </cell>
          <cell r="BM495">
            <v>0</v>
          </cell>
          <cell r="BN495">
            <v>0</v>
          </cell>
          <cell r="BO495">
            <v>0</v>
          </cell>
          <cell r="BP495">
            <v>0</v>
          </cell>
          <cell r="BQ495">
            <v>0</v>
          </cell>
          <cell r="BR495">
            <v>0</v>
          </cell>
          <cell r="BS495">
            <v>0</v>
          </cell>
          <cell r="BT495">
            <v>0</v>
          </cell>
          <cell r="BU495">
            <v>0</v>
          </cell>
          <cell r="BV495">
            <v>0</v>
          </cell>
          <cell r="BW495">
            <v>0</v>
          </cell>
          <cell r="BX495">
            <v>0</v>
          </cell>
          <cell r="BY495">
            <v>0</v>
          </cell>
          <cell r="BZ495">
            <v>0</v>
          </cell>
          <cell r="CA495">
            <v>0</v>
          </cell>
          <cell r="CB495">
            <v>0</v>
          </cell>
          <cell r="CC495">
            <v>0</v>
          </cell>
          <cell r="CD495">
            <v>0</v>
          </cell>
        </row>
        <row r="496">
          <cell r="C496">
            <v>37873</v>
          </cell>
          <cell r="I496">
            <v>0</v>
          </cell>
          <cell r="N496">
            <v>0</v>
          </cell>
          <cell r="P496">
            <v>0</v>
          </cell>
          <cell r="T496">
            <v>0</v>
          </cell>
          <cell r="V496">
            <v>0</v>
          </cell>
          <cell r="W496">
            <v>0</v>
          </cell>
          <cell r="X496">
            <v>0</v>
          </cell>
          <cell r="Y496">
            <v>0</v>
          </cell>
          <cell r="AB496">
            <v>0</v>
          </cell>
          <cell r="AC496">
            <v>9</v>
          </cell>
          <cell r="AD496">
            <v>0</v>
          </cell>
          <cell r="BF496">
            <v>0</v>
          </cell>
          <cell r="BG496">
            <v>0</v>
          </cell>
          <cell r="BH496">
            <v>0</v>
          </cell>
          <cell r="BI496">
            <v>0</v>
          </cell>
          <cell r="BJ496">
            <v>0</v>
          </cell>
          <cell r="BK496">
            <v>0</v>
          </cell>
          <cell r="BL496">
            <v>0</v>
          </cell>
          <cell r="BM496">
            <v>0</v>
          </cell>
          <cell r="BN496">
            <v>0</v>
          </cell>
          <cell r="BO496">
            <v>0</v>
          </cell>
          <cell r="BP496">
            <v>0</v>
          </cell>
          <cell r="BQ496">
            <v>0</v>
          </cell>
          <cell r="BR496">
            <v>0</v>
          </cell>
          <cell r="BS496">
            <v>0</v>
          </cell>
          <cell r="BT496">
            <v>0</v>
          </cell>
          <cell r="BU496">
            <v>0</v>
          </cell>
          <cell r="BV496">
            <v>0</v>
          </cell>
          <cell r="BW496">
            <v>0</v>
          </cell>
          <cell r="BX496">
            <v>0</v>
          </cell>
          <cell r="BY496">
            <v>0</v>
          </cell>
          <cell r="BZ496">
            <v>0</v>
          </cell>
          <cell r="CA496">
            <v>0</v>
          </cell>
          <cell r="CB496">
            <v>0</v>
          </cell>
          <cell r="CC496">
            <v>0</v>
          </cell>
          <cell r="CD496">
            <v>0</v>
          </cell>
        </row>
        <row r="497">
          <cell r="C497">
            <v>37894</v>
          </cell>
          <cell r="D497">
            <v>37918</v>
          </cell>
          <cell r="E497">
            <v>37890</v>
          </cell>
          <cell r="F497">
            <v>0.70833333333333337</v>
          </cell>
          <cell r="G497" t="str">
            <v>Células de Solda Manual</v>
          </cell>
          <cell r="H497" t="str">
            <v>Rotação da mesa não funciona para "Lado A"</v>
          </cell>
          <cell r="I497" t="str">
            <v>Corretiva</v>
          </cell>
          <cell r="J497" t="str">
            <v>Sim</v>
          </cell>
          <cell r="K497" t="str">
            <v>Elétrica</v>
          </cell>
          <cell r="L497" t="str">
            <v>Ajuste / Regulagem</v>
          </cell>
          <cell r="M497" t="str">
            <v>Falha Operacional</v>
          </cell>
          <cell r="N497">
            <v>37890</v>
          </cell>
          <cell r="O497">
            <v>0.72916666666666663</v>
          </cell>
          <cell r="P497">
            <v>37890</v>
          </cell>
          <cell r="Q497">
            <v>0.72916666666666663</v>
          </cell>
          <cell r="T497">
            <v>37891</v>
          </cell>
          <cell r="U497">
            <v>0.41666666666666669</v>
          </cell>
          <cell r="V497">
            <v>37891</v>
          </cell>
          <cell r="W497">
            <v>0.41666666666666669</v>
          </cell>
          <cell r="X497">
            <v>0.6875</v>
          </cell>
          <cell r="Y497">
            <v>0.68749999999757472</v>
          </cell>
          <cell r="AB497">
            <v>9</v>
          </cell>
          <cell r="AC497">
            <v>9</v>
          </cell>
          <cell r="AD497">
            <v>0</v>
          </cell>
          <cell r="BF497">
            <v>0</v>
          </cell>
          <cell r="BG497">
            <v>9</v>
          </cell>
          <cell r="BH497">
            <v>0</v>
          </cell>
          <cell r="BI497">
            <v>0</v>
          </cell>
          <cell r="BJ497">
            <v>0</v>
          </cell>
          <cell r="BK497">
            <v>0</v>
          </cell>
          <cell r="BL497">
            <v>0</v>
          </cell>
          <cell r="BM497">
            <v>0</v>
          </cell>
          <cell r="BN497">
            <v>0</v>
          </cell>
          <cell r="BO497">
            <v>0</v>
          </cell>
          <cell r="BP497">
            <v>0</v>
          </cell>
          <cell r="BQ497">
            <v>0</v>
          </cell>
          <cell r="BR497">
            <v>0</v>
          </cell>
          <cell r="BS497">
            <v>0</v>
          </cell>
          <cell r="BT497">
            <v>0</v>
          </cell>
          <cell r="BU497">
            <v>0</v>
          </cell>
          <cell r="BV497">
            <v>0</v>
          </cell>
          <cell r="BW497">
            <v>0</v>
          </cell>
          <cell r="BX497">
            <v>0</v>
          </cell>
          <cell r="BY497">
            <v>0</v>
          </cell>
          <cell r="BZ497">
            <v>0</v>
          </cell>
          <cell r="CA497">
            <v>0</v>
          </cell>
          <cell r="CB497">
            <v>0</v>
          </cell>
          <cell r="CC497">
            <v>0</v>
          </cell>
          <cell r="CD497">
            <v>0</v>
          </cell>
        </row>
        <row r="498">
          <cell r="C498">
            <v>37894</v>
          </cell>
          <cell r="D498">
            <v>37918</v>
          </cell>
          <cell r="E498">
            <v>299</v>
          </cell>
          <cell r="F498">
            <v>0.625</v>
          </cell>
          <cell r="G498" t="str">
            <v>Células de Solda Manual</v>
          </cell>
          <cell r="H498" t="str">
            <v>O Robô solda 03 vezes do "Lado A"</v>
          </cell>
          <cell r="I498" t="str">
            <v>Corretiva</v>
          </cell>
          <cell r="J498" t="str">
            <v>Não</v>
          </cell>
          <cell r="K498" t="str">
            <v>Elétrica</v>
          </cell>
          <cell r="L498" t="str">
            <v>Ajuste / Regulagem</v>
          </cell>
          <cell r="M498" t="str">
            <v>Falha Operacional</v>
          </cell>
          <cell r="N498">
            <v>299</v>
          </cell>
          <cell r="O498">
            <v>0.625</v>
          </cell>
          <cell r="P498">
            <v>299</v>
          </cell>
          <cell r="Q498">
            <v>0.625</v>
          </cell>
          <cell r="T498">
            <v>299</v>
          </cell>
          <cell r="U498">
            <v>0.70833333333333337</v>
          </cell>
          <cell r="V498">
            <v>299</v>
          </cell>
          <cell r="W498">
            <v>0.70833333333333337</v>
          </cell>
          <cell r="X498">
            <v>8.3333333333314386E-2</v>
          </cell>
          <cell r="Y498">
            <v>8.3333333333314386E-2</v>
          </cell>
          <cell r="AB498">
            <v>10</v>
          </cell>
          <cell r="AC498">
            <v>9</v>
          </cell>
          <cell r="AD498">
            <v>0</v>
          </cell>
          <cell r="BF498">
            <v>0</v>
          </cell>
          <cell r="BG498">
            <v>10</v>
          </cell>
          <cell r="BH498">
            <v>0</v>
          </cell>
          <cell r="BI498">
            <v>0</v>
          </cell>
          <cell r="BJ498">
            <v>0</v>
          </cell>
          <cell r="BK498">
            <v>0</v>
          </cell>
          <cell r="BL498">
            <v>0</v>
          </cell>
          <cell r="BM498">
            <v>0</v>
          </cell>
          <cell r="BN498">
            <v>0</v>
          </cell>
          <cell r="BO498">
            <v>0</v>
          </cell>
          <cell r="BP498">
            <v>0</v>
          </cell>
          <cell r="BQ498">
            <v>0</v>
          </cell>
          <cell r="BR498">
            <v>0</v>
          </cell>
          <cell r="BS498">
            <v>0</v>
          </cell>
          <cell r="BT498">
            <v>0</v>
          </cell>
          <cell r="BU498">
            <v>0</v>
          </cell>
          <cell r="BV498">
            <v>0</v>
          </cell>
          <cell r="BW498">
            <v>0</v>
          </cell>
          <cell r="BX498">
            <v>0</v>
          </cell>
          <cell r="BY498">
            <v>0</v>
          </cell>
          <cell r="BZ498">
            <v>0</v>
          </cell>
          <cell r="CA498">
            <v>0</v>
          </cell>
          <cell r="CB498">
            <v>0</v>
          </cell>
          <cell r="CC498">
            <v>0</v>
          </cell>
          <cell r="CD498">
            <v>0</v>
          </cell>
        </row>
        <row r="499">
          <cell r="C499">
            <v>37894</v>
          </cell>
          <cell r="D499">
            <v>37902</v>
          </cell>
          <cell r="E499">
            <v>37895</v>
          </cell>
          <cell r="F499">
            <v>0.29166666666666669</v>
          </cell>
          <cell r="G499" t="str">
            <v>Células de Solda Manual</v>
          </cell>
          <cell r="H499" t="str">
            <v>Máquina de Solda apresenta erro "H20"</v>
          </cell>
          <cell r="I499" t="str">
            <v>Corretiva</v>
          </cell>
          <cell r="J499" t="str">
            <v>Não</v>
          </cell>
          <cell r="K499" t="str">
            <v>Mecânica</v>
          </cell>
          <cell r="L499" t="str">
            <v>Regulagem do Componente</v>
          </cell>
          <cell r="M499" t="str">
            <v>Falha de Regulagem / Configuração / Dimensionamento</v>
          </cell>
          <cell r="N499">
            <v>37895</v>
          </cell>
          <cell r="O499">
            <v>0.33333333333333331</v>
          </cell>
          <cell r="P499">
            <v>37895</v>
          </cell>
          <cell r="Q499">
            <v>0.33333333333333331</v>
          </cell>
          <cell r="T499">
            <v>37895</v>
          </cell>
          <cell r="U499">
            <v>0.39583333333333331</v>
          </cell>
          <cell r="V499">
            <v>37895</v>
          </cell>
          <cell r="W499">
            <v>0.39583333333333331</v>
          </cell>
          <cell r="X499">
            <v>6.2500000002425338E-2</v>
          </cell>
          <cell r="Y499">
            <v>6.2500000002425338E-2</v>
          </cell>
          <cell r="AB499">
            <v>10</v>
          </cell>
          <cell r="AC499">
            <v>9</v>
          </cell>
          <cell r="AD499">
            <v>0</v>
          </cell>
          <cell r="BF499">
            <v>0</v>
          </cell>
          <cell r="BG499">
            <v>10</v>
          </cell>
          <cell r="BH499">
            <v>0</v>
          </cell>
          <cell r="BI499">
            <v>0</v>
          </cell>
          <cell r="BJ499">
            <v>0</v>
          </cell>
          <cell r="BK499">
            <v>0</v>
          </cell>
          <cell r="BL499">
            <v>0</v>
          </cell>
          <cell r="BM499">
            <v>0</v>
          </cell>
          <cell r="BN499">
            <v>0</v>
          </cell>
          <cell r="BO499">
            <v>0</v>
          </cell>
          <cell r="BP499">
            <v>0</v>
          </cell>
          <cell r="BQ499">
            <v>0</v>
          </cell>
          <cell r="BR499">
            <v>0</v>
          </cell>
          <cell r="BS499">
            <v>0</v>
          </cell>
          <cell r="BT499">
            <v>0</v>
          </cell>
          <cell r="BU499">
            <v>0</v>
          </cell>
          <cell r="BV499">
            <v>0</v>
          </cell>
          <cell r="BW499">
            <v>0</v>
          </cell>
          <cell r="BX499">
            <v>0</v>
          </cell>
          <cell r="BY499">
            <v>0</v>
          </cell>
          <cell r="BZ499">
            <v>0</v>
          </cell>
          <cell r="CA499">
            <v>0</v>
          </cell>
          <cell r="CB499">
            <v>0</v>
          </cell>
          <cell r="CC499">
            <v>0</v>
          </cell>
          <cell r="CD499">
            <v>0</v>
          </cell>
        </row>
        <row r="500">
          <cell r="C500">
            <v>37894</v>
          </cell>
          <cell r="D500">
            <v>37918</v>
          </cell>
          <cell r="E500">
            <v>37902</v>
          </cell>
          <cell r="F500">
            <v>0.61805555555555558</v>
          </cell>
          <cell r="G500" t="str">
            <v>Células de Solda Manual</v>
          </cell>
          <cell r="H500" t="str">
            <v>Suporte do flexível quebrado</v>
          </cell>
          <cell r="I500" t="str">
            <v>Corretiva</v>
          </cell>
          <cell r="J500" t="str">
            <v>Sim</v>
          </cell>
          <cell r="K500" t="str">
            <v>Mecânica</v>
          </cell>
          <cell r="L500" t="str">
            <v>Adaptação</v>
          </cell>
          <cell r="M500" t="str">
            <v>Defeito de Fabricação</v>
          </cell>
          <cell r="N500">
            <v>37902</v>
          </cell>
          <cell r="O500">
            <v>0.625</v>
          </cell>
          <cell r="P500">
            <v>37902</v>
          </cell>
          <cell r="Q500">
            <v>0.625</v>
          </cell>
          <cell r="T500">
            <v>37902</v>
          </cell>
          <cell r="U500">
            <v>0.70833333333333337</v>
          </cell>
          <cell r="V500">
            <v>37902</v>
          </cell>
          <cell r="W500">
            <v>0.70833333333333337</v>
          </cell>
          <cell r="X500">
            <v>8.333333333333337E-2</v>
          </cell>
          <cell r="Y500">
            <v>8.3333333335758653E-2</v>
          </cell>
          <cell r="AB500">
            <v>10</v>
          </cell>
          <cell r="AC500">
            <v>9</v>
          </cell>
          <cell r="AD500">
            <v>0</v>
          </cell>
          <cell r="BF500">
            <v>0</v>
          </cell>
          <cell r="BG500">
            <v>10</v>
          </cell>
          <cell r="BH500">
            <v>0</v>
          </cell>
          <cell r="BI500">
            <v>0</v>
          </cell>
          <cell r="BJ500">
            <v>0</v>
          </cell>
          <cell r="BK500">
            <v>0</v>
          </cell>
          <cell r="BL500">
            <v>0</v>
          </cell>
          <cell r="BM500">
            <v>0</v>
          </cell>
          <cell r="BN500">
            <v>0</v>
          </cell>
          <cell r="BO500">
            <v>0</v>
          </cell>
          <cell r="BP500">
            <v>0</v>
          </cell>
          <cell r="BQ500">
            <v>0</v>
          </cell>
          <cell r="BR500">
            <v>0</v>
          </cell>
          <cell r="BS500">
            <v>0</v>
          </cell>
          <cell r="BT500">
            <v>0</v>
          </cell>
          <cell r="BU500">
            <v>0</v>
          </cell>
          <cell r="BV500">
            <v>0</v>
          </cell>
          <cell r="BW500">
            <v>0</v>
          </cell>
          <cell r="BX500">
            <v>0</v>
          </cell>
          <cell r="BY500">
            <v>0</v>
          </cell>
          <cell r="BZ500">
            <v>0</v>
          </cell>
          <cell r="CA500">
            <v>0</v>
          </cell>
          <cell r="CB500">
            <v>0</v>
          </cell>
          <cell r="CC500">
            <v>0</v>
          </cell>
          <cell r="CD500">
            <v>0</v>
          </cell>
        </row>
        <row r="501">
          <cell r="C501">
            <v>37894</v>
          </cell>
          <cell r="D501">
            <v>37970</v>
          </cell>
          <cell r="E501">
            <v>37928</v>
          </cell>
          <cell r="F501">
            <v>37928</v>
          </cell>
          <cell r="G501">
            <v>0.61805555555555558</v>
          </cell>
          <cell r="H501" t="str">
            <v>Fresa não limpa o bocal de solda</v>
          </cell>
          <cell r="I501">
            <v>0</v>
          </cell>
          <cell r="J501" t="str">
            <v>Não</v>
          </cell>
          <cell r="K501" t="str">
            <v>Mecânica</v>
          </cell>
          <cell r="L501" t="str">
            <v>Não</v>
          </cell>
          <cell r="M501" t="str">
            <v>Falha de Regulagem / Configuração / Dimensionamento</v>
          </cell>
          <cell r="N501">
            <v>37929</v>
          </cell>
          <cell r="O501">
            <v>0.41666666666666669</v>
          </cell>
          <cell r="P501">
            <v>37929</v>
          </cell>
          <cell r="Q501">
            <v>0.41666666666666669</v>
          </cell>
          <cell r="T501">
            <v>37929</v>
          </cell>
          <cell r="U501">
            <v>0.45833333333333331</v>
          </cell>
          <cell r="V501">
            <v>37929</v>
          </cell>
          <cell r="W501">
            <v>0.45833333333333331</v>
          </cell>
          <cell r="X501">
            <v>4.1666666669091967E-2</v>
          </cell>
          <cell r="Y501">
            <v>4.1666666669091967E-2</v>
          </cell>
          <cell r="AB501">
            <v>11</v>
          </cell>
          <cell r="AC501">
            <v>9</v>
          </cell>
          <cell r="AD501">
            <v>0</v>
          </cell>
          <cell r="BF501">
            <v>0</v>
          </cell>
          <cell r="BG501">
            <v>11</v>
          </cell>
          <cell r="BH501">
            <v>0</v>
          </cell>
          <cell r="BI501">
            <v>0</v>
          </cell>
          <cell r="BJ501">
            <v>0</v>
          </cell>
          <cell r="BK501">
            <v>0</v>
          </cell>
          <cell r="BL501">
            <v>0</v>
          </cell>
          <cell r="BM501">
            <v>0</v>
          </cell>
          <cell r="BN501">
            <v>0</v>
          </cell>
          <cell r="BO501">
            <v>0</v>
          </cell>
          <cell r="BP501">
            <v>0</v>
          </cell>
          <cell r="BQ501">
            <v>0</v>
          </cell>
          <cell r="BR501">
            <v>0</v>
          </cell>
          <cell r="BS501">
            <v>0</v>
          </cell>
          <cell r="BT501">
            <v>0</v>
          </cell>
          <cell r="BU501">
            <v>0</v>
          </cell>
          <cell r="BV501">
            <v>0</v>
          </cell>
          <cell r="BW501">
            <v>0</v>
          </cell>
          <cell r="BX501">
            <v>0</v>
          </cell>
          <cell r="BY501">
            <v>0</v>
          </cell>
          <cell r="BZ501">
            <v>0</v>
          </cell>
          <cell r="CA501">
            <v>0</v>
          </cell>
          <cell r="CB501">
            <v>0</v>
          </cell>
          <cell r="CC501">
            <v>0</v>
          </cell>
          <cell r="CD501">
            <v>0</v>
          </cell>
        </row>
        <row r="502">
          <cell r="C502">
            <v>37894</v>
          </cell>
          <cell r="D502">
            <v>37970</v>
          </cell>
          <cell r="E502">
            <v>37935</v>
          </cell>
          <cell r="F502">
            <v>37935</v>
          </cell>
          <cell r="G502">
            <v>0.59722222222222221</v>
          </cell>
          <cell r="H502" t="str">
            <v>Mangueira de água furada</v>
          </cell>
          <cell r="I502">
            <v>0</v>
          </cell>
          <cell r="J502" t="str">
            <v>Sim</v>
          </cell>
          <cell r="K502" t="str">
            <v>Mecânica</v>
          </cell>
          <cell r="L502" t="str">
            <v>Sim</v>
          </cell>
          <cell r="M502" t="str">
            <v>Desgaste / Fadiga</v>
          </cell>
          <cell r="N502">
            <v>37935</v>
          </cell>
          <cell r="O502">
            <v>0.625</v>
          </cell>
          <cell r="P502">
            <v>37935</v>
          </cell>
          <cell r="Q502">
            <v>0.625</v>
          </cell>
          <cell r="T502">
            <v>37935</v>
          </cell>
          <cell r="U502">
            <v>0.91666666666666663</v>
          </cell>
          <cell r="V502">
            <v>37935</v>
          </cell>
          <cell r="W502">
            <v>0.91666666666666663</v>
          </cell>
          <cell r="X502">
            <v>0.29166666666666663</v>
          </cell>
          <cell r="Y502">
            <v>0.29166666666424135</v>
          </cell>
          <cell r="AB502">
            <v>11</v>
          </cell>
          <cell r="AC502">
            <v>9</v>
          </cell>
          <cell r="AD502">
            <v>0</v>
          </cell>
          <cell r="BF502">
            <v>0</v>
          </cell>
          <cell r="BG502">
            <v>11</v>
          </cell>
          <cell r="BH502">
            <v>0</v>
          </cell>
          <cell r="BI502">
            <v>0</v>
          </cell>
          <cell r="BJ502">
            <v>0</v>
          </cell>
          <cell r="BK502">
            <v>0</v>
          </cell>
          <cell r="BL502">
            <v>0</v>
          </cell>
          <cell r="BM502">
            <v>0</v>
          </cell>
          <cell r="BN502">
            <v>0</v>
          </cell>
          <cell r="BO502">
            <v>0</v>
          </cell>
          <cell r="BP502">
            <v>0</v>
          </cell>
          <cell r="BQ502">
            <v>0</v>
          </cell>
          <cell r="BR502">
            <v>0</v>
          </cell>
          <cell r="BS502">
            <v>0</v>
          </cell>
          <cell r="BT502">
            <v>0</v>
          </cell>
          <cell r="BU502">
            <v>0</v>
          </cell>
          <cell r="BV502">
            <v>0</v>
          </cell>
          <cell r="BW502">
            <v>0</v>
          </cell>
          <cell r="BX502">
            <v>0</v>
          </cell>
          <cell r="BY502">
            <v>0</v>
          </cell>
          <cell r="BZ502">
            <v>0</v>
          </cell>
          <cell r="CA502">
            <v>0</v>
          </cell>
          <cell r="CB502">
            <v>0</v>
          </cell>
          <cell r="CC502">
            <v>0</v>
          </cell>
          <cell r="CD502">
            <v>0</v>
          </cell>
        </row>
        <row r="503">
          <cell r="C503">
            <v>37894</v>
          </cell>
          <cell r="D503">
            <v>37970</v>
          </cell>
          <cell r="E503">
            <v>37937</v>
          </cell>
          <cell r="F503">
            <v>37937</v>
          </cell>
          <cell r="G503">
            <v>0.34027777777777773</v>
          </cell>
          <cell r="H503" t="str">
            <v>Micros do painel de comando com defeito</v>
          </cell>
          <cell r="I503">
            <v>0</v>
          </cell>
          <cell r="J503" t="str">
            <v>Sim</v>
          </cell>
          <cell r="K503" t="str">
            <v>Elétrica</v>
          </cell>
          <cell r="L503" t="str">
            <v>Sim</v>
          </cell>
          <cell r="M503" t="str">
            <v>Falha de Comando / Sistema</v>
          </cell>
          <cell r="N503">
            <v>37937</v>
          </cell>
          <cell r="O503">
            <v>0.34027777777777773</v>
          </cell>
          <cell r="P503">
            <v>37937</v>
          </cell>
          <cell r="Q503">
            <v>0.34027777777777773</v>
          </cell>
          <cell r="T503">
            <v>37937</v>
          </cell>
          <cell r="U503">
            <v>0.75</v>
          </cell>
          <cell r="V503">
            <v>37937</v>
          </cell>
          <cell r="W503">
            <v>0.75</v>
          </cell>
          <cell r="X503">
            <v>0.40972222222222227</v>
          </cell>
          <cell r="Y503">
            <v>0.40972222222222227</v>
          </cell>
          <cell r="AB503">
            <v>11</v>
          </cell>
          <cell r="AC503">
            <v>9</v>
          </cell>
          <cell r="AD503">
            <v>0</v>
          </cell>
          <cell r="BF503">
            <v>0</v>
          </cell>
          <cell r="BG503">
            <v>11</v>
          </cell>
          <cell r="BH503">
            <v>0</v>
          </cell>
          <cell r="BI503">
            <v>0</v>
          </cell>
          <cell r="BJ503">
            <v>0</v>
          </cell>
          <cell r="BK503">
            <v>0</v>
          </cell>
          <cell r="BL503">
            <v>0</v>
          </cell>
          <cell r="BM503">
            <v>0</v>
          </cell>
          <cell r="BN503">
            <v>0</v>
          </cell>
          <cell r="BO503">
            <v>0</v>
          </cell>
          <cell r="BP503">
            <v>0</v>
          </cell>
          <cell r="BQ503">
            <v>0</v>
          </cell>
          <cell r="BR503">
            <v>0</v>
          </cell>
          <cell r="BS503">
            <v>0</v>
          </cell>
          <cell r="BT503">
            <v>0</v>
          </cell>
          <cell r="BU503">
            <v>0</v>
          </cell>
          <cell r="BV503">
            <v>0</v>
          </cell>
          <cell r="BW503">
            <v>0</v>
          </cell>
          <cell r="BX503">
            <v>0</v>
          </cell>
          <cell r="BY503">
            <v>0</v>
          </cell>
          <cell r="BZ503">
            <v>0</v>
          </cell>
          <cell r="CA503">
            <v>0</v>
          </cell>
          <cell r="CB503">
            <v>0</v>
          </cell>
          <cell r="CC503">
            <v>0</v>
          </cell>
          <cell r="CD503">
            <v>0</v>
          </cell>
        </row>
        <row r="504">
          <cell r="C504">
            <v>37894</v>
          </cell>
          <cell r="D504">
            <v>37970</v>
          </cell>
          <cell r="E504">
            <v>37937</v>
          </cell>
          <cell r="F504">
            <v>37937</v>
          </cell>
          <cell r="G504">
            <v>0.70833333333333337</v>
          </cell>
          <cell r="H504" t="str">
            <v>Arame de solda está enroscando</v>
          </cell>
          <cell r="I504">
            <v>0</v>
          </cell>
          <cell r="J504" t="str">
            <v>Sim</v>
          </cell>
          <cell r="K504" t="str">
            <v>Mecânica</v>
          </cell>
          <cell r="L504" t="str">
            <v>Sim</v>
          </cell>
          <cell r="M504" t="str">
            <v>Desgaste / Fadiga</v>
          </cell>
          <cell r="N504">
            <v>37937</v>
          </cell>
          <cell r="O504">
            <v>0.70833333333333337</v>
          </cell>
          <cell r="P504">
            <v>37937</v>
          </cell>
          <cell r="Q504">
            <v>0.70833333333333337</v>
          </cell>
          <cell r="T504">
            <v>37937</v>
          </cell>
          <cell r="U504">
            <v>0.79166666666666663</v>
          </cell>
          <cell r="V504">
            <v>37937</v>
          </cell>
          <cell r="W504">
            <v>0.79166666666666663</v>
          </cell>
          <cell r="X504">
            <v>8.3333333333333259E-2</v>
          </cell>
          <cell r="Y504">
            <v>8.3333333330907977E-2</v>
          </cell>
          <cell r="AB504">
            <v>11</v>
          </cell>
          <cell r="AC504">
            <v>9</v>
          </cell>
          <cell r="AD504">
            <v>0</v>
          </cell>
          <cell r="BF504">
            <v>0</v>
          </cell>
          <cell r="BG504">
            <v>11</v>
          </cell>
          <cell r="BH504">
            <v>0</v>
          </cell>
          <cell r="BI504">
            <v>0</v>
          </cell>
          <cell r="BJ504">
            <v>0</v>
          </cell>
          <cell r="BK504">
            <v>0</v>
          </cell>
          <cell r="BL504">
            <v>0</v>
          </cell>
          <cell r="BM504">
            <v>0</v>
          </cell>
          <cell r="BN504">
            <v>0</v>
          </cell>
          <cell r="BO504">
            <v>0</v>
          </cell>
          <cell r="BP504">
            <v>0</v>
          </cell>
          <cell r="BQ504">
            <v>0</v>
          </cell>
          <cell r="BR504">
            <v>0</v>
          </cell>
          <cell r="BS504">
            <v>0</v>
          </cell>
          <cell r="BT504">
            <v>0</v>
          </cell>
          <cell r="BU504">
            <v>0</v>
          </cell>
          <cell r="BV504">
            <v>0</v>
          </cell>
          <cell r="BW504">
            <v>0</v>
          </cell>
          <cell r="BX504">
            <v>0</v>
          </cell>
          <cell r="BY504">
            <v>0</v>
          </cell>
          <cell r="BZ504">
            <v>0</v>
          </cell>
          <cell r="CA504">
            <v>0</v>
          </cell>
          <cell r="CB504">
            <v>0</v>
          </cell>
          <cell r="CC504">
            <v>0</v>
          </cell>
          <cell r="CD504">
            <v>0</v>
          </cell>
        </row>
        <row r="505">
          <cell r="C505">
            <v>37894</v>
          </cell>
          <cell r="D505">
            <v>37970</v>
          </cell>
          <cell r="E505">
            <v>37946</v>
          </cell>
          <cell r="F505">
            <v>0.59444444444444444</v>
          </cell>
          <cell r="G505" t="str">
            <v>Células de Solda Manual</v>
          </cell>
          <cell r="H505" t="str">
            <v>Barreira travada</v>
          </cell>
          <cell r="I505">
            <v>0</v>
          </cell>
          <cell r="J505" t="str">
            <v>Sim</v>
          </cell>
          <cell r="K505" t="str">
            <v>Elétrica</v>
          </cell>
          <cell r="L505" t="str">
            <v>Reparo</v>
          </cell>
          <cell r="M505" t="str">
            <v>Falha de Comando / Sistema</v>
          </cell>
          <cell r="N505">
            <v>37946</v>
          </cell>
          <cell r="O505">
            <v>0.59722222222222221</v>
          </cell>
          <cell r="P505">
            <v>0</v>
          </cell>
          <cell r="T505">
            <v>37946</v>
          </cell>
          <cell r="U505">
            <v>0.72916666666666663</v>
          </cell>
          <cell r="V505">
            <v>0</v>
          </cell>
          <cell r="W505">
            <v>0.13472222221979691</v>
          </cell>
          <cell r="X505">
            <v>0</v>
          </cell>
          <cell r="Y505">
            <v>0</v>
          </cell>
          <cell r="AB505">
            <v>11</v>
          </cell>
          <cell r="AC505">
            <v>9</v>
          </cell>
          <cell r="AD505">
            <v>0</v>
          </cell>
          <cell r="BF505">
            <v>0</v>
          </cell>
          <cell r="BG505">
            <v>11</v>
          </cell>
          <cell r="BH505">
            <v>0</v>
          </cell>
          <cell r="BI505">
            <v>0</v>
          </cell>
          <cell r="BJ505">
            <v>0</v>
          </cell>
          <cell r="BK505">
            <v>0</v>
          </cell>
          <cell r="BL505">
            <v>0</v>
          </cell>
          <cell r="BM505">
            <v>0</v>
          </cell>
          <cell r="BN505">
            <v>0</v>
          </cell>
          <cell r="BO505">
            <v>0</v>
          </cell>
          <cell r="BP505">
            <v>0</v>
          </cell>
          <cell r="BQ505">
            <v>0</v>
          </cell>
          <cell r="BR505">
            <v>0</v>
          </cell>
          <cell r="BS505">
            <v>0</v>
          </cell>
          <cell r="BT505">
            <v>0</v>
          </cell>
          <cell r="BU505">
            <v>0</v>
          </cell>
          <cell r="BV505">
            <v>0</v>
          </cell>
          <cell r="BW505">
            <v>0</v>
          </cell>
          <cell r="BX505">
            <v>0</v>
          </cell>
          <cell r="BY505">
            <v>0</v>
          </cell>
          <cell r="BZ505">
            <v>0</v>
          </cell>
          <cell r="CA505">
            <v>0</v>
          </cell>
          <cell r="CB505">
            <v>0</v>
          </cell>
          <cell r="CC505">
            <v>0</v>
          </cell>
          <cell r="CD505">
            <v>0</v>
          </cell>
        </row>
        <row r="506">
          <cell r="C506">
            <v>37894</v>
          </cell>
          <cell r="D506">
            <v>37970</v>
          </cell>
          <cell r="E506">
            <v>37952</v>
          </cell>
          <cell r="F506">
            <v>0.90277777777777779</v>
          </cell>
          <cell r="G506" t="str">
            <v>Células de Solda Manual</v>
          </cell>
          <cell r="H506" t="str">
            <v>Bocal da tocha dos robôs desgastado</v>
          </cell>
          <cell r="I506">
            <v>0</v>
          </cell>
          <cell r="J506" t="str">
            <v>Não</v>
          </cell>
          <cell r="K506" t="str">
            <v>Mecânica</v>
          </cell>
          <cell r="L506" t="str">
            <v>Substituição do(s) Componente(s)</v>
          </cell>
          <cell r="M506" t="str">
            <v>Desgaste / Fadiga</v>
          </cell>
          <cell r="N506">
            <v>37952</v>
          </cell>
          <cell r="O506">
            <v>0.90277777777777779</v>
          </cell>
          <cell r="P506">
            <v>0</v>
          </cell>
          <cell r="T506">
            <v>37952</v>
          </cell>
          <cell r="U506">
            <v>0.92708333333333337</v>
          </cell>
          <cell r="V506">
            <v>0</v>
          </cell>
          <cell r="W506">
            <v>2.4305555557980862E-2</v>
          </cell>
          <cell r="X506">
            <v>0</v>
          </cell>
          <cell r="Y506">
            <v>0</v>
          </cell>
          <cell r="AB506">
            <v>11</v>
          </cell>
          <cell r="AC506">
            <v>9</v>
          </cell>
          <cell r="AD506">
            <v>0</v>
          </cell>
          <cell r="BF506">
            <v>0</v>
          </cell>
          <cell r="BG506">
            <v>11</v>
          </cell>
          <cell r="BH506">
            <v>0</v>
          </cell>
          <cell r="BI506">
            <v>0</v>
          </cell>
          <cell r="BJ506">
            <v>0</v>
          </cell>
          <cell r="BK506">
            <v>0</v>
          </cell>
          <cell r="BL506">
            <v>0</v>
          </cell>
          <cell r="BM506">
            <v>0</v>
          </cell>
          <cell r="BN506">
            <v>0</v>
          </cell>
          <cell r="BO506">
            <v>0</v>
          </cell>
          <cell r="BP506">
            <v>0</v>
          </cell>
          <cell r="BQ506">
            <v>0</v>
          </cell>
          <cell r="BR506">
            <v>0</v>
          </cell>
          <cell r="BS506">
            <v>0</v>
          </cell>
          <cell r="BT506">
            <v>0</v>
          </cell>
          <cell r="BU506">
            <v>0</v>
          </cell>
          <cell r="BV506">
            <v>0</v>
          </cell>
          <cell r="BW506">
            <v>0</v>
          </cell>
          <cell r="BX506">
            <v>0</v>
          </cell>
          <cell r="BY506">
            <v>0</v>
          </cell>
          <cell r="BZ506">
            <v>0</v>
          </cell>
          <cell r="CA506">
            <v>0</v>
          </cell>
          <cell r="CB506">
            <v>0</v>
          </cell>
          <cell r="CC506">
            <v>0</v>
          </cell>
          <cell r="CD506">
            <v>0</v>
          </cell>
        </row>
        <row r="507">
          <cell r="C507">
            <v>37894</v>
          </cell>
          <cell r="D507">
            <v>37970</v>
          </cell>
          <cell r="E507">
            <v>37956</v>
          </cell>
          <cell r="F507">
            <v>0.98611111111111116</v>
          </cell>
          <cell r="G507" t="str">
            <v>Células de Solda Manual</v>
          </cell>
          <cell r="H507" t="str">
            <v>Colisão dos robôs</v>
          </cell>
          <cell r="I507">
            <v>0</v>
          </cell>
          <cell r="J507" t="str">
            <v>Sim</v>
          </cell>
          <cell r="K507" t="str">
            <v>Elétrica</v>
          </cell>
          <cell r="L507" t="str">
            <v>Substituição do(s) Componente(s)</v>
          </cell>
          <cell r="M507" t="str">
            <v>Falha Operacional</v>
          </cell>
          <cell r="N507">
            <v>37957</v>
          </cell>
          <cell r="O507">
            <v>0.29166666666666669</v>
          </cell>
          <cell r="P507">
            <v>0</v>
          </cell>
          <cell r="T507">
            <v>37957</v>
          </cell>
          <cell r="U507">
            <v>0.41666666666666669</v>
          </cell>
          <cell r="V507">
            <v>0</v>
          </cell>
          <cell r="W507">
            <v>0.18055555555313019</v>
          </cell>
          <cell r="X507">
            <v>0</v>
          </cell>
          <cell r="Y507">
            <v>0</v>
          </cell>
          <cell r="AB507">
            <v>12</v>
          </cell>
          <cell r="AC507">
            <v>9</v>
          </cell>
          <cell r="AD507">
            <v>0</v>
          </cell>
          <cell r="BF507">
            <v>0</v>
          </cell>
          <cell r="BG507">
            <v>12</v>
          </cell>
          <cell r="BH507">
            <v>0</v>
          </cell>
          <cell r="BI507">
            <v>0</v>
          </cell>
          <cell r="BJ507">
            <v>0</v>
          </cell>
          <cell r="BK507">
            <v>0</v>
          </cell>
          <cell r="BL507">
            <v>0</v>
          </cell>
          <cell r="BM507">
            <v>0</v>
          </cell>
          <cell r="BN507">
            <v>0</v>
          </cell>
          <cell r="BO507">
            <v>0</v>
          </cell>
          <cell r="BP507">
            <v>0</v>
          </cell>
          <cell r="BQ507">
            <v>0</v>
          </cell>
          <cell r="BR507">
            <v>0</v>
          </cell>
          <cell r="BS507">
            <v>0</v>
          </cell>
          <cell r="BT507">
            <v>0</v>
          </cell>
          <cell r="BU507">
            <v>0</v>
          </cell>
          <cell r="BV507">
            <v>0</v>
          </cell>
          <cell r="BW507">
            <v>0</v>
          </cell>
          <cell r="BX507">
            <v>0</v>
          </cell>
          <cell r="BY507">
            <v>0</v>
          </cell>
          <cell r="BZ507">
            <v>0</v>
          </cell>
          <cell r="CA507">
            <v>0</v>
          </cell>
          <cell r="CB507">
            <v>0</v>
          </cell>
          <cell r="CC507">
            <v>0</v>
          </cell>
          <cell r="CD507">
            <v>0</v>
          </cell>
        </row>
        <row r="508">
          <cell r="C508">
            <v>37894</v>
          </cell>
          <cell r="I508">
            <v>0</v>
          </cell>
          <cell r="N508">
            <v>0</v>
          </cell>
          <cell r="P508">
            <v>0</v>
          </cell>
          <cell r="T508">
            <v>0</v>
          </cell>
          <cell r="V508">
            <v>0</v>
          </cell>
          <cell r="W508">
            <v>0</v>
          </cell>
          <cell r="X508">
            <v>0</v>
          </cell>
          <cell r="Y508">
            <v>0</v>
          </cell>
          <cell r="AB508">
            <v>0</v>
          </cell>
          <cell r="AC508">
            <v>9</v>
          </cell>
          <cell r="AD508">
            <v>0</v>
          </cell>
          <cell r="BF508">
            <v>0</v>
          </cell>
          <cell r="BG508">
            <v>0</v>
          </cell>
          <cell r="BH508">
            <v>0</v>
          </cell>
          <cell r="BI508">
            <v>0</v>
          </cell>
          <cell r="BJ508">
            <v>0</v>
          </cell>
          <cell r="BK508">
            <v>0</v>
          </cell>
          <cell r="BL508">
            <v>0</v>
          </cell>
          <cell r="BM508">
            <v>0</v>
          </cell>
          <cell r="BN508">
            <v>0</v>
          </cell>
          <cell r="BO508">
            <v>0</v>
          </cell>
          <cell r="BP508">
            <v>0</v>
          </cell>
          <cell r="BQ508">
            <v>0</v>
          </cell>
          <cell r="BR508">
            <v>0</v>
          </cell>
          <cell r="BS508">
            <v>0</v>
          </cell>
          <cell r="BT508">
            <v>0</v>
          </cell>
          <cell r="BU508">
            <v>0</v>
          </cell>
          <cell r="BV508">
            <v>0</v>
          </cell>
          <cell r="BW508">
            <v>0</v>
          </cell>
          <cell r="BX508">
            <v>0</v>
          </cell>
          <cell r="BY508">
            <v>0</v>
          </cell>
          <cell r="BZ508">
            <v>0</v>
          </cell>
          <cell r="CA508">
            <v>0</v>
          </cell>
          <cell r="CB508">
            <v>0</v>
          </cell>
          <cell r="CC508">
            <v>0</v>
          </cell>
          <cell r="CD508">
            <v>0</v>
          </cell>
        </row>
        <row r="509">
          <cell r="C509">
            <v>37894</v>
          </cell>
          <cell r="D509">
            <v>37971</v>
          </cell>
          <cell r="E509">
            <v>37958</v>
          </cell>
          <cell r="F509">
            <v>0.51458333333333328</v>
          </cell>
          <cell r="G509" t="str">
            <v>Células de Solda Manual</v>
          </cell>
          <cell r="H509" t="str">
            <v>Colisão dos robôs / Mensagem de erro H20</v>
          </cell>
          <cell r="I509">
            <v>0</v>
          </cell>
          <cell r="J509" t="str">
            <v>Não</v>
          </cell>
          <cell r="K509" t="str">
            <v>Mecânica</v>
          </cell>
          <cell r="L509" t="str">
            <v>Limpeza do Equipamento / Componente</v>
          </cell>
          <cell r="M509" t="str">
            <v>Sujeira em excesso</v>
          </cell>
          <cell r="N509">
            <v>37958</v>
          </cell>
          <cell r="O509">
            <v>0.58333333333333337</v>
          </cell>
          <cell r="P509">
            <v>0</v>
          </cell>
          <cell r="T509">
            <v>37958</v>
          </cell>
          <cell r="U509">
            <v>0.60763888888888895</v>
          </cell>
          <cell r="V509">
            <v>0</v>
          </cell>
          <cell r="W509">
            <v>2.4305555557172398E-2</v>
          </cell>
          <cell r="X509">
            <v>0</v>
          </cell>
          <cell r="Y509">
            <v>0</v>
          </cell>
          <cell r="AB509">
            <v>12</v>
          </cell>
          <cell r="AC509">
            <v>9</v>
          </cell>
          <cell r="AD509">
            <v>0</v>
          </cell>
          <cell r="BF509">
            <v>0</v>
          </cell>
          <cell r="BG509">
            <v>12</v>
          </cell>
          <cell r="BH509">
            <v>0</v>
          </cell>
          <cell r="BI509">
            <v>0</v>
          </cell>
          <cell r="BJ509">
            <v>0</v>
          </cell>
          <cell r="BK509">
            <v>0</v>
          </cell>
          <cell r="BL509">
            <v>0</v>
          </cell>
          <cell r="BM509">
            <v>0</v>
          </cell>
          <cell r="BN509">
            <v>0</v>
          </cell>
          <cell r="BO509">
            <v>0</v>
          </cell>
          <cell r="BP509">
            <v>0</v>
          </cell>
          <cell r="BQ509">
            <v>0</v>
          </cell>
          <cell r="BR509">
            <v>0</v>
          </cell>
          <cell r="BS509">
            <v>0</v>
          </cell>
          <cell r="BT509">
            <v>0</v>
          </cell>
          <cell r="BU509">
            <v>0</v>
          </cell>
          <cell r="BV509">
            <v>0</v>
          </cell>
          <cell r="BW509">
            <v>0</v>
          </cell>
          <cell r="BX509">
            <v>0</v>
          </cell>
          <cell r="BY509">
            <v>0</v>
          </cell>
          <cell r="BZ509">
            <v>0</v>
          </cell>
          <cell r="CA509">
            <v>0</v>
          </cell>
          <cell r="CB509">
            <v>0</v>
          </cell>
          <cell r="CC509">
            <v>0</v>
          </cell>
          <cell r="CD509">
            <v>0</v>
          </cell>
        </row>
        <row r="510">
          <cell r="C510">
            <v>37894</v>
          </cell>
          <cell r="D510">
            <v>37971</v>
          </cell>
          <cell r="E510">
            <v>37958</v>
          </cell>
          <cell r="F510">
            <v>0.64583333333333337</v>
          </cell>
          <cell r="G510" t="str">
            <v>Células de Solda Manual</v>
          </cell>
          <cell r="H510" t="str">
            <v>Tomadas de alimentação não funcionam</v>
          </cell>
          <cell r="I510">
            <v>0</v>
          </cell>
          <cell r="J510" t="str">
            <v>Sim</v>
          </cell>
          <cell r="K510" t="str">
            <v>Elétrica</v>
          </cell>
          <cell r="L510" t="str">
            <v>Reinicialização do Equipamento / Componente</v>
          </cell>
          <cell r="M510" t="str">
            <v>Curto-circuito</v>
          </cell>
          <cell r="N510">
            <v>37958</v>
          </cell>
          <cell r="O510">
            <v>0.64583333333333337</v>
          </cell>
          <cell r="P510">
            <v>0</v>
          </cell>
          <cell r="T510">
            <v>37958</v>
          </cell>
          <cell r="U510">
            <v>0.64930555555555558</v>
          </cell>
          <cell r="V510">
            <v>0</v>
          </cell>
          <cell r="W510">
            <v>3.4722222214137455E-3</v>
          </cell>
          <cell r="X510">
            <v>0</v>
          </cell>
          <cell r="Y510">
            <v>0</v>
          </cell>
          <cell r="AB510">
            <v>12</v>
          </cell>
          <cell r="AC510">
            <v>9</v>
          </cell>
          <cell r="AD510">
            <v>0</v>
          </cell>
          <cell r="BF510">
            <v>0</v>
          </cell>
          <cell r="BG510">
            <v>12</v>
          </cell>
          <cell r="BH510">
            <v>0</v>
          </cell>
          <cell r="BI510">
            <v>0</v>
          </cell>
          <cell r="BJ510">
            <v>0</v>
          </cell>
          <cell r="BK510">
            <v>0</v>
          </cell>
          <cell r="BL510">
            <v>0</v>
          </cell>
          <cell r="BM510">
            <v>0</v>
          </cell>
          <cell r="BN510">
            <v>0</v>
          </cell>
          <cell r="BO510">
            <v>0</v>
          </cell>
          <cell r="BP510">
            <v>0</v>
          </cell>
          <cell r="BQ510">
            <v>0</v>
          </cell>
          <cell r="BR510">
            <v>0</v>
          </cell>
          <cell r="BS510">
            <v>0</v>
          </cell>
          <cell r="BT510">
            <v>0</v>
          </cell>
          <cell r="BU510">
            <v>0</v>
          </cell>
          <cell r="BV510">
            <v>0</v>
          </cell>
          <cell r="BW510">
            <v>0</v>
          </cell>
          <cell r="BX510">
            <v>0</v>
          </cell>
          <cell r="BY510">
            <v>0</v>
          </cell>
          <cell r="BZ510">
            <v>0</v>
          </cell>
          <cell r="CA510">
            <v>0</v>
          </cell>
          <cell r="CB510">
            <v>0</v>
          </cell>
          <cell r="CC510">
            <v>0</v>
          </cell>
          <cell r="CD510">
            <v>0</v>
          </cell>
        </row>
        <row r="511">
          <cell r="C511">
            <v>37894</v>
          </cell>
          <cell r="I511">
            <v>0</v>
          </cell>
          <cell r="N511">
            <v>0</v>
          </cell>
          <cell r="P511">
            <v>0</v>
          </cell>
          <cell r="T511">
            <v>0</v>
          </cell>
          <cell r="V511">
            <v>0</v>
          </cell>
          <cell r="W511">
            <v>0</v>
          </cell>
          <cell r="X511">
            <v>0</v>
          </cell>
          <cell r="Y511">
            <v>0</v>
          </cell>
          <cell r="AB511">
            <v>0</v>
          </cell>
          <cell r="AC511">
            <v>9</v>
          </cell>
          <cell r="AD511">
            <v>0</v>
          </cell>
          <cell r="BF511">
            <v>0</v>
          </cell>
          <cell r="BG511">
            <v>0</v>
          </cell>
          <cell r="BH511">
            <v>0</v>
          </cell>
          <cell r="BI511">
            <v>0</v>
          </cell>
          <cell r="BJ511">
            <v>0</v>
          </cell>
          <cell r="BK511">
            <v>0</v>
          </cell>
          <cell r="BL511">
            <v>0</v>
          </cell>
          <cell r="BM511">
            <v>0</v>
          </cell>
          <cell r="BN511">
            <v>0</v>
          </cell>
          <cell r="BO511">
            <v>0</v>
          </cell>
          <cell r="BP511">
            <v>0</v>
          </cell>
          <cell r="BQ511">
            <v>0</v>
          </cell>
          <cell r="BR511">
            <v>0</v>
          </cell>
          <cell r="BS511">
            <v>0</v>
          </cell>
          <cell r="BT511">
            <v>0</v>
          </cell>
          <cell r="BU511">
            <v>0</v>
          </cell>
          <cell r="BV511">
            <v>0</v>
          </cell>
          <cell r="BW511">
            <v>0</v>
          </cell>
          <cell r="BX511">
            <v>0</v>
          </cell>
          <cell r="BY511">
            <v>0</v>
          </cell>
          <cell r="BZ511">
            <v>0</v>
          </cell>
          <cell r="CA511">
            <v>0</v>
          </cell>
          <cell r="CB511">
            <v>0</v>
          </cell>
          <cell r="CC511">
            <v>0</v>
          </cell>
          <cell r="CD511">
            <v>0</v>
          </cell>
        </row>
        <row r="512">
          <cell r="C512">
            <v>37894</v>
          </cell>
          <cell r="I512">
            <v>0</v>
          </cell>
          <cell r="N512">
            <v>0</v>
          </cell>
          <cell r="P512">
            <v>0</v>
          </cell>
          <cell r="T512">
            <v>0</v>
          </cell>
          <cell r="V512">
            <v>0</v>
          </cell>
          <cell r="W512">
            <v>0</v>
          </cell>
          <cell r="X512">
            <v>0</v>
          </cell>
          <cell r="Y512">
            <v>0</v>
          </cell>
          <cell r="AB512">
            <v>0</v>
          </cell>
          <cell r="AC512">
            <v>9</v>
          </cell>
          <cell r="AD512">
            <v>0</v>
          </cell>
          <cell r="BF512">
            <v>0</v>
          </cell>
          <cell r="BG512">
            <v>0</v>
          </cell>
          <cell r="BH512">
            <v>0</v>
          </cell>
          <cell r="BI512">
            <v>0</v>
          </cell>
          <cell r="BJ512">
            <v>0</v>
          </cell>
          <cell r="BK512">
            <v>0</v>
          </cell>
          <cell r="BL512">
            <v>0</v>
          </cell>
          <cell r="BM512">
            <v>0</v>
          </cell>
          <cell r="BN512">
            <v>0</v>
          </cell>
          <cell r="BO512">
            <v>0</v>
          </cell>
          <cell r="BP512">
            <v>0</v>
          </cell>
          <cell r="BQ512">
            <v>0</v>
          </cell>
          <cell r="BR512">
            <v>0</v>
          </cell>
          <cell r="BS512">
            <v>0</v>
          </cell>
          <cell r="BT512">
            <v>0</v>
          </cell>
          <cell r="BU512">
            <v>0</v>
          </cell>
          <cell r="BV512">
            <v>0</v>
          </cell>
          <cell r="BW512">
            <v>0</v>
          </cell>
          <cell r="BX512">
            <v>0</v>
          </cell>
          <cell r="BY512">
            <v>0</v>
          </cell>
          <cell r="BZ512">
            <v>0</v>
          </cell>
          <cell r="CA512">
            <v>0</v>
          </cell>
          <cell r="CB512">
            <v>0</v>
          </cell>
          <cell r="CC512">
            <v>0</v>
          </cell>
          <cell r="CD512">
            <v>0</v>
          </cell>
        </row>
        <row r="513">
          <cell r="C513">
            <v>37894</v>
          </cell>
          <cell r="D513">
            <v>37971</v>
          </cell>
          <cell r="E513">
            <v>37964</v>
          </cell>
          <cell r="F513">
            <v>0.45833333333333331</v>
          </cell>
          <cell r="G513" t="str">
            <v>Equipamentos diversos</v>
          </cell>
          <cell r="H513" t="str">
            <v>Cabo de alimentação apresenta problemas</v>
          </cell>
          <cell r="I513">
            <v>0</v>
          </cell>
          <cell r="J513" t="str">
            <v>Sim</v>
          </cell>
          <cell r="K513" t="str">
            <v>Elétrica</v>
          </cell>
          <cell r="L513" t="str">
            <v>Limpeza do Equipamento / Componente</v>
          </cell>
          <cell r="M513" t="str">
            <v>Desgaste / Fadiga</v>
          </cell>
          <cell r="N513">
            <v>37964</v>
          </cell>
          <cell r="O513">
            <v>0.45833333333333331</v>
          </cell>
          <cell r="P513">
            <v>0</v>
          </cell>
          <cell r="T513">
            <v>37964</v>
          </cell>
          <cell r="U513">
            <v>0.48958333333333331</v>
          </cell>
          <cell r="V513">
            <v>0</v>
          </cell>
          <cell r="W513">
            <v>3.1250000002425338E-2</v>
          </cell>
          <cell r="X513">
            <v>0</v>
          </cell>
          <cell r="Y513">
            <v>0</v>
          </cell>
          <cell r="AB513">
            <v>12</v>
          </cell>
          <cell r="AC513">
            <v>9</v>
          </cell>
          <cell r="AD513">
            <v>0</v>
          </cell>
          <cell r="BF513">
            <v>0</v>
          </cell>
          <cell r="BG513">
            <v>0</v>
          </cell>
          <cell r="BH513">
            <v>0</v>
          </cell>
          <cell r="BI513">
            <v>0</v>
          </cell>
          <cell r="BJ513">
            <v>12</v>
          </cell>
          <cell r="BK513">
            <v>0</v>
          </cell>
          <cell r="BL513">
            <v>0</v>
          </cell>
          <cell r="BM513">
            <v>0</v>
          </cell>
          <cell r="BN513">
            <v>0</v>
          </cell>
          <cell r="BO513">
            <v>0</v>
          </cell>
          <cell r="BP513">
            <v>0</v>
          </cell>
          <cell r="BQ513">
            <v>0</v>
          </cell>
          <cell r="BR513">
            <v>0</v>
          </cell>
          <cell r="BS513">
            <v>0</v>
          </cell>
          <cell r="BT513">
            <v>0</v>
          </cell>
          <cell r="BU513">
            <v>0</v>
          </cell>
          <cell r="BV513">
            <v>0</v>
          </cell>
          <cell r="BW513">
            <v>0</v>
          </cell>
          <cell r="BX513">
            <v>0</v>
          </cell>
          <cell r="BY513">
            <v>0</v>
          </cell>
          <cell r="BZ513">
            <v>0</v>
          </cell>
          <cell r="CA513">
            <v>0</v>
          </cell>
          <cell r="CB513">
            <v>0</v>
          </cell>
          <cell r="CC513">
            <v>0</v>
          </cell>
          <cell r="CD513">
            <v>0</v>
          </cell>
        </row>
        <row r="514">
          <cell r="C514">
            <v>37894</v>
          </cell>
          <cell r="I514">
            <v>0</v>
          </cell>
          <cell r="N514">
            <v>0</v>
          </cell>
          <cell r="P514">
            <v>0</v>
          </cell>
          <cell r="T514">
            <v>0</v>
          </cell>
          <cell r="V514">
            <v>0</v>
          </cell>
          <cell r="W514">
            <v>0</v>
          </cell>
          <cell r="X514">
            <v>0</v>
          </cell>
          <cell r="Y514">
            <v>0</v>
          </cell>
          <cell r="AB514">
            <v>0</v>
          </cell>
          <cell r="AC514">
            <v>9</v>
          </cell>
          <cell r="AD514">
            <v>0</v>
          </cell>
          <cell r="BF514">
            <v>0</v>
          </cell>
          <cell r="BG514">
            <v>0</v>
          </cell>
          <cell r="BH514">
            <v>0</v>
          </cell>
          <cell r="BI514">
            <v>0</v>
          </cell>
          <cell r="BJ514">
            <v>0</v>
          </cell>
          <cell r="BK514">
            <v>0</v>
          </cell>
          <cell r="BL514">
            <v>0</v>
          </cell>
          <cell r="BM514">
            <v>0</v>
          </cell>
          <cell r="BN514">
            <v>0</v>
          </cell>
          <cell r="BO514">
            <v>0</v>
          </cell>
          <cell r="BP514">
            <v>0</v>
          </cell>
          <cell r="BQ514">
            <v>0</v>
          </cell>
          <cell r="BR514">
            <v>0</v>
          </cell>
          <cell r="BS514">
            <v>0</v>
          </cell>
          <cell r="BT514">
            <v>0</v>
          </cell>
          <cell r="BU514">
            <v>0</v>
          </cell>
          <cell r="BV514">
            <v>0</v>
          </cell>
          <cell r="BW514">
            <v>0</v>
          </cell>
          <cell r="BX514">
            <v>0</v>
          </cell>
          <cell r="BY514">
            <v>0</v>
          </cell>
          <cell r="BZ514">
            <v>0</v>
          </cell>
          <cell r="CA514">
            <v>0</v>
          </cell>
          <cell r="CB514">
            <v>0</v>
          </cell>
          <cell r="CC514">
            <v>0</v>
          </cell>
          <cell r="CD514">
            <v>0</v>
          </cell>
        </row>
        <row r="515">
          <cell r="C515">
            <v>37894</v>
          </cell>
          <cell r="D515">
            <v>37993</v>
          </cell>
          <cell r="E515">
            <v>37974</v>
          </cell>
          <cell r="F515">
            <v>0.76388888888888884</v>
          </cell>
          <cell r="G515" t="str">
            <v>Células de Solda Manual</v>
          </cell>
          <cell r="H515" t="str">
            <v>Máquina de Solda apresenta erro "H2O"</v>
          </cell>
          <cell r="I515">
            <v>0</v>
          </cell>
          <cell r="J515" t="str">
            <v>Sim</v>
          </cell>
          <cell r="K515" t="str">
            <v>Elétrica</v>
          </cell>
          <cell r="L515" t="str">
            <v>Substituição do(s) Componente(s)</v>
          </cell>
          <cell r="M515" t="str">
            <v>Falha de Comando / Sistema</v>
          </cell>
          <cell r="N515">
            <v>0</v>
          </cell>
          <cell r="O515">
            <v>0.77083333333333337</v>
          </cell>
          <cell r="P515">
            <v>0</v>
          </cell>
          <cell r="T515">
            <v>0</v>
          </cell>
          <cell r="U515">
            <v>0.83333333333333337</v>
          </cell>
          <cell r="V515">
            <v>0</v>
          </cell>
          <cell r="W515">
            <v>0</v>
          </cell>
          <cell r="X515">
            <v>0</v>
          </cell>
          <cell r="Y515">
            <v>0</v>
          </cell>
          <cell r="AB515">
            <v>0</v>
          </cell>
          <cell r="AC515">
            <v>9</v>
          </cell>
          <cell r="AD515">
            <v>0</v>
          </cell>
          <cell r="BF515">
            <v>0</v>
          </cell>
          <cell r="BG515">
            <v>0</v>
          </cell>
          <cell r="BH515">
            <v>0</v>
          </cell>
          <cell r="BI515">
            <v>0</v>
          </cell>
          <cell r="BJ515">
            <v>0</v>
          </cell>
          <cell r="BK515">
            <v>0</v>
          </cell>
          <cell r="BL515">
            <v>0</v>
          </cell>
          <cell r="BM515">
            <v>0</v>
          </cell>
          <cell r="BN515">
            <v>0</v>
          </cell>
          <cell r="BO515">
            <v>0</v>
          </cell>
          <cell r="BP515">
            <v>0</v>
          </cell>
          <cell r="BQ515">
            <v>0</v>
          </cell>
          <cell r="BR515">
            <v>0</v>
          </cell>
          <cell r="BS515">
            <v>0</v>
          </cell>
          <cell r="BT515">
            <v>0</v>
          </cell>
          <cell r="BU515">
            <v>0</v>
          </cell>
          <cell r="BV515">
            <v>0</v>
          </cell>
          <cell r="BW515">
            <v>0</v>
          </cell>
          <cell r="BX515">
            <v>0</v>
          </cell>
          <cell r="BY515">
            <v>0</v>
          </cell>
          <cell r="BZ515">
            <v>0</v>
          </cell>
          <cell r="CA515">
            <v>0</v>
          </cell>
          <cell r="CB515">
            <v>0</v>
          </cell>
          <cell r="CC515">
            <v>0</v>
          </cell>
          <cell r="CD515">
            <v>0</v>
          </cell>
        </row>
        <row r="516">
          <cell r="C516">
            <v>37894</v>
          </cell>
          <cell r="I516">
            <v>0</v>
          </cell>
          <cell r="N516">
            <v>0</v>
          </cell>
          <cell r="P516">
            <v>0</v>
          </cell>
          <cell r="T516">
            <v>0</v>
          </cell>
          <cell r="V516">
            <v>0</v>
          </cell>
          <cell r="W516">
            <v>0</v>
          </cell>
          <cell r="X516">
            <v>0</v>
          </cell>
          <cell r="Y516">
            <v>0</v>
          </cell>
          <cell r="AB516">
            <v>0</v>
          </cell>
          <cell r="AC516">
            <v>9</v>
          </cell>
          <cell r="AD516">
            <v>0</v>
          </cell>
          <cell r="BF516">
            <v>0</v>
          </cell>
          <cell r="BG516">
            <v>0</v>
          </cell>
          <cell r="BH516">
            <v>0</v>
          </cell>
          <cell r="BI516">
            <v>0</v>
          </cell>
          <cell r="BJ516">
            <v>0</v>
          </cell>
          <cell r="BK516">
            <v>0</v>
          </cell>
          <cell r="BL516">
            <v>0</v>
          </cell>
          <cell r="BM516">
            <v>0</v>
          </cell>
          <cell r="BN516">
            <v>0</v>
          </cell>
          <cell r="BO516">
            <v>0</v>
          </cell>
          <cell r="BP516">
            <v>0</v>
          </cell>
          <cell r="BQ516">
            <v>0</v>
          </cell>
          <cell r="BR516">
            <v>0</v>
          </cell>
          <cell r="BS516">
            <v>0</v>
          </cell>
          <cell r="BT516">
            <v>0</v>
          </cell>
          <cell r="BU516">
            <v>0</v>
          </cell>
          <cell r="BV516">
            <v>0</v>
          </cell>
          <cell r="BW516">
            <v>0</v>
          </cell>
          <cell r="BX516">
            <v>0</v>
          </cell>
          <cell r="BY516">
            <v>0</v>
          </cell>
          <cell r="BZ516">
            <v>0</v>
          </cell>
          <cell r="CA516">
            <v>0</v>
          </cell>
          <cell r="CB516">
            <v>0</v>
          </cell>
          <cell r="CC516">
            <v>0</v>
          </cell>
          <cell r="CD516">
            <v>0</v>
          </cell>
        </row>
        <row r="517">
          <cell r="C517">
            <v>37894</v>
          </cell>
          <cell r="D517">
            <v>37918</v>
          </cell>
          <cell r="E517">
            <v>37894</v>
          </cell>
          <cell r="F517">
            <v>0.625</v>
          </cell>
          <cell r="G517" t="str">
            <v>Células de Solda Automática</v>
          </cell>
          <cell r="H517" t="str">
            <v>CLP apresenta alarme e não responde ao comando em automático</v>
          </cell>
          <cell r="I517" t="str">
            <v>Corretiva</v>
          </cell>
          <cell r="J517" t="str">
            <v>Sim</v>
          </cell>
          <cell r="K517" t="str">
            <v>Elétrica</v>
          </cell>
          <cell r="L517" t="str">
            <v>Substituição do(s) Componente(s)</v>
          </cell>
          <cell r="M517" t="str">
            <v>Desgaste / Fadiga</v>
          </cell>
          <cell r="N517">
            <v>37894</v>
          </cell>
          <cell r="O517">
            <v>0.625</v>
          </cell>
          <cell r="P517">
            <v>37894</v>
          </cell>
          <cell r="Q517">
            <v>0.625</v>
          </cell>
          <cell r="T517">
            <v>37894</v>
          </cell>
          <cell r="U517">
            <v>0.68055555555555547</v>
          </cell>
          <cell r="V517">
            <v>37894</v>
          </cell>
          <cell r="W517">
            <v>0.68055555555555547</v>
          </cell>
          <cell r="X517">
            <v>5.5555555555555469E-2</v>
          </cell>
          <cell r="Y517">
            <v>5.5555555554747116E-2</v>
          </cell>
          <cell r="AB517">
            <v>9</v>
          </cell>
          <cell r="AC517">
            <v>9</v>
          </cell>
          <cell r="AD517">
            <v>0</v>
          </cell>
          <cell r="BF517">
            <v>9</v>
          </cell>
          <cell r="BG517">
            <v>0</v>
          </cell>
          <cell r="BH517">
            <v>0</v>
          </cell>
          <cell r="BI517">
            <v>0</v>
          </cell>
          <cell r="BJ517">
            <v>0</v>
          </cell>
          <cell r="BK517">
            <v>0</v>
          </cell>
          <cell r="BL517">
            <v>0</v>
          </cell>
          <cell r="BM517">
            <v>0</v>
          </cell>
          <cell r="BN517">
            <v>0</v>
          </cell>
          <cell r="BO517">
            <v>0</v>
          </cell>
          <cell r="BP517">
            <v>0</v>
          </cell>
          <cell r="BQ517">
            <v>0</v>
          </cell>
          <cell r="BR517">
            <v>0</v>
          </cell>
          <cell r="BS517">
            <v>0</v>
          </cell>
          <cell r="BT517">
            <v>0</v>
          </cell>
          <cell r="BU517">
            <v>0</v>
          </cell>
          <cell r="BV517">
            <v>0</v>
          </cell>
          <cell r="BW517">
            <v>0</v>
          </cell>
          <cell r="BX517">
            <v>0</v>
          </cell>
          <cell r="BY517">
            <v>0</v>
          </cell>
          <cell r="BZ517">
            <v>0</v>
          </cell>
          <cell r="CA517">
            <v>0</v>
          </cell>
          <cell r="CB517">
            <v>0</v>
          </cell>
          <cell r="CC517">
            <v>0</v>
          </cell>
          <cell r="CD517">
            <v>0</v>
          </cell>
        </row>
        <row r="518">
          <cell r="C518">
            <v>37894</v>
          </cell>
          <cell r="D518">
            <v>37918</v>
          </cell>
          <cell r="E518">
            <v>37901</v>
          </cell>
          <cell r="F518">
            <v>0.52083333333333337</v>
          </cell>
          <cell r="G518" t="str">
            <v>Células de Solda Automática</v>
          </cell>
          <cell r="H518" t="str">
            <v>A garra de fixação do conector está soltando a peça</v>
          </cell>
          <cell r="I518" t="str">
            <v>Corretiva</v>
          </cell>
          <cell r="J518" t="str">
            <v>Sim</v>
          </cell>
          <cell r="K518" t="str">
            <v>Mecânica</v>
          </cell>
          <cell r="L518" t="str">
            <v>Regulagem do Componente</v>
          </cell>
          <cell r="M518" t="str">
            <v>Falha de Regulagem / Configuração / Dimensionamento</v>
          </cell>
          <cell r="N518">
            <v>37901</v>
          </cell>
          <cell r="O518">
            <v>0.58333333333333337</v>
          </cell>
          <cell r="P518">
            <v>37901</v>
          </cell>
          <cell r="Q518">
            <v>0.58333333333333337</v>
          </cell>
          <cell r="T518">
            <v>37901</v>
          </cell>
          <cell r="U518">
            <v>0.61111111111111105</v>
          </cell>
          <cell r="V518">
            <v>37901</v>
          </cell>
          <cell r="W518">
            <v>0.61111111111111105</v>
          </cell>
          <cell r="X518">
            <v>2.7777777777777679E-2</v>
          </cell>
          <cell r="Y518">
            <v>2.7777777776160861E-2</v>
          </cell>
          <cell r="AB518">
            <v>10</v>
          </cell>
          <cell r="AC518">
            <v>9</v>
          </cell>
          <cell r="AD518">
            <v>0</v>
          </cell>
          <cell r="BF518">
            <v>10</v>
          </cell>
          <cell r="BG518">
            <v>0</v>
          </cell>
          <cell r="BH518">
            <v>0</v>
          </cell>
          <cell r="BI518">
            <v>0</v>
          </cell>
          <cell r="BJ518">
            <v>0</v>
          </cell>
          <cell r="BK518">
            <v>0</v>
          </cell>
          <cell r="BL518">
            <v>0</v>
          </cell>
          <cell r="BM518">
            <v>0</v>
          </cell>
          <cell r="BN518">
            <v>0</v>
          </cell>
          <cell r="BO518">
            <v>0</v>
          </cell>
          <cell r="BP518">
            <v>0</v>
          </cell>
          <cell r="BQ518">
            <v>0</v>
          </cell>
          <cell r="BR518">
            <v>0</v>
          </cell>
          <cell r="BS518">
            <v>0</v>
          </cell>
          <cell r="BT518">
            <v>0</v>
          </cell>
          <cell r="BU518">
            <v>0</v>
          </cell>
          <cell r="BV518">
            <v>0</v>
          </cell>
          <cell r="BW518">
            <v>0</v>
          </cell>
          <cell r="BX518">
            <v>0</v>
          </cell>
          <cell r="BY518">
            <v>0</v>
          </cell>
          <cell r="BZ518">
            <v>0</v>
          </cell>
          <cell r="CA518">
            <v>0</v>
          </cell>
          <cell r="CB518">
            <v>0</v>
          </cell>
          <cell r="CC518">
            <v>0</v>
          </cell>
          <cell r="CD518">
            <v>0</v>
          </cell>
        </row>
        <row r="519">
          <cell r="C519">
            <v>37894</v>
          </cell>
          <cell r="D519">
            <v>37918</v>
          </cell>
          <cell r="E519">
            <v>37903</v>
          </cell>
          <cell r="F519">
            <v>0.4826388888888889</v>
          </cell>
          <cell r="G519" t="str">
            <v>Células de Solda Automática</v>
          </cell>
          <cell r="H519" t="str">
            <v>Mecanismos da mesa de entrada estão frouxos</v>
          </cell>
          <cell r="I519" t="str">
            <v>Corretiva</v>
          </cell>
          <cell r="J519" t="str">
            <v>Não</v>
          </cell>
          <cell r="K519" t="str">
            <v>Mecânica</v>
          </cell>
          <cell r="L519" t="str">
            <v>Reaperto dos componentes</v>
          </cell>
          <cell r="M519" t="str">
            <v>Falha de Projeto</v>
          </cell>
          <cell r="N519">
            <v>37903</v>
          </cell>
          <cell r="O519">
            <v>0.5</v>
          </cell>
          <cell r="P519">
            <v>37903</v>
          </cell>
          <cell r="Q519">
            <v>0.5</v>
          </cell>
          <cell r="T519">
            <v>37903</v>
          </cell>
          <cell r="U519">
            <v>0.54166666666666663</v>
          </cell>
          <cell r="V519">
            <v>37903</v>
          </cell>
          <cell r="W519">
            <v>0.54166666666666663</v>
          </cell>
          <cell r="X519">
            <v>4.1666666664241347E-2</v>
          </cell>
          <cell r="Y519">
            <v>4.1666666664241347E-2</v>
          </cell>
          <cell r="AB519">
            <v>10</v>
          </cell>
          <cell r="AC519">
            <v>9</v>
          </cell>
          <cell r="AD519">
            <v>0</v>
          </cell>
          <cell r="BF519">
            <v>10</v>
          </cell>
          <cell r="BG519">
            <v>0</v>
          </cell>
          <cell r="BH519">
            <v>0</v>
          </cell>
          <cell r="BI519">
            <v>0</v>
          </cell>
          <cell r="BJ519">
            <v>0</v>
          </cell>
          <cell r="BK519">
            <v>0</v>
          </cell>
          <cell r="BL519">
            <v>0</v>
          </cell>
          <cell r="BM519">
            <v>0</v>
          </cell>
          <cell r="BN519">
            <v>0</v>
          </cell>
          <cell r="BO519">
            <v>0</v>
          </cell>
          <cell r="BP519">
            <v>0</v>
          </cell>
          <cell r="BQ519">
            <v>0</v>
          </cell>
          <cell r="BR519">
            <v>0</v>
          </cell>
          <cell r="BS519">
            <v>0</v>
          </cell>
          <cell r="BT519">
            <v>0</v>
          </cell>
          <cell r="BU519">
            <v>0</v>
          </cell>
          <cell r="BV519">
            <v>0</v>
          </cell>
          <cell r="BW519">
            <v>0</v>
          </cell>
          <cell r="BX519">
            <v>0</v>
          </cell>
          <cell r="BY519">
            <v>0</v>
          </cell>
          <cell r="BZ519">
            <v>0</v>
          </cell>
          <cell r="CA519">
            <v>0</v>
          </cell>
          <cell r="CB519">
            <v>0</v>
          </cell>
          <cell r="CC519">
            <v>0</v>
          </cell>
          <cell r="CD519">
            <v>0</v>
          </cell>
        </row>
        <row r="520">
          <cell r="C520">
            <v>37894</v>
          </cell>
          <cell r="D520">
            <v>37918</v>
          </cell>
          <cell r="E520">
            <v>37905</v>
          </cell>
          <cell r="F520">
            <v>0.41666666666666669</v>
          </cell>
          <cell r="G520" t="str">
            <v>Células de Solda Automática</v>
          </cell>
          <cell r="H520" t="str">
            <v>Falha no cabo de comunicação (perda de sinal)</v>
          </cell>
          <cell r="I520" t="str">
            <v>Corretiva</v>
          </cell>
          <cell r="J520" t="str">
            <v>Sim</v>
          </cell>
          <cell r="K520" t="str">
            <v>Elétrica</v>
          </cell>
          <cell r="L520" t="str">
            <v>Correção de mau contato</v>
          </cell>
          <cell r="M520" t="str">
            <v>Vibração</v>
          </cell>
          <cell r="N520">
            <v>37905</v>
          </cell>
          <cell r="O520">
            <v>0.41666666666666669</v>
          </cell>
          <cell r="P520">
            <v>37905</v>
          </cell>
          <cell r="Q520">
            <v>0.41666666666666669</v>
          </cell>
          <cell r="T520">
            <v>37905</v>
          </cell>
          <cell r="U520">
            <v>0.46875</v>
          </cell>
          <cell r="V520">
            <v>37905</v>
          </cell>
          <cell r="W520">
            <v>0.46875</v>
          </cell>
          <cell r="X520">
            <v>5.2083333333333315E-2</v>
          </cell>
          <cell r="Y520">
            <v>5.2083333333333315E-2</v>
          </cell>
          <cell r="AB520">
            <v>10</v>
          </cell>
          <cell r="AC520">
            <v>9</v>
          </cell>
          <cell r="AD520">
            <v>0</v>
          </cell>
          <cell r="BF520">
            <v>10</v>
          </cell>
          <cell r="BG520">
            <v>0</v>
          </cell>
          <cell r="BH520">
            <v>0</v>
          </cell>
          <cell r="BI520">
            <v>0</v>
          </cell>
          <cell r="BJ520">
            <v>0</v>
          </cell>
          <cell r="BK520">
            <v>0</v>
          </cell>
          <cell r="BL520">
            <v>0</v>
          </cell>
          <cell r="BM520">
            <v>0</v>
          </cell>
          <cell r="BN520">
            <v>0</v>
          </cell>
          <cell r="BO520">
            <v>0</v>
          </cell>
          <cell r="BP520">
            <v>0</v>
          </cell>
          <cell r="BQ520">
            <v>0</v>
          </cell>
          <cell r="BR520">
            <v>0</v>
          </cell>
          <cell r="BS520">
            <v>0</v>
          </cell>
          <cell r="BT520">
            <v>0</v>
          </cell>
          <cell r="BU520">
            <v>0</v>
          </cell>
          <cell r="BV520">
            <v>0</v>
          </cell>
          <cell r="BW520">
            <v>0</v>
          </cell>
          <cell r="BX520">
            <v>0</v>
          </cell>
          <cell r="BY520">
            <v>0</v>
          </cell>
          <cell r="BZ520">
            <v>0</v>
          </cell>
          <cell r="CA520">
            <v>0</v>
          </cell>
          <cell r="CB520">
            <v>0</v>
          </cell>
          <cell r="CC520">
            <v>0</v>
          </cell>
          <cell r="CD520">
            <v>0</v>
          </cell>
        </row>
        <row r="521">
          <cell r="C521">
            <v>37894</v>
          </cell>
          <cell r="D521">
            <v>37924</v>
          </cell>
          <cell r="E521">
            <v>37907</v>
          </cell>
          <cell r="F521">
            <v>0.47916666666666669</v>
          </cell>
          <cell r="G521" t="str">
            <v>Células de Solda Automática</v>
          </cell>
          <cell r="H521" t="str">
            <v>Pistão da pinça travado (Mesa A)</v>
          </cell>
          <cell r="I521" t="str">
            <v>Corretiva</v>
          </cell>
          <cell r="J521" t="str">
            <v>Sim</v>
          </cell>
          <cell r="K521" t="str">
            <v>Mecânica</v>
          </cell>
          <cell r="L521" t="str">
            <v>Limpeza e Lubrificação</v>
          </cell>
          <cell r="M521" t="str">
            <v>Sujeira em excesso</v>
          </cell>
          <cell r="N521">
            <v>37907</v>
          </cell>
          <cell r="O521">
            <v>0.47916666666666669</v>
          </cell>
          <cell r="P521">
            <v>37907</v>
          </cell>
          <cell r="Q521">
            <v>0.47916666666666669</v>
          </cell>
          <cell r="T521">
            <v>37907</v>
          </cell>
          <cell r="U521">
            <v>0.52777777777777779</v>
          </cell>
          <cell r="V521">
            <v>37907</v>
          </cell>
          <cell r="W521">
            <v>0.52777777777777779</v>
          </cell>
          <cell r="X521">
            <v>4.8611111111111105E-2</v>
          </cell>
          <cell r="Y521">
            <v>4.8611111114344852E-2</v>
          </cell>
          <cell r="AB521">
            <v>10</v>
          </cell>
          <cell r="AC521">
            <v>9</v>
          </cell>
          <cell r="AD521">
            <v>0</v>
          </cell>
          <cell r="BF521">
            <v>10</v>
          </cell>
          <cell r="BG521">
            <v>0</v>
          </cell>
          <cell r="BH521">
            <v>0</v>
          </cell>
          <cell r="BI521">
            <v>0</v>
          </cell>
          <cell r="BJ521">
            <v>0</v>
          </cell>
          <cell r="BK521">
            <v>0</v>
          </cell>
          <cell r="BL521">
            <v>0</v>
          </cell>
          <cell r="BM521">
            <v>0</v>
          </cell>
          <cell r="BN521">
            <v>0</v>
          </cell>
          <cell r="BO521">
            <v>0</v>
          </cell>
          <cell r="BP521">
            <v>0</v>
          </cell>
          <cell r="BQ521">
            <v>0</v>
          </cell>
          <cell r="BR521">
            <v>0</v>
          </cell>
          <cell r="BS521">
            <v>0</v>
          </cell>
          <cell r="BT521">
            <v>0</v>
          </cell>
          <cell r="BU521">
            <v>0</v>
          </cell>
          <cell r="BV521">
            <v>0</v>
          </cell>
          <cell r="BW521">
            <v>0</v>
          </cell>
          <cell r="BX521">
            <v>0</v>
          </cell>
          <cell r="BY521">
            <v>0</v>
          </cell>
          <cell r="BZ521">
            <v>0</v>
          </cell>
          <cell r="CA521">
            <v>0</v>
          </cell>
          <cell r="CB521">
            <v>0</v>
          </cell>
          <cell r="CC521">
            <v>0</v>
          </cell>
          <cell r="CD521">
            <v>0</v>
          </cell>
        </row>
        <row r="522">
          <cell r="C522">
            <v>37894</v>
          </cell>
          <cell r="D522">
            <v>37928</v>
          </cell>
          <cell r="E522">
            <v>37915</v>
          </cell>
          <cell r="F522">
            <v>0.70833333333333337</v>
          </cell>
          <cell r="G522" t="str">
            <v>Células de Solda Automática</v>
          </cell>
          <cell r="H522" t="str">
            <v>Falha nos Sensores CLP (BOSF)</v>
          </cell>
          <cell r="I522" t="str">
            <v>Corretiva</v>
          </cell>
          <cell r="J522" t="str">
            <v>Sim</v>
          </cell>
          <cell r="K522" t="str">
            <v>Elétrica</v>
          </cell>
          <cell r="L522" t="str">
            <v>Reaperto dos componentes</v>
          </cell>
          <cell r="M522" t="str">
            <v>Vibração</v>
          </cell>
          <cell r="N522">
            <v>37915</v>
          </cell>
          <cell r="O522">
            <v>0.70833333333333337</v>
          </cell>
          <cell r="P522">
            <v>37915</v>
          </cell>
          <cell r="Q522">
            <v>0.70833333333333337</v>
          </cell>
          <cell r="T522">
            <v>37915</v>
          </cell>
          <cell r="U522">
            <v>0.73611111111111116</v>
          </cell>
          <cell r="V522">
            <v>37915</v>
          </cell>
          <cell r="W522">
            <v>0.73611111111111116</v>
          </cell>
          <cell r="X522">
            <v>2.777777777777779E-2</v>
          </cell>
          <cell r="Y522">
            <v>2.7777777776160861E-2</v>
          </cell>
          <cell r="AB522">
            <v>10</v>
          </cell>
          <cell r="AC522">
            <v>9</v>
          </cell>
          <cell r="AD522">
            <v>0</v>
          </cell>
          <cell r="BF522">
            <v>10</v>
          </cell>
          <cell r="BG522">
            <v>0</v>
          </cell>
          <cell r="BH522">
            <v>0</v>
          </cell>
          <cell r="BI522">
            <v>0</v>
          </cell>
          <cell r="BJ522">
            <v>0</v>
          </cell>
          <cell r="BK522">
            <v>0</v>
          </cell>
          <cell r="BL522">
            <v>0</v>
          </cell>
          <cell r="BM522">
            <v>0</v>
          </cell>
          <cell r="BN522">
            <v>0</v>
          </cell>
          <cell r="BO522">
            <v>0</v>
          </cell>
          <cell r="BP522">
            <v>0</v>
          </cell>
          <cell r="BQ522">
            <v>0</v>
          </cell>
          <cell r="BR522">
            <v>0</v>
          </cell>
          <cell r="BS522">
            <v>0</v>
          </cell>
          <cell r="BT522">
            <v>0</v>
          </cell>
          <cell r="BU522">
            <v>0</v>
          </cell>
          <cell r="BV522">
            <v>0</v>
          </cell>
          <cell r="BW522">
            <v>0</v>
          </cell>
          <cell r="BX522">
            <v>0</v>
          </cell>
          <cell r="BY522">
            <v>0</v>
          </cell>
          <cell r="BZ522">
            <v>0</v>
          </cell>
          <cell r="CA522">
            <v>0</v>
          </cell>
          <cell r="CB522">
            <v>0</v>
          </cell>
          <cell r="CC522">
            <v>0</v>
          </cell>
          <cell r="CD522">
            <v>0</v>
          </cell>
        </row>
        <row r="523">
          <cell r="C523">
            <v>37894</v>
          </cell>
          <cell r="D523">
            <v>37928</v>
          </cell>
          <cell r="E523">
            <v>37915</v>
          </cell>
          <cell r="F523">
            <v>0.70833333333333337</v>
          </cell>
          <cell r="G523" t="str">
            <v>Células de Solda Automática</v>
          </cell>
          <cell r="H523" t="str">
            <v>Mesa parada fora de posicionamento</v>
          </cell>
          <cell r="I523" t="str">
            <v>Corretiva</v>
          </cell>
          <cell r="J523" t="str">
            <v>Sim</v>
          </cell>
          <cell r="K523" t="str">
            <v>Mecânica</v>
          </cell>
          <cell r="L523" t="str">
            <v>Regulagem do Componente</v>
          </cell>
          <cell r="M523" t="str">
            <v>Falha de Comando / Sistema</v>
          </cell>
          <cell r="N523">
            <v>37915</v>
          </cell>
          <cell r="O523">
            <v>0.70833333333333337</v>
          </cell>
          <cell r="P523">
            <v>37915</v>
          </cell>
          <cell r="Q523">
            <v>0.70833333333333337</v>
          </cell>
          <cell r="T523">
            <v>37915</v>
          </cell>
          <cell r="U523">
            <v>0.73958333333333337</v>
          </cell>
          <cell r="V523">
            <v>37915</v>
          </cell>
          <cell r="W523">
            <v>0.73958333333333337</v>
          </cell>
          <cell r="X523">
            <v>3.125E-2</v>
          </cell>
          <cell r="Y523">
            <v>3.1250000002425282E-2</v>
          </cell>
          <cell r="AB523">
            <v>10</v>
          </cell>
          <cell r="AC523">
            <v>9</v>
          </cell>
          <cell r="AD523">
            <v>0</v>
          </cell>
          <cell r="BF523">
            <v>10</v>
          </cell>
          <cell r="BG523">
            <v>0</v>
          </cell>
          <cell r="BH523">
            <v>0</v>
          </cell>
          <cell r="BI523">
            <v>0</v>
          </cell>
          <cell r="BJ523">
            <v>0</v>
          </cell>
          <cell r="BK523">
            <v>0</v>
          </cell>
          <cell r="BL523">
            <v>0</v>
          </cell>
          <cell r="BM523">
            <v>0</v>
          </cell>
          <cell r="BN523">
            <v>0</v>
          </cell>
          <cell r="BO523">
            <v>0</v>
          </cell>
          <cell r="BP523">
            <v>0</v>
          </cell>
          <cell r="BQ523">
            <v>0</v>
          </cell>
          <cell r="BR523">
            <v>0</v>
          </cell>
          <cell r="BS523">
            <v>0</v>
          </cell>
          <cell r="BT523">
            <v>0</v>
          </cell>
          <cell r="BU523">
            <v>0</v>
          </cell>
          <cell r="BV523">
            <v>0</v>
          </cell>
          <cell r="BW523">
            <v>0</v>
          </cell>
          <cell r="BX523">
            <v>0</v>
          </cell>
          <cell r="BY523">
            <v>0</v>
          </cell>
          <cell r="BZ523">
            <v>0</v>
          </cell>
          <cell r="CA523">
            <v>0</v>
          </cell>
          <cell r="CB523">
            <v>0</v>
          </cell>
          <cell r="CC523">
            <v>0</v>
          </cell>
          <cell r="CD523">
            <v>0</v>
          </cell>
        </row>
        <row r="524">
          <cell r="C524">
            <v>37894</v>
          </cell>
          <cell r="D524">
            <v>37928</v>
          </cell>
          <cell r="E524">
            <v>37923</v>
          </cell>
          <cell r="F524">
            <v>0.66666666666666663</v>
          </cell>
          <cell r="G524" t="str">
            <v>Células de Solda Automática</v>
          </cell>
          <cell r="H524" t="str">
            <v>Parafuso da Fresa Danificado</v>
          </cell>
          <cell r="I524" t="str">
            <v>Corretiva</v>
          </cell>
          <cell r="J524" t="str">
            <v>Não</v>
          </cell>
          <cell r="K524" t="str">
            <v>Mecânica</v>
          </cell>
          <cell r="L524" t="str">
            <v>Reparo</v>
          </cell>
          <cell r="M524" t="str">
            <v>Desgaste / Fadiga</v>
          </cell>
          <cell r="N524">
            <v>37923</v>
          </cell>
          <cell r="O524">
            <v>0.66666666666666663</v>
          </cell>
          <cell r="P524">
            <v>37923</v>
          </cell>
          <cell r="Q524">
            <v>0.66666666666666663</v>
          </cell>
          <cell r="T524">
            <v>37923</v>
          </cell>
          <cell r="U524">
            <v>0.72916666666666663</v>
          </cell>
          <cell r="V524">
            <v>37923</v>
          </cell>
          <cell r="W524">
            <v>0.72916666666666663</v>
          </cell>
          <cell r="X524">
            <v>6.2499999997574718E-2</v>
          </cell>
          <cell r="Y524">
            <v>6.2499999997574718E-2</v>
          </cell>
          <cell r="AB524">
            <v>10</v>
          </cell>
          <cell r="AC524">
            <v>9</v>
          </cell>
          <cell r="AD524">
            <v>0</v>
          </cell>
          <cell r="BF524">
            <v>10</v>
          </cell>
          <cell r="BG524">
            <v>0</v>
          </cell>
          <cell r="BH524">
            <v>0</v>
          </cell>
          <cell r="BI524">
            <v>0</v>
          </cell>
          <cell r="BJ524">
            <v>0</v>
          </cell>
          <cell r="BK524">
            <v>0</v>
          </cell>
          <cell r="BL524">
            <v>0</v>
          </cell>
          <cell r="BM524">
            <v>0</v>
          </cell>
          <cell r="BN524">
            <v>0</v>
          </cell>
          <cell r="BO524">
            <v>0</v>
          </cell>
          <cell r="BP524">
            <v>0</v>
          </cell>
          <cell r="BQ524">
            <v>0</v>
          </cell>
          <cell r="BR524">
            <v>0</v>
          </cell>
          <cell r="BS524">
            <v>0</v>
          </cell>
          <cell r="BT524">
            <v>0</v>
          </cell>
          <cell r="BU524">
            <v>0</v>
          </cell>
          <cell r="BV524">
            <v>0</v>
          </cell>
          <cell r="BW524">
            <v>0</v>
          </cell>
          <cell r="BX524">
            <v>0</v>
          </cell>
          <cell r="BY524">
            <v>0</v>
          </cell>
          <cell r="BZ524">
            <v>0</v>
          </cell>
          <cell r="CA524">
            <v>0</v>
          </cell>
          <cell r="CB524">
            <v>0</v>
          </cell>
          <cell r="CC524">
            <v>0</v>
          </cell>
          <cell r="CD524">
            <v>0</v>
          </cell>
        </row>
        <row r="525">
          <cell r="C525">
            <v>37894</v>
          </cell>
          <cell r="D525">
            <v>37971</v>
          </cell>
          <cell r="E525">
            <v>37931</v>
          </cell>
          <cell r="F525">
            <v>0.58333333333333337</v>
          </cell>
          <cell r="G525" t="str">
            <v>Células de Solda Automática</v>
          </cell>
          <cell r="H525" t="str">
            <v>Fresa não limpa o bocal de solda</v>
          </cell>
          <cell r="I525" t="str">
            <v>Corretiva</v>
          </cell>
          <cell r="J525" t="str">
            <v>Não</v>
          </cell>
          <cell r="K525" t="str">
            <v>Mecânica</v>
          </cell>
          <cell r="L525" t="str">
            <v>Sim</v>
          </cell>
          <cell r="M525" t="str">
            <v>Desgaste / Fadiga</v>
          </cell>
          <cell r="N525">
            <v>37931</v>
          </cell>
          <cell r="O525">
            <v>0.66666666666666663</v>
          </cell>
          <cell r="P525">
            <v>37931</v>
          </cell>
          <cell r="Q525">
            <v>0.66666666666666663</v>
          </cell>
          <cell r="T525">
            <v>37931</v>
          </cell>
          <cell r="U525">
            <v>0.72916666666666663</v>
          </cell>
          <cell r="V525">
            <v>37931</v>
          </cell>
          <cell r="W525">
            <v>0.72916666666666663</v>
          </cell>
          <cell r="X525">
            <v>6.25E-2</v>
          </cell>
          <cell r="Y525">
            <v>6.2499999997574718E-2</v>
          </cell>
          <cell r="AB525">
            <v>11</v>
          </cell>
          <cell r="AC525">
            <v>9</v>
          </cell>
          <cell r="AD525">
            <v>0</v>
          </cell>
          <cell r="BF525">
            <v>11</v>
          </cell>
          <cell r="BG525">
            <v>0</v>
          </cell>
          <cell r="BH525">
            <v>0</v>
          </cell>
          <cell r="BI525">
            <v>0</v>
          </cell>
          <cell r="BJ525">
            <v>0</v>
          </cell>
          <cell r="BK525">
            <v>0</v>
          </cell>
          <cell r="BL525">
            <v>0</v>
          </cell>
          <cell r="BM525">
            <v>0</v>
          </cell>
          <cell r="BN525">
            <v>0</v>
          </cell>
          <cell r="BO525">
            <v>0</v>
          </cell>
          <cell r="BP525">
            <v>0</v>
          </cell>
          <cell r="BQ525">
            <v>0</v>
          </cell>
          <cell r="BR525">
            <v>0</v>
          </cell>
          <cell r="BS525">
            <v>0</v>
          </cell>
          <cell r="BT525">
            <v>0</v>
          </cell>
          <cell r="BU525">
            <v>0</v>
          </cell>
          <cell r="BV525">
            <v>0</v>
          </cell>
          <cell r="BW525">
            <v>0</v>
          </cell>
          <cell r="BX525">
            <v>0</v>
          </cell>
          <cell r="BY525">
            <v>0</v>
          </cell>
          <cell r="BZ525">
            <v>0</v>
          </cell>
          <cell r="CA525">
            <v>0</v>
          </cell>
          <cell r="CB525">
            <v>0</v>
          </cell>
          <cell r="CC525">
            <v>0</v>
          </cell>
          <cell r="CD525">
            <v>0</v>
          </cell>
        </row>
        <row r="526">
          <cell r="C526">
            <v>37894</v>
          </cell>
          <cell r="D526">
            <v>37971</v>
          </cell>
          <cell r="E526">
            <v>37932</v>
          </cell>
          <cell r="F526">
            <v>0.33333333333333331</v>
          </cell>
          <cell r="G526" t="str">
            <v>Células de Solda Automática</v>
          </cell>
          <cell r="H526" t="str">
            <v>Mesa parada fora de posicionamento</v>
          </cell>
          <cell r="I526" t="str">
            <v>Corretiva</v>
          </cell>
          <cell r="J526" t="str">
            <v>Sim</v>
          </cell>
          <cell r="K526" t="str">
            <v>Mecânica</v>
          </cell>
          <cell r="L526" t="str">
            <v>Sim</v>
          </cell>
          <cell r="M526" t="str">
            <v>Falha de Regulagem / Configuração / Dimensionamento</v>
          </cell>
          <cell r="N526">
            <v>37932</v>
          </cell>
          <cell r="O526">
            <v>0.35416666666666669</v>
          </cell>
          <cell r="P526">
            <v>37932</v>
          </cell>
          <cell r="Q526">
            <v>0.35416666666666669</v>
          </cell>
          <cell r="T526">
            <v>37932</v>
          </cell>
          <cell r="U526">
            <v>0.39583333333333331</v>
          </cell>
          <cell r="V526">
            <v>37932</v>
          </cell>
          <cell r="W526">
            <v>0.39583333333333331</v>
          </cell>
          <cell r="X526">
            <v>4.166666666666663E-2</v>
          </cell>
          <cell r="Y526">
            <v>4.1666666669091967E-2</v>
          </cell>
          <cell r="AB526">
            <v>11</v>
          </cell>
          <cell r="AC526">
            <v>9</v>
          </cell>
          <cell r="AD526">
            <v>0</v>
          </cell>
          <cell r="BF526">
            <v>11</v>
          </cell>
          <cell r="BG526">
            <v>0</v>
          </cell>
          <cell r="BH526">
            <v>0</v>
          </cell>
          <cell r="BI526">
            <v>0</v>
          </cell>
          <cell r="BJ526">
            <v>0</v>
          </cell>
          <cell r="BK526">
            <v>0</v>
          </cell>
          <cell r="BL526">
            <v>0</v>
          </cell>
          <cell r="BM526">
            <v>0</v>
          </cell>
          <cell r="BN526">
            <v>0</v>
          </cell>
          <cell r="BO526">
            <v>0</v>
          </cell>
          <cell r="BP526">
            <v>0</v>
          </cell>
          <cell r="BQ526">
            <v>0</v>
          </cell>
          <cell r="BR526">
            <v>0</v>
          </cell>
          <cell r="BS526">
            <v>0</v>
          </cell>
          <cell r="BT526">
            <v>0</v>
          </cell>
          <cell r="BU526">
            <v>0</v>
          </cell>
          <cell r="BV526">
            <v>0</v>
          </cell>
          <cell r="BW526">
            <v>0</v>
          </cell>
          <cell r="BX526">
            <v>0</v>
          </cell>
          <cell r="BY526">
            <v>0</v>
          </cell>
          <cell r="BZ526">
            <v>0</v>
          </cell>
          <cell r="CA526">
            <v>0</v>
          </cell>
          <cell r="CB526">
            <v>0</v>
          </cell>
          <cell r="CC526">
            <v>0</v>
          </cell>
          <cell r="CD526">
            <v>0</v>
          </cell>
        </row>
        <row r="527">
          <cell r="C527">
            <v>37894</v>
          </cell>
          <cell r="D527">
            <v>37971</v>
          </cell>
          <cell r="E527">
            <v>37932</v>
          </cell>
          <cell r="F527">
            <v>37932</v>
          </cell>
          <cell r="G527">
            <v>0.67361111111111116</v>
          </cell>
          <cell r="H527" t="str">
            <v>O contador da esteira d eentrada entortou o pistão</v>
          </cell>
          <cell r="I527">
            <v>0</v>
          </cell>
          <cell r="J527" t="str">
            <v>Não</v>
          </cell>
          <cell r="K527" t="str">
            <v>Mecânica</v>
          </cell>
          <cell r="L527" t="str">
            <v>Não</v>
          </cell>
          <cell r="M527" t="str">
            <v>Falha de Regulagem / Configuração / Dimensionamento</v>
          </cell>
          <cell r="N527">
            <v>37932</v>
          </cell>
          <cell r="O527">
            <v>0.68055555555555547</v>
          </cell>
          <cell r="P527">
            <v>37932</v>
          </cell>
          <cell r="Q527">
            <v>0.68055555555555547</v>
          </cell>
          <cell r="T527">
            <v>37932</v>
          </cell>
          <cell r="U527">
            <v>0.71875</v>
          </cell>
          <cell r="V527">
            <v>37932</v>
          </cell>
          <cell r="W527">
            <v>0.71875</v>
          </cell>
          <cell r="X527">
            <v>3.8194444444444531E-2</v>
          </cell>
          <cell r="Y527">
            <v>3.8194444444444531E-2</v>
          </cell>
          <cell r="AB527">
            <v>11</v>
          </cell>
          <cell r="AC527">
            <v>9</v>
          </cell>
          <cell r="AD527">
            <v>0</v>
          </cell>
          <cell r="BF527">
            <v>11</v>
          </cell>
          <cell r="BG527">
            <v>0</v>
          </cell>
          <cell r="BH527">
            <v>0</v>
          </cell>
          <cell r="BI527">
            <v>0</v>
          </cell>
          <cell r="BJ527">
            <v>0</v>
          </cell>
          <cell r="BK527">
            <v>0</v>
          </cell>
          <cell r="BL527">
            <v>0</v>
          </cell>
          <cell r="BM527">
            <v>0</v>
          </cell>
          <cell r="BN527">
            <v>0</v>
          </cell>
          <cell r="BO527">
            <v>0</v>
          </cell>
          <cell r="BP527">
            <v>0</v>
          </cell>
          <cell r="BQ527">
            <v>0</v>
          </cell>
          <cell r="BR527">
            <v>0</v>
          </cell>
          <cell r="BS527">
            <v>0</v>
          </cell>
          <cell r="BT527">
            <v>0</v>
          </cell>
          <cell r="BU527">
            <v>0</v>
          </cell>
          <cell r="BV527">
            <v>0</v>
          </cell>
          <cell r="BW527">
            <v>0</v>
          </cell>
          <cell r="BX527">
            <v>0</v>
          </cell>
          <cell r="BY527">
            <v>0</v>
          </cell>
          <cell r="BZ527">
            <v>0</v>
          </cell>
          <cell r="CA527">
            <v>0</v>
          </cell>
          <cell r="CB527">
            <v>0</v>
          </cell>
          <cell r="CC527">
            <v>0</v>
          </cell>
          <cell r="CD527">
            <v>0</v>
          </cell>
        </row>
        <row r="528">
          <cell r="C528">
            <v>37894</v>
          </cell>
          <cell r="D528">
            <v>37971</v>
          </cell>
          <cell r="E528">
            <v>37933</v>
          </cell>
          <cell r="F528">
            <v>37933</v>
          </cell>
          <cell r="G528">
            <v>0.83333333333333337</v>
          </cell>
          <cell r="H528" t="str">
            <v>Mesa parada fora de posicionamento</v>
          </cell>
          <cell r="I528">
            <v>0</v>
          </cell>
          <cell r="J528" t="str">
            <v>Sim</v>
          </cell>
          <cell r="K528" t="str">
            <v>Mecânica</v>
          </cell>
          <cell r="L528" t="str">
            <v>Sim</v>
          </cell>
          <cell r="M528" t="str">
            <v>Falha de Regulagem / Configuração / Dimensionamento</v>
          </cell>
          <cell r="N528">
            <v>37935</v>
          </cell>
          <cell r="O528">
            <v>0.35416666666666669</v>
          </cell>
          <cell r="P528">
            <v>0</v>
          </cell>
          <cell r="T528">
            <v>37935</v>
          </cell>
          <cell r="U528">
            <v>0.54166666666666663</v>
          </cell>
          <cell r="V528">
            <v>0</v>
          </cell>
          <cell r="W528">
            <v>1.4583333333309079</v>
          </cell>
          <cell r="X528">
            <v>0</v>
          </cell>
          <cell r="Y528">
            <v>0</v>
          </cell>
          <cell r="AB528">
            <v>11</v>
          </cell>
          <cell r="AC528">
            <v>9</v>
          </cell>
          <cell r="AD528">
            <v>0</v>
          </cell>
          <cell r="BF528">
            <v>11</v>
          </cell>
          <cell r="BG528">
            <v>0</v>
          </cell>
          <cell r="BH528">
            <v>0</v>
          </cell>
          <cell r="BI528">
            <v>0</v>
          </cell>
          <cell r="BJ528">
            <v>0</v>
          </cell>
          <cell r="BK528">
            <v>0</v>
          </cell>
          <cell r="BL528">
            <v>0</v>
          </cell>
          <cell r="BM528">
            <v>0</v>
          </cell>
          <cell r="BN528">
            <v>0</v>
          </cell>
          <cell r="BO528">
            <v>0</v>
          </cell>
          <cell r="BP528">
            <v>0</v>
          </cell>
          <cell r="BQ528">
            <v>0</v>
          </cell>
          <cell r="BR528">
            <v>0</v>
          </cell>
          <cell r="BS528">
            <v>0</v>
          </cell>
          <cell r="BT528">
            <v>0</v>
          </cell>
          <cell r="BU528">
            <v>0</v>
          </cell>
          <cell r="BV528">
            <v>0</v>
          </cell>
          <cell r="BW528">
            <v>0</v>
          </cell>
          <cell r="BX528">
            <v>0</v>
          </cell>
          <cell r="BY528">
            <v>0</v>
          </cell>
          <cell r="BZ528">
            <v>0</v>
          </cell>
          <cell r="CA528">
            <v>0</v>
          </cell>
          <cell r="CB528">
            <v>0</v>
          </cell>
          <cell r="CC528">
            <v>0</v>
          </cell>
          <cell r="CD528">
            <v>0</v>
          </cell>
        </row>
        <row r="529">
          <cell r="C529">
            <v>37894</v>
          </cell>
          <cell r="I529">
            <v>0</v>
          </cell>
          <cell r="N529">
            <v>0</v>
          </cell>
          <cell r="P529">
            <v>0</v>
          </cell>
          <cell r="T529">
            <v>0</v>
          </cell>
          <cell r="V529">
            <v>0</v>
          </cell>
          <cell r="W529">
            <v>0</v>
          </cell>
          <cell r="X529">
            <v>0</v>
          </cell>
          <cell r="Y529">
            <v>0</v>
          </cell>
          <cell r="AB529">
            <v>0</v>
          </cell>
          <cell r="AC529">
            <v>9</v>
          </cell>
          <cell r="AD529">
            <v>0</v>
          </cell>
          <cell r="BF529">
            <v>0</v>
          </cell>
          <cell r="BG529">
            <v>0</v>
          </cell>
          <cell r="BH529">
            <v>0</v>
          </cell>
          <cell r="BI529">
            <v>0</v>
          </cell>
          <cell r="BJ529">
            <v>0</v>
          </cell>
          <cell r="BK529">
            <v>0</v>
          </cell>
          <cell r="BL529">
            <v>0</v>
          </cell>
          <cell r="BM529">
            <v>0</v>
          </cell>
          <cell r="BN529">
            <v>0</v>
          </cell>
          <cell r="BO529">
            <v>0</v>
          </cell>
          <cell r="BP529">
            <v>0</v>
          </cell>
          <cell r="BQ529">
            <v>0</v>
          </cell>
          <cell r="BR529">
            <v>0</v>
          </cell>
          <cell r="BS529">
            <v>0</v>
          </cell>
          <cell r="BT529">
            <v>0</v>
          </cell>
          <cell r="BU529">
            <v>0</v>
          </cell>
          <cell r="BV529">
            <v>0</v>
          </cell>
          <cell r="BW529">
            <v>0</v>
          </cell>
          <cell r="BX529">
            <v>0</v>
          </cell>
          <cell r="BY529">
            <v>0</v>
          </cell>
          <cell r="BZ529">
            <v>0</v>
          </cell>
          <cell r="CA529">
            <v>0</v>
          </cell>
          <cell r="CB529">
            <v>0</v>
          </cell>
          <cell r="CC529">
            <v>0</v>
          </cell>
          <cell r="CD529">
            <v>0</v>
          </cell>
        </row>
        <row r="530">
          <cell r="C530">
            <v>37894</v>
          </cell>
          <cell r="D530">
            <v>37993</v>
          </cell>
          <cell r="E530">
            <v>37936</v>
          </cell>
          <cell r="F530">
            <v>0.875</v>
          </cell>
          <cell r="G530" t="str">
            <v>Células de Solda Automática</v>
          </cell>
          <cell r="H530" t="str">
            <v>Fresa com problemas</v>
          </cell>
          <cell r="I530">
            <v>0</v>
          </cell>
          <cell r="J530" t="str">
            <v>Não</v>
          </cell>
          <cell r="K530" t="str">
            <v>Mecânica</v>
          </cell>
          <cell r="L530" t="str">
            <v>Limpeza do Equipamento / Componente</v>
          </cell>
          <cell r="M530" t="str">
            <v>Sujeira em excesso</v>
          </cell>
          <cell r="N530">
            <v>0</v>
          </cell>
          <cell r="O530">
            <v>0.875</v>
          </cell>
          <cell r="P530">
            <v>0</v>
          </cell>
          <cell r="T530">
            <v>0</v>
          </cell>
          <cell r="U530">
            <v>0.90208333333333324</v>
          </cell>
          <cell r="V530">
            <v>0</v>
          </cell>
          <cell r="W530">
            <v>0</v>
          </cell>
          <cell r="X530">
            <v>0</v>
          </cell>
          <cell r="Y530">
            <v>0</v>
          </cell>
          <cell r="AB530">
            <v>0</v>
          </cell>
          <cell r="AC530">
            <v>9</v>
          </cell>
          <cell r="AD530">
            <v>0</v>
          </cell>
          <cell r="BF530">
            <v>0</v>
          </cell>
          <cell r="BG530">
            <v>0</v>
          </cell>
          <cell r="BH530">
            <v>0</v>
          </cell>
          <cell r="BI530">
            <v>0</v>
          </cell>
          <cell r="BJ530">
            <v>0</v>
          </cell>
          <cell r="BK530">
            <v>0</v>
          </cell>
          <cell r="BL530">
            <v>0</v>
          </cell>
          <cell r="BM530">
            <v>0</v>
          </cell>
          <cell r="BN530">
            <v>0</v>
          </cell>
          <cell r="BO530">
            <v>0</v>
          </cell>
          <cell r="BP530">
            <v>0</v>
          </cell>
          <cell r="BQ530">
            <v>0</v>
          </cell>
          <cell r="BR530">
            <v>0</v>
          </cell>
          <cell r="BS530">
            <v>0</v>
          </cell>
          <cell r="BT530">
            <v>0</v>
          </cell>
          <cell r="BU530">
            <v>0</v>
          </cell>
          <cell r="BV530">
            <v>0</v>
          </cell>
          <cell r="BW530">
            <v>0</v>
          </cell>
          <cell r="BX530">
            <v>0</v>
          </cell>
          <cell r="BY530">
            <v>0</v>
          </cell>
          <cell r="BZ530">
            <v>0</v>
          </cell>
          <cell r="CA530">
            <v>0</v>
          </cell>
          <cell r="CB530">
            <v>0</v>
          </cell>
          <cell r="CC530">
            <v>0</v>
          </cell>
          <cell r="CD530">
            <v>0</v>
          </cell>
        </row>
        <row r="531">
          <cell r="C531">
            <v>37894</v>
          </cell>
          <cell r="D531">
            <v>37971</v>
          </cell>
          <cell r="E531">
            <v>37942</v>
          </cell>
          <cell r="F531">
            <v>37942</v>
          </cell>
          <cell r="G531">
            <v>0.33333333333333331</v>
          </cell>
          <cell r="H531" t="str">
            <v>Cilindro da esteira de entrada está solto</v>
          </cell>
          <cell r="I531">
            <v>0</v>
          </cell>
          <cell r="J531" t="str">
            <v>Sim</v>
          </cell>
          <cell r="K531" t="str">
            <v>Mecânica</v>
          </cell>
          <cell r="L531" t="str">
            <v>Sim</v>
          </cell>
          <cell r="M531" t="str">
            <v>Vibração</v>
          </cell>
          <cell r="N531">
            <v>37942</v>
          </cell>
          <cell r="O531">
            <v>0.34027777777777773</v>
          </cell>
          <cell r="P531">
            <v>37942</v>
          </cell>
          <cell r="Q531">
            <v>0.34027777777777773</v>
          </cell>
          <cell r="T531">
            <v>37942</v>
          </cell>
          <cell r="U531">
            <v>0.40972222222222227</v>
          </cell>
          <cell r="V531">
            <v>37942</v>
          </cell>
          <cell r="W531">
            <v>0.40972222222222227</v>
          </cell>
          <cell r="X531">
            <v>6.9444444444444531E-2</v>
          </cell>
          <cell r="Y531">
            <v>6.9444444441210729E-2</v>
          </cell>
          <cell r="AB531">
            <v>11</v>
          </cell>
          <cell r="AC531">
            <v>9</v>
          </cell>
          <cell r="AD531">
            <v>0</v>
          </cell>
          <cell r="BF531">
            <v>11</v>
          </cell>
          <cell r="BG531">
            <v>0</v>
          </cell>
          <cell r="BH531">
            <v>0</v>
          </cell>
          <cell r="BI531">
            <v>0</v>
          </cell>
          <cell r="BJ531">
            <v>0</v>
          </cell>
          <cell r="BK531">
            <v>0</v>
          </cell>
          <cell r="BL531">
            <v>0</v>
          </cell>
          <cell r="BM531">
            <v>0</v>
          </cell>
          <cell r="BN531">
            <v>0</v>
          </cell>
          <cell r="BO531">
            <v>0</v>
          </cell>
          <cell r="BP531">
            <v>0</v>
          </cell>
          <cell r="BQ531">
            <v>0</v>
          </cell>
          <cell r="BR531">
            <v>0</v>
          </cell>
          <cell r="BS531">
            <v>0</v>
          </cell>
          <cell r="BT531">
            <v>0</v>
          </cell>
          <cell r="BU531">
            <v>0</v>
          </cell>
          <cell r="BV531">
            <v>0</v>
          </cell>
          <cell r="BW531">
            <v>0</v>
          </cell>
          <cell r="BX531">
            <v>0</v>
          </cell>
          <cell r="BY531">
            <v>0</v>
          </cell>
          <cell r="BZ531">
            <v>0</v>
          </cell>
          <cell r="CA531">
            <v>0</v>
          </cell>
          <cell r="CB531">
            <v>0</v>
          </cell>
          <cell r="CC531">
            <v>0</v>
          </cell>
          <cell r="CD531">
            <v>0</v>
          </cell>
        </row>
        <row r="532">
          <cell r="C532">
            <v>37894</v>
          </cell>
          <cell r="D532">
            <v>37971</v>
          </cell>
          <cell r="E532">
            <v>37943</v>
          </cell>
          <cell r="F532">
            <v>37943</v>
          </cell>
          <cell r="G532">
            <v>0.33333333333333331</v>
          </cell>
          <cell r="H532" t="str">
            <v>Sensor da esteira de entrada não funciona</v>
          </cell>
          <cell r="I532">
            <v>0</v>
          </cell>
          <cell r="J532" t="str">
            <v>Não</v>
          </cell>
          <cell r="K532" t="str">
            <v>Elétrica</v>
          </cell>
          <cell r="L532" t="str">
            <v>Não</v>
          </cell>
          <cell r="M532" t="str">
            <v>Desgaste / Fadiga</v>
          </cell>
          <cell r="N532">
            <v>37943</v>
          </cell>
          <cell r="O532">
            <v>0.33333333333333331</v>
          </cell>
          <cell r="P532">
            <v>37943</v>
          </cell>
          <cell r="Q532">
            <v>0.33333333333333331</v>
          </cell>
          <cell r="T532">
            <v>37943</v>
          </cell>
          <cell r="U532">
            <v>0.36805555555555558</v>
          </cell>
          <cell r="V532">
            <v>37943</v>
          </cell>
          <cell r="W532">
            <v>0.36805555555555558</v>
          </cell>
          <cell r="X532">
            <v>3.4722222221413801E-2</v>
          </cell>
          <cell r="Y532">
            <v>3.4722222221413801E-2</v>
          </cell>
          <cell r="AB532">
            <v>11</v>
          </cell>
          <cell r="AC532">
            <v>9</v>
          </cell>
          <cell r="AD532">
            <v>0</v>
          </cell>
          <cell r="BF532">
            <v>11</v>
          </cell>
          <cell r="BG532">
            <v>0</v>
          </cell>
          <cell r="BH532">
            <v>0</v>
          </cell>
          <cell r="BI532">
            <v>0</v>
          </cell>
          <cell r="BJ532">
            <v>0</v>
          </cell>
          <cell r="BK532">
            <v>0</v>
          </cell>
          <cell r="BL532">
            <v>0</v>
          </cell>
          <cell r="BM532">
            <v>0</v>
          </cell>
          <cell r="BN532">
            <v>0</v>
          </cell>
          <cell r="BO532">
            <v>0</v>
          </cell>
          <cell r="BP532">
            <v>0</v>
          </cell>
          <cell r="BQ532">
            <v>0</v>
          </cell>
          <cell r="BR532">
            <v>0</v>
          </cell>
          <cell r="BS532">
            <v>0</v>
          </cell>
          <cell r="BT532">
            <v>0</v>
          </cell>
          <cell r="BU532">
            <v>0</v>
          </cell>
          <cell r="BV532">
            <v>0</v>
          </cell>
          <cell r="BW532">
            <v>0</v>
          </cell>
          <cell r="BX532">
            <v>0</v>
          </cell>
          <cell r="BY532">
            <v>0</v>
          </cell>
          <cell r="BZ532">
            <v>0</v>
          </cell>
          <cell r="CA532">
            <v>0</v>
          </cell>
          <cell r="CB532">
            <v>0</v>
          </cell>
          <cell r="CC532">
            <v>0</v>
          </cell>
          <cell r="CD532">
            <v>0</v>
          </cell>
        </row>
        <row r="533">
          <cell r="C533">
            <v>37894</v>
          </cell>
          <cell r="D533">
            <v>37971</v>
          </cell>
          <cell r="E533">
            <v>37943</v>
          </cell>
          <cell r="F533">
            <v>37943</v>
          </cell>
          <cell r="G533">
            <v>0.64583333333333337</v>
          </cell>
          <cell r="H533" t="str">
            <v>O robô não abre arco de solda</v>
          </cell>
          <cell r="I533">
            <v>0</v>
          </cell>
          <cell r="J533" t="str">
            <v>Sim</v>
          </cell>
          <cell r="K533" t="str">
            <v>Elétrica</v>
          </cell>
          <cell r="L533" t="str">
            <v>Sim</v>
          </cell>
          <cell r="M533" t="str">
            <v>Desgaste / Fadiga</v>
          </cell>
          <cell r="N533">
            <v>37943</v>
          </cell>
          <cell r="O533">
            <v>0.64583333333333337</v>
          </cell>
          <cell r="P533">
            <v>37943</v>
          </cell>
          <cell r="Q533">
            <v>0.64583333333333337</v>
          </cell>
          <cell r="T533">
            <v>37943</v>
          </cell>
          <cell r="U533">
            <v>0.75</v>
          </cell>
          <cell r="V533">
            <v>37943</v>
          </cell>
          <cell r="W533">
            <v>0.75</v>
          </cell>
          <cell r="X533">
            <v>0.10416666666666663</v>
          </cell>
          <cell r="Y533">
            <v>0.10416666666666663</v>
          </cell>
          <cell r="AB533">
            <v>11</v>
          </cell>
          <cell r="AC533">
            <v>9</v>
          </cell>
          <cell r="AD533">
            <v>0</v>
          </cell>
          <cell r="BF533">
            <v>11</v>
          </cell>
          <cell r="BG533">
            <v>0</v>
          </cell>
          <cell r="BH533">
            <v>0</v>
          </cell>
          <cell r="BI533">
            <v>0</v>
          </cell>
          <cell r="BJ533">
            <v>0</v>
          </cell>
          <cell r="BK533">
            <v>0</v>
          </cell>
          <cell r="BL533">
            <v>0</v>
          </cell>
          <cell r="BM533">
            <v>0</v>
          </cell>
          <cell r="BN533">
            <v>0</v>
          </cell>
          <cell r="BO533">
            <v>0</v>
          </cell>
          <cell r="BP533">
            <v>0</v>
          </cell>
          <cell r="BQ533">
            <v>0</v>
          </cell>
          <cell r="BR533">
            <v>0</v>
          </cell>
          <cell r="BS533">
            <v>0</v>
          </cell>
          <cell r="BT533">
            <v>0</v>
          </cell>
          <cell r="BU533">
            <v>0</v>
          </cell>
          <cell r="BV533">
            <v>0</v>
          </cell>
          <cell r="BW533">
            <v>0</v>
          </cell>
          <cell r="BX533">
            <v>0</v>
          </cell>
          <cell r="BY533">
            <v>0</v>
          </cell>
          <cell r="BZ533">
            <v>0</v>
          </cell>
          <cell r="CA533">
            <v>0</v>
          </cell>
          <cell r="CB533">
            <v>0</v>
          </cell>
          <cell r="CC533">
            <v>0</v>
          </cell>
          <cell r="CD533">
            <v>0</v>
          </cell>
        </row>
        <row r="534">
          <cell r="C534">
            <v>37894</v>
          </cell>
          <cell r="D534">
            <v>37971</v>
          </cell>
          <cell r="E534">
            <v>37957</v>
          </cell>
          <cell r="F534">
            <v>0.33333333333333331</v>
          </cell>
          <cell r="G534" t="str">
            <v>Células de Solda Automática</v>
          </cell>
          <cell r="H534" t="str">
            <v>Colocar suporte para placa de avisos</v>
          </cell>
          <cell r="I534">
            <v>0</v>
          </cell>
          <cell r="J534" t="str">
            <v>Não</v>
          </cell>
          <cell r="K534" t="str">
            <v>Mecânica</v>
          </cell>
          <cell r="L534" t="str">
            <v>Montagem / Instalação</v>
          </cell>
          <cell r="M534" t="str">
            <v>Melhoria Técnica</v>
          </cell>
          <cell r="N534">
            <v>37957</v>
          </cell>
          <cell r="O534">
            <v>0.4375</v>
          </cell>
          <cell r="P534">
            <v>0</v>
          </cell>
          <cell r="T534">
            <v>37957</v>
          </cell>
          <cell r="U534">
            <v>0.45833333333333331</v>
          </cell>
          <cell r="V534">
            <v>0</v>
          </cell>
          <cell r="W534">
            <v>2.0833333335758653E-2</v>
          </cell>
          <cell r="X534">
            <v>0</v>
          </cell>
          <cell r="Y534">
            <v>0</v>
          </cell>
          <cell r="AB534">
            <v>12</v>
          </cell>
          <cell r="AC534">
            <v>9</v>
          </cell>
          <cell r="AD534">
            <v>0</v>
          </cell>
          <cell r="BF534">
            <v>12</v>
          </cell>
          <cell r="BG534">
            <v>0</v>
          </cell>
          <cell r="BH534">
            <v>0</v>
          </cell>
          <cell r="BI534">
            <v>0</v>
          </cell>
          <cell r="BJ534">
            <v>0</v>
          </cell>
          <cell r="BK534">
            <v>0</v>
          </cell>
          <cell r="BL534">
            <v>0</v>
          </cell>
          <cell r="BM534">
            <v>0</v>
          </cell>
          <cell r="BN534">
            <v>0</v>
          </cell>
          <cell r="BO534">
            <v>0</v>
          </cell>
          <cell r="BP534">
            <v>0</v>
          </cell>
          <cell r="BQ534">
            <v>0</v>
          </cell>
          <cell r="BR534">
            <v>0</v>
          </cell>
          <cell r="BS534">
            <v>0</v>
          </cell>
          <cell r="BT534">
            <v>0</v>
          </cell>
          <cell r="BU534">
            <v>0</v>
          </cell>
          <cell r="BV534">
            <v>0</v>
          </cell>
          <cell r="BW534">
            <v>0</v>
          </cell>
          <cell r="BX534">
            <v>0</v>
          </cell>
          <cell r="BY534">
            <v>0</v>
          </cell>
          <cell r="BZ534">
            <v>0</v>
          </cell>
          <cell r="CA534">
            <v>0</v>
          </cell>
          <cell r="CB534">
            <v>0</v>
          </cell>
          <cell r="CC534">
            <v>0</v>
          </cell>
          <cell r="CD534">
            <v>0</v>
          </cell>
        </row>
        <row r="535">
          <cell r="C535">
            <v>37894</v>
          </cell>
          <cell r="D535">
            <v>37971</v>
          </cell>
          <cell r="E535">
            <v>37959</v>
          </cell>
          <cell r="F535">
            <v>0.33333333333333331</v>
          </cell>
          <cell r="G535" t="str">
            <v>Células de Solda Automática</v>
          </cell>
          <cell r="H535" t="str">
            <v>Robô de manipulação não está fechando a garra</v>
          </cell>
          <cell r="I535">
            <v>0</v>
          </cell>
          <cell r="J535" t="str">
            <v>Sim</v>
          </cell>
          <cell r="K535" t="str">
            <v>Mecânica</v>
          </cell>
          <cell r="L535" t="str">
            <v>Ajuste / Regulagem</v>
          </cell>
          <cell r="M535" t="str">
            <v>Falha de Regulagem / Configuração / Dimensionamento</v>
          </cell>
          <cell r="N535">
            <v>37959</v>
          </cell>
          <cell r="O535">
            <v>0.33333333333333331</v>
          </cell>
          <cell r="P535">
            <v>0</v>
          </cell>
          <cell r="T535">
            <v>37959</v>
          </cell>
          <cell r="U535">
            <v>0.35416666666666669</v>
          </cell>
          <cell r="V535">
            <v>0</v>
          </cell>
          <cell r="W535">
            <v>2.0833333330908033E-2</v>
          </cell>
          <cell r="X535">
            <v>0</v>
          </cell>
          <cell r="Y535">
            <v>0</v>
          </cell>
          <cell r="AB535">
            <v>12</v>
          </cell>
          <cell r="AC535">
            <v>9</v>
          </cell>
          <cell r="AD535">
            <v>0</v>
          </cell>
          <cell r="BF535">
            <v>12</v>
          </cell>
          <cell r="BG535">
            <v>0</v>
          </cell>
          <cell r="BH535">
            <v>0</v>
          </cell>
          <cell r="BI535">
            <v>0</v>
          </cell>
          <cell r="BJ535">
            <v>0</v>
          </cell>
          <cell r="BK535">
            <v>0</v>
          </cell>
          <cell r="BL535">
            <v>0</v>
          </cell>
          <cell r="BM535">
            <v>0</v>
          </cell>
          <cell r="BN535">
            <v>0</v>
          </cell>
          <cell r="BO535">
            <v>0</v>
          </cell>
          <cell r="BP535">
            <v>0</v>
          </cell>
          <cell r="BQ535">
            <v>0</v>
          </cell>
          <cell r="BR535">
            <v>0</v>
          </cell>
          <cell r="BS535">
            <v>0</v>
          </cell>
          <cell r="BT535">
            <v>0</v>
          </cell>
          <cell r="BU535">
            <v>0</v>
          </cell>
          <cell r="BV535">
            <v>0</v>
          </cell>
          <cell r="BW535">
            <v>0</v>
          </cell>
          <cell r="BX535">
            <v>0</v>
          </cell>
          <cell r="BY535">
            <v>0</v>
          </cell>
          <cell r="BZ535">
            <v>0</v>
          </cell>
          <cell r="CA535">
            <v>0</v>
          </cell>
          <cell r="CB535">
            <v>0</v>
          </cell>
          <cell r="CC535">
            <v>0</v>
          </cell>
          <cell r="CD535">
            <v>0</v>
          </cell>
        </row>
        <row r="536">
          <cell r="C536">
            <v>37894</v>
          </cell>
          <cell r="D536">
            <v>37971</v>
          </cell>
          <cell r="E536">
            <v>37959</v>
          </cell>
          <cell r="F536">
            <v>0.65277777777777779</v>
          </cell>
          <cell r="G536" t="str">
            <v>Células de Solda Automática</v>
          </cell>
          <cell r="H536" t="str">
            <v>O robô não abre arco de solda</v>
          </cell>
          <cell r="I536">
            <v>0</v>
          </cell>
          <cell r="J536" t="str">
            <v>Sim</v>
          </cell>
          <cell r="K536" t="str">
            <v>Elétrica</v>
          </cell>
          <cell r="L536" t="str">
            <v>Substituição do(s) Componente(s)</v>
          </cell>
          <cell r="M536" t="str">
            <v>Desgaste / Fadiga</v>
          </cell>
          <cell r="N536">
            <v>37959</v>
          </cell>
          <cell r="O536">
            <v>0.66666666666666663</v>
          </cell>
          <cell r="P536">
            <v>0</v>
          </cell>
          <cell r="T536">
            <v>37959</v>
          </cell>
          <cell r="U536">
            <v>0.70833333333333337</v>
          </cell>
          <cell r="V536">
            <v>0</v>
          </cell>
          <cell r="W536">
            <v>5.5555555557980862E-2</v>
          </cell>
          <cell r="X536">
            <v>0</v>
          </cell>
          <cell r="Y536">
            <v>0</v>
          </cell>
          <cell r="AB536">
            <v>12</v>
          </cell>
          <cell r="AC536">
            <v>9</v>
          </cell>
          <cell r="AD536">
            <v>0</v>
          </cell>
          <cell r="BF536">
            <v>12</v>
          </cell>
          <cell r="BG536">
            <v>0</v>
          </cell>
          <cell r="BH536">
            <v>0</v>
          </cell>
          <cell r="BI536">
            <v>0</v>
          </cell>
          <cell r="BJ536">
            <v>0</v>
          </cell>
          <cell r="BK536">
            <v>0</v>
          </cell>
          <cell r="BL536">
            <v>0</v>
          </cell>
          <cell r="BM536">
            <v>0</v>
          </cell>
          <cell r="BN536">
            <v>0</v>
          </cell>
          <cell r="BO536">
            <v>0</v>
          </cell>
          <cell r="BP536">
            <v>0</v>
          </cell>
          <cell r="BQ536">
            <v>0</v>
          </cell>
          <cell r="BR536">
            <v>0</v>
          </cell>
          <cell r="BS536">
            <v>0</v>
          </cell>
          <cell r="BT536">
            <v>0</v>
          </cell>
          <cell r="BU536">
            <v>0</v>
          </cell>
          <cell r="BV536">
            <v>0</v>
          </cell>
          <cell r="BW536">
            <v>0</v>
          </cell>
          <cell r="BX536">
            <v>0</v>
          </cell>
          <cell r="BY536">
            <v>0</v>
          </cell>
          <cell r="BZ536">
            <v>0</v>
          </cell>
          <cell r="CA536">
            <v>0</v>
          </cell>
          <cell r="CB536">
            <v>0</v>
          </cell>
          <cell r="CC536">
            <v>0</v>
          </cell>
          <cell r="CD536">
            <v>0</v>
          </cell>
        </row>
        <row r="537">
          <cell r="C537">
            <v>37908</v>
          </cell>
          <cell r="D537">
            <v>37924</v>
          </cell>
          <cell r="E537">
            <v>37908</v>
          </cell>
          <cell r="F537">
            <v>0.33333333333333331</v>
          </cell>
          <cell r="G537" t="str">
            <v>Perfiladora Zikeli</v>
          </cell>
          <cell r="H537" t="str">
            <v>Rolo de Entrada da Perfiladora quebrado</v>
          </cell>
          <cell r="I537" t="str">
            <v>Corretiva</v>
          </cell>
          <cell r="J537" t="str">
            <v>Sim</v>
          </cell>
          <cell r="K537" t="str">
            <v>Mecânica</v>
          </cell>
          <cell r="L537" t="str">
            <v>Reparo</v>
          </cell>
          <cell r="M537" t="str">
            <v>Falha de Regulagem / Configuração / Dimensionamento</v>
          </cell>
          <cell r="N537">
            <v>37908</v>
          </cell>
          <cell r="O537">
            <v>0.33333333333333331</v>
          </cell>
          <cell r="P537">
            <v>37908</v>
          </cell>
          <cell r="Q537">
            <v>0.33333333333333331</v>
          </cell>
          <cell r="T537">
            <v>37908</v>
          </cell>
          <cell r="U537">
            <v>0.54166666666666663</v>
          </cell>
          <cell r="V537">
            <v>37908</v>
          </cell>
          <cell r="W537">
            <v>0.54166666666666663</v>
          </cell>
          <cell r="X537">
            <v>0.20833333333333331</v>
          </cell>
          <cell r="Y537">
            <v>0.20833333333090803</v>
          </cell>
          <cell r="AB537">
            <v>10</v>
          </cell>
          <cell r="AC537">
            <v>10</v>
          </cell>
          <cell r="AD537">
            <v>0</v>
          </cell>
          <cell r="BF537">
            <v>0</v>
          </cell>
          <cell r="BG537">
            <v>0</v>
          </cell>
          <cell r="BH537">
            <v>0</v>
          </cell>
          <cell r="BI537">
            <v>0</v>
          </cell>
          <cell r="BJ537">
            <v>0</v>
          </cell>
          <cell r="BK537">
            <v>0</v>
          </cell>
          <cell r="BL537">
            <v>0</v>
          </cell>
          <cell r="BM537">
            <v>0</v>
          </cell>
          <cell r="BN537">
            <v>0</v>
          </cell>
          <cell r="BO537">
            <v>0</v>
          </cell>
          <cell r="BP537">
            <v>0</v>
          </cell>
          <cell r="BQ537">
            <v>0</v>
          </cell>
          <cell r="BR537">
            <v>0</v>
          </cell>
          <cell r="BS537">
            <v>0</v>
          </cell>
          <cell r="BT537">
            <v>0</v>
          </cell>
          <cell r="BU537">
            <v>0</v>
          </cell>
          <cell r="BV537">
            <v>0</v>
          </cell>
          <cell r="BW537">
            <v>10</v>
          </cell>
          <cell r="BX537">
            <v>0</v>
          </cell>
          <cell r="BY537">
            <v>0</v>
          </cell>
          <cell r="BZ537">
            <v>0</v>
          </cell>
          <cell r="CA537">
            <v>0</v>
          </cell>
          <cell r="CB537">
            <v>0</v>
          </cell>
          <cell r="CC537">
            <v>0</v>
          </cell>
          <cell r="CD537">
            <v>0</v>
          </cell>
        </row>
        <row r="538">
          <cell r="C538">
            <v>37908</v>
          </cell>
          <cell r="I538">
            <v>0</v>
          </cell>
          <cell r="N538">
            <v>0</v>
          </cell>
          <cell r="P538">
            <v>0</v>
          </cell>
          <cell r="T538">
            <v>0</v>
          </cell>
          <cell r="V538">
            <v>0</v>
          </cell>
          <cell r="W538">
            <v>0</v>
          </cell>
          <cell r="X538">
            <v>0</v>
          </cell>
          <cell r="Y538">
            <v>0</v>
          </cell>
          <cell r="AB538">
            <v>0</v>
          </cell>
          <cell r="AC538">
            <v>10</v>
          </cell>
          <cell r="AD538">
            <v>0</v>
          </cell>
          <cell r="BF538">
            <v>0</v>
          </cell>
          <cell r="BG538">
            <v>0</v>
          </cell>
          <cell r="BH538">
            <v>0</v>
          </cell>
          <cell r="BI538">
            <v>0</v>
          </cell>
          <cell r="BJ538">
            <v>0</v>
          </cell>
          <cell r="BK538">
            <v>0</v>
          </cell>
          <cell r="BL538">
            <v>0</v>
          </cell>
          <cell r="BM538">
            <v>0</v>
          </cell>
          <cell r="BN538">
            <v>0</v>
          </cell>
          <cell r="BO538">
            <v>0</v>
          </cell>
          <cell r="BP538">
            <v>0</v>
          </cell>
          <cell r="BQ538">
            <v>0</v>
          </cell>
          <cell r="BR538">
            <v>0</v>
          </cell>
          <cell r="BS538">
            <v>0</v>
          </cell>
          <cell r="BT538">
            <v>0</v>
          </cell>
          <cell r="BU538">
            <v>0</v>
          </cell>
          <cell r="BV538">
            <v>0</v>
          </cell>
          <cell r="BW538">
            <v>0</v>
          </cell>
          <cell r="BX538">
            <v>0</v>
          </cell>
          <cell r="BY538">
            <v>0</v>
          </cell>
          <cell r="BZ538">
            <v>0</v>
          </cell>
          <cell r="CA538">
            <v>0</v>
          </cell>
          <cell r="CB538">
            <v>0</v>
          </cell>
          <cell r="CC538">
            <v>0</v>
          </cell>
          <cell r="CD538">
            <v>0</v>
          </cell>
        </row>
        <row r="539">
          <cell r="C539">
            <v>37908</v>
          </cell>
          <cell r="D539">
            <v>37971</v>
          </cell>
          <cell r="E539">
            <v>37923</v>
          </cell>
          <cell r="F539">
            <v>0.60416666666666663</v>
          </cell>
          <cell r="G539" t="str">
            <v>Serra de Fita</v>
          </cell>
          <cell r="H539" t="str">
            <v>Máquina não liga</v>
          </cell>
          <cell r="I539">
            <v>0</v>
          </cell>
          <cell r="J539" t="str">
            <v>Sim</v>
          </cell>
          <cell r="K539" t="str">
            <v>Elétrica</v>
          </cell>
          <cell r="L539" t="str">
            <v>Substituição do(s) Componente(s)</v>
          </cell>
          <cell r="M539" t="str">
            <v>Travamento de Componente</v>
          </cell>
          <cell r="N539">
            <v>37923</v>
          </cell>
          <cell r="O539">
            <v>0.60416666666666663</v>
          </cell>
          <cell r="P539">
            <v>0</v>
          </cell>
          <cell r="T539">
            <v>37924</v>
          </cell>
          <cell r="U539">
            <v>0.72222222222222221</v>
          </cell>
          <cell r="V539">
            <v>0</v>
          </cell>
          <cell r="W539">
            <v>1.1180555555523219</v>
          </cell>
          <cell r="X539">
            <v>0</v>
          </cell>
          <cell r="Y539">
            <v>0</v>
          </cell>
          <cell r="AB539">
            <v>10</v>
          </cell>
          <cell r="AC539">
            <v>10</v>
          </cell>
          <cell r="AD539">
            <v>0</v>
          </cell>
          <cell r="BF539">
            <v>0</v>
          </cell>
          <cell r="BG539">
            <v>0</v>
          </cell>
          <cell r="BH539">
            <v>0</v>
          </cell>
          <cell r="BI539">
            <v>0</v>
          </cell>
          <cell r="BJ539">
            <v>0</v>
          </cell>
          <cell r="BK539">
            <v>0</v>
          </cell>
          <cell r="BL539">
            <v>0</v>
          </cell>
          <cell r="BM539">
            <v>0</v>
          </cell>
          <cell r="BN539">
            <v>0</v>
          </cell>
          <cell r="BO539">
            <v>0</v>
          </cell>
          <cell r="BP539">
            <v>0</v>
          </cell>
          <cell r="BQ539">
            <v>0</v>
          </cell>
          <cell r="BR539">
            <v>0</v>
          </cell>
          <cell r="BS539">
            <v>0</v>
          </cell>
          <cell r="BT539">
            <v>0</v>
          </cell>
          <cell r="BU539">
            <v>0</v>
          </cell>
          <cell r="BV539">
            <v>0</v>
          </cell>
          <cell r="BW539">
            <v>0</v>
          </cell>
          <cell r="BX539">
            <v>0</v>
          </cell>
          <cell r="BY539">
            <v>0</v>
          </cell>
          <cell r="BZ539">
            <v>0</v>
          </cell>
          <cell r="CA539">
            <v>0</v>
          </cell>
          <cell r="CB539">
            <v>0</v>
          </cell>
          <cell r="CC539">
            <v>10</v>
          </cell>
          <cell r="CD539">
            <v>0</v>
          </cell>
        </row>
        <row r="540">
          <cell r="C540">
            <v>37908</v>
          </cell>
          <cell r="I540">
            <v>0</v>
          </cell>
          <cell r="N540">
            <v>0</v>
          </cell>
          <cell r="P540">
            <v>0</v>
          </cell>
          <cell r="T540">
            <v>0</v>
          </cell>
          <cell r="V540">
            <v>0</v>
          </cell>
          <cell r="W540">
            <v>0</v>
          </cell>
          <cell r="X540">
            <v>0</v>
          </cell>
          <cell r="Y540">
            <v>0</v>
          </cell>
          <cell r="AB540">
            <v>0</v>
          </cell>
          <cell r="AC540">
            <v>10</v>
          </cell>
          <cell r="AD540">
            <v>0</v>
          </cell>
          <cell r="BF540">
            <v>0</v>
          </cell>
          <cell r="BG540">
            <v>0</v>
          </cell>
          <cell r="BH540">
            <v>0</v>
          </cell>
          <cell r="BI540">
            <v>0</v>
          </cell>
          <cell r="BJ540">
            <v>0</v>
          </cell>
          <cell r="BK540">
            <v>0</v>
          </cell>
          <cell r="BL540">
            <v>0</v>
          </cell>
          <cell r="BM540">
            <v>0</v>
          </cell>
          <cell r="BN540">
            <v>0</v>
          </cell>
          <cell r="BO540">
            <v>0</v>
          </cell>
          <cell r="BP540">
            <v>0</v>
          </cell>
          <cell r="BQ540">
            <v>0</v>
          </cell>
          <cell r="BR540">
            <v>0</v>
          </cell>
          <cell r="BS540">
            <v>0</v>
          </cell>
          <cell r="BT540">
            <v>0</v>
          </cell>
          <cell r="BU540">
            <v>0</v>
          </cell>
          <cell r="BV540">
            <v>0</v>
          </cell>
          <cell r="BW540">
            <v>0</v>
          </cell>
          <cell r="BX540">
            <v>0</v>
          </cell>
          <cell r="BY540">
            <v>0</v>
          </cell>
          <cell r="BZ540">
            <v>0</v>
          </cell>
          <cell r="CA540">
            <v>0</v>
          </cell>
          <cell r="CB540">
            <v>0</v>
          </cell>
          <cell r="CC540">
            <v>0</v>
          </cell>
          <cell r="CD540">
            <v>0</v>
          </cell>
        </row>
        <row r="541">
          <cell r="C541">
            <v>37908</v>
          </cell>
          <cell r="I541">
            <v>0</v>
          </cell>
          <cell r="N541">
            <v>0</v>
          </cell>
          <cell r="P541">
            <v>0</v>
          </cell>
          <cell r="T541">
            <v>0</v>
          </cell>
          <cell r="V541">
            <v>0</v>
          </cell>
          <cell r="W541">
            <v>0</v>
          </cell>
          <cell r="X541">
            <v>0</v>
          </cell>
          <cell r="Y541">
            <v>0</v>
          </cell>
          <cell r="AB541">
            <v>0</v>
          </cell>
          <cell r="AC541">
            <v>10</v>
          </cell>
          <cell r="AD541">
            <v>0</v>
          </cell>
          <cell r="BF541">
            <v>0</v>
          </cell>
          <cell r="BG541">
            <v>0</v>
          </cell>
          <cell r="BH541">
            <v>0</v>
          </cell>
          <cell r="BI541">
            <v>0</v>
          </cell>
          <cell r="BJ541">
            <v>0</v>
          </cell>
          <cell r="BK541">
            <v>0</v>
          </cell>
          <cell r="BL541">
            <v>0</v>
          </cell>
          <cell r="BM541">
            <v>0</v>
          </cell>
          <cell r="BN541">
            <v>0</v>
          </cell>
          <cell r="BO541">
            <v>0</v>
          </cell>
          <cell r="BP541">
            <v>0</v>
          </cell>
          <cell r="BQ541">
            <v>0</v>
          </cell>
          <cell r="BR541">
            <v>0</v>
          </cell>
          <cell r="BS541">
            <v>0</v>
          </cell>
          <cell r="BT541">
            <v>0</v>
          </cell>
          <cell r="BU541">
            <v>0</v>
          </cell>
          <cell r="BV541">
            <v>0</v>
          </cell>
          <cell r="BW541">
            <v>0</v>
          </cell>
          <cell r="BX541">
            <v>0</v>
          </cell>
          <cell r="BY541">
            <v>0</v>
          </cell>
          <cell r="BZ541">
            <v>0</v>
          </cell>
          <cell r="CA541">
            <v>0</v>
          </cell>
          <cell r="CB541">
            <v>0</v>
          </cell>
          <cell r="CC541">
            <v>0</v>
          </cell>
          <cell r="CD541">
            <v>0</v>
          </cell>
        </row>
        <row r="542">
          <cell r="C542">
            <v>37908</v>
          </cell>
          <cell r="I542">
            <v>0</v>
          </cell>
          <cell r="N542">
            <v>0</v>
          </cell>
          <cell r="P542">
            <v>0</v>
          </cell>
          <cell r="T542">
            <v>0</v>
          </cell>
          <cell r="V542">
            <v>0</v>
          </cell>
          <cell r="W542">
            <v>0</v>
          </cell>
          <cell r="X542">
            <v>0</v>
          </cell>
          <cell r="Y542">
            <v>0</v>
          </cell>
          <cell r="AB542">
            <v>0</v>
          </cell>
          <cell r="AC542">
            <v>10</v>
          </cell>
          <cell r="AD542">
            <v>0</v>
          </cell>
          <cell r="BF542">
            <v>0</v>
          </cell>
          <cell r="BG542">
            <v>0</v>
          </cell>
          <cell r="BH542">
            <v>0</v>
          </cell>
          <cell r="BI542">
            <v>0</v>
          </cell>
          <cell r="BJ542">
            <v>0</v>
          </cell>
          <cell r="BK542">
            <v>0</v>
          </cell>
          <cell r="BL542">
            <v>0</v>
          </cell>
          <cell r="BM542">
            <v>0</v>
          </cell>
          <cell r="BN542">
            <v>0</v>
          </cell>
          <cell r="BO542">
            <v>0</v>
          </cell>
          <cell r="BP542">
            <v>0</v>
          </cell>
          <cell r="BQ542">
            <v>0</v>
          </cell>
          <cell r="BR542">
            <v>0</v>
          </cell>
          <cell r="BS542">
            <v>0</v>
          </cell>
          <cell r="BT542">
            <v>0</v>
          </cell>
          <cell r="BU542">
            <v>0</v>
          </cell>
          <cell r="BV542">
            <v>0</v>
          </cell>
          <cell r="BW542">
            <v>0</v>
          </cell>
          <cell r="BX542">
            <v>0</v>
          </cell>
          <cell r="BY542">
            <v>0</v>
          </cell>
          <cell r="BZ542">
            <v>0</v>
          </cell>
          <cell r="CA542">
            <v>0</v>
          </cell>
          <cell r="CB542">
            <v>0</v>
          </cell>
          <cell r="CC542">
            <v>0</v>
          </cell>
          <cell r="CD542">
            <v>0</v>
          </cell>
        </row>
        <row r="543">
          <cell r="C543">
            <v>37908</v>
          </cell>
          <cell r="I543">
            <v>0</v>
          </cell>
          <cell r="N543">
            <v>0</v>
          </cell>
          <cell r="P543">
            <v>0</v>
          </cell>
          <cell r="T543">
            <v>0</v>
          </cell>
          <cell r="V543">
            <v>0</v>
          </cell>
          <cell r="W543">
            <v>0</v>
          </cell>
          <cell r="X543">
            <v>0</v>
          </cell>
          <cell r="Y543">
            <v>0</v>
          </cell>
          <cell r="AB543">
            <v>0</v>
          </cell>
          <cell r="AC543">
            <v>10</v>
          </cell>
          <cell r="AD543">
            <v>0</v>
          </cell>
          <cell r="BF543">
            <v>0</v>
          </cell>
          <cell r="BG543">
            <v>0</v>
          </cell>
          <cell r="BH543">
            <v>0</v>
          </cell>
          <cell r="BI543">
            <v>0</v>
          </cell>
          <cell r="BJ543">
            <v>0</v>
          </cell>
          <cell r="BK543">
            <v>0</v>
          </cell>
          <cell r="BL543">
            <v>0</v>
          </cell>
          <cell r="BM543">
            <v>0</v>
          </cell>
          <cell r="BN543">
            <v>0</v>
          </cell>
          <cell r="BO543">
            <v>0</v>
          </cell>
          <cell r="BP543">
            <v>0</v>
          </cell>
          <cell r="BQ543">
            <v>0</v>
          </cell>
          <cell r="BR543">
            <v>0</v>
          </cell>
          <cell r="BS543">
            <v>0</v>
          </cell>
          <cell r="BT543">
            <v>0</v>
          </cell>
          <cell r="BU543">
            <v>0</v>
          </cell>
          <cell r="BV543">
            <v>0</v>
          </cell>
          <cell r="BW543">
            <v>0</v>
          </cell>
          <cell r="BX543">
            <v>0</v>
          </cell>
          <cell r="BY543">
            <v>0</v>
          </cell>
          <cell r="BZ543">
            <v>0</v>
          </cell>
          <cell r="CA543">
            <v>0</v>
          </cell>
          <cell r="CB543">
            <v>0</v>
          </cell>
          <cell r="CC543">
            <v>0</v>
          </cell>
          <cell r="CD543">
            <v>0</v>
          </cell>
        </row>
        <row r="544">
          <cell r="C544">
            <v>37908</v>
          </cell>
          <cell r="I544">
            <v>0</v>
          </cell>
          <cell r="N544">
            <v>0</v>
          </cell>
          <cell r="P544">
            <v>0</v>
          </cell>
          <cell r="T544">
            <v>0</v>
          </cell>
          <cell r="V544">
            <v>0</v>
          </cell>
          <cell r="W544">
            <v>0</v>
          </cell>
          <cell r="X544">
            <v>0</v>
          </cell>
          <cell r="Y544">
            <v>0</v>
          </cell>
          <cell r="AB544">
            <v>0</v>
          </cell>
          <cell r="AC544">
            <v>10</v>
          </cell>
          <cell r="AD544">
            <v>0</v>
          </cell>
          <cell r="BF544">
            <v>0</v>
          </cell>
          <cell r="BG544">
            <v>0</v>
          </cell>
          <cell r="BH544">
            <v>0</v>
          </cell>
          <cell r="BI544">
            <v>0</v>
          </cell>
          <cell r="BJ544">
            <v>0</v>
          </cell>
          <cell r="BK544">
            <v>0</v>
          </cell>
          <cell r="BL544">
            <v>0</v>
          </cell>
          <cell r="BM544">
            <v>0</v>
          </cell>
          <cell r="BN544">
            <v>0</v>
          </cell>
          <cell r="BO544">
            <v>0</v>
          </cell>
          <cell r="BP544">
            <v>0</v>
          </cell>
          <cell r="BQ544">
            <v>0</v>
          </cell>
          <cell r="BR544">
            <v>0</v>
          </cell>
          <cell r="BS544">
            <v>0</v>
          </cell>
          <cell r="BT544">
            <v>0</v>
          </cell>
          <cell r="BU544">
            <v>0</v>
          </cell>
          <cell r="BV544">
            <v>0</v>
          </cell>
          <cell r="BW544">
            <v>0</v>
          </cell>
          <cell r="BX544">
            <v>0</v>
          </cell>
          <cell r="BY544">
            <v>0</v>
          </cell>
          <cell r="BZ544">
            <v>0</v>
          </cell>
          <cell r="CA544">
            <v>0</v>
          </cell>
          <cell r="CB544">
            <v>0</v>
          </cell>
          <cell r="CC544">
            <v>0</v>
          </cell>
          <cell r="CD544">
            <v>0</v>
          </cell>
        </row>
        <row r="545">
          <cell r="C545">
            <v>37908</v>
          </cell>
          <cell r="I545">
            <v>0</v>
          </cell>
          <cell r="N545">
            <v>0</v>
          </cell>
          <cell r="P545">
            <v>0</v>
          </cell>
          <cell r="T545">
            <v>0</v>
          </cell>
          <cell r="V545">
            <v>0</v>
          </cell>
          <cell r="W545">
            <v>0</v>
          </cell>
          <cell r="X545">
            <v>0</v>
          </cell>
          <cell r="Y545">
            <v>0</v>
          </cell>
          <cell r="AB545">
            <v>0</v>
          </cell>
          <cell r="AC545">
            <v>10</v>
          </cell>
          <cell r="AD545">
            <v>0</v>
          </cell>
          <cell r="BF545">
            <v>0</v>
          </cell>
          <cell r="BG545">
            <v>0</v>
          </cell>
          <cell r="BH545">
            <v>0</v>
          </cell>
          <cell r="BI545">
            <v>0</v>
          </cell>
          <cell r="BJ545">
            <v>0</v>
          </cell>
          <cell r="BK545">
            <v>0</v>
          </cell>
          <cell r="BL545">
            <v>0</v>
          </cell>
          <cell r="BM545">
            <v>0</v>
          </cell>
          <cell r="BN545">
            <v>0</v>
          </cell>
          <cell r="BO545">
            <v>0</v>
          </cell>
          <cell r="BP545">
            <v>0</v>
          </cell>
          <cell r="BQ545">
            <v>0</v>
          </cell>
          <cell r="BR545">
            <v>0</v>
          </cell>
          <cell r="BS545">
            <v>0</v>
          </cell>
          <cell r="BT545">
            <v>0</v>
          </cell>
          <cell r="BU545">
            <v>0</v>
          </cell>
          <cell r="BV545">
            <v>0</v>
          </cell>
          <cell r="BW545">
            <v>0</v>
          </cell>
          <cell r="BX545">
            <v>0</v>
          </cell>
          <cell r="BY545">
            <v>0</v>
          </cell>
          <cell r="BZ545">
            <v>0</v>
          </cell>
          <cell r="CA545">
            <v>0</v>
          </cell>
          <cell r="CB545">
            <v>0</v>
          </cell>
          <cell r="CC545">
            <v>0</v>
          </cell>
          <cell r="CD545">
            <v>0</v>
          </cell>
        </row>
        <row r="546">
          <cell r="C546">
            <v>37908</v>
          </cell>
          <cell r="I546">
            <v>0</v>
          </cell>
          <cell r="N546">
            <v>0</v>
          </cell>
          <cell r="P546">
            <v>0</v>
          </cell>
          <cell r="T546">
            <v>0</v>
          </cell>
          <cell r="V546">
            <v>0</v>
          </cell>
          <cell r="W546">
            <v>0</v>
          </cell>
          <cell r="X546">
            <v>0</v>
          </cell>
          <cell r="Y546">
            <v>0</v>
          </cell>
          <cell r="AB546">
            <v>0</v>
          </cell>
          <cell r="AC546">
            <v>10</v>
          </cell>
          <cell r="AD546">
            <v>0</v>
          </cell>
          <cell r="BF546">
            <v>0</v>
          </cell>
          <cell r="BG546">
            <v>0</v>
          </cell>
          <cell r="BH546">
            <v>0</v>
          </cell>
          <cell r="BI546">
            <v>0</v>
          </cell>
          <cell r="BJ546">
            <v>0</v>
          </cell>
          <cell r="BK546">
            <v>0</v>
          </cell>
          <cell r="BL546">
            <v>0</v>
          </cell>
          <cell r="BM546">
            <v>0</v>
          </cell>
          <cell r="BN546">
            <v>0</v>
          </cell>
          <cell r="BO546">
            <v>0</v>
          </cell>
          <cell r="BP546">
            <v>0</v>
          </cell>
          <cell r="BQ546">
            <v>0</v>
          </cell>
          <cell r="BR546">
            <v>0</v>
          </cell>
          <cell r="BS546">
            <v>0</v>
          </cell>
          <cell r="BT546">
            <v>0</v>
          </cell>
          <cell r="BU546">
            <v>0</v>
          </cell>
          <cell r="BV546">
            <v>0</v>
          </cell>
          <cell r="BW546">
            <v>0</v>
          </cell>
          <cell r="BX546">
            <v>0</v>
          </cell>
          <cell r="BY546">
            <v>0</v>
          </cell>
          <cell r="BZ546">
            <v>0</v>
          </cell>
          <cell r="CA546">
            <v>0</v>
          </cell>
          <cell r="CB546">
            <v>0</v>
          </cell>
          <cell r="CC546">
            <v>0</v>
          </cell>
          <cell r="CD546">
            <v>0</v>
          </cell>
        </row>
        <row r="547">
          <cell r="C547">
            <v>37908</v>
          </cell>
          <cell r="I547">
            <v>0</v>
          </cell>
          <cell r="N547">
            <v>0</v>
          </cell>
          <cell r="P547">
            <v>0</v>
          </cell>
          <cell r="T547">
            <v>0</v>
          </cell>
          <cell r="V547">
            <v>0</v>
          </cell>
          <cell r="W547">
            <v>0</v>
          </cell>
          <cell r="X547">
            <v>0</v>
          </cell>
          <cell r="Y547">
            <v>0</v>
          </cell>
          <cell r="AB547">
            <v>0</v>
          </cell>
          <cell r="AC547">
            <v>10</v>
          </cell>
          <cell r="AD547">
            <v>0</v>
          </cell>
          <cell r="BF547">
            <v>0</v>
          </cell>
          <cell r="BG547">
            <v>0</v>
          </cell>
          <cell r="BH547">
            <v>0</v>
          </cell>
          <cell r="BI547">
            <v>0</v>
          </cell>
          <cell r="BJ547">
            <v>0</v>
          </cell>
          <cell r="BK547">
            <v>0</v>
          </cell>
          <cell r="BL547">
            <v>0</v>
          </cell>
          <cell r="BM547">
            <v>0</v>
          </cell>
          <cell r="BN547">
            <v>0</v>
          </cell>
          <cell r="BO547">
            <v>0</v>
          </cell>
          <cell r="BP547">
            <v>0</v>
          </cell>
          <cell r="BQ547">
            <v>0</v>
          </cell>
          <cell r="BR547">
            <v>0</v>
          </cell>
          <cell r="BS547">
            <v>0</v>
          </cell>
          <cell r="BT547">
            <v>0</v>
          </cell>
          <cell r="BU547">
            <v>0</v>
          </cell>
          <cell r="BV547">
            <v>0</v>
          </cell>
          <cell r="BW547">
            <v>0</v>
          </cell>
          <cell r="BX547">
            <v>0</v>
          </cell>
          <cell r="BY547">
            <v>0</v>
          </cell>
          <cell r="BZ547">
            <v>0</v>
          </cell>
          <cell r="CA547">
            <v>0</v>
          </cell>
          <cell r="CB547">
            <v>0</v>
          </cell>
          <cell r="CC547">
            <v>0</v>
          </cell>
          <cell r="CD547">
            <v>0</v>
          </cell>
        </row>
        <row r="548">
          <cell r="C548">
            <v>37908</v>
          </cell>
          <cell r="I548">
            <v>0</v>
          </cell>
          <cell r="N548">
            <v>0</v>
          </cell>
          <cell r="P548">
            <v>0</v>
          </cell>
          <cell r="T548">
            <v>0</v>
          </cell>
          <cell r="V548">
            <v>0</v>
          </cell>
          <cell r="W548">
            <v>0</v>
          </cell>
          <cell r="X548">
            <v>0</v>
          </cell>
          <cell r="Y548">
            <v>0</v>
          </cell>
          <cell r="AB548">
            <v>0</v>
          </cell>
          <cell r="AC548">
            <v>10</v>
          </cell>
          <cell r="AD548">
            <v>0</v>
          </cell>
          <cell r="BF548">
            <v>0</v>
          </cell>
          <cell r="BG548">
            <v>0</v>
          </cell>
          <cell r="BH548">
            <v>0</v>
          </cell>
          <cell r="BI548">
            <v>0</v>
          </cell>
          <cell r="BJ548">
            <v>0</v>
          </cell>
          <cell r="BK548">
            <v>0</v>
          </cell>
          <cell r="BL548">
            <v>0</v>
          </cell>
          <cell r="BM548">
            <v>0</v>
          </cell>
          <cell r="BN548">
            <v>0</v>
          </cell>
          <cell r="BO548">
            <v>0</v>
          </cell>
          <cell r="BP548">
            <v>0</v>
          </cell>
          <cell r="BQ548">
            <v>0</v>
          </cell>
          <cell r="BR548">
            <v>0</v>
          </cell>
          <cell r="BS548">
            <v>0</v>
          </cell>
          <cell r="BT548">
            <v>0</v>
          </cell>
          <cell r="BU548">
            <v>0</v>
          </cell>
          <cell r="BV548">
            <v>0</v>
          </cell>
          <cell r="BW548">
            <v>0</v>
          </cell>
          <cell r="BX548">
            <v>0</v>
          </cell>
          <cell r="BY548">
            <v>0</v>
          </cell>
          <cell r="BZ548">
            <v>0</v>
          </cell>
          <cell r="CA548">
            <v>0</v>
          </cell>
          <cell r="CB548">
            <v>0</v>
          </cell>
          <cell r="CC548">
            <v>0</v>
          </cell>
          <cell r="CD548">
            <v>0</v>
          </cell>
        </row>
        <row r="549">
          <cell r="C549">
            <v>37908</v>
          </cell>
          <cell r="I549">
            <v>0</v>
          </cell>
          <cell r="N549">
            <v>0</v>
          </cell>
          <cell r="P549">
            <v>0</v>
          </cell>
          <cell r="T549">
            <v>0</v>
          </cell>
          <cell r="V549">
            <v>0</v>
          </cell>
          <cell r="W549">
            <v>0</v>
          </cell>
          <cell r="X549">
            <v>0</v>
          </cell>
          <cell r="Y549">
            <v>0</v>
          </cell>
          <cell r="AB549">
            <v>0</v>
          </cell>
          <cell r="AC549">
            <v>10</v>
          </cell>
          <cell r="AD549">
            <v>0</v>
          </cell>
          <cell r="BF549">
            <v>0</v>
          </cell>
          <cell r="BG549">
            <v>0</v>
          </cell>
          <cell r="BH549">
            <v>0</v>
          </cell>
          <cell r="BI549">
            <v>0</v>
          </cell>
          <cell r="BJ549">
            <v>0</v>
          </cell>
          <cell r="BK549">
            <v>0</v>
          </cell>
          <cell r="BL549">
            <v>0</v>
          </cell>
          <cell r="BM549">
            <v>0</v>
          </cell>
          <cell r="BN549">
            <v>0</v>
          </cell>
          <cell r="BO549">
            <v>0</v>
          </cell>
          <cell r="BP549">
            <v>0</v>
          </cell>
          <cell r="BQ549">
            <v>0</v>
          </cell>
          <cell r="BR549">
            <v>0</v>
          </cell>
          <cell r="BS549">
            <v>0</v>
          </cell>
          <cell r="BT549">
            <v>0</v>
          </cell>
          <cell r="BU549">
            <v>0</v>
          </cell>
          <cell r="BV549">
            <v>0</v>
          </cell>
          <cell r="BW549">
            <v>0</v>
          </cell>
          <cell r="BX549">
            <v>0</v>
          </cell>
          <cell r="BY549">
            <v>0</v>
          </cell>
          <cell r="BZ549">
            <v>0</v>
          </cell>
          <cell r="CA549">
            <v>0</v>
          </cell>
          <cell r="CB549">
            <v>0</v>
          </cell>
          <cell r="CC549">
            <v>0</v>
          </cell>
          <cell r="CD549">
            <v>0</v>
          </cell>
        </row>
        <row r="550">
          <cell r="C550">
            <v>37908</v>
          </cell>
          <cell r="I550">
            <v>0</v>
          </cell>
          <cell r="N550">
            <v>0</v>
          </cell>
          <cell r="P550">
            <v>0</v>
          </cell>
          <cell r="T550">
            <v>0</v>
          </cell>
          <cell r="V550">
            <v>0</v>
          </cell>
          <cell r="W550">
            <v>0</v>
          </cell>
          <cell r="X550">
            <v>0</v>
          </cell>
          <cell r="Y550">
            <v>0</v>
          </cell>
          <cell r="AB550">
            <v>0</v>
          </cell>
          <cell r="AC550">
            <v>10</v>
          </cell>
          <cell r="AD550">
            <v>0</v>
          </cell>
          <cell r="BF550">
            <v>0</v>
          </cell>
          <cell r="BG550">
            <v>0</v>
          </cell>
          <cell r="BH550">
            <v>0</v>
          </cell>
          <cell r="BI550">
            <v>0</v>
          </cell>
          <cell r="BJ550">
            <v>0</v>
          </cell>
          <cell r="BK550">
            <v>0</v>
          </cell>
          <cell r="BL550">
            <v>0</v>
          </cell>
          <cell r="BM550">
            <v>0</v>
          </cell>
          <cell r="BN550">
            <v>0</v>
          </cell>
          <cell r="BO550">
            <v>0</v>
          </cell>
          <cell r="BP550">
            <v>0</v>
          </cell>
          <cell r="BQ550">
            <v>0</v>
          </cell>
          <cell r="BR550">
            <v>0</v>
          </cell>
          <cell r="BS550">
            <v>0</v>
          </cell>
          <cell r="BT550">
            <v>0</v>
          </cell>
          <cell r="BU550">
            <v>0</v>
          </cell>
          <cell r="BV550">
            <v>0</v>
          </cell>
          <cell r="BW550">
            <v>0</v>
          </cell>
          <cell r="BX550">
            <v>0</v>
          </cell>
          <cell r="BY550">
            <v>0</v>
          </cell>
          <cell r="BZ550">
            <v>0</v>
          </cell>
          <cell r="CA550">
            <v>0</v>
          </cell>
          <cell r="CB550">
            <v>0</v>
          </cell>
          <cell r="CC550">
            <v>0</v>
          </cell>
          <cell r="CD550">
            <v>0</v>
          </cell>
        </row>
        <row r="551">
          <cell r="C551">
            <v>37908</v>
          </cell>
          <cell r="I551">
            <v>0</v>
          </cell>
          <cell r="N551">
            <v>0</v>
          </cell>
          <cell r="P551">
            <v>0</v>
          </cell>
          <cell r="T551">
            <v>0</v>
          </cell>
          <cell r="V551">
            <v>0</v>
          </cell>
          <cell r="W551">
            <v>0</v>
          </cell>
          <cell r="X551">
            <v>0</v>
          </cell>
          <cell r="Y551">
            <v>0</v>
          </cell>
          <cell r="AB551">
            <v>0</v>
          </cell>
          <cell r="AC551">
            <v>10</v>
          </cell>
          <cell r="AD551">
            <v>0</v>
          </cell>
          <cell r="BF551">
            <v>0</v>
          </cell>
          <cell r="BG551">
            <v>0</v>
          </cell>
          <cell r="BH551">
            <v>0</v>
          </cell>
          <cell r="BI551">
            <v>0</v>
          </cell>
          <cell r="BJ551">
            <v>0</v>
          </cell>
          <cell r="BK551">
            <v>0</v>
          </cell>
          <cell r="BL551">
            <v>0</v>
          </cell>
          <cell r="BM551">
            <v>0</v>
          </cell>
          <cell r="BN551">
            <v>0</v>
          </cell>
          <cell r="BO551">
            <v>0</v>
          </cell>
          <cell r="BP551">
            <v>0</v>
          </cell>
          <cell r="BQ551">
            <v>0</v>
          </cell>
          <cell r="BR551">
            <v>0</v>
          </cell>
          <cell r="BS551">
            <v>0</v>
          </cell>
          <cell r="BT551">
            <v>0</v>
          </cell>
          <cell r="BU551">
            <v>0</v>
          </cell>
          <cell r="BV551">
            <v>0</v>
          </cell>
          <cell r="BW551">
            <v>0</v>
          </cell>
          <cell r="BX551">
            <v>0</v>
          </cell>
          <cell r="BY551">
            <v>0</v>
          </cell>
          <cell r="BZ551">
            <v>0</v>
          </cell>
          <cell r="CA551">
            <v>0</v>
          </cell>
          <cell r="CB551">
            <v>0</v>
          </cell>
          <cell r="CC551">
            <v>0</v>
          </cell>
          <cell r="CD551">
            <v>0</v>
          </cell>
        </row>
        <row r="552">
          <cell r="C552">
            <v>37908</v>
          </cell>
          <cell r="D552">
            <v>37971</v>
          </cell>
          <cell r="E552">
            <v>37943</v>
          </cell>
          <cell r="F552">
            <v>37943</v>
          </cell>
          <cell r="G552">
            <v>0.54166666666666663</v>
          </cell>
          <cell r="H552" t="str">
            <v>Braço superior Prensa rompido</v>
          </cell>
          <cell r="I552">
            <v>0</v>
          </cell>
          <cell r="J552" t="str">
            <v>Não</v>
          </cell>
          <cell r="K552" t="str">
            <v>Mecânica</v>
          </cell>
          <cell r="L552" t="str">
            <v>sim</v>
          </cell>
          <cell r="M552" t="str">
            <v>Vibração</v>
          </cell>
          <cell r="N552">
            <v>37943</v>
          </cell>
          <cell r="O552">
            <v>0.5625</v>
          </cell>
          <cell r="P552">
            <v>37943</v>
          </cell>
          <cell r="Q552">
            <v>0.5625</v>
          </cell>
          <cell r="T552">
            <v>37944</v>
          </cell>
          <cell r="U552">
            <v>0.52777777777777779</v>
          </cell>
          <cell r="V552">
            <v>37944</v>
          </cell>
          <cell r="W552">
            <v>0.52777777777777779</v>
          </cell>
          <cell r="X552">
            <v>0.96527777777777779</v>
          </cell>
          <cell r="Y552">
            <v>0.96527777778101154</v>
          </cell>
          <cell r="AB552">
            <v>11</v>
          </cell>
          <cell r="AC552">
            <v>10</v>
          </cell>
          <cell r="AD552">
            <v>0</v>
          </cell>
          <cell r="BF552">
            <v>0</v>
          </cell>
          <cell r="BG552">
            <v>0</v>
          </cell>
          <cell r="BH552">
            <v>0</v>
          </cell>
          <cell r="BI552">
            <v>0</v>
          </cell>
          <cell r="BJ552">
            <v>0</v>
          </cell>
          <cell r="BK552">
            <v>0</v>
          </cell>
          <cell r="BL552">
            <v>0</v>
          </cell>
          <cell r="BM552">
            <v>0</v>
          </cell>
          <cell r="BN552">
            <v>0</v>
          </cell>
          <cell r="BO552">
            <v>0</v>
          </cell>
          <cell r="BP552">
            <v>0</v>
          </cell>
          <cell r="BQ552">
            <v>0</v>
          </cell>
          <cell r="BR552">
            <v>0</v>
          </cell>
          <cell r="BS552">
            <v>0</v>
          </cell>
          <cell r="BT552">
            <v>0</v>
          </cell>
          <cell r="BU552">
            <v>0</v>
          </cell>
          <cell r="BV552">
            <v>0</v>
          </cell>
          <cell r="BW552">
            <v>11</v>
          </cell>
          <cell r="BX552">
            <v>0</v>
          </cell>
          <cell r="BY552">
            <v>0</v>
          </cell>
          <cell r="BZ552">
            <v>0</v>
          </cell>
          <cell r="CA552">
            <v>0</v>
          </cell>
          <cell r="CB552">
            <v>0</v>
          </cell>
          <cell r="CC552">
            <v>0</v>
          </cell>
          <cell r="CD552">
            <v>0</v>
          </cell>
        </row>
        <row r="553">
          <cell r="C553">
            <v>37908</v>
          </cell>
          <cell r="I553">
            <v>0</v>
          </cell>
          <cell r="N553">
            <v>0</v>
          </cell>
          <cell r="P553">
            <v>0</v>
          </cell>
          <cell r="T553">
            <v>0</v>
          </cell>
          <cell r="V553">
            <v>0</v>
          </cell>
          <cell r="W553">
            <v>0</v>
          </cell>
          <cell r="X553">
            <v>0</v>
          </cell>
          <cell r="Y553">
            <v>0</v>
          </cell>
          <cell r="AB553">
            <v>0</v>
          </cell>
          <cell r="AC553">
            <v>10</v>
          </cell>
          <cell r="AD553">
            <v>0</v>
          </cell>
          <cell r="BF553">
            <v>0</v>
          </cell>
          <cell r="BG553">
            <v>0</v>
          </cell>
          <cell r="BH553">
            <v>0</v>
          </cell>
          <cell r="BI553">
            <v>0</v>
          </cell>
          <cell r="BJ553">
            <v>0</v>
          </cell>
          <cell r="BK553">
            <v>0</v>
          </cell>
          <cell r="BL553">
            <v>0</v>
          </cell>
          <cell r="BM553">
            <v>0</v>
          </cell>
          <cell r="BN553">
            <v>0</v>
          </cell>
          <cell r="BO553">
            <v>0</v>
          </cell>
          <cell r="BP553">
            <v>0</v>
          </cell>
          <cell r="BQ553">
            <v>0</v>
          </cell>
          <cell r="BR553">
            <v>0</v>
          </cell>
          <cell r="BS553">
            <v>0</v>
          </cell>
          <cell r="BT553">
            <v>0</v>
          </cell>
          <cell r="BU553">
            <v>0</v>
          </cell>
          <cell r="BV553">
            <v>0</v>
          </cell>
          <cell r="BW553">
            <v>0</v>
          </cell>
          <cell r="BX553">
            <v>0</v>
          </cell>
          <cell r="BY553">
            <v>0</v>
          </cell>
          <cell r="BZ553">
            <v>0</v>
          </cell>
          <cell r="CA553">
            <v>0</v>
          </cell>
          <cell r="CB553">
            <v>0</v>
          </cell>
          <cell r="CC553">
            <v>0</v>
          </cell>
          <cell r="CD553">
            <v>0</v>
          </cell>
        </row>
        <row r="554">
          <cell r="C554">
            <v>37908</v>
          </cell>
          <cell r="I554">
            <v>0</v>
          </cell>
          <cell r="N554">
            <v>0</v>
          </cell>
          <cell r="P554">
            <v>0</v>
          </cell>
          <cell r="T554">
            <v>0</v>
          </cell>
          <cell r="V554">
            <v>0</v>
          </cell>
          <cell r="W554">
            <v>0</v>
          </cell>
          <cell r="X554">
            <v>0</v>
          </cell>
          <cell r="Y554">
            <v>0</v>
          </cell>
          <cell r="AB554">
            <v>0</v>
          </cell>
          <cell r="AC554">
            <v>10</v>
          </cell>
          <cell r="AD554">
            <v>0</v>
          </cell>
          <cell r="BF554">
            <v>0</v>
          </cell>
          <cell r="BG554">
            <v>0</v>
          </cell>
          <cell r="BH554">
            <v>0</v>
          </cell>
          <cell r="BI554">
            <v>0</v>
          </cell>
          <cell r="BJ554">
            <v>0</v>
          </cell>
          <cell r="BK554">
            <v>0</v>
          </cell>
          <cell r="BL554">
            <v>0</v>
          </cell>
          <cell r="BM554">
            <v>0</v>
          </cell>
          <cell r="BN554">
            <v>0</v>
          </cell>
          <cell r="BO554">
            <v>0</v>
          </cell>
          <cell r="BP554">
            <v>0</v>
          </cell>
          <cell r="BQ554">
            <v>0</v>
          </cell>
          <cell r="BR554">
            <v>0</v>
          </cell>
          <cell r="BS554">
            <v>0</v>
          </cell>
          <cell r="BT554">
            <v>0</v>
          </cell>
          <cell r="BU554">
            <v>0</v>
          </cell>
          <cell r="BV554">
            <v>0</v>
          </cell>
          <cell r="BW554">
            <v>0</v>
          </cell>
          <cell r="BX554">
            <v>0</v>
          </cell>
          <cell r="BY554">
            <v>0</v>
          </cell>
          <cell r="BZ554">
            <v>0</v>
          </cell>
          <cell r="CA554">
            <v>0</v>
          </cell>
          <cell r="CB554">
            <v>0</v>
          </cell>
          <cell r="CC554">
            <v>0</v>
          </cell>
          <cell r="CD554">
            <v>0</v>
          </cell>
        </row>
        <row r="555">
          <cell r="C555">
            <v>37908</v>
          </cell>
          <cell r="I555">
            <v>0</v>
          </cell>
          <cell r="N555">
            <v>0</v>
          </cell>
          <cell r="P555">
            <v>0</v>
          </cell>
          <cell r="T555">
            <v>0</v>
          </cell>
          <cell r="V555">
            <v>0</v>
          </cell>
          <cell r="W555">
            <v>0</v>
          </cell>
          <cell r="X555">
            <v>0</v>
          </cell>
          <cell r="Y555">
            <v>0</v>
          </cell>
          <cell r="AB555">
            <v>0</v>
          </cell>
          <cell r="AC555">
            <v>10</v>
          </cell>
          <cell r="AD555">
            <v>0</v>
          </cell>
          <cell r="BF555">
            <v>0</v>
          </cell>
          <cell r="BG555">
            <v>0</v>
          </cell>
          <cell r="BH555">
            <v>0</v>
          </cell>
          <cell r="BI555">
            <v>0</v>
          </cell>
          <cell r="BJ555">
            <v>0</v>
          </cell>
          <cell r="BK555">
            <v>0</v>
          </cell>
          <cell r="BL555">
            <v>0</v>
          </cell>
          <cell r="BM555">
            <v>0</v>
          </cell>
          <cell r="BN555">
            <v>0</v>
          </cell>
          <cell r="BO555">
            <v>0</v>
          </cell>
          <cell r="BP555">
            <v>0</v>
          </cell>
          <cell r="BQ555">
            <v>0</v>
          </cell>
          <cell r="BR555">
            <v>0</v>
          </cell>
          <cell r="BS555">
            <v>0</v>
          </cell>
          <cell r="BT555">
            <v>0</v>
          </cell>
          <cell r="BU555">
            <v>0</v>
          </cell>
          <cell r="BV555">
            <v>0</v>
          </cell>
          <cell r="BW555">
            <v>0</v>
          </cell>
          <cell r="BX555">
            <v>0</v>
          </cell>
          <cell r="BY555">
            <v>0</v>
          </cell>
          <cell r="BZ555">
            <v>0</v>
          </cell>
          <cell r="CA555">
            <v>0</v>
          </cell>
          <cell r="CB555">
            <v>0</v>
          </cell>
          <cell r="CC555">
            <v>0</v>
          </cell>
          <cell r="CD555">
            <v>0</v>
          </cell>
        </row>
        <row r="556">
          <cell r="C556">
            <v>37908</v>
          </cell>
          <cell r="I556">
            <v>0</v>
          </cell>
          <cell r="N556">
            <v>0</v>
          </cell>
          <cell r="P556">
            <v>0</v>
          </cell>
          <cell r="T556">
            <v>0</v>
          </cell>
          <cell r="V556">
            <v>0</v>
          </cell>
          <cell r="W556">
            <v>0</v>
          </cell>
          <cell r="X556">
            <v>0</v>
          </cell>
          <cell r="Y556">
            <v>0</v>
          </cell>
          <cell r="AB556">
            <v>0</v>
          </cell>
          <cell r="AC556">
            <v>10</v>
          </cell>
          <cell r="AD556">
            <v>0</v>
          </cell>
          <cell r="BF556">
            <v>0</v>
          </cell>
          <cell r="BG556">
            <v>0</v>
          </cell>
          <cell r="BH556">
            <v>0</v>
          </cell>
          <cell r="BI556">
            <v>0</v>
          </cell>
          <cell r="BJ556">
            <v>0</v>
          </cell>
          <cell r="BK556">
            <v>0</v>
          </cell>
          <cell r="BL556">
            <v>0</v>
          </cell>
          <cell r="BM556">
            <v>0</v>
          </cell>
          <cell r="BN556">
            <v>0</v>
          </cell>
          <cell r="BO556">
            <v>0</v>
          </cell>
          <cell r="BP556">
            <v>0</v>
          </cell>
          <cell r="BQ556">
            <v>0</v>
          </cell>
          <cell r="BR556">
            <v>0</v>
          </cell>
          <cell r="BS556">
            <v>0</v>
          </cell>
          <cell r="BT556">
            <v>0</v>
          </cell>
          <cell r="BU556">
            <v>0</v>
          </cell>
          <cell r="BV556">
            <v>0</v>
          </cell>
          <cell r="BW556">
            <v>0</v>
          </cell>
          <cell r="BX556">
            <v>0</v>
          </cell>
          <cell r="BY556">
            <v>0</v>
          </cell>
          <cell r="BZ556">
            <v>0</v>
          </cell>
          <cell r="CA556">
            <v>0</v>
          </cell>
          <cell r="CB556">
            <v>0</v>
          </cell>
          <cell r="CC556">
            <v>0</v>
          </cell>
          <cell r="CD556">
            <v>0</v>
          </cell>
        </row>
        <row r="557">
          <cell r="C557">
            <v>37911</v>
          </cell>
          <cell r="D557">
            <v>37928</v>
          </cell>
          <cell r="E557">
            <v>37911</v>
          </cell>
          <cell r="F557">
            <v>0.25</v>
          </cell>
          <cell r="G557" t="str">
            <v>Perfiladora Fagor Largueros</v>
          </cell>
          <cell r="H557" t="str">
            <v>Cortante G70 travado</v>
          </cell>
          <cell r="I557" t="str">
            <v>Corretiva</v>
          </cell>
          <cell r="J557" t="str">
            <v>Sim</v>
          </cell>
          <cell r="K557" t="str">
            <v>Mecânica</v>
          </cell>
          <cell r="L557" t="str">
            <v>Reparo</v>
          </cell>
          <cell r="M557" t="str">
            <v>Falha de Regulagem / Configuração / Dimensionamento</v>
          </cell>
          <cell r="N557">
            <v>37911</v>
          </cell>
          <cell r="O557">
            <v>0.4375</v>
          </cell>
          <cell r="P557">
            <v>37911</v>
          </cell>
          <cell r="Q557">
            <v>0.72916666666666663</v>
          </cell>
          <cell r="R557">
            <v>37912</v>
          </cell>
          <cell r="S557">
            <v>0.29166666666666669</v>
          </cell>
          <cell r="T557">
            <v>37912</v>
          </cell>
          <cell r="U557">
            <v>0.66666666666666663</v>
          </cell>
          <cell r="V557">
            <v>0.1875</v>
          </cell>
          <cell r="W557">
            <v>0.85416666666666652</v>
          </cell>
          <cell r="X557">
            <v>0.66666666666666652</v>
          </cell>
          <cell r="Y557">
            <v>0.66666666666666652</v>
          </cell>
          <cell r="AB557">
            <v>10</v>
          </cell>
          <cell r="AC557">
            <v>10</v>
          </cell>
          <cell r="AD557">
            <v>0</v>
          </cell>
          <cell r="BF557">
            <v>0</v>
          </cell>
          <cell r="BG557">
            <v>0</v>
          </cell>
          <cell r="BH557">
            <v>0</v>
          </cell>
          <cell r="BI557">
            <v>0</v>
          </cell>
          <cell r="BJ557">
            <v>0</v>
          </cell>
          <cell r="BK557">
            <v>0</v>
          </cell>
          <cell r="BL557">
            <v>0</v>
          </cell>
          <cell r="BM557">
            <v>0</v>
          </cell>
          <cell r="BN557">
            <v>0</v>
          </cell>
          <cell r="BO557">
            <v>0</v>
          </cell>
          <cell r="BP557">
            <v>0</v>
          </cell>
          <cell r="BQ557">
            <v>0</v>
          </cell>
          <cell r="BR557">
            <v>0</v>
          </cell>
          <cell r="BS557">
            <v>0</v>
          </cell>
          <cell r="BT557">
            <v>10</v>
          </cell>
          <cell r="BU557">
            <v>0</v>
          </cell>
          <cell r="BV557">
            <v>0</v>
          </cell>
          <cell r="BW557">
            <v>0</v>
          </cell>
          <cell r="BX557">
            <v>0</v>
          </cell>
          <cell r="BY557">
            <v>0</v>
          </cell>
          <cell r="BZ557">
            <v>0</v>
          </cell>
          <cell r="CA557">
            <v>0</v>
          </cell>
          <cell r="CB557">
            <v>0</v>
          </cell>
          <cell r="CC557">
            <v>0</v>
          </cell>
          <cell r="CD557">
            <v>0</v>
          </cell>
        </row>
        <row r="558">
          <cell r="C558">
            <v>37911</v>
          </cell>
          <cell r="I558">
            <v>0</v>
          </cell>
          <cell r="N558">
            <v>0</v>
          </cell>
          <cell r="P558">
            <v>0</v>
          </cell>
          <cell r="T558">
            <v>0</v>
          </cell>
          <cell r="V558">
            <v>0</v>
          </cell>
          <cell r="W558">
            <v>0</v>
          </cell>
          <cell r="X558">
            <v>0</v>
          </cell>
          <cell r="Y558">
            <v>0</v>
          </cell>
          <cell r="AB558">
            <v>0</v>
          </cell>
          <cell r="AC558">
            <v>10</v>
          </cell>
          <cell r="AD558">
            <v>0</v>
          </cell>
          <cell r="BF558">
            <v>0</v>
          </cell>
          <cell r="BG558">
            <v>0</v>
          </cell>
          <cell r="BH558">
            <v>0</v>
          </cell>
          <cell r="BI558">
            <v>0</v>
          </cell>
          <cell r="BJ558">
            <v>0</v>
          </cell>
          <cell r="BK558">
            <v>0</v>
          </cell>
          <cell r="BL558">
            <v>0</v>
          </cell>
          <cell r="BM558">
            <v>0</v>
          </cell>
          <cell r="BN558">
            <v>0</v>
          </cell>
          <cell r="BO558">
            <v>0</v>
          </cell>
          <cell r="BP558">
            <v>0</v>
          </cell>
          <cell r="BQ558">
            <v>0</v>
          </cell>
          <cell r="BR558">
            <v>0</v>
          </cell>
          <cell r="BS558">
            <v>0</v>
          </cell>
          <cell r="BT558">
            <v>0</v>
          </cell>
          <cell r="BU558">
            <v>0</v>
          </cell>
          <cell r="BV558">
            <v>0</v>
          </cell>
          <cell r="BW558">
            <v>0</v>
          </cell>
          <cell r="BX558">
            <v>0</v>
          </cell>
          <cell r="BY558">
            <v>0</v>
          </cell>
          <cell r="BZ558">
            <v>0</v>
          </cell>
          <cell r="CA558">
            <v>0</v>
          </cell>
          <cell r="CB558">
            <v>0</v>
          </cell>
          <cell r="CC558">
            <v>0</v>
          </cell>
          <cell r="CD558">
            <v>0</v>
          </cell>
        </row>
        <row r="559">
          <cell r="C559">
            <v>37911</v>
          </cell>
          <cell r="D559">
            <v>37928</v>
          </cell>
          <cell r="E559">
            <v>37919</v>
          </cell>
          <cell r="F559">
            <v>0.25</v>
          </cell>
          <cell r="G559" t="str">
            <v>Perfiladora Fagor Largueros</v>
          </cell>
          <cell r="H559" t="str">
            <v>Guia de chapa está quebrada</v>
          </cell>
          <cell r="I559" t="str">
            <v>Corretiva</v>
          </cell>
          <cell r="J559" t="str">
            <v>Não</v>
          </cell>
          <cell r="K559" t="str">
            <v>Mecânica</v>
          </cell>
          <cell r="L559" t="str">
            <v>Reparo</v>
          </cell>
          <cell r="M559" t="str">
            <v>Falha de Regulagem / Configuração / Dimensionamento</v>
          </cell>
          <cell r="N559">
            <v>37919</v>
          </cell>
          <cell r="O559">
            <v>0.35416666666666669</v>
          </cell>
          <cell r="P559">
            <v>37919</v>
          </cell>
          <cell r="Q559">
            <v>0.35416666666666669</v>
          </cell>
          <cell r="T559">
            <v>37919</v>
          </cell>
          <cell r="U559">
            <v>0.375</v>
          </cell>
          <cell r="V559">
            <v>37919</v>
          </cell>
          <cell r="W559">
            <v>0.375</v>
          </cell>
          <cell r="X559">
            <v>2.0833333333333315E-2</v>
          </cell>
          <cell r="Y559">
            <v>2.0833333333333315E-2</v>
          </cell>
          <cell r="AB559">
            <v>10</v>
          </cell>
          <cell r="AC559">
            <v>10</v>
          </cell>
          <cell r="AD559">
            <v>0</v>
          </cell>
          <cell r="BF559">
            <v>0</v>
          </cell>
          <cell r="BG559">
            <v>0</v>
          </cell>
          <cell r="BH559">
            <v>0</v>
          </cell>
          <cell r="BI559">
            <v>0</v>
          </cell>
          <cell r="BJ559">
            <v>0</v>
          </cell>
          <cell r="BK559">
            <v>0</v>
          </cell>
          <cell r="BL559">
            <v>0</v>
          </cell>
          <cell r="BM559">
            <v>0</v>
          </cell>
          <cell r="BN559">
            <v>0</v>
          </cell>
          <cell r="BO559">
            <v>0</v>
          </cell>
          <cell r="BP559">
            <v>0</v>
          </cell>
          <cell r="BQ559">
            <v>0</v>
          </cell>
          <cell r="BR559">
            <v>0</v>
          </cell>
          <cell r="BS559">
            <v>0</v>
          </cell>
          <cell r="BT559">
            <v>10</v>
          </cell>
          <cell r="BU559">
            <v>0</v>
          </cell>
          <cell r="BV559">
            <v>0</v>
          </cell>
          <cell r="BW559">
            <v>0</v>
          </cell>
          <cell r="BX559">
            <v>0</v>
          </cell>
          <cell r="BY559">
            <v>0</v>
          </cell>
          <cell r="BZ559">
            <v>0</v>
          </cell>
          <cell r="CA559">
            <v>0</v>
          </cell>
          <cell r="CB559">
            <v>0</v>
          </cell>
          <cell r="CC559">
            <v>0</v>
          </cell>
          <cell r="CD559">
            <v>0</v>
          </cell>
        </row>
        <row r="560">
          <cell r="C560">
            <v>37911</v>
          </cell>
          <cell r="D560">
            <v>37928</v>
          </cell>
          <cell r="E560">
            <v>37918</v>
          </cell>
          <cell r="F560">
            <v>0.3888888888888889</v>
          </cell>
          <cell r="G560" t="str">
            <v>Perfiladora Fagor Largueros</v>
          </cell>
          <cell r="H560" t="str">
            <v>Guia de chapa está quebrada</v>
          </cell>
          <cell r="I560" t="str">
            <v>Corretiva</v>
          </cell>
          <cell r="J560" t="str">
            <v>Não</v>
          </cell>
          <cell r="K560" t="str">
            <v>Mecânica</v>
          </cell>
          <cell r="L560" t="str">
            <v>Reparo</v>
          </cell>
          <cell r="M560" t="str">
            <v>Falha de Regulagem / Configuração / Dimensionamento</v>
          </cell>
          <cell r="N560">
            <v>37918</v>
          </cell>
          <cell r="O560">
            <v>0.39583333333333331</v>
          </cell>
          <cell r="P560">
            <v>37918</v>
          </cell>
          <cell r="Q560">
            <v>0.39583333333333331</v>
          </cell>
          <cell r="T560">
            <v>37918</v>
          </cell>
          <cell r="U560">
            <v>0.41666666666666669</v>
          </cell>
          <cell r="V560">
            <v>37918</v>
          </cell>
          <cell r="W560">
            <v>0.41666666666666669</v>
          </cell>
          <cell r="X560">
            <v>2.0833333330908033E-2</v>
          </cell>
          <cell r="Y560">
            <v>2.0833333330908033E-2</v>
          </cell>
          <cell r="AB560">
            <v>10</v>
          </cell>
          <cell r="AC560">
            <v>10</v>
          </cell>
          <cell r="AD560">
            <v>0</v>
          </cell>
          <cell r="BF560">
            <v>0</v>
          </cell>
          <cell r="BG560">
            <v>0</v>
          </cell>
          <cell r="BH560">
            <v>0</v>
          </cell>
          <cell r="BI560">
            <v>0</v>
          </cell>
          <cell r="BJ560">
            <v>0</v>
          </cell>
          <cell r="BK560">
            <v>0</v>
          </cell>
          <cell r="BL560">
            <v>0</v>
          </cell>
          <cell r="BM560">
            <v>0</v>
          </cell>
          <cell r="BN560">
            <v>0</v>
          </cell>
          <cell r="BO560">
            <v>0</v>
          </cell>
          <cell r="BP560">
            <v>0</v>
          </cell>
          <cell r="BQ560">
            <v>0</v>
          </cell>
          <cell r="BR560">
            <v>0</v>
          </cell>
          <cell r="BS560">
            <v>0</v>
          </cell>
          <cell r="BT560">
            <v>10</v>
          </cell>
          <cell r="BU560">
            <v>0</v>
          </cell>
          <cell r="BV560">
            <v>0</v>
          </cell>
          <cell r="BW560">
            <v>0</v>
          </cell>
          <cell r="BX560">
            <v>0</v>
          </cell>
          <cell r="BY560">
            <v>0</v>
          </cell>
          <cell r="BZ560">
            <v>0</v>
          </cell>
          <cell r="CA560">
            <v>0</v>
          </cell>
          <cell r="CB560">
            <v>0</v>
          </cell>
          <cell r="CC560">
            <v>0</v>
          </cell>
          <cell r="CD560">
            <v>0</v>
          </cell>
        </row>
        <row r="561">
          <cell r="C561">
            <v>37911</v>
          </cell>
          <cell r="D561">
            <v>37971</v>
          </cell>
          <cell r="E561">
            <v>37928</v>
          </cell>
          <cell r="F561">
            <v>37928</v>
          </cell>
          <cell r="G561">
            <v>0.25</v>
          </cell>
          <cell r="H561" t="str">
            <v>Suporte do Sensor da passagem 01 está amassado</v>
          </cell>
          <cell r="I561">
            <v>0</v>
          </cell>
          <cell r="J561" t="str">
            <v>Não</v>
          </cell>
          <cell r="K561" t="str">
            <v>Mecânica</v>
          </cell>
          <cell r="L561" t="str">
            <v>Não</v>
          </cell>
          <cell r="M561" t="str">
            <v>Falha de Montagem / Preparação</v>
          </cell>
          <cell r="N561">
            <v>37928</v>
          </cell>
          <cell r="O561">
            <v>0.4375</v>
          </cell>
          <cell r="P561">
            <v>37928</v>
          </cell>
          <cell r="Q561">
            <v>0.4375</v>
          </cell>
          <cell r="T561">
            <v>37928</v>
          </cell>
          <cell r="U561">
            <v>0.47916666666666669</v>
          </cell>
          <cell r="V561">
            <v>37928</v>
          </cell>
          <cell r="W561">
            <v>0.47916666666666669</v>
          </cell>
          <cell r="X561">
            <v>4.1666666664241347E-2</v>
          </cell>
          <cell r="Y561">
            <v>4.1666666664241347E-2</v>
          </cell>
          <cell r="AB561">
            <v>11</v>
          </cell>
          <cell r="AC561">
            <v>10</v>
          </cell>
          <cell r="AD561">
            <v>0</v>
          </cell>
          <cell r="BF561">
            <v>0</v>
          </cell>
          <cell r="BG561">
            <v>0</v>
          </cell>
          <cell r="BH561">
            <v>0</v>
          </cell>
          <cell r="BI561">
            <v>0</v>
          </cell>
          <cell r="BJ561">
            <v>0</v>
          </cell>
          <cell r="BK561">
            <v>0</v>
          </cell>
          <cell r="BL561">
            <v>0</v>
          </cell>
          <cell r="BM561">
            <v>0</v>
          </cell>
          <cell r="BN561">
            <v>0</v>
          </cell>
          <cell r="BO561">
            <v>0</v>
          </cell>
          <cell r="BP561">
            <v>0</v>
          </cell>
          <cell r="BQ561">
            <v>0</v>
          </cell>
          <cell r="BR561">
            <v>0</v>
          </cell>
          <cell r="BS561">
            <v>0</v>
          </cell>
          <cell r="BT561">
            <v>11</v>
          </cell>
          <cell r="BU561">
            <v>0</v>
          </cell>
          <cell r="BV561">
            <v>0</v>
          </cell>
          <cell r="BW561">
            <v>0</v>
          </cell>
          <cell r="BX561">
            <v>0</v>
          </cell>
          <cell r="BY561">
            <v>0</v>
          </cell>
          <cell r="BZ561">
            <v>0</v>
          </cell>
          <cell r="CA561">
            <v>0</v>
          </cell>
          <cell r="CB561">
            <v>0</v>
          </cell>
          <cell r="CC561">
            <v>0</v>
          </cell>
          <cell r="CD561">
            <v>0</v>
          </cell>
        </row>
        <row r="562">
          <cell r="C562">
            <v>37911</v>
          </cell>
          <cell r="D562">
            <v>37971</v>
          </cell>
          <cell r="E562">
            <v>37957</v>
          </cell>
          <cell r="F562">
            <v>0.70138888888888884</v>
          </cell>
          <cell r="G562" t="str">
            <v>Perfiladora Fagor Largueros</v>
          </cell>
          <cell r="H562" t="str">
            <v>Suporte dos sensores de avanço da perfiladora está quebrado</v>
          </cell>
          <cell r="I562">
            <v>0</v>
          </cell>
          <cell r="J562" t="str">
            <v>Sim</v>
          </cell>
          <cell r="K562" t="str">
            <v>Mecânica</v>
          </cell>
          <cell r="L562" t="str">
            <v>Reparo</v>
          </cell>
          <cell r="M562" t="str">
            <v>Defeito de Fabricação</v>
          </cell>
          <cell r="N562">
            <v>37957</v>
          </cell>
          <cell r="O562">
            <v>0.70138888888888884</v>
          </cell>
          <cell r="P562">
            <v>0</v>
          </cell>
          <cell r="T562">
            <v>37957</v>
          </cell>
          <cell r="U562">
            <v>0.71875</v>
          </cell>
          <cell r="V562">
            <v>0</v>
          </cell>
          <cell r="W562">
            <v>1.736111111111116E-2</v>
          </cell>
          <cell r="X562">
            <v>0</v>
          </cell>
          <cell r="Y562">
            <v>0</v>
          </cell>
          <cell r="AB562">
            <v>12</v>
          </cell>
          <cell r="AC562">
            <v>10</v>
          </cell>
          <cell r="AD562">
            <v>0</v>
          </cell>
          <cell r="BF562">
            <v>0</v>
          </cell>
          <cell r="BG562">
            <v>0</v>
          </cell>
          <cell r="BH562">
            <v>0</v>
          </cell>
          <cell r="BI562">
            <v>0</v>
          </cell>
          <cell r="BJ562">
            <v>0</v>
          </cell>
          <cell r="BK562">
            <v>0</v>
          </cell>
          <cell r="BL562">
            <v>0</v>
          </cell>
          <cell r="BM562">
            <v>0</v>
          </cell>
          <cell r="BN562">
            <v>0</v>
          </cell>
          <cell r="BO562">
            <v>0</v>
          </cell>
          <cell r="BP562">
            <v>0</v>
          </cell>
          <cell r="BQ562">
            <v>0</v>
          </cell>
          <cell r="BR562">
            <v>0</v>
          </cell>
          <cell r="BS562">
            <v>0</v>
          </cell>
          <cell r="BT562">
            <v>12</v>
          </cell>
          <cell r="BU562">
            <v>0</v>
          </cell>
          <cell r="BV562">
            <v>0</v>
          </cell>
          <cell r="BW562">
            <v>0</v>
          </cell>
          <cell r="BX562">
            <v>0</v>
          </cell>
          <cell r="BY562">
            <v>0</v>
          </cell>
          <cell r="BZ562">
            <v>0</v>
          </cell>
          <cell r="CA562">
            <v>0</v>
          </cell>
          <cell r="CB562">
            <v>0</v>
          </cell>
          <cell r="CC562">
            <v>0</v>
          </cell>
          <cell r="CD562">
            <v>0</v>
          </cell>
        </row>
        <row r="563">
          <cell r="C563">
            <v>37911</v>
          </cell>
          <cell r="I563">
            <v>0</v>
          </cell>
          <cell r="N563">
            <v>0</v>
          </cell>
          <cell r="P563">
            <v>0</v>
          </cell>
          <cell r="T563">
            <v>0</v>
          </cell>
          <cell r="V563">
            <v>0</v>
          </cell>
          <cell r="W563">
            <v>0</v>
          </cell>
          <cell r="X563">
            <v>0</v>
          </cell>
          <cell r="Y563">
            <v>0</v>
          </cell>
          <cell r="AB563">
            <v>0</v>
          </cell>
          <cell r="AC563">
            <v>10</v>
          </cell>
          <cell r="AD563">
            <v>0</v>
          </cell>
          <cell r="BF563">
            <v>0</v>
          </cell>
          <cell r="BG563">
            <v>0</v>
          </cell>
          <cell r="BH563">
            <v>0</v>
          </cell>
          <cell r="BI563">
            <v>0</v>
          </cell>
          <cell r="BJ563">
            <v>0</v>
          </cell>
          <cell r="BK563">
            <v>0</v>
          </cell>
          <cell r="BL563">
            <v>0</v>
          </cell>
          <cell r="BM563">
            <v>0</v>
          </cell>
          <cell r="BN563">
            <v>0</v>
          </cell>
          <cell r="BO563">
            <v>0</v>
          </cell>
          <cell r="BP563">
            <v>0</v>
          </cell>
          <cell r="BQ563">
            <v>0</v>
          </cell>
          <cell r="BR563">
            <v>0</v>
          </cell>
          <cell r="BS563">
            <v>0</v>
          </cell>
          <cell r="BT563">
            <v>0</v>
          </cell>
          <cell r="BU563">
            <v>0</v>
          </cell>
          <cell r="BV563">
            <v>0</v>
          </cell>
          <cell r="BW563">
            <v>0</v>
          </cell>
          <cell r="BX563">
            <v>0</v>
          </cell>
          <cell r="BY563">
            <v>0</v>
          </cell>
          <cell r="BZ563">
            <v>0</v>
          </cell>
          <cell r="CA563">
            <v>0</v>
          </cell>
          <cell r="CB563">
            <v>0</v>
          </cell>
          <cell r="CC563">
            <v>0</v>
          </cell>
          <cell r="CD563">
            <v>0</v>
          </cell>
        </row>
        <row r="564">
          <cell r="C564">
            <v>37911</v>
          </cell>
          <cell r="I564">
            <v>0</v>
          </cell>
          <cell r="N564">
            <v>0</v>
          </cell>
          <cell r="P564">
            <v>0</v>
          </cell>
          <cell r="T564">
            <v>0</v>
          </cell>
          <cell r="V564">
            <v>0</v>
          </cell>
          <cell r="W564">
            <v>0</v>
          </cell>
          <cell r="X564">
            <v>0</v>
          </cell>
          <cell r="Y564">
            <v>0</v>
          </cell>
          <cell r="AB564">
            <v>0</v>
          </cell>
          <cell r="AC564">
            <v>10</v>
          </cell>
          <cell r="AD564">
            <v>0</v>
          </cell>
          <cell r="BF564">
            <v>0</v>
          </cell>
          <cell r="BG564">
            <v>0</v>
          </cell>
          <cell r="BH564">
            <v>0</v>
          </cell>
          <cell r="BI564">
            <v>0</v>
          </cell>
          <cell r="BJ564">
            <v>0</v>
          </cell>
          <cell r="BK564">
            <v>0</v>
          </cell>
          <cell r="BL564">
            <v>0</v>
          </cell>
          <cell r="BM564">
            <v>0</v>
          </cell>
          <cell r="BN564">
            <v>0</v>
          </cell>
          <cell r="BO564">
            <v>0</v>
          </cell>
          <cell r="BP564">
            <v>0</v>
          </cell>
          <cell r="BQ564">
            <v>0</v>
          </cell>
          <cell r="BR564">
            <v>0</v>
          </cell>
          <cell r="BS564">
            <v>0</v>
          </cell>
          <cell r="BT564">
            <v>0</v>
          </cell>
          <cell r="BU564">
            <v>0</v>
          </cell>
          <cell r="BV564">
            <v>0</v>
          </cell>
          <cell r="BW564">
            <v>0</v>
          </cell>
          <cell r="BX564">
            <v>0</v>
          </cell>
          <cell r="BY564">
            <v>0</v>
          </cell>
          <cell r="BZ564">
            <v>0</v>
          </cell>
          <cell r="CA564">
            <v>0</v>
          </cell>
          <cell r="CB564">
            <v>0</v>
          </cell>
          <cell r="CC564">
            <v>0</v>
          </cell>
          <cell r="CD564">
            <v>0</v>
          </cell>
        </row>
        <row r="565">
          <cell r="C565">
            <v>37911</v>
          </cell>
          <cell r="I565">
            <v>0</v>
          </cell>
          <cell r="N565">
            <v>0</v>
          </cell>
          <cell r="P565">
            <v>0</v>
          </cell>
          <cell r="T565">
            <v>0</v>
          </cell>
          <cell r="V565">
            <v>0</v>
          </cell>
          <cell r="W565">
            <v>0</v>
          </cell>
          <cell r="X565">
            <v>0</v>
          </cell>
          <cell r="Y565">
            <v>0</v>
          </cell>
          <cell r="AB565">
            <v>0</v>
          </cell>
          <cell r="AC565">
            <v>10</v>
          </cell>
          <cell r="AD565">
            <v>0</v>
          </cell>
          <cell r="BF565">
            <v>0</v>
          </cell>
          <cell r="BG565">
            <v>0</v>
          </cell>
          <cell r="BH565">
            <v>0</v>
          </cell>
          <cell r="BI565">
            <v>0</v>
          </cell>
          <cell r="BJ565">
            <v>0</v>
          </cell>
          <cell r="BK565">
            <v>0</v>
          </cell>
          <cell r="BL565">
            <v>0</v>
          </cell>
          <cell r="BM565">
            <v>0</v>
          </cell>
          <cell r="BN565">
            <v>0</v>
          </cell>
          <cell r="BO565">
            <v>0</v>
          </cell>
          <cell r="BP565">
            <v>0</v>
          </cell>
          <cell r="BQ565">
            <v>0</v>
          </cell>
          <cell r="BR565">
            <v>0</v>
          </cell>
          <cell r="BS565">
            <v>0</v>
          </cell>
          <cell r="BT565">
            <v>0</v>
          </cell>
          <cell r="BU565">
            <v>0</v>
          </cell>
          <cell r="BV565">
            <v>0</v>
          </cell>
          <cell r="BW565">
            <v>0</v>
          </cell>
          <cell r="BX565">
            <v>0</v>
          </cell>
          <cell r="BY565">
            <v>0</v>
          </cell>
          <cell r="BZ565">
            <v>0</v>
          </cell>
          <cell r="CA565">
            <v>0</v>
          </cell>
          <cell r="CB565">
            <v>0</v>
          </cell>
          <cell r="CC565">
            <v>0</v>
          </cell>
          <cell r="CD565">
            <v>0</v>
          </cell>
        </row>
        <row r="566">
          <cell r="C566">
            <v>37911</v>
          </cell>
          <cell r="I566">
            <v>0</v>
          </cell>
          <cell r="N566">
            <v>0</v>
          </cell>
          <cell r="P566">
            <v>0</v>
          </cell>
          <cell r="T566">
            <v>0</v>
          </cell>
          <cell r="V566">
            <v>0</v>
          </cell>
          <cell r="W566">
            <v>0</v>
          </cell>
          <cell r="X566">
            <v>0</v>
          </cell>
          <cell r="Y566">
            <v>0</v>
          </cell>
          <cell r="AB566">
            <v>0</v>
          </cell>
          <cell r="AC566">
            <v>10</v>
          </cell>
          <cell r="AD566">
            <v>0</v>
          </cell>
          <cell r="BF566">
            <v>0</v>
          </cell>
          <cell r="BG566">
            <v>0</v>
          </cell>
          <cell r="BH566">
            <v>0</v>
          </cell>
          <cell r="BI566">
            <v>0</v>
          </cell>
          <cell r="BJ566">
            <v>0</v>
          </cell>
          <cell r="BK566">
            <v>0</v>
          </cell>
          <cell r="BL566">
            <v>0</v>
          </cell>
          <cell r="BM566">
            <v>0</v>
          </cell>
          <cell r="BN566">
            <v>0</v>
          </cell>
          <cell r="BO566">
            <v>0</v>
          </cell>
          <cell r="BP566">
            <v>0</v>
          </cell>
          <cell r="BQ566">
            <v>0</v>
          </cell>
          <cell r="BR566">
            <v>0</v>
          </cell>
          <cell r="BS566">
            <v>0</v>
          </cell>
          <cell r="BT566">
            <v>0</v>
          </cell>
          <cell r="BU566">
            <v>0</v>
          </cell>
          <cell r="BV566">
            <v>0</v>
          </cell>
          <cell r="BW566">
            <v>0</v>
          </cell>
          <cell r="BX566">
            <v>0</v>
          </cell>
          <cell r="BY566">
            <v>0</v>
          </cell>
          <cell r="BZ566">
            <v>0</v>
          </cell>
          <cell r="CA566">
            <v>0</v>
          </cell>
          <cell r="CB566">
            <v>0</v>
          </cell>
          <cell r="CC566">
            <v>0</v>
          </cell>
          <cell r="CD566">
            <v>0</v>
          </cell>
        </row>
        <row r="567">
          <cell r="C567">
            <v>37911</v>
          </cell>
          <cell r="I567">
            <v>0</v>
          </cell>
          <cell r="N567">
            <v>0</v>
          </cell>
          <cell r="P567">
            <v>0</v>
          </cell>
          <cell r="T567">
            <v>0</v>
          </cell>
          <cell r="V567">
            <v>0</v>
          </cell>
          <cell r="W567">
            <v>0</v>
          </cell>
          <cell r="X567">
            <v>0</v>
          </cell>
          <cell r="Y567">
            <v>0</v>
          </cell>
          <cell r="AB567">
            <v>0</v>
          </cell>
          <cell r="AC567">
            <v>10</v>
          </cell>
          <cell r="AD567">
            <v>0</v>
          </cell>
          <cell r="BF567">
            <v>0</v>
          </cell>
          <cell r="BG567">
            <v>0</v>
          </cell>
          <cell r="BH567">
            <v>0</v>
          </cell>
          <cell r="BI567">
            <v>0</v>
          </cell>
          <cell r="BJ567">
            <v>0</v>
          </cell>
          <cell r="BK567">
            <v>0</v>
          </cell>
          <cell r="BL567">
            <v>0</v>
          </cell>
          <cell r="BM567">
            <v>0</v>
          </cell>
          <cell r="BN567">
            <v>0</v>
          </cell>
          <cell r="BO567">
            <v>0</v>
          </cell>
          <cell r="BP567">
            <v>0</v>
          </cell>
          <cell r="BQ567">
            <v>0</v>
          </cell>
          <cell r="BR567">
            <v>0</v>
          </cell>
          <cell r="BS567">
            <v>0</v>
          </cell>
          <cell r="BT567">
            <v>0</v>
          </cell>
          <cell r="BU567">
            <v>0</v>
          </cell>
          <cell r="BV567">
            <v>0</v>
          </cell>
          <cell r="BW567">
            <v>0</v>
          </cell>
          <cell r="BX567">
            <v>0</v>
          </cell>
          <cell r="BY567">
            <v>0</v>
          </cell>
          <cell r="BZ567">
            <v>0</v>
          </cell>
          <cell r="CA567">
            <v>0</v>
          </cell>
          <cell r="CB567">
            <v>0</v>
          </cell>
          <cell r="CC567">
            <v>0</v>
          </cell>
          <cell r="CD567">
            <v>0</v>
          </cell>
        </row>
        <row r="568">
          <cell r="C568">
            <v>37911</v>
          </cell>
          <cell r="D568">
            <v>38008</v>
          </cell>
          <cell r="E568">
            <v>37998</v>
          </cell>
          <cell r="F568">
            <v>0.91666666666666663</v>
          </cell>
          <cell r="G568" t="str">
            <v>Perfiladora Fagor Largueros</v>
          </cell>
          <cell r="H568" t="str">
            <v>Regulador lateral solto</v>
          </cell>
          <cell r="I568">
            <v>0</v>
          </cell>
          <cell r="J568" t="str">
            <v>Sim</v>
          </cell>
          <cell r="K568" t="str">
            <v>Mecânica</v>
          </cell>
          <cell r="L568" t="str">
            <v>Reparo</v>
          </cell>
          <cell r="M568" t="str">
            <v>Falha de Ajuste / Parâmetros</v>
          </cell>
          <cell r="N568">
            <v>0</v>
          </cell>
          <cell r="P568">
            <v>0</v>
          </cell>
          <cell r="T568">
            <v>0</v>
          </cell>
          <cell r="V568">
            <v>0</v>
          </cell>
          <cell r="W568">
            <v>0</v>
          </cell>
          <cell r="X568">
            <v>0</v>
          </cell>
          <cell r="Y568">
            <v>0</v>
          </cell>
          <cell r="AB568">
            <v>0</v>
          </cell>
          <cell r="AC568">
            <v>10</v>
          </cell>
          <cell r="AD568">
            <v>0</v>
          </cell>
          <cell r="BF568">
            <v>0</v>
          </cell>
          <cell r="BG568">
            <v>0</v>
          </cell>
          <cell r="BH568">
            <v>0</v>
          </cell>
          <cell r="BI568">
            <v>0</v>
          </cell>
          <cell r="BJ568">
            <v>0</v>
          </cell>
          <cell r="BK568">
            <v>0</v>
          </cell>
          <cell r="BL568">
            <v>0</v>
          </cell>
          <cell r="BM568">
            <v>0</v>
          </cell>
          <cell r="BN568">
            <v>0</v>
          </cell>
          <cell r="BO568">
            <v>0</v>
          </cell>
          <cell r="BP568">
            <v>0</v>
          </cell>
          <cell r="BQ568">
            <v>0</v>
          </cell>
          <cell r="BR568">
            <v>0</v>
          </cell>
          <cell r="BS568">
            <v>0</v>
          </cell>
          <cell r="BT568">
            <v>0</v>
          </cell>
          <cell r="BU568">
            <v>0</v>
          </cell>
          <cell r="BV568">
            <v>0</v>
          </cell>
          <cell r="BW568">
            <v>0</v>
          </cell>
          <cell r="BX568">
            <v>0</v>
          </cell>
          <cell r="BY568">
            <v>0</v>
          </cell>
          <cell r="BZ568">
            <v>0</v>
          </cell>
          <cell r="CA568">
            <v>0</v>
          </cell>
          <cell r="CB568">
            <v>0</v>
          </cell>
          <cell r="CC568">
            <v>0</v>
          </cell>
          <cell r="CD568">
            <v>0</v>
          </cell>
        </row>
        <row r="569">
          <cell r="C569">
            <v>37911</v>
          </cell>
          <cell r="I569">
            <v>0</v>
          </cell>
          <cell r="N569">
            <v>0</v>
          </cell>
          <cell r="P569">
            <v>0</v>
          </cell>
          <cell r="T569">
            <v>0</v>
          </cell>
          <cell r="V569">
            <v>0</v>
          </cell>
          <cell r="W569">
            <v>0</v>
          </cell>
          <cell r="X569">
            <v>0</v>
          </cell>
          <cell r="Y569">
            <v>0</v>
          </cell>
          <cell r="AB569">
            <v>0</v>
          </cell>
          <cell r="AC569">
            <v>10</v>
          </cell>
          <cell r="AD569">
            <v>0</v>
          </cell>
          <cell r="BF569">
            <v>0</v>
          </cell>
          <cell r="BG569">
            <v>0</v>
          </cell>
          <cell r="BH569">
            <v>0</v>
          </cell>
          <cell r="BI569">
            <v>0</v>
          </cell>
          <cell r="BJ569">
            <v>0</v>
          </cell>
          <cell r="BK569">
            <v>0</v>
          </cell>
          <cell r="BL569">
            <v>0</v>
          </cell>
          <cell r="BM569">
            <v>0</v>
          </cell>
          <cell r="BN569">
            <v>0</v>
          </cell>
          <cell r="BO569">
            <v>0</v>
          </cell>
          <cell r="BP569">
            <v>0</v>
          </cell>
          <cell r="BQ569">
            <v>0</v>
          </cell>
          <cell r="BR569">
            <v>0</v>
          </cell>
          <cell r="BS569">
            <v>0</v>
          </cell>
          <cell r="BT569">
            <v>0</v>
          </cell>
          <cell r="BU569">
            <v>0</v>
          </cell>
          <cell r="BV569">
            <v>0</v>
          </cell>
          <cell r="BW569">
            <v>0</v>
          </cell>
          <cell r="BX569">
            <v>0</v>
          </cell>
          <cell r="BY569">
            <v>0</v>
          </cell>
          <cell r="BZ569">
            <v>0</v>
          </cell>
          <cell r="CA569">
            <v>0</v>
          </cell>
          <cell r="CB569">
            <v>0</v>
          </cell>
          <cell r="CC569">
            <v>0</v>
          </cell>
          <cell r="CD569">
            <v>0</v>
          </cell>
        </row>
        <row r="570">
          <cell r="C570">
            <v>37911</v>
          </cell>
          <cell r="I570">
            <v>0</v>
          </cell>
          <cell r="N570">
            <v>0</v>
          </cell>
          <cell r="P570">
            <v>0</v>
          </cell>
          <cell r="T570">
            <v>0</v>
          </cell>
          <cell r="V570">
            <v>0</v>
          </cell>
          <cell r="W570">
            <v>0</v>
          </cell>
          <cell r="X570">
            <v>0</v>
          </cell>
          <cell r="Y570">
            <v>0</v>
          </cell>
          <cell r="AB570">
            <v>0</v>
          </cell>
          <cell r="AC570">
            <v>10</v>
          </cell>
          <cell r="AD570">
            <v>0</v>
          </cell>
          <cell r="BF570">
            <v>0</v>
          </cell>
          <cell r="BG570">
            <v>0</v>
          </cell>
          <cell r="BH570">
            <v>0</v>
          </cell>
          <cell r="BI570">
            <v>0</v>
          </cell>
          <cell r="BJ570">
            <v>0</v>
          </cell>
          <cell r="BK570">
            <v>0</v>
          </cell>
          <cell r="BL570">
            <v>0</v>
          </cell>
          <cell r="BM570">
            <v>0</v>
          </cell>
          <cell r="BN570">
            <v>0</v>
          </cell>
          <cell r="BO570">
            <v>0</v>
          </cell>
          <cell r="BP570">
            <v>0</v>
          </cell>
          <cell r="BQ570">
            <v>0</v>
          </cell>
          <cell r="BR570">
            <v>0</v>
          </cell>
          <cell r="BS570">
            <v>0</v>
          </cell>
          <cell r="BT570">
            <v>0</v>
          </cell>
          <cell r="BU570">
            <v>0</v>
          </cell>
          <cell r="BV570">
            <v>0</v>
          </cell>
          <cell r="BW570">
            <v>0</v>
          </cell>
          <cell r="BX570">
            <v>0</v>
          </cell>
          <cell r="BY570">
            <v>0</v>
          </cell>
          <cell r="BZ570">
            <v>0</v>
          </cell>
          <cell r="CA570">
            <v>0</v>
          </cell>
          <cell r="CB570">
            <v>0</v>
          </cell>
          <cell r="CC570">
            <v>0</v>
          </cell>
          <cell r="CD570">
            <v>0</v>
          </cell>
        </row>
        <row r="571">
          <cell r="C571">
            <v>37911</v>
          </cell>
          <cell r="I571">
            <v>0</v>
          </cell>
          <cell r="N571">
            <v>0</v>
          </cell>
          <cell r="P571">
            <v>0</v>
          </cell>
          <cell r="T571">
            <v>0</v>
          </cell>
          <cell r="V571">
            <v>0</v>
          </cell>
          <cell r="W571">
            <v>0</v>
          </cell>
          <cell r="X571">
            <v>0</v>
          </cell>
          <cell r="Y571">
            <v>0</v>
          </cell>
          <cell r="AB571">
            <v>0</v>
          </cell>
          <cell r="AC571">
            <v>10</v>
          </cell>
          <cell r="AD571">
            <v>0</v>
          </cell>
          <cell r="BF571">
            <v>0</v>
          </cell>
          <cell r="BG571">
            <v>0</v>
          </cell>
          <cell r="BH571">
            <v>0</v>
          </cell>
          <cell r="BI571">
            <v>0</v>
          </cell>
          <cell r="BJ571">
            <v>0</v>
          </cell>
          <cell r="BK571">
            <v>0</v>
          </cell>
          <cell r="BL571">
            <v>0</v>
          </cell>
          <cell r="BM571">
            <v>0</v>
          </cell>
          <cell r="BN571">
            <v>0</v>
          </cell>
          <cell r="BO571">
            <v>0</v>
          </cell>
          <cell r="BP571">
            <v>0</v>
          </cell>
          <cell r="BQ571">
            <v>0</v>
          </cell>
          <cell r="BR571">
            <v>0</v>
          </cell>
          <cell r="BS571">
            <v>0</v>
          </cell>
          <cell r="BT571">
            <v>0</v>
          </cell>
          <cell r="BU571">
            <v>0</v>
          </cell>
          <cell r="BV571">
            <v>0</v>
          </cell>
          <cell r="BW571">
            <v>0</v>
          </cell>
          <cell r="BX571">
            <v>0</v>
          </cell>
          <cell r="BY571">
            <v>0</v>
          </cell>
          <cell r="BZ571">
            <v>0</v>
          </cell>
          <cell r="CA571">
            <v>0</v>
          </cell>
          <cell r="CB571">
            <v>0</v>
          </cell>
          <cell r="CC571">
            <v>0</v>
          </cell>
          <cell r="CD571">
            <v>0</v>
          </cell>
        </row>
        <row r="572">
          <cell r="C572">
            <v>37911</v>
          </cell>
          <cell r="I572">
            <v>0</v>
          </cell>
          <cell r="N572">
            <v>0</v>
          </cell>
          <cell r="P572">
            <v>0</v>
          </cell>
          <cell r="T572">
            <v>0</v>
          </cell>
          <cell r="V572">
            <v>0</v>
          </cell>
          <cell r="W572">
            <v>0</v>
          </cell>
          <cell r="X572">
            <v>0</v>
          </cell>
          <cell r="Y572">
            <v>0</v>
          </cell>
          <cell r="AB572">
            <v>0</v>
          </cell>
          <cell r="AC572">
            <v>10</v>
          </cell>
          <cell r="AD572">
            <v>0</v>
          </cell>
          <cell r="BF572">
            <v>0</v>
          </cell>
          <cell r="BG572">
            <v>0</v>
          </cell>
          <cell r="BH572">
            <v>0</v>
          </cell>
          <cell r="BI572">
            <v>0</v>
          </cell>
          <cell r="BJ572">
            <v>0</v>
          </cell>
          <cell r="BK572">
            <v>0</v>
          </cell>
          <cell r="BL572">
            <v>0</v>
          </cell>
          <cell r="BM572">
            <v>0</v>
          </cell>
          <cell r="BN572">
            <v>0</v>
          </cell>
          <cell r="BO572">
            <v>0</v>
          </cell>
          <cell r="BP572">
            <v>0</v>
          </cell>
          <cell r="BQ572">
            <v>0</v>
          </cell>
          <cell r="BR572">
            <v>0</v>
          </cell>
          <cell r="BS572">
            <v>0</v>
          </cell>
          <cell r="BT572">
            <v>0</v>
          </cell>
          <cell r="BU572">
            <v>0</v>
          </cell>
          <cell r="BV572">
            <v>0</v>
          </cell>
          <cell r="BW572">
            <v>0</v>
          </cell>
          <cell r="BX572">
            <v>0</v>
          </cell>
          <cell r="BY572">
            <v>0</v>
          </cell>
          <cell r="BZ572">
            <v>0</v>
          </cell>
          <cell r="CA572">
            <v>0</v>
          </cell>
          <cell r="CB572">
            <v>0</v>
          </cell>
          <cell r="CC572">
            <v>0</v>
          </cell>
          <cell r="CD572">
            <v>0</v>
          </cell>
        </row>
        <row r="573">
          <cell r="C573">
            <v>37911</v>
          </cell>
          <cell r="I573">
            <v>0</v>
          </cell>
          <cell r="N573">
            <v>0</v>
          </cell>
          <cell r="P573">
            <v>0</v>
          </cell>
          <cell r="T573">
            <v>0</v>
          </cell>
          <cell r="V573">
            <v>0</v>
          </cell>
          <cell r="W573">
            <v>0</v>
          </cell>
          <cell r="X573">
            <v>0</v>
          </cell>
          <cell r="Y573">
            <v>0</v>
          </cell>
          <cell r="AB573">
            <v>0</v>
          </cell>
          <cell r="AC573">
            <v>10</v>
          </cell>
          <cell r="AD573">
            <v>0</v>
          </cell>
          <cell r="BF573">
            <v>0</v>
          </cell>
          <cell r="BG573">
            <v>0</v>
          </cell>
          <cell r="BH573">
            <v>0</v>
          </cell>
          <cell r="BI573">
            <v>0</v>
          </cell>
          <cell r="BJ573">
            <v>0</v>
          </cell>
          <cell r="BK573">
            <v>0</v>
          </cell>
          <cell r="BL573">
            <v>0</v>
          </cell>
          <cell r="BM573">
            <v>0</v>
          </cell>
          <cell r="BN573">
            <v>0</v>
          </cell>
          <cell r="BO573">
            <v>0</v>
          </cell>
          <cell r="BP573">
            <v>0</v>
          </cell>
          <cell r="BQ573">
            <v>0</v>
          </cell>
          <cell r="BR573">
            <v>0</v>
          </cell>
          <cell r="BS573">
            <v>0</v>
          </cell>
          <cell r="BT573">
            <v>0</v>
          </cell>
          <cell r="BU573">
            <v>0</v>
          </cell>
          <cell r="BV573">
            <v>0</v>
          </cell>
          <cell r="BW573">
            <v>0</v>
          </cell>
          <cell r="BX573">
            <v>0</v>
          </cell>
          <cell r="BY573">
            <v>0</v>
          </cell>
          <cell r="BZ573">
            <v>0</v>
          </cell>
          <cell r="CA573">
            <v>0</v>
          </cell>
          <cell r="CB573">
            <v>0</v>
          </cell>
          <cell r="CC573">
            <v>0</v>
          </cell>
          <cell r="CD573">
            <v>0</v>
          </cell>
        </row>
        <row r="574">
          <cell r="C574">
            <v>37911</v>
          </cell>
          <cell r="I574">
            <v>0</v>
          </cell>
          <cell r="N574">
            <v>0</v>
          </cell>
          <cell r="P574">
            <v>0</v>
          </cell>
          <cell r="T574">
            <v>0</v>
          </cell>
          <cell r="V574">
            <v>0</v>
          </cell>
          <cell r="W574">
            <v>0</v>
          </cell>
          <cell r="X574">
            <v>0</v>
          </cell>
          <cell r="Y574">
            <v>0</v>
          </cell>
          <cell r="AB574">
            <v>0</v>
          </cell>
          <cell r="AC574">
            <v>10</v>
          </cell>
          <cell r="AD574">
            <v>0</v>
          </cell>
          <cell r="BF574">
            <v>0</v>
          </cell>
          <cell r="BG574">
            <v>0</v>
          </cell>
          <cell r="BH574">
            <v>0</v>
          </cell>
          <cell r="BI574">
            <v>0</v>
          </cell>
          <cell r="BJ574">
            <v>0</v>
          </cell>
          <cell r="BK574">
            <v>0</v>
          </cell>
          <cell r="BL574">
            <v>0</v>
          </cell>
          <cell r="BM574">
            <v>0</v>
          </cell>
          <cell r="BN574">
            <v>0</v>
          </cell>
          <cell r="BO574">
            <v>0</v>
          </cell>
          <cell r="BP574">
            <v>0</v>
          </cell>
          <cell r="BQ574">
            <v>0</v>
          </cell>
          <cell r="BR574">
            <v>0</v>
          </cell>
          <cell r="BS574">
            <v>0</v>
          </cell>
          <cell r="BT574">
            <v>0</v>
          </cell>
          <cell r="BU574">
            <v>0</v>
          </cell>
          <cell r="BV574">
            <v>0</v>
          </cell>
          <cell r="BW574">
            <v>0</v>
          </cell>
          <cell r="BX574">
            <v>0</v>
          </cell>
          <cell r="BY574">
            <v>0</v>
          </cell>
          <cell r="BZ574">
            <v>0</v>
          </cell>
          <cell r="CA574">
            <v>0</v>
          </cell>
          <cell r="CB574">
            <v>0</v>
          </cell>
          <cell r="CC574">
            <v>0</v>
          </cell>
          <cell r="CD574">
            <v>0</v>
          </cell>
        </row>
        <row r="575">
          <cell r="C575">
            <v>37911</v>
          </cell>
          <cell r="I575">
            <v>0</v>
          </cell>
          <cell r="N575">
            <v>0</v>
          </cell>
          <cell r="P575">
            <v>0</v>
          </cell>
          <cell r="T575">
            <v>0</v>
          </cell>
          <cell r="V575">
            <v>0</v>
          </cell>
          <cell r="W575">
            <v>0</v>
          </cell>
          <cell r="X575">
            <v>0</v>
          </cell>
          <cell r="Y575">
            <v>0</v>
          </cell>
          <cell r="AB575">
            <v>0</v>
          </cell>
          <cell r="AC575">
            <v>10</v>
          </cell>
          <cell r="AD575">
            <v>0</v>
          </cell>
          <cell r="BF575">
            <v>0</v>
          </cell>
          <cell r="BG575">
            <v>0</v>
          </cell>
          <cell r="BH575">
            <v>0</v>
          </cell>
          <cell r="BI575">
            <v>0</v>
          </cell>
          <cell r="BJ575">
            <v>0</v>
          </cell>
          <cell r="BK575">
            <v>0</v>
          </cell>
          <cell r="BL575">
            <v>0</v>
          </cell>
          <cell r="BM575">
            <v>0</v>
          </cell>
          <cell r="BN575">
            <v>0</v>
          </cell>
          <cell r="BO575">
            <v>0</v>
          </cell>
          <cell r="BP575">
            <v>0</v>
          </cell>
          <cell r="BQ575">
            <v>0</v>
          </cell>
          <cell r="BR575">
            <v>0</v>
          </cell>
          <cell r="BS575">
            <v>0</v>
          </cell>
          <cell r="BT575">
            <v>0</v>
          </cell>
          <cell r="BU575">
            <v>0</v>
          </cell>
          <cell r="BV575">
            <v>0</v>
          </cell>
          <cell r="BW575">
            <v>0</v>
          </cell>
          <cell r="BX575">
            <v>0</v>
          </cell>
          <cell r="BY575">
            <v>0</v>
          </cell>
          <cell r="BZ575">
            <v>0</v>
          </cell>
          <cell r="CA575">
            <v>0</v>
          </cell>
          <cell r="CB575">
            <v>0</v>
          </cell>
          <cell r="CC575">
            <v>0</v>
          </cell>
          <cell r="CD575">
            <v>0</v>
          </cell>
        </row>
        <row r="576">
          <cell r="C576">
            <v>37911</v>
          </cell>
          <cell r="I576">
            <v>0</v>
          </cell>
          <cell r="N576">
            <v>0</v>
          </cell>
          <cell r="P576">
            <v>0</v>
          </cell>
          <cell r="T576">
            <v>0</v>
          </cell>
          <cell r="V576">
            <v>0</v>
          </cell>
          <cell r="W576">
            <v>0</v>
          </cell>
          <cell r="X576">
            <v>0</v>
          </cell>
          <cell r="Y576">
            <v>0</v>
          </cell>
          <cell r="AB576">
            <v>0</v>
          </cell>
          <cell r="AC576">
            <v>10</v>
          </cell>
          <cell r="AD576">
            <v>0</v>
          </cell>
          <cell r="BF576">
            <v>0</v>
          </cell>
          <cell r="BG576">
            <v>0</v>
          </cell>
          <cell r="BH576">
            <v>0</v>
          </cell>
          <cell r="BI576">
            <v>0</v>
          </cell>
          <cell r="BJ576">
            <v>0</v>
          </cell>
          <cell r="BK576">
            <v>0</v>
          </cell>
          <cell r="BL576">
            <v>0</v>
          </cell>
          <cell r="BM576">
            <v>0</v>
          </cell>
          <cell r="BN576">
            <v>0</v>
          </cell>
          <cell r="BO576">
            <v>0</v>
          </cell>
          <cell r="BP576">
            <v>0</v>
          </cell>
          <cell r="BQ576">
            <v>0</v>
          </cell>
          <cell r="BR576">
            <v>0</v>
          </cell>
          <cell r="BS576">
            <v>0</v>
          </cell>
          <cell r="BT576">
            <v>0</v>
          </cell>
          <cell r="BU576">
            <v>0</v>
          </cell>
          <cell r="BV576">
            <v>0</v>
          </cell>
          <cell r="BW576">
            <v>0</v>
          </cell>
          <cell r="BX576">
            <v>0</v>
          </cell>
          <cell r="BY576">
            <v>0</v>
          </cell>
          <cell r="BZ576">
            <v>0</v>
          </cell>
          <cell r="CA576">
            <v>0</v>
          </cell>
          <cell r="CB576">
            <v>0</v>
          </cell>
          <cell r="CC576">
            <v>0</v>
          </cell>
          <cell r="CD576">
            <v>0</v>
          </cell>
        </row>
        <row r="577">
          <cell r="C577">
            <v>37938</v>
          </cell>
          <cell r="D577">
            <v>37971</v>
          </cell>
          <cell r="E577">
            <v>37937</v>
          </cell>
          <cell r="F577">
            <v>37937</v>
          </cell>
          <cell r="G577">
            <v>0.70833333333333337</v>
          </cell>
          <cell r="H577" t="str">
            <v>Pinça do robô de manipulação de madeira está rompida</v>
          </cell>
          <cell r="I577">
            <v>0</v>
          </cell>
          <cell r="J577" t="str">
            <v>Sim</v>
          </cell>
          <cell r="K577" t="str">
            <v>Mecânica</v>
          </cell>
          <cell r="L577" t="str">
            <v>Sim</v>
          </cell>
          <cell r="M577" t="str">
            <v>Defeito de Fabricação</v>
          </cell>
          <cell r="N577">
            <v>37937</v>
          </cell>
          <cell r="O577">
            <v>0.71180555555555547</v>
          </cell>
          <cell r="P577">
            <v>37937</v>
          </cell>
          <cell r="Q577">
            <v>0.71180555555555547</v>
          </cell>
          <cell r="T577">
            <v>37937</v>
          </cell>
          <cell r="U577">
            <v>0.73958333333333337</v>
          </cell>
          <cell r="V577">
            <v>37937</v>
          </cell>
          <cell r="W577">
            <v>0.73958333333333337</v>
          </cell>
          <cell r="X577">
            <v>2.7777777777777901E-2</v>
          </cell>
          <cell r="Y577">
            <v>2.7777777780203183E-2</v>
          </cell>
          <cell r="AB577">
            <v>11</v>
          </cell>
          <cell r="AC577">
            <v>11</v>
          </cell>
          <cell r="AD577">
            <v>0</v>
          </cell>
          <cell r="BF577">
            <v>0</v>
          </cell>
          <cell r="BG577">
            <v>0</v>
          </cell>
          <cell r="BH577">
            <v>0</v>
          </cell>
          <cell r="BI577">
            <v>0</v>
          </cell>
          <cell r="BJ577">
            <v>0</v>
          </cell>
          <cell r="BK577">
            <v>0</v>
          </cell>
          <cell r="BL577">
            <v>0</v>
          </cell>
          <cell r="BM577">
            <v>0</v>
          </cell>
          <cell r="BN577">
            <v>0</v>
          </cell>
          <cell r="BO577">
            <v>11</v>
          </cell>
          <cell r="BP577">
            <v>0</v>
          </cell>
          <cell r="BQ577">
            <v>0</v>
          </cell>
          <cell r="BR577">
            <v>0</v>
          </cell>
          <cell r="BS577">
            <v>0</v>
          </cell>
          <cell r="BT577">
            <v>0</v>
          </cell>
          <cell r="BU577">
            <v>0</v>
          </cell>
          <cell r="BV577">
            <v>0</v>
          </cell>
          <cell r="BW577">
            <v>0</v>
          </cell>
          <cell r="BX577">
            <v>0</v>
          </cell>
          <cell r="BY577">
            <v>0</v>
          </cell>
          <cell r="BZ577">
            <v>0</v>
          </cell>
          <cell r="CA577">
            <v>0</v>
          </cell>
          <cell r="CB577">
            <v>0</v>
          </cell>
          <cell r="CC577">
            <v>0</v>
          </cell>
          <cell r="CD577">
            <v>0</v>
          </cell>
        </row>
        <row r="578">
          <cell r="C578">
            <v>37938</v>
          </cell>
          <cell r="D578">
            <v>37971</v>
          </cell>
          <cell r="E578">
            <v>37938</v>
          </cell>
          <cell r="F578">
            <v>0.78472222222222221</v>
          </cell>
          <cell r="G578" t="str">
            <v>Linha de Pintura 3,2m</v>
          </cell>
          <cell r="H578" t="str">
            <v>Mesa N° 02 do robô está travada</v>
          </cell>
          <cell r="I578">
            <v>0</v>
          </cell>
          <cell r="J578" t="str">
            <v>Sim</v>
          </cell>
          <cell r="K578" t="str">
            <v>Elétrica</v>
          </cell>
          <cell r="L578" t="str">
            <v>Correção de mau contato</v>
          </cell>
          <cell r="M578" t="str">
            <v>Mau contato</v>
          </cell>
          <cell r="N578">
            <v>37938</v>
          </cell>
          <cell r="O578">
            <v>0.79166666666666663</v>
          </cell>
          <cell r="P578">
            <v>0</v>
          </cell>
          <cell r="T578">
            <v>37938</v>
          </cell>
          <cell r="U578">
            <v>0.80555555555555547</v>
          </cell>
          <cell r="V578">
            <v>0</v>
          </cell>
          <cell r="W578">
            <v>2.0833333332524906E-2</v>
          </cell>
          <cell r="X578">
            <v>0</v>
          </cell>
          <cell r="Y578">
            <v>0</v>
          </cell>
          <cell r="AB578">
            <v>11</v>
          </cell>
          <cell r="AC578">
            <v>11</v>
          </cell>
          <cell r="AD578">
            <v>0</v>
          </cell>
          <cell r="BF578">
            <v>0</v>
          </cell>
          <cell r="BG578">
            <v>0</v>
          </cell>
          <cell r="BH578">
            <v>0</v>
          </cell>
          <cell r="BI578">
            <v>0</v>
          </cell>
          <cell r="BJ578">
            <v>0</v>
          </cell>
          <cell r="BK578">
            <v>0</v>
          </cell>
          <cell r="BL578">
            <v>0</v>
          </cell>
          <cell r="BM578">
            <v>0</v>
          </cell>
          <cell r="BN578">
            <v>0</v>
          </cell>
          <cell r="BO578">
            <v>11</v>
          </cell>
          <cell r="BP578">
            <v>0</v>
          </cell>
          <cell r="BQ578">
            <v>0</v>
          </cell>
          <cell r="BR578">
            <v>0</v>
          </cell>
          <cell r="BS578">
            <v>0</v>
          </cell>
          <cell r="BT578">
            <v>0</v>
          </cell>
          <cell r="BU578">
            <v>0</v>
          </cell>
          <cell r="BV578">
            <v>0</v>
          </cell>
          <cell r="BW578">
            <v>0</v>
          </cell>
          <cell r="BX578">
            <v>0</v>
          </cell>
          <cell r="BY578">
            <v>0</v>
          </cell>
          <cell r="BZ578">
            <v>0</v>
          </cell>
          <cell r="CA578">
            <v>0</v>
          </cell>
          <cell r="CB578">
            <v>0</v>
          </cell>
          <cell r="CC578">
            <v>0</v>
          </cell>
          <cell r="CD578">
            <v>0</v>
          </cell>
        </row>
        <row r="579">
          <cell r="C579">
            <v>37938</v>
          </cell>
          <cell r="D579">
            <v>37971</v>
          </cell>
          <cell r="E579">
            <v>37938</v>
          </cell>
          <cell r="F579">
            <v>0.57291666666666663</v>
          </cell>
          <cell r="G579" t="str">
            <v>Linha de Pintura 3,2m</v>
          </cell>
          <cell r="H579" t="str">
            <v>Cabo de aço que sustenta os cabos elétricos acima da garra do robô está rompido</v>
          </cell>
          <cell r="I579">
            <v>0</v>
          </cell>
          <cell r="J579" t="str">
            <v>Não</v>
          </cell>
          <cell r="K579" t="str">
            <v>Mecânica</v>
          </cell>
          <cell r="L579" t="str">
            <v>Substituição do(s) Componente(s)</v>
          </cell>
          <cell r="M579" t="str">
            <v>Desgaste / Fadiga</v>
          </cell>
          <cell r="N579">
            <v>37939</v>
          </cell>
          <cell r="O579">
            <v>0.35416666666666669</v>
          </cell>
          <cell r="P579">
            <v>0</v>
          </cell>
          <cell r="T579">
            <v>37939</v>
          </cell>
          <cell r="U579">
            <v>0.41666666666666669</v>
          </cell>
          <cell r="V579">
            <v>0</v>
          </cell>
          <cell r="W579">
            <v>6.2499999997574662E-2</v>
          </cell>
          <cell r="X579">
            <v>0</v>
          </cell>
          <cell r="Y579">
            <v>0</v>
          </cell>
          <cell r="AB579">
            <v>11</v>
          </cell>
          <cell r="AC579">
            <v>11</v>
          </cell>
          <cell r="AD579">
            <v>0</v>
          </cell>
          <cell r="BF579">
            <v>0</v>
          </cell>
          <cell r="BG579">
            <v>0</v>
          </cell>
          <cell r="BH579">
            <v>0</v>
          </cell>
          <cell r="BI579">
            <v>0</v>
          </cell>
          <cell r="BJ579">
            <v>0</v>
          </cell>
          <cell r="BK579">
            <v>0</v>
          </cell>
          <cell r="BL579">
            <v>0</v>
          </cell>
          <cell r="BM579">
            <v>0</v>
          </cell>
          <cell r="BN579">
            <v>0</v>
          </cell>
          <cell r="BO579">
            <v>11</v>
          </cell>
          <cell r="BP579">
            <v>0</v>
          </cell>
          <cell r="BQ579">
            <v>0</v>
          </cell>
          <cell r="BR579">
            <v>0</v>
          </cell>
          <cell r="BS579">
            <v>0</v>
          </cell>
          <cell r="BT579">
            <v>0</v>
          </cell>
          <cell r="BU579">
            <v>0</v>
          </cell>
          <cell r="BV579">
            <v>0</v>
          </cell>
          <cell r="BW579">
            <v>0</v>
          </cell>
          <cell r="BX579">
            <v>0</v>
          </cell>
          <cell r="BY579">
            <v>0</v>
          </cell>
          <cell r="BZ579">
            <v>0</v>
          </cell>
          <cell r="CA579">
            <v>0</v>
          </cell>
          <cell r="CB579">
            <v>0</v>
          </cell>
          <cell r="CC579">
            <v>0</v>
          </cell>
          <cell r="CD579">
            <v>0</v>
          </cell>
        </row>
        <row r="580">
          <cell r="C580">
            <v>37938</v>
          </cell>
          <cell r="D580">
            <v>37971</v>
          </cell>
          <cell r="E580">
            <v>37947</v>
          </cell>
          <cell r="F580">
            <v>0.56944444444444442</v>
          </cell>
          <cell r="G580" t="str">
            <v>Linha de Pintura 3,2m</v>
          </cell>
          <cell r="H580" t="str">
            <v>O fio do Aspirador escapou do plug da tomada</v>
          </cell>
          <cell r="I580">
            <v>0</v>
          </cell>
          <cell r="J580" t="str">
            <v>Não</v>
          </cell>
          <cell r="K580" t="str">
            <v>Elétrica</v>
          </cell>
          <cell r="L580" t="str">
            <v>Substituição do(s) Componente(s)</v>
          </cell>
          <cell r="M580" t="str">
            <v>Falha Operacional</v>
          </cell>
          <cell r="N580">
            <v>37947</v>
          </cell>
          <cell r="O580">
            <v>0.56944444444444442</v>
          </cell>
          <cell r="P580">
            <v>0</v>
          </cell>
          <cell r="T580">
            <v>37947</v>
          </cell>
          <cell r="U580">
            <v>0.59027777777777779</v>
          </cell>
          <cell r="V580">
            <v>0</v>
          </cell>
          <cell r="W580">
            <v>2.0833333336567117E-2</v>
          </cell>
          <cell r="X580">
            <v>0</v>
          </cell>
          <cell r="Y580">
            <v>0</v>
          </cell>
          <cell r="AB580">
            <v>11</v>
          </cell>
          <cell r="AC580">
            <v>11</v>
          </cell>
          <cell r="AD580">
            <v>0</v>
          </cell>
          <cell r="BF580">
            <v>0</v>
          </cell>
          <cell r="BG580">
            <v>0</v>
          </cell>
          <cell r="BH580">
            <v>0</v>
          </cell>
          <cell r="BI580">
            <v>0</v>
          </cell>
          <cell r="BJ580">
            <v>0</v>
          </cell>
          <cell r="BK580">
            <v>0</v>
          </cell>
          <cell r="BL580">
            <v>0</v>
          </cell>
          <cell r="BM580">
            <v>0</v>
          </cell>
          <cell r="BN580">
            <v>0</v>
          </cell>
          <cell r="BO580">
            <v>11</v>
          </cell>
          <cell r="BP580">
            <v>0</v>
          </cell>
          <cell r="BQ580">
            <v>0</v>
          </cell>
          <cell r="BR580">
            <v>0</v>
          </cell>
          <cell r="BS580">
            <v>0</v>
          </cell>
          <cell r="BT580">
            <v>0</v>
          </cell>
          <cell r="BU580">
            <v>0</v>
          </cell>
          <cell r="BV580">
            <v>0</v>
          </cell>
          <cell r="BW580">
            <v>0</v>
          </cell>
          <cell r="BX580">
            <v>0</v>
          </cell>
          <cell r="BY580">
            <v>0</v>
          </cell>
          <cell r="BZ580">
            <v>0</v>
          </cell>
          <cell r="CA580">
            <v>0</v>
          </cell>
          <cell r="CB580">
            <v>0</v>
          </cell>
          <cell r="CC580">
            <v>0</v>
          </cell>
          <cell r="CD580">
            <v>0</v>
          </cell>
        </row>
        <row r="581">
          <cell r="C581">
            <v>37938</v>
          </cell>
          <cell r="D581">
            <v>37971</v>
          </cell>
          <cell r="E581">
            <v>37947</v>
          </cell>
          <cell r="F581">
            <v>0.5708333333333333</v>
          </cell>
          <cell r="G581" t="str">
            <v>Linha de Pintura 3,2m</v>
          </cell>
          <cell r="H581" t="str">
            <v>Vazamento de ar comprimido em excesso</v>
          </cell>
          <cell r="I581">
            <v>0</v>
          </cell>
          <cell r="J581" t="str">
            <v>Sim</v>
          </cell>
          <cell r="K581" t="str">
            <v>Mecânica</v>
          </cell>
          <cell r="L581" t="str">
            <v>Reparo</v>
          </cell>
          <cell r="M581" t="str">
            <v>Desgaste / Fadiga</v>
          </cell>
          <cell r="N581">
            <v>37947</v>
          </cell>
          <cell r="O581">
            <v>0.58333333333333337</v>
          </cell>
          <cell r="P581">
            <v>0</v>
          </cell>
          <cell r="T581">
            <v>37947</v>
          </cell>
          <cell r="U581">
            <v>0.60416666666666663</v>
          </cell>
          <cell r="V581">
            <v>0</v>
          </cell>
          <cell r="W581">
            <v>3.3333333330908044E-2</v>
          </cell>
          <cell r="X581">
            <v>0</v>
          </cell>
          <cell r="Y581">
            <v>0</v>
          </cell>
          <cell r="AB581">
            <v>11</v>
          </cell>
          <cell r="AC581">
            <v>11</v>
          </cell>
          <cell r="AD581">
            <v>0</v>
          </cell>
          <cell r="BF581">
            <v>0</v>
          </cell>
          <cell r="BG581">
            <v>0</v>
          </cell>
          <cell r="BH581">
            <v>0</v>
          </cell>
          <cell r="BI581">
            <v>0</v>
          </cell>
          <cell r="BJ581">
            <v>0</v>
          </cell>
          <cell r="BK581">
            <v>0</v>
          </cell>
          <cell r="BL581">
            <v>0</v>
          </cell>
          <cell r="BM581">
            <v>0</v>
          </cell>
          <cell r="BN581">
            <v>0</v>
          </cell>
          <cell r="BO581">
            <v>11</v>
          </cell>
          <cell r="BP581">
            <v>0</v>
          </cell>
          <cell r="BQ581">
            <v>0</v>
          </cell>
          <cell r="BR581">
            <v>0</v>
          </cell>
          <cell r="BS581">
            <v>0</v>
          </cell>
          <cell r="BT581">
            <v>0</v>
          </cell>
          <cell r="BU581">
            <v>0</v>
          </cell>
          <cell r="BV581">
            <v>0</v>
          </cell>
          <cell r="BW581">
            <v>0</v>
          </cell>
          <cell r="BX581">
            <v>0</v>
          </cell>
          <cell r="BY581">
            <v>0</v>
          </cell>
          <cell r="BZ581">
            <v>0</v>
          </cell>
          <cell r="CA581">
            <v>0</v>
          </cell>
          <cell r="CB581">
            <v>0</v>
          </cell>
          <cell r="CC581">
            <v>0</v>
          </cell>
          <cell r="CD581">
            <v>0</v>
          </cell>
        </row>
        <row r="582">
          <cell r="C582">
            <v>37938</v>
          </cell>
          <cell r="D582">
            <v>37971</v>
          </cell>
          <cell r="E582">
            <v>37950</v>
          </cell>
          <cell r="F582">
            <v>37950</v>
          </cell>
          <cell r="G582">
            <v>0.40277777777777773</v>
          </cell>
          <cell r="H582" t="str">
            <v>Filtro de ar não está permitindo regulagem</v>
          </cell>
          <cell r="I582">
            <v>0</v>
          </cell>
          <cell r="J582" t="str">
            <v>Não</v>
          </cell>
          <cell r="K582" t="str">
            <v>Mecânica</v>
          </cell>
          <cell r="L582" t="str">
            <v>Não</v>
          </cell>
          <cell r="M582" t="str">
            <v>Falha Operacional</v>
          </cell>
          <cell r="N582">
            <v>37950</v>
          </cell>
          <cell r="O582">
            <v>0.40625</v>
          </cell>
          <cell r="P582">
            <v>37950</v>
          </cell>
          <cell r="Q582">
            <v>0.40625</v>
          </cell>
          <cell r="T582">
            <v>37950</v>
          </cell>
          <cell r="U582">
            <v>0.43055555555555558</v>
          </cell>
          <cell r="V582">
            <v>37950</v>
          </cell>
          <cell r="W582">
            <v>0.43055555555555558</v>
          </cell>
          <cell r="X582">
            <v>2.4305555554747116E-2</v>
          </cell>
          <cell r="Y582">
            <v>2.4305555554747116E-2</v>
          </cell>
          <cell r="AB582">
            <v>11</v>
          </cell>
          <cell r="AC582">
            <v>11</v>
          </cell>
          <cell r="AD582">
            <v>0</v>
          </cell>
          <cell r="BF582">
            <v>0</v>
          </cell>
          <cell r="BG582">
            <v>0</v>
          </cell>
          <cell r="BH582">
            <v>0</v>
          </cell>
          <cell r="BI582">
            <v>0</v>
          </cell>
          <cell r="BJ582">
            <v>0</v>
          </cell>
          <cell r="BK582">
            <v>0</v>
          </cell>
          <cell r="BL582">
            <v>0</v>
          </cell>
          <cell r="BM582">
            <v>0</v>
          </cell>
          <cell r="BN582">
            <v>0</v>
          </cell>
          <cell r="BO582">
            <v>11</v>
          </cell>
          <cell r="BP582">
            <v>0</v>
          </cell>
          <cell r="BQ582">
            <v>0</v>
          </cell>
          <cell r="BR582">
            <v>0</v>
          </cell>
          <cell r="BS582">
            <v>0</v>
          </cell>
          <cell r="BT582">
            <v>0</v>
          </cell>
          <cell r="BU582">
            <v>0</v>
          </cell>
          <cell r="BV582">
            <v>0</v>
          </cell>
          <cell r="BW582">
            <v>0</v>
          </cell>
          <cell r="BX582">
            <v>0</v>
          </cell>
          <cell r="BY582">
            <v>0</v>
          </cell>
          <cell r="BZ582">
            <v>0</v>
          </cell>
          <cell r="CA582">
            <v>0</v>
          </cell>
          <cell r="CB582">
            <v>0</v>
          </cell>
          <cell r="CC582">
            <v>0</v>
          </cell>
          <cell r="CD582">
            <v>0</v>
          </cell>
        </row>
        <row r="583">
          <cell r="C583">
            <v>37938</v>
          </cell>
          <cell r="D583">
            <v>37971</v>
          </cell>
          <cell r="E583">
            <v>37950</v>
          </cell>
          <cell r="F583">
            <v>37950</v>
          </cell>
          <cell r="G583">
            <v>0.4375</v>
          </cell>
          <cell r="H583" t="str">
            <v>Máquina de embalar com um pedaço de fita travado</v>
          </cell>
          <cell r="I583">
            <v>0</v>
          </cell>
          <cell r="J583" t="str">
            <v>Sim</v>
          </cell>
          <cell r="K583" t="str">
            <v>Mecânica</v>
          </cell>
          <cell r="L583" t="str">
            <v>Sim</v>
          </cell>
          <cell r="M583" t="str">
            <v>Falha Operacional</v>
          </cell>
          <cell r="N583">
            <v>37950</v>
          </cell>
          <cell r="O583">
            <v>0.44444444444444442</v>
          </cell>
          <cell r="P583">
            <v>37950</v>
          </cell>
          <cell r="Q583">
            <v>0.44444444444444442</v>
          </cell>
          <cell r="T583">
            <v>37950</v>
          </cell>
          <cell r="U583">
            <v>0.45833333333333331</v>
          </cell>
          <cell r="V583">
            <v>37950</v>
          </cell>
          <cell r="W583">
            <v>0.45833333333333331</v>
          </cell>
          <cell r="X583">
            <v>1.3888888888888895E-2</v>
          </cell>
          <cell r="Y583">
            <v>1.3888888891314233E-2</v>
          </cell>
          <cell r="AB583">
            <v>11</v>
          </cell>
          <cell r="AC583">
            <v>11</v>
          </cell>
          <cell r="AD583">
            <v>0</v>
          </cell>
          <cell r="BF583">
            <v>0</v>
          </cell>
          <cell r="BG583">
            <v>0</v>
          </cell>
          <cell r="BH583">
            <v>0</v>
          </cell>
          <cell r="BI583">
            <v>0</v>
          </cell>
          <cell r="BJ583">
            <v>0</v>
          </cell>
          <cell r="BK583">
            <v>0</v>
          </cell>
          <cell r="BL583">
            <v>0</v>
          </cell>
          <cell r="BM583">
            <v>0</v>
          </cell>
          <cell r="BN583">
            <v>0</v>
          </cell>
          <cell r="BO583">
            <v>11</v>
          </cell>
          <cell r="BP583">
            <v>0</v>
          </cell>
          <cell r="BQ583">
            <v>0</v>
          </cell>
          <cell r="BR583">
            <v>0</v>
          </cell>
          <cell r="BS583">
            <v>0</v>
          </cell>
          <cell r="BT583">
            <v>0</v>
          </cell>
          <cell r="BU583">
            <v>0</v>
          </cell>
          <cell r="BV583">
            <v>0</v>
          </cell>
          <cell r="BW583">
            <v>0</v>
          </cell>
          <cell r="BX583">
            <v>0</v>
          </cell>
          <cell r="BY583">
            <v>0</v>
          </cell>
          <cell r="BZ583">
            <v>0</v>
          </cell>
          <cell r="CA583">
            <v>0</v>
          </cell>
          <cell r="CB583">
            <v>0</v>
          </cell>
          <cell r="CC583">
            <v>0</v>
          </cell>
          <cell r="CD583">
            <v>0</v>
          </cell>
        </row>
        <row r="584">
          <cell r="C584">
            <v>37938</v>
          </cell>
          <cell r="D584">
            <v>37971</v>
          </cell>
          <cell r="E584">
            <v>37952</v>
          </cell>
          <cell r="F584">
            <v>0.47569444444444442</v>
          </cell>
          <cell r="G584" t="str">
            <v>Linha de Pintura 3,2m</v>
          </cell>
          <cell r="H584" t="str">
            <v>Queimador do tanque de fosfato não funciona</v>
          </cell>
          <cell r="I584">
            <v>0</v>
          </cell>
          <cell r="J584" t="str">
            <v>Sim</v>
          </cell>
          <cell r="K584" t="str">
            <v>Elétrica</v>
          </cell>
          <cell r="L584" t="str">
            <v>Ajuste / Regulagem</v>
          </cell>
          <cell r="M584" t="str">
            <v>Falha de Projeto</v>
          </cell>
          <cell r="N584">
            <v>37952</v>
          </cell>
          <cell r="O584">
            <v>0.5</v>
          </cell>
          <cell r="P584">
            <v>0</v>
          </cell>
          <cell r="Q584">
            <v>1</v>
          </cell>
          <cell r="R584">
            <v>37953</v>
          </cell>
          <cell r="S584">
            <v>0.25</v>
          </cell>
          <cell r="T584">
            <v>37953</v>
          </cell>
          <cell r="U584">
            <v>0.45833333333333331</v>
          </cell>
          <cell r="V584">
            <v>0</v>
          </cell>
          <cell r="W584">
            <v>0.73263888888888884</v>
          </cell>
          <cell r="X584">
            <v>0</v>
          </cell>
          <cell r="Y584">
            <v>0</v>
          </cell>
          <cell r="AB584">
            <v>11</v>
          </cell>
          <cell r="AC584">
            <v>11</v>
          </cell>
          <cell r="AD584">
            <v>0</v>
          </cell>
          <cell r="BF584">
            <v>0</v>
          </cell>
          <cell r="BG584">
            <v>0</v>
          </cell>
          <cell r="BH584">
            <v>0</v>
          </cell>
          <cell r="BI584">
            <v>0</v>
          </cell>
          <cell r="BJ584">
            <v>0</v>
          </cell>
          <cell r="BK584">
            <v>0</v>
          </cell>
          <cell r="BL584">
            <v>0</v>
          </cell>
          <cell r="BM584">
            <v>0</v>
          </cell>
          <cell r="BN584">
            <v>0</v>
          </cell>
          <cell r="BO584">
            <v>11</v>
          </cell>
          <cell r="BP584">
            <v>0</v>
          </cell>
          <cell r="BQ584">
            <v>0</v>
          </cell>
          <cell r="BR584">
            <v>0</v>
          </cell>
          <cell r="BS584">
            <v>0</v>
          </cell>
          <cell r="BT584">
            <v>0</v>
          </cell>
          <cell r="BU584">
            <v>0</v>
          </cell>
          <cell r="BV584">
            <v>0</v>
          </cell>
          <cell r="BW584">
            <v>0</v>
          </cell>
          <cell r="BX584">
            <v>0</v>
          </cell>
          <cell r="BY584">
            <v>0</v>
          </cell>
          <cell r="BZ584">
            <v>0</v>
          </cell>
          <cell r="CA584">
            <v>0</v>
          </cell>
          <cell r="CB584">
            <v>0</v>
          </cell>
          <cell r="CC584">
            <v>0</v>
          </cell>
          <cell r="CD584">
            <v>0</v>
          </cell>
        </row>
        <row r="585">
          <cell r="C585">
            <v>37938</v>
          </cell>
          <cell r="D585">
            <v>37971</v>
          </cell>
          <cell r="E585">
            <v>37953</v>
          </cell>
          <cell r="F585">
            <v>0.53819444444444442</v>
          </cell>
          <cell r="G585" t="str">
            <v>Linha de Pintura 3,2m</v>
          </cell>
          <cell r="H585" t="str">
            <v>Transportador apresentou ruído estranho e apresentou a mensagem de "corrente travada"</v>
          </cell>
          <cell r="I585">
            <v>0</v>
          </cell>
          <cell r="J585" t="str">
            <v>Sim</v>
          </cell>
          <cell r="K585" t="str">
            <v>Mecânica</v>
          </cell>
          <cell r="L585" t="str">
            <v>Reparo</v>
          </cell>
          <cell r="M585" t="str">
            <v>Desgaste / Fadiga</v>
          </cell>
          <cell r="N585">
            <v>37953</v>
          </cell>
          <cell r="O585">
            <v>0.54166666666666663</v>
          </cell>
          <cell r="P585">
            <v>0</v>
          </cell>
          <cell r="T585">
            <v>37954</v>
          </cell>
          <cell r="U585">
            <v>0.79166666666666663</v>
          </cell>
          <cell r="V585">
            <v>0</v>
          </cell>
          <cell r="W585">
            <v>1.2534722222197971</v>
          </cell>
          <cell r="X585">
            <v>0</v>
          </cell>
          <cell r="Y585">
            <v>0</v>
          </cell>
          <cell r="AB585">
            <v>11</v>
          </cell>
          <cell r="AC585">
            <v>11</v>
          </cell>
          <cell r="AD585">
            <v>0</v>
          </cell>
          <cell r="BF585">
            <v>0</v>
          </cell>
          <cell r="BG585">
            <v>0</v>
          </cell>
          <cell r="BH585">
            <v>0</v>
          </cell>
          <cell r="BI585">
            <v>0</v>
          </cell>
          <cell r="BJ585">
            <v>0</v>
          </cell>
          <cell r="BK585">
            <v>0</v>
          </cell>
          <cell r="BL585">
            <v>0</v>
          </cell>
          <cell r="BM585">
            <v>0</v>
          </cell>
          <cell r="BN585">
            <v>0</v>
          </cell>
          <cell r="BO585">
            <v>11</v>
          </cell>
          <cell r="BP585">
            <v>0</v>
          </cell>
          <cell r="BQ585">
            <v>0</v>
          </cell>
          <cell r="BR585">
            <v>0</v>
          </cell>
          <cell r="BS585">
            <v>0</v>
          </cell>
          <cell r="BT585">
            <v>0</v>
          </cell>
          <cell r="BU585">
            <v>0</v>
          </cell>
          <cell r="BV585">
            <v>0</v>
          </cell>
          <cell r="BW585">
            <v>0</v>
          </cell>
          <cell r="BX585">
            <v>0</v>
          </cell>
          <cell r="BY585">
            <v>0</v>
          </cell>
          <cell r="BZ585">
            <v>0</v>
          </cell>
          <cell r="CA585">
            <v>0</v>
          </cell>
          <cell r="CB585">
            <v>0</v>
          </cell>
          <cell r="CC585">
            <v>0</v>
          </cell>
          <cell r="CD585">
            <v>0</v>
          </cell>
        </row>
        <row r="586">
          <cell r="C586">
            <v>37938</v>
          </cell>
          <cell r="D586">
            <v>37993</v>
          </cell>
          <cell r="E586">
            <v>37960</v>
          </cell>
          <cell r="F586">
            <v>0.34722222222222227</v>
          </cell>
          <cell r="G586" t="str">
            <v>Linha de Pintura 3,2m</v>
          </cell>
          <cell r="H586" t="str">
            <v>Corrente transportadora com defeito</v>
          </cell>
          <cell r="I586">
            <v>0</v>
          </cell>
          <cell r="J586" t="str">
            <v>Sim</v>
          </cell>
          <cell r="K586" t="str">
            <v>Mecânica</v>
          </cell>
          <cell r="L586" t="str">
            <v>Ajuste / Regulagem</v>
          </cell>
          <cell r="M586" t="str">
            <v>Desgaste / Fadiga</v>
          </cell>
          <cell r="N586">
            <v>0</v>
          </cell>
          <cell r="O586">
            <v>0.35416666666666669</v>
          </cell>
          <cell r="P586">
            <v>0</v>
          </cell>
          <cell r="T586">
            <v>0</v>
          </cell>
          <cell r="U586">
            <v>0.625</v>
          </cell>
          <cell r="V586">
            <v>0</v>
          </cell>
          <cell r="W586">
            <v>0</v>
          </cell>
          <cell r="X586">
            <v>0</v>
          </cell>
          <cell r="Y586">
            <v>0</v>
          </cell>
          <cell r="AB586">
            <v>0</v>
          </cell>
          <cell r="AC586">
            <v>11</v>
          </cell>
          <cell r="AD586">
            <v>0</v>
          </cell>
          <cell r="BF586">
            <v>0</v>
          </cell>
          <cell r="BG586">
            <v>0</v>
          </cell>
          <cell r="BH586">
            <v>0</v>
          </cell>
          <cell r="BI586">
            <v>0</v>
          </cell>
          <cell r="BJ586">
            <v>0</v>
          </cell>
          <cell r="BK586">
            <v>0</v>
          </cell>
          <cell r="BL586">
            <v>0</v>
          </cell>
          <cell r="BM586">
            <v>0</v>
          </cell>
          <cell r="BN586">
            <v>0</v>
          </cell>
          <cell r="BO586">
            <v>0</v>
          </cell>
          <cell r="BP586">
            <v>0</v>
          </cell>
          <cell r="BQ586">
            <v>0</v>
          </cell>
          <cell r="BR586">
            <v>0</v>
          </cell>
          <cell r="BS586">
            <v>0</v>
          </cell>
          <cell r="BT586">
            <v>0</v>
          </cell>
          <cell r="BU586">
            <v>0</v>
          </cell>
          <cell r="BV586">
            <v>0</v>
          </cell>
          <cell r="BW586">
            <v>0</v>
          </cell>
          <cell r="BX586">
            <v>0</v>
          </cell>
          <cell r="BY586">
            <v>0</v>
          </cell>
          <cell r="BZ586">
            <v>0</v>
          </cell>
          <cell r="CA586">
            <v>0</v>
          </cell>
          <cell r="CB586">
            <v>0</v>
          </cell>
          <cell r="CC586">
            <v>0</v>
          </cell>
          <cell r="CD586">
            <v>0</v>
          </cell>
        </row>
        <row r="587">
          <cell r="C587">
            <v>37938</v>
          </cell>
          <cell r="D587">
            <v>37977</v>
          </cell>
          <cell r="E587">
            <v>37965</v>
          </cell>
          <cell r="F587">
            <v>0.61458333333333337</v>
          </cell>
          <cell r="G587" t="str">
            <v>Linha de Pintura 3,2m</v>
          </cell>
          <cell r="H587" t="str">
            <v>Sensor da garra não aciona</v>
          </cell>
          <cell r="I587">
            <v>0</v>
          </cell>
          <cell r="J587" t="str">
            <v>Sim</v>
          </cell>
          <cell r="K587" t="str">
            <v>Elétrica</v>
          </cell>
          <cell r="L587" t="str">
            <v>Reaperto dos componentes</v>
          </cell>
          <cell r="M587" t="str">
            <v>Vibração</v>
          </cell>
          <cell r="N587">
            <v>37965</v>
          </cell>
          <cell r="O587">
            <v>0.625</v>
          </cell>
          <cell r="P587">
            <v>0</v>
          </cell>
          <cell r="T587">
            <v>37965</v>
          </cell>
          <cell r="U587">
            <v>0.63888888888888895</v>
          </cell>
          <cell r="V587">
            <v>0</v>
          </cell>
          <cell r="W587">
            <v>2.4305555557172398E-2</v>
          </cell>
          <cell r="X587">
            <v>0</v>
          </cell>
          <cell r="Y587">
            <v>0</v>
          </cell>
          <cell r="AB587">
            <v>12</v>
          </cell>
          <cell r="AC587">
            <v>11</v>
          </cell>
          <cell r="AD587">
            <v>0</v>
          </cell>
          <cell r="BF587">
            <v>0</v>
          </cell>
          <cell r="BG587">
            <v>0</v>
          </cell>
          <cell r="BH587">
            <v>0</v>
          </cell>
          <cell r="BI587">
            <v>0</v>
          </cell>
          <cell r="BJ587">
            <v>0</v>
          </cell>
          <cell r="BK587">
            <v>0</v>
          </cell>
          <cell r="BL587">
            <v>0</v>
          </cell>
          <cell r="BM587">
            <v>0</v>
          </cell>
          <cell r="BN587">
            <v>0</v>
          </cell>
          <cell r="BO587">
            <v>12</v>
          </cell>
          <cell r="BP587">
            <v>0</v>
          </cell>
          <cell r="BQ587">
            <v>0</v>
          </cell>
          <cell r="BR587">
            <v>0</v>
          </cell>
          <cell r="BS587">
            <v>0</v>
          </cell>
          <cell r="BT587">
            <v>0</v>
          </cell>
          <cell r="BU587">
            <v>0</v>
          </cell>
          <cell r="BV587">
            <v>0</v>
          </cell>
          <cell r="BW587">
            <v>0</v>
          </cell>
          <cell r="BX587">
            <v>0</v>
          </cell>
          <cell r="BY587">
            <v>0</v>
          </cell>
          <cell r="BZ587">
            <v>0</v>
          </cell>
          <cell r="CA587">
            <v>0</v>
          </cell>
          <cell r="CB587">
            <v>0</v>
          </cell>
          <cell r="CC587">
            <v>0</v>
          </cell>
          <cell r="CD587">
            <v>0</v>
          </cell>
        </row>
        <row r="588">
          <cell r="C588">
            <v>37938</v>
          </cell>
          <cell r="D588">
            <v>37993</v>
          </cell>
          <cell r="E588">
            <v>37972</v>
          </cell>
          <cell r="F588">
            <v>0.27083333333333331</v>
          </cell>
          <cell r="G588" t="str">
            <v>Linha de Pintura 3,2m</v>
          </cell>
          <cell r="H588" t="str">
            <v>Robô não se movimenta</v>
          </cell>
          <cell r="I588">
            <v>0</v>
          </cell>
          <cell r="J588" t="str">
            <v>Sim</v>
          </cell>
          <cell r="K588" t="str">
            <v>Elétrica</v>
          </cell>
          <cell r="L588" t="str">
            <v>Correção de mau contato</v>
          </cell>
          <cell r="M588" t="str">
            <v>Mau contato</v>
          </cell>
          <cell r="N588">
            <v>0</v>
          </cell>
          <cell r="O588">
            <v>0.27083333333333331</v>
          </cell>
          <cell r="P588">
            <v>0</v>
          </cell>
          <cell r="T588">
            <v>0</v>
          </cell>
          <cell r="U588">
            <v>0.56944444444444442</v>
          </cell>
          <cell r="V588">
            <v>0</v>
          </cell>
          <cell r="W588">
            <v>0</v>
          </cell>
          <cell r="X588">
            <v>0</v>
          </cell>
          <cell r="Y588">
            <v>0</v>
          </cell>
          <cell r="AB588">
            <v>0</v>
          </cell>
          <cell r="AC588">
            <v>11</v>
          </cell>
          <cell r="AD588">
            <v>0</v>
          </cell>
          <cell r="BF588">
            <v>0</v>
          </cell>
          <cell r="BG588">
            <v>0</v>
          </cell>
          <cell r="BH588">
            <v>0</v>
          </cell>
          <cell r="BI588">
            <v>0</v>
          </cell>
          <cell r="BJ588">
            <v>0</v>
          </cell>
          <cell r="BK588">
            <v>0</v>
          </cell>
          <cell r="BL588">
            <v>0</v>
          </cell>
          <cell r="BM588">
            <v>0</v>
          </cell>
          <cell r="BN588">
            <v>0</v>
          </cell>
          <cell r="BO588">
            <v>0</v>
          </cell>
          <cell r="BP588">
            <v>0</v>
          </cell>
          <cell r="BQ588">
            <v>0</v>
          </cell>
          <cell r="BR588">
            <v>0</v>
          </cell>
          <cell r="BS588">
            <v>0</v>
          </cell>
          <cell r="BT588">
            <v>0</v>
          </cell>
          <cell r="BU588">
            <v>0</v>
          </cell>
          <cell r="BV588">
            <v>0</v>
          </cell>
          <cell r="BW588">
            <v>0</v>
          </cell>
          <cell r="BX588">
            <v>0</v>
          </cell>
          <cell r="BY588">
            <v>0</v>
          </cell>
          <cell r="BZ588">
            <v>0</v>
          </cell>
          <cell r="CA588">
            <v>0</v>
          </cell>
          <cell r="CB588">
            <v>0</v>
          </cell>
          <cell r="CC588">
            <v>0</v>
          </cell>
          <cell r="CD588">
            <v>0</v>
          </cell>
        </row>
        <row r="589">
          <cell r="C589">
            <v>37938</v>
          </cell>
          <cell r="D589">
            <v>37993</v>
          </cell>
          <cell r="E589">
            <v>37984</v>
          </cell>
          <cell r="F589">
            <v>0.33333333333333331</v>
          </cell>
          <cell r="G589" t="str">
            <v>Linha de Pintura 3,2m</v>
          </cell>
          <cell r="H589" t="str">
            <v>Suporte para apoio das gancheiras está fora de posição</v>
          </cell>
          <cell r="I589">
            <v>0</v>
          </cell>
          <cell r="J589" t="str">
            <v>Sim</v>
          </cell>
          <cell r="K589" t="str">
            <v>Mecânica</v>
          </cell>
          <cell r="L589" t="str">
            <v>Ajuste / Regulagem</v>
          </cell>
          <cell r="M589" t="str">
            <v>Sobrecarga</v>
          </cell>
          <cell r="N589">
            <v>0</v>
          </cell>
          <cell r="O589">
            <v>0.34027777777777773</v>
          </cell>
          <cell r="P589">
            <v>0</v>
          </cell>
          <cell r="T589">
            <v>0</v>
          </cell>
          <cell r="U589">
            <v>0.41666666666666669</v>
          </cell>
          <cell r="V589">
            <v>0</v>
          </cell>
          <cell r="W589">
            <v>0</v>
          </cell>
          <cell r="X589">
            <v>0</v>
          </cell>
          <cell r="Y589">
            <v>0</v>
          </cell>
          <cell r="AB589">
            <v>0</v>
          </cell>
          <cell r="AC589">
            <v>11</v>
          </cell>
          <cell r="AD589">
            <v>0</v>
          </cell>
          <cell r="BF589">
            <v>0</v>
          </cell>
          <cell r="BG589">
            <v>0</v>
          </cell>
          <cell r="BH589">
            <v>0</v>
          </cell>
          <cell r="BI589">
            <v>0</v>
          </cell>
          <cell r="BJ589">
            <v>0</v>
          </cell>
          <cell r="BK589">
            <v>0</v>
          </cell>
          <cell r="BL589">
            <v>0</v>
          </cell>
          <cell r="BM589">
            <v>0</v>
          </cell>
          <cell r="BN589">
            <v>0</v>
          </cell>
          <cell r="BO589">
            <v>0</v>
          </cell>
          <cell r="BP589">
            <v>0</v>
          </cell>
          <cell r="BQ589">
            <v>0</v>
          </cell>
          <cell r="BR589">
            <v>0</v>
          </cell>
          <cell r="BS589">
            <v>0</v>
          </cell>
          <cell r="BT589">
            <v>0</v>
          </cell>
          <cell r="BU589">
            <v>0</v>
          </cell>
          <cell r="BV589">
            <v>0</v>
          </cell>
          <cell r="BW589">
            <v>0</v>
          </cell>
          <cell r="BX589">
            <v>0</v>
          </cell>
          <cell r="BY589">
            <v>0</v>
          </cell>
          <cell r="BZ589">
            <v>0</v>
          </cell>
          <cell r="CA589">
            <v>0</v>
          </cell>
          <cell r="CB589">
            <v>0</v>
          </cell>
          <cell r="CC589">
            <v>0</v>
          </cell>
          <cell r="CD589">
            <v>0</v>
          </cell>
        </row>
        <row r="590">
          <cell r="C590">
            <v>37938</v>
          </cell>
          <cell r="D590">
            <v>37993</v>
          </cell>
          <cell r="E590">
            <v>37984</v>
          </cell>
          <cell r="F590">
            <v>0.59027777777777779</v>
          </cell>
          <cell r="G590" t="str">
            <v>Linha de Pintura 3,2m</v>
          </cell>
          <cell r="H590" t="str">
            <v>Sistema de emergência da mesa Nº 02 do robô acionado</v>
          </cell>
          <cell r="I590">
            <v>0</v>
          </cell>
          <cell r="J590" t="str">
            <v>Sim</v>
          </cell>
          <cell r="K590" t="str">
            <v>Elétrica</v>
          </cell>
          <cell r="L590" t="str">
            <v>Ajuste / Regulagem</v>
          </cell>
          <cell r="M590" t="str">
            <v>Falha de Comando / Sistema</v>
          </cell>
          <cell r="N590">
            <v>0</v>
          </cell>
          <cell r="O590">
            <v>0.59027777777777779</v>
          </cell>
          <cell r="P590">
            <v>0</v>
          </cell>
          <cell r="T590">
            <v>0</v>
          </cell>
          <cell r="U590">
            <v>0.60416666666666663</v>
          </cell>
          <cell r="V590">
            <v>0</v>
          </cell>
          <cell r="W590">
            <v>0</v>
          </cell>
          <cell r="X590">
            <v>0</v>
          </cell>
          <cell r="Y590">
            <v>0</v>
          </cell>
          <cell r="AB590">
            <v>0</v>
          </cell>
          <cell r="AC590">
            <v>11</v>
          </cell>
          <cell r="AD590">
            <v>0</v>
          </cell>
          <cell r="BF590">
            <v>0</v>
          </cell>
          <cell r="BG590">
            <v>0</v>
          </cell>
          <cell r="BH590">
            <v>0</v>
          </cell>
          <cell r="BI590">
            <v>0</v>
          </cell>
          <cell r="BJ590">
            <v>0</v>
          </cell>
          <cell r="BK590">
            <v>0</v>
          </cell>
          <cell r="BL590">
            <v>0</v>
          </cell>
          <cell r="BM590">
            <v>0</v>
          </cell>
          <cell r="BN590">
            <v>0</v>
          </cell>
          <cell r="BO590">
            <v>0</v>
          </cell>
          <cell r="BP590">
            <v>0</v>
          </cell>
          <cell r="BQ590">
            <v>0</v>
          </cell>
          <cell r="BR590">
            <v>0</v>
          </cell>
          <cell r="BS590">
            <v>0</v>
          </cell>
          <cell r="BT590">
            <v>0</v>
          </cell>
          <cell r="BU590">
            <v>0</v>
          </cell>
          <cell r="BV590">
            <v>0</v>
          </cell>
          <cell r="BW590">
            <v>0</v>
          </cell>
          <cell r="BX590">
            <v>0</v>
          </cell>
          <cell r="BY590">
            <v>0</v>
          </cell>
          <cell r="BZ590">
            <v>0</v>
          </cell>
          <cell r="CA590">
            <v>0</v>
          </cell>
          <cell r="CB590">
            <v>0</v>
          </cell>
          <cell r="CC590">
            <v>0</v>
          </cell>
          <cell r="CD590">
            <v>0</v>
          </cell>
        </row>
        <row r="591">
          <cell r="C591">
            <v>37938</v>
          </cell>
          <cell r="D591">
            <v>37993</v>
          </cell>
          <cell r="E591">
            <v>37984</v>
          </cell>
          <cell r="F591">
            <v>0.75</v>
          </cell>
          <cell r="G591" t="str">
            <v>Linha de Pintura 3,2m</v>
          </cell>
          <cell r="H591" t="str">
            <v>Timer do lubrificador da corrente transportadora inadequado</v>
          </cell>
          <cell r="I591">
            <v>0</v>
          </cell>
          <cell r="J591" t="str">
            <v>Não</v>
          </cell>
          <cell r="K591" t="str">
            <v>Elétrica</v>
          </cell>
          <cell r="L591" t="str">
            <v>Desligamento do Componente</v>
          </cell>
          <cell r="M591" t="str">
            <v>Falha de Regulagem / Configuração / Dimensionamento</v>
          </cell>
          <cell r="N591">
            <v>0</v>
          </cell>
          <cell r="O591">
            <v>0.75</v>
          </cell>
          <cell r="P591">
            <v>0</v>
          </cell>
          <cell r="T591">
            <v>0</v>
          </cell>
          <cell r="U591">
            <v>0.77083333333333337</v>
          </cell>
          <cell r="V591">
            <v>0</v>
          </cell>
          <cell r="W591">
            <v>0</v>
          </cell>
          <cell r="X591">
            <v>0</v>
          </cell>
          <cell r="Y591">
            <v>0</v>
          </cell>
          <cell r="AB591">
            <v>0</v>
          </cell>
          <cell r="AC591">
            <v>11</v>
          </cell>
          <cell r="AD591">
            <v>0</v>
          </cell>
          <cell r="BF591">
            <v>0</v>
          </cell>
          <cell r="BG591">
            <v>0</v>
          </cell>
          <cell r="BH591">
            <v>0</v>
          </cell>
          <cell r="BI591">
            <v>0</v>
          </cell>
          <cell r="BJ591">
            <v>0</v>
          </cell>
          <cell r="BK591">
            <v>0</v>
          </cell>
          <cell r="BL591">
            <v>0</v>
          </cell>
          <cell r="BM591">
            <v>0</v>
          </cell>
          <cell r="BN591">
            <v>0</v>
          </cell>
          <cell r="BO591">
            <v>0</v>
          </cell>
          <cell r="BP591">
            <v>0</v>
          </cell>
          <cell r="BQ591">
            <v>0</v>
          </cell>
          <cell r="BR591">
            <v>0</v>
          </cell>
          <cell r="BS591">
            <v>0</v>
          </cell>
          <cell r="BT591">
            <v>0</v>
          </cell>
          <cell r="BU591">
            <v>0</v>
          </cell>
          <cell r="BV591">
            <v>0</v>
          </cell>
          <cell r="BW591">
            <v>0</v>
          </cell>
          <cell r="BX591">
            <v>0</v>
          </cell>
          <cell r="BY591">
            <v>0</v>
          </cell>
          <cell r="BZ591">
            <v>0</v>
          </cell>
          <cell r="CA591">
            <v>0</v>
          </cell>
          <cell r="CB591">
            <v>0</v>
          </cell>
          <cell r="CC591">
            <v>0</v>
          </cell>
          <cell r="CD591">
            <v>0</v>
          </cell>
        </row>
        <row r="592">
          <cell r="C592">
            <v>37938</v>
          </cell>
          <cell r="I592">
            <v>0</v>
          </cell>
          <cell r="N592">
            <v>0</v>
          </cell>
          <cell r="P592">
            <v>0</v>
          </cell>
          <cell r="T592">
            <v>0</v>
          </cell>
          <cell r="V592">
            <v>0</v>
          </cell>
          <cell r="W592">
            <v>0</v>
          </cell>
          <cell r="X592">
            <v>0</v>
          </cell>
          <cell r="Y592">
            <v>0</v>
          </cell>
          <cell r="AB592">
            <v>0</v>
          </cell>
          <cell r="AC592">
            <v>11</v>
          </cell>
          <cell r="AD592">
            <v>0</v>
          </cell>
          <cell r="BF592">
            <v>0</v>
          </cell>
          <cell r="BG592">
            <v>0</v>
          </cell>
          <cell r="BH592">
            <v>0</v>
          </cell>
          <cell r="BI592">
            <v>0</v>
          </cell>
          <cell r="BJ592">
            <v>0</v>
          </cell>
          <cell r="BK592">
            <v>0</v>
          </cell>
          <cell r="BL592">
            <v>0</v>
          </cell>
          <cell r="BM592">
            <v>0</v>
          </cell>
          <cell r="BN592">
            <v>0</v>
          </cell>
          <cell r="BO592">
            <v>0</v>
          </cell>
          <cell r="BP592">
            <v>0</v>
          </cell>
          <cell r="BQ592">
            <v>0</v>
          </cell>
          <cell r="BR592">
            <v>0</v>
          </cell>
          <cell r="BS592">
            <v>0</v>
          </cell>
          <cell r="BT592">
            <v>0</v>
          </cell>
          <cell r="BU592">
            <v>0</v>
          </cell>
          <cell r="BV592">
            <v>0</v>
          </cell>
          <cell r="BW592">
            <v>0</v>
          </cell>
          <cell r="BX592">
            <v>0</v>
          </cell>
          <cell r="BY592">
            <v>0</v>
          </cell>
          <cell r="BZ592">
            <v>0</v>
          </cell>
          <cell r="CA592">
            <v>0</v>
          </cell>
          <cell r="CB592">
            <v>0</v>
          </cell>
          <cell r="CC592">
            <v>0</v>
          </cell>
          <cell r="CD592">
            <v>0</v>
          </cell>
        </row>
        <row r="593">
          <cell r="C593">
            <v>37938</v>
          </cell>
          <cell r="I593">
            <v>0</v>
          </cell>
          <cell r="N593">
            <v>0</v>
          </cell>
          <cell r="P593">
            <v>0</v>
          </cell>
          <cell r="T593">
            <v>0</v>
          </cell>
          <cell r="V593">
            <v>0</v>
          </cell>
          <cell r="W593">
            <v>0</v>
          </cell>
          <cell r="X593">
            <v>0</v>
          </cell>
          <cell r="Y593">
            <v>0</v>
          </cell>
          <cell r="AB593">
            <v>0</v>
          </cell>
          <cell r="AC593">
            <v>11</v>
          </cell>
          <cell r="AD593">
            <v>0</v>
          </cell>
          <cell r="BF593">
            <v>0</v>
          </cell>
          <cell r="BG593">
            <v>0</v>
          </cell>
          <cell r="BH593">
            <v>0</v>
          </cell>
          <cell r="BI593">
            <v>0</v>
          </cell>
          <cell r="BJ593">
            <v>0</v>
          </cell>
          <cell r="BK593">
            <v>0</v>
          </cell>
          <cell r="BL593">
            <v>0</v>
          </cell>
          <cell r="BM593">
            <v>0</v>
          </cell>
          <cell r="BN593">
            <v>0</v>
          </cell>
          <cell r="BO593">
            <v>0</v>
          </cell>
          <cell r="BP593">
            <v>0</v>
          </cell>
          <cell r="BQ593">
            <v>0</v>
          </cell>
          <cell r="BR593">
            <v>0</v>
          </cell>
          <cell r="BS593">
            <v>0</v>
          </cell>
          <cell r="BT593">
            <v>0</v>
          </cell>
          <cell r="BU593">
            <v>0</v>
          </cell>
          <cell r="BV593">
            <v>0</v>
          </cell>
          <cell r="BW593">
            <v>0</v>
          </cell>
          <cell r="BX593">
            <v>0</v>
          </cell>
          <cell r="BY593">
            <v>0</v>
          </cell>
          <cell r="BZ593">
            <v>0</v>
          </cell>
          <cell r="CA593">
            <v>0</v>
          </cell>
          <cell r="CB593">
            <v>0</v>
          </cell>
          <cell r="CC593">
            <v>0</v>
          </cell>
          <cell r="CD593">
            <v>0</v>
          </cell>
        </row>
        <row r="594">
          <cell r="C594">
            <v>37938</v>
          </cell>
          <cell r="I594">
            <v>0</v>
          </cell>
          <cell r="N594">
            <v>0</v>
          </cell>
          <cell r="P594">
            <v>0</v>
          </cell>
          <cell r="T594">
            <v>0</v>
          </cell>
          <cell r="V594">
            <v>0</v>
          </cell>
          <cell r="W594">
            <v>0</v>
          </cell>
          <cell r="X594">
            <v>0</v>
          </cell>
          <cell r="Y594">
            <v>0</v>
          </cell>
          <cell r="AB594">
            <v>0</v>
          </cell>
          <cell r="AC594">
            <v>11</v>
          </cell>
          <cell r="AD594">
            <v>0</v>
          </cell>
          <cell r="BF594">
            <v>0</v>
          </cell>
          <cell r="BG594">
            <v>0</v>
          </cell>
          <cell r="BH594">
            <v>0</v>
          </cell>
          <cell r="BI594">
            <v>0</v>
          </cell>
          <cell r="BJ594">
            <v>0</v>
          </cell>
          <cell r="BK594">
            <v>0</v>
          </cell>
          <cell r="BL594">
            <v>0</v>
          </cell>
          <cell r="BM594">
            <v>0</v>
          </cell>
          <cell r="BN594">
            <v>0</v>
          </cell>
          <cell r="BO594">
            <v>0</v>
          </cell>
          <cell r="BP594">
            <v>0</v>
          </cell>
          <cell r="BQ594">
            <v>0</v>
          </cell>
          <cell r="BR594">
            <v>0</v>
          </cell>
          <cell r="BS594">
            <v>0</v>
          </cell>
          <cell r="BT594">
            <v>0</v>
          </cell>
          <cell r="BU594">
            <v>0</v>
          </cell>
          <cell r="BV594">
            <v>0</v>
          </cell>
          <cell r="BW594">
            <v>0</v>
          </cell>
          <cell r="BX594">
            <v>0</v>
          </cell>
          <cell r="BY594">
            <v>0</v>
          </cell>
          <cell r="BZ594">
            <v>0</v>
          </cell>
          <cell r="CA594">
            <v>0</v>
          </cell>
          <cell r="CB594">
            <v>0</v>
          </cell>
          <cell r="CC594">
            <v>0</v>
          </cell>
          <cell r="CD594">
            <v>0</v>
          </cell>
        </row>
        <row r="595">
          <cell r="C595">
            <v>37938</v>
          </cell>
          <cell r="D595">
            <v>38008</v>
          </cell>
          <cell r="E595">
            <v>38001</v>
          </cell>
          <cell r="F595">
            <v>0.26944444444444443</v>
          </cell>
          <cell r="G595" t="str">
            <v>Linha de Pintura 3,2m</v>
          </cell>
          <cell r="H595" t="str">
            <v>Engate rápido da Pistola de pintura líquida quebrado</v>
          </cell>
          <cell r="I595">
            <v>0</v>
          </cell>
          <cell r="J595" t="str">
            <v>Não</v>
          </cell>
          <cell r="K595" t="str">
            <v>Mecânica</v>
          </cell>
          <cell r="L595" t="str">
            <v>Substituição do(s) Componente(s)</v>
          </cell>
          <cell r="M595" t="str">
            <v>Desgaste / Fadiga</v>
          </cell>
          <cell r="N595">
            <v>0</v>
          </cell>
          <cell r="O595">
            <v>0.27083333333333331</v>
          </cell>
          <cell r="P595">
            <v>0</v>
          </cell>
          <cell r="T595">
            <v>0</v>
          </cell>
          <cell r="U595">
            <v>0.29166666666666669</v>
          </cell>
          <cell r="V595">
            <v>0</v>
          </cell>
          <cell r="W595">
            <v>0</v>
          </cell>
          <cell r="X595">
            <v>0</v>
          </cell>
          <cell r="Y595">
            <v>0</v>
          </cell>
          <cell r="AB595">
            <v>0</v>
          </cell>
          <cell r="AC595">
            <v>11</v>
          </cell>
          <cell r="AD595">
            <v>0</v>
          </cell>
          <cell r="BF595">
            <v>0</v>
          </cell>
          <cell r="BG595">
            <v>0</v>
          </cell>
          <cell r="BH595">
            <v>0</v>
          </cell>
          <cell r="BI595">
            <v>0</v>
          </cell>
          <cell r="BJ595">
            <v>0</v>
          </cell>
          <cell r="BK595">
            <v>0</v>
          </cell>
          <cell r="BL595">
            <v>0</v>
          </cell>
          <cell r="BM595">
            <v>0</v>
          </cell>
          <cell r="BN595">
            <v>0</v>
          </cell>
          <cell r="BO595">
            <v>0</v>
          </cell>
          <cell r="BP595">
            <v>0</v>
          </cell>
          <cell r="BQ595">
            <v>0</v>
          </cell>
          <cell r="BR595">
            <v>0</v>
          </cell>
          <cell r="BS595">
            <v>0</v>
          </cell>
          <cell r="BT595">
            <v>0</v>
          </cell>
          <cell r="BU595">
            <v>0</v>
          </cell>
          <cell r="BV595">
            <v>0</v>
          </cell>
          <cell r="BW595">
            <v>0</v>
          </cell>
          <cell r="BX595">
            <v>0</v>
          </cell>
          <cell r="BY595">
            <v>0</v>
          </cell>
          <cell r="BZ595">
            <v>0</v>
          </cell>
          <cell r="CA595">
            <v>0</v>
          </cell>
          <cell r="CB595">
            <v>0</v>
          </cell>
          <cell r="CC595">
            <v>0</v>
          </cell>
          <cell r="CD595">
            <v>0</v>
          </cell>
        </row>
        <row r="596">
          <cell r="C596">
            <v>37938</v>
          </cell>
          <cell r="I596">
            <v>0</v>
          </cell>
          <cell r="N596">
            <v>0</v>
          </cell>
          <cell r="P596">
            <v>0</v>
          </cell>
          <cell r="T596">
            <v>0</v>
          </cell>
          <cell r="V596">
            <v>0</v>
          </cell>
          <cell r="W596">
            <v>0</v>
          </cell>
          <cell r="X596">
            <v>0</v>
          </cell>
          <cell r="Y596">
            <v>0</v>
          </cell>
          <cell r="AB596">
            <v>0</v>
          </cell>
          <cell r="AC596">
            <v>11</v>
          </cell>
          <cell r="AD596">
            <v>0</v>
          </cell>
          <cell r="BF596">
            <v>0</v>
          </cell>
          <cell r="BG596">
            <v>0</v>
          </cell>
          <cell r="BH596">
            <v>0</v>
          </cell>
          <cell r="BI596">
            <v>0</v>
          </cell>
          <cell r="BJ596">
            <v>0</v>
          </cell>
          <cell r="BK596">
            <v>0</v>
          </cell>
          <cell r="BL596">
            <v>0</v>
          </cell>
          <cell r="BM596">
            <v>0</v>
          </cell>
          <cell r="BN596">
            <v>0</v>
          </cell>
          <cell r="BO596">
            <v>0</v>
          </cell>
          <cell r="BP596">
            <v>0</v>
          </cell>
          <cell r="BQ596">
            <v>0</v>
          </cell>
          <cell r="BR596">
            <v>0</v>
          </cell>
          <cell r="BS596">
            <v>0</v>
          </cell>
          <cell r="BT596">
            <v>0</v>
          </cell>
          <cell r="BU596">
            <v>0</v>
          </cell>
          <cell r="BV596">
            <v>0</v>
          </cell>
          <cell r="BW596">
            <v>0</v>
          </cell>
          <cell r="BX596">
            <v>0</v>
          </cell>
          <cell r="BY596">
            <v>0</v>
          </cell>
          <cell r="BZ596">
            <v>0</v>
          </cell>
          <cell r="CA596">
            <v>0</v>
          </cell>
          <cell r="CB596">
            <v>0</v>
          </cell>
          <cell r="CC596">
            <v>0</v>
          </cell>
          <cell r="CD596">
            <v>0</v>
          </cell>
        </row>
        <row r="597">
          <cell r="C597">
            <v>37950</v>
          </cell>
          <cell r="D597">
            <v>37971</v>
          </cell>
          <cell r="E597">
            <v>37964</v>
          </cell>
          <cell r="F597">
            <v>0.27083333333333331</v>
          </cell>
          <cell r="G597" t="str">
            <v>Perfiladora Gasparini</v>
          </cell>
          <cell r="H597" t="str">
            <v>Mangueira de Lubrificação furada</v>
          </cell>
          <cell r="I597">
            <v>0</v>
          </cell>
          <cell r="J597" t="str">
            <v>Sim</v>
          </cell>
          <cell r="K597" t="str">
            <v>Mecânica</v>
          </cell>
          <cell r="L597" t="str">
            <v>Reparo</v>
          </cell>
          <cell r="M597" t="str">
            <v>Falha Operacional</v>
          </cell>
          <cell r="N597">
            <v>37964</v>
          </cell>
          <cell r="O597">
            <v>0.27083333333333331</v>
          </cell>
          <cell r="P597">
            <v>0</v>
          </cell>
          <cell r="T597">
            <v>37964</v>
          </cell>
          <cell r="U597">
            <v>0.29166666666666669</v>
          </cell>
          <cell r="V597">
            <v>0</v>
          </cell>
          <cell r="W597">
            <v>2.0833333330908033E-2</v>
          </cell>
          <cell r="X597">
            <v>0</v>
          </cell>
          <cell r="Y597">
            <v>0</v>
          </cell>
          <cell r="AB597">
            <v>12</v>
          </cell>
          <cell r="AC597">
            <v>11</v>
          </cell>
          <cell r="AD597">
            <v>0</v>
          </cell>
          <cell r="BF597">
            <v>0</v>
          </cell>
          <cell r="BG597">
            <v>0</v>
          </cell>
          <cell r="BH597">
            <v>0</v>
          </cell>
          <cell r="BI597">
            <v>0</v>
          </cell>
          <cell r="BJ597">
            <v>0</v>
          </cell>
          <cell r="BK597">
            <v>0</v>
          </cell>
          <cell r="BL597">
            <v>0</v>
          </cell>
          <cell r="BM597">
            <v>0</v>
          </cell>
          <cell r="BN597">
            <v>0</v>
          </cell>
          <cell r="BO597">
            <v>0</v>
          </cell>
          <cell r="BP597">
            <v>0</v>
          </cell>
          <cell r="BQ597">
            <v>0</v>
          </cell>
          <cell r="BR597">
            <v>0</v>
          </cell>
          <cell r="BS597">
            <v>0</v>
          </cell>
          <cell r="BT597">
            <v>0</v>
          </cell>
          <cell r="BU597">
            <v>0</v>
          </cell>
          <cell r="BV597">
            <v>12</v>
          </cell>
          <cell r="BW597">
            <v>0</v>
          </cell>
          <cell r="BX597">
            <v>0</v>
          </cell>
          <cell r="BY597">
            <v>0</v>
          </cell>
          <cell r="BZ597">
            <v>0</v>
          </cell>
          <cell r="CA597">
            <v>0</v>
          </cell>
          <cell r="CB597">
            <v>0</v>
          </cell>
          <cell r="CC597">
            <v>0</v>
          </cell>
          <cell r="CD597">
            <v>0</v>
          </cell>
        </row>
        <row r="598">
          <cell r="C598">
            <v>37950</v>
          </cell>
          <cell r="D598">
            <v>37993</v>
          </cell>
          <cell r="E598">
            <v>37973</v>
          </cell>
          <cell r="F598">
            <v>0.29166666666666669</v>
          </cell>
          <cell r="G598" t="str">
            <v>Perfiladora Gasparini</v>
          </cell>
          <cell r="H598" t="str">
            <v>Máquina não liga - Alarme 37</v>
          </cell>
          <cell r="I598">
            <v>0</v>
          </cell>
          <cell r="J598" t="str">
            <v>Sim</v>
          </cell>
          <cell r="K598" t="str">
            <v>Elétrica</v>
          </cell>
          <cell r="L598" t="str">
            <v>Reinicialização do Equipamento / Componente</v>
          </cell>
          <cell r="M598" t="str">
            <v>Travamento de Componente</v>
          </cell>
          <cell r="N598">
            <v>0</v>
          </cell>
          <cell r="O598">
            <v>0.29166666666666669</v>
          </cell>
          <cell r="P598">
            <v>0</v>
          </cell>
          <cell r="T598">
            <v>0</v>
          </cell>
          <cell r="U598">
            <v>0.31805555555555554</v>
          </cell>
          <cell r="V598">
            <v>0</v>
          </cell>
          <cell r="W598">
            <v>0</v>
          </cell>
          <cell r="X598">
            <v>0</v>
          </cell>
          <cell r="Y598">
            <v>0</v>
          </cell>
          <cell r="AB598">
            <v>0</v>
          </cell>
          <cell r="AC598">
            <v>11</v>
          </cell>
          <cell r="AD598">
            <v>0</v>
          </cell>
          <cell r="BF598">
            <v>0</v>
          </cell>
          <cell r="BG598">
            <v>0</v>
          </cell>
          <cell r="BH598">
            <v>0</v>
          </cell>
          <cell r="BI598">
            <v>0</v>
          </cell>
          <cell r="BJ598">
            <v>0</v>
          </cell>
          <cell r="BK598">
            <v>0</v>
          </cell>
          <cell r="BL598">
            <v>0</v>
          </cell>
          <cell r="BM598">
            <v>0</v>
          </cell>
          <cell r="BN598">
            <v>0</v>
          </cell>
          <cell r="BO598">
            <v>0</v>
          </cell>
          <cell r="BP598">
            <v>0</v>
          </cell>
          <cell r="BQ598">
            <v>0</v>
          </cell>
          <cell r="BR598">
            <v>0</v>
          </cell>
          <cell r="BS598">
            <v>0</v>
          </cell>
          <cell r="BT598">
            <v>0</v>
          </cell>
          <cell r="BU598">
            <v>0</v>
          </cell>
          <cell r="BV598">
            <v>0</v>
          </cell>
          <cell r="BW598">
            <v>0</v>
          </cell>
          <cell r="BX598">
            <v>0</v>
          </cell>
          <cell r="BY598">
            <v>0</v>
          </cell>
          <cell r="BZ598">
            <v>0</v>
          </cell>
          <cell r="CA598">
            <v>0</v>
          </cell>
          <cell r="CB598">
            <v>0</v>
          </cell>
          <cell r="CC598">
            <v>0</v>
          </cell>
          <cell r="CD598">
            <v>0</v>
          </cell>
        </row>
        <row r="599">
          <cell r="C599">
            <v>37950</v>
          </cell>
          <cell r="D599">
            <v>38008</v>
          </cell>
          <cell r="E599">
            <v>37992</v>
          </cell>
          <cell r="F599">
            <v>0.48958333333333331</v>
          </cell>
          <cell r="G599" t="str">
            <v>Perfiladora Gasparini</v>
          </cell>
          <cell r="H599" t="str">
            <v>Excesso de fluxo de lubrificante de chapa</v>
          </cell>
          <cell r="I599">
            <v>0</v>
          </cell>
          <cell r="J599" t="str">
            <v>Não</v>
          </cell>
          <cell r="K599" t="str">
            <v>Mecânica</v>
          </cell>
          <cell r="L599" t="str">
            <v>Ajuste / Regulagem</v>
          </cell>
          <cell r="M599" t="str">
            <v>Falha de Ajuste / Parâmetros</v>
          </cell>
          <cell r="N599">
            <v>0</v>
          </cell>
          <cell r="O599">
            <v>0.48958333333333331</v>
          </cell>
          <cell r="P599">
            <v>0</v>
          </cell>
          <cell r="T599">
            <v>0</v>
          </cell>
          <cell r="U599">
            <v>0.5</v>
          </cell>
          <cell r="V599">
            <v>0</v>
          </cell>
          <cell r="W599">
            <v>0</v>
          </cell>
          <cell r="X599">
            <v>0</v>
          </cell>
          <cell r="Y599">
            <v>0</v>
          </cell>
          <cell r="AB599">
            <v>0</v>
          </cell>
          <cell r="AC599">
            <v>11</v>
          </cell>
          <cell r="AD599">
            <v>0</v>
          </cell>
          <cell r="BF599">
            <v>0</v>
          </cell>
          <cell r="BG599">
            <v>0</v>
          </cell>
          <cell r="BH599">
            <v>0</v>
          </cell>
          <cell r="BI599">
            <v>0</v>
          </cell>
          <cell r="BJ599">
            <v>0</v>
          </cell>
          <cell r="BK599">
            <v>0</v>
          </cell>
          <cell r="BL599">
            <v>0</v>
          </cell>
          <cell r="BM599">
            <v>0</v>
          </cell>
          <cell r="BN599">
            <v>0</v>
          </cell>
          <cell r="BO599">
            <v>0</v>
          </cell>
          <cell r="BP599">
            <v>0</v>
          </cell>
          <cell r="BQ599">
            <v>0</v>
          </cell>
          <cell r="BR599">
            <v>0</v>
          </cell>
          <cell r="BS599">
            <v>0</v>
          </cell>
          <cell r="BT599">
            <v>0</v>
          </cell>
          <cell r="BU599">
            <v>0</v>
          </cell>
          <cell r="BV599">
            <v>0</v>
          </cell>
          <cell r="BW599">
            <v>0</v>
          </cell>
          <cell r="BX599">
            <v>0</v>
          </cell>
          <cell r="BY599">
            <v>0</v>
          </cell>
          <cell r="BZ599">
            <v>0</v>
          </cell>
          <cell r="CA599">
            <v>0</v>
          </cell>
          <cell r="CB599">
            <v>0</v>
          </cell>
          <cell r="CC599">
            <v>0</v>
          </cell>
          <cell r="CD599">
            <v>0</v>
          </cell>
        </row>
        <row r="600">
          <cell r="C600">
            <v>37950</v>
          </cell>
          <cell r="D600">
            <v>38008</v>
          </cell>
          <cell r="E600">
            <v>37994</v>
          </cell>
          <cell r="F600">
            <v>0.25</v>
          </cell>
          <cell r="G600" t="str">
            <v>Perfiladora Gasparini</v>
          </cell>
          <cell r="H600" t="str">
            <v>Tesoura cortando fora do tempo</v>
          </cell>
          <cell r="I600">
            <v>0</v>
          </cell>
          <cell r="N600">
            <v>0</v>
          </cell>
          <cell r="P600">
            <v>0</v>
          </cell>
          <cell r="T600">
            <v>0</v>
          </cell>
          <cell r="V600">
            <v>0</v>
          </cell>
          <cell r="W600">
            <v>0</v>
          </cell>
          <cell r="X600">
            <v>0</v>
          </cell>
          <cell r="Y600">
            <v>0</v>
          </cell>
          <cell r="AB600">
            <v>0</v>
          </cell>
          <cell r="AC600">
            <v>11</v>
          </cell>
          <cell r="AD600">
            <v>0</v>
          </cell>
          <cell r="BF600">
            <v>0</v>
          </cell>
          <cell r="BG600">
            <v>0</v>
          </cell>
          <cell r="BH600">
            <v>0</v>
          </cell>
          <cell r="BI600">
            <v>0</v>
          </cell>
          <cell r="BJ600">
            <v>0</v>
          </cell>
          <cell r="BK600">
            <v>0</v>
          </cell>
          <cell r="BL600">
            <v>0</v>
          </cell>
          <cell r="BM600">
            <v>0</v>
          </cell>
          <cell r="BN600">
            <v>0</v>
          </cell>
          <cell r="BO600">
            <v>0</v>
          </cell>
          <cell r="BP600">
            <v>0</v>
          </cell>
          <cell r="BQ600">
            <v>0</v>
          </cell>
          <cell r="BR600">
            <v>0</v>
          </cell>
          <cell r="BS600">
            <v>0</v>
          </cell>
          <cell r="BT600">
            <v>0</v>
          </cell>
          <cell r="BU600">
            <v>0</v>
          </cell>
          <cell r="BV600">
            <v>0</v>
          </cell>
          <cell r="BW600">
            <v>0</v>
          </cell>
          <cell r="BX600">
            <v>0</v>
          </cell>
          <cell r="BY600">
            <v>0</v>
          </cell>
          <cell r="BZ600">
            <v>0</v>
          </cell>
          <cell r="CA600">
            <v>0</v>
          </cell>
          <cell r="CB600">
            <v>0</v>
          </cell>
          <cell r="CC600">
            <v>0</v>
          </cell>
          <cell r="CD600">
            <v>0</v>
          </cell>
        </row>
        <row r="601">
          <cell r="C601">
            <v>37950</v>
          </cell>
          <cell r="I601">
            <v>0</v>
          </cell>
          <cell r="N601">
            <v>0</v>
          </cell>
          <cell r="P601">
            <v>0</v>
          </cell>
          <cell r="T601">
            <v>0</v>
          </cell>
          <cell r="V601">
            <v>0</v>
          </cell>
          <cell r="W601">
            <v>0</v>
          </cell>
          <cell r="X601">
            <v>0</v>
          </cell>
          <cell r="Y601">
            <v>0</v>
          </cell>
          <cell r="AB601">
            <v>0</v>
          </cell>
          <cell r="AC601">
            <v>11</v>
          </cell>
          <cell r="AD601">
            <v>0</v>
          </cell>
          <cell r="BF601">
            <v>0</v>
          </cell>
          <cell r="BG601">
            <v>0</v>
          </cell>
          <cell r="BH601">
            <v>0</v>
          </cell>
          <cell r="BI601">
            <v>0</v>
          </cell>
          <cell r="BJ601">
            <v>0</v>
          </cell>
          <cell r="BK601">
            <v>0</v>
          </cell>
          <cell r="BL601">
            <v>0</v>
          </cell>
          <cell r="BM601">
            <v>0</v>
          </cell>
          <cell r="BN601">
            <v>0</v>
          </cell>
          <cell r="BO601">
            <v>0</v>
          </cell>
          <cell r="BP601">
            <v>0</v>
          </cell>
          <cell r="BQ601">
            <v>0</v>
          </cell>
          <cell r="BR601">
            <v>0</v>
          </cell>
          <cell r="BS601">
            <v>0</v>
          </cell>
          <cell r="BT601">
            <v>0</v>
          </cell>
          <cell r="BU601">
            <v>0</v>
          </cell>
          <cell r="BV601">
            <v>0</v>
          </cell>
          <cell r="BW601">
            <v>0</v>
          </cell>
          <cell r="BX601">
            <v>0</v>
          </cell>
          <cell r="BY601">
            <v>0</v>
          </cell>
          <cell r="BZ601">
            <v>0</v>
          </cell>
          <cell r="CA601">
            <v>0</v>
          </cell>
          <cell r="CB601">
            <v>0</v>
          </cell>
          <cell r="CC601">
            <v>0</v>
          </cell>
          <cell r="CD601">
            <v>0</v>
          </cell>
        </row>
        <row r="602">
          <cell r="C602">
            <v>37950</v>
          </cell>
          <cell r="I602">
            <v>0</v>
          </cell>
          <cell r="N602">
            <v>0</v>
          </cell>
          <cell r="P602">
            <v>0</v>
          </cell>
          <cell r="T602">
            <v>0</v>
          </cell>
          <cell r="V602">
            <v>0</v>
          </cell>
          <cell r="W602">
            <v>0</v>
          </cell>
          <cell r="X602">
            <v>0</v>
          </cell>
          <cell r="Y602">
            <v>0</v>
          </cell>
          <cell r="AB602">
            <v>0</v>
          </cell>
          <cell r="AC602">
            <v>11</v>
          </cell>
          <cell r="AD602">
            <v>0</v>
          </cell>
          <cell r="BF602">
            <v>0</v>
          </cell>
          <cell r="BG602">
            <v>0</v>
          </cell>
          <cell r="BH602">
            <v>0</v>
          </cell>
          <cell r="BI602">
            <v>0</v>
          </cell>
          <cell r="BJ602">
            <v>0</v>
          </cell>
          <cell r="BK602">
            <v>0</v>
          </cell>
          <cell r="BL602">
            <v>0</v>
          </cell>
          <cell r="BM602">
            <v>0</v>
          </cell>
          <cell r="BN602">
            <v>0</v>
          </cell>
          <cell r="BO602">
            <v>0</v>
          </cell>
          <cell r="BP602">
            <v>0</v>
          </cell>
          <cell r="BQ602">
            <v>0</v>
          </cell>
          <cell r="BR602">
            <v>0</v>
          </cell>
          <cell r="BS602">
            <v>0</v>
          </cell>
          <cell r="BT602">
            <v>0</v>
          </cell>
          <cell r="BU602">
            <v>0</v>
          </cell>
          <cell r="BV602">
            <v>0</v>
          </cell>
          <cell r="BW602">
            <v>0</v>
          </cell>
          <cell r="BX602">
            <v>0</v>
          </cell>
          <cell r="BY602">
            <v>0</v>
          </cell>
          <cell r="BZ602">
            <v>0</v>
          </cell>
          <cell r="CA602">
            <v>0</v>
          </cell>
          <cell r="CB602">
            <v>0</v>
          </cell>
          <cell r="CC602">
            <v>0</v>
          </cell>
          <cell r="CD602">
            <v>0</v>
          </cell>
        </row>
        <row r="603">
          <cell r="C603">
            <v>37950</v>
          </cell>
          <cell r="I603">
            <v>0</v>
          </cell>
          <cell r="N603">
            <v>0</v>
          </cell>
          <cell r="P603">
            <v>0</v>
          </cell>
          <cell r="T603">
            <v>0</v>
          </cell>
          <cell r="V603">
            <v>0</v>
          </cell>
          <cell r="W603">
            <v>0</v>
          </cell>
          <cell r="X603">
            <v>0</v>
          </cell>
          <cell r="Y603">
            <v>0</v>
          </cell>
          <cell r="AB603">
            <v>0</v>
          </cell>
          <cell r="AC603">
            <v>11</v>
          </cell>
          <cell r="AD603">
            <v>0</v>
          </cell>
          <cell r="BF603">
            <v>0</v>
          </cell>
          <cell r="BG603">
            <v>0</v>
          </cell>
          <cell r="BH603">
            <v>0</v>
          </cell>
          <cell r="BI603">
            <v>0</v>
          </cell>
          <cell r="BJ603">
            <v>0</v>
          </cell>
          <cell r="BK603">
            <v>0</v>
          </cell>
          <cell r="BL603">
            <v>0</v>
          </cell>
          <cell r="BM603">
            <v>0</v>
          </cell>
          <cell r="BN603">
            <v>0</v>
          </cell>
          <cell r="BO603">
            <v>0</v>
          </cell>
          <cell r="BP603">
            <v>0</v>
          </cell>
          <cell r="BQ603">
            <v>0</v>
          </cell>
          <cell r="BR603">
            <v>0</v>
          </cell>
          <cell r="BS603">
            <v>0</v>
          </cell>
          <cell r="BT603">
            <v>0</v>
          </cell>
          <cell r="BU603">
            <v>0</v>
          </cell>
          <cell r="BV603">
            <v>0</v>
          </cell>
          <cell r="BW603">
            <v>0</v>
          </cell>
          <cell r="BX603">
            <v>0</v>
          </cell>
          <cell r="BY603">
            <v>0</v>
          </cell>
          <cell r="BZ603">
            <v>0</v>
          </cell>
          <cell r="CA603">
            <v>0</v>
          </cell>
          <cell r="CB603">
            <v>0</v>
          </cell>
          <cell r="CC603">
            <v>0</v>
          </cell>
          <cell r="CD603">
            <v>0</v>
          </cell>
        </row>
        <row r="604">
          <cell r="C604">
            <v>37950</v>
          </cell>
          <cell r="I604">
            <v>0</v>
          </cell>
          <cell r="N604">
            <v>0</v>
          </cell>
          <cell r="P604">
            <v>0</v>
          </cell>
          <cell r="T604">
            <v>0</v>
          </cell>
          <cell r="V604">
            <v>0</v>
          </cell>
          <cell r="W604">
            <v>0</v>
          </cell>
          <cell r="X604">
            <v>0</v>
          </cell>
          <cell r="Y604">
            <v>0</v>
          </cell>
          <cell r="AB604">
            <v>0</v>
          </cell>
          <cell r="AC604">
            <v>11</v>
          </cell>
          <cell r="AD604">
            <v>0</v>
          </cell>
          <cell r="BF604">
            <v>0</v>
          </cell>
          <cell r="BG604">
            <v>0</v>
          </cell>
          <cell r="BH604">
            <v>0</v>
          </cell>
          <cell r="BI604">
            <v>0</v>
          </cell>
          <cell r="BJ604">
            <v>0</v>
          </cell>
          <cell r="BK604">
            <v>0</v>
          </cell>
          <cell r="BL604">
            <v>0</v>
          </cell>
          <cell r="BM604">
            <v>0</v>
          </cell>
          <cell r="BN604">
            <v>0</v>
          </cell>
          <cell r="BO604">
            <v>0</v>
          </cell>
          <cell r="BP604">
            <v>0</v>
          </cell>
          <cell r="BQ604">
            <v>0</v>
          </cell>
          <cell r="BR604">
            <v>0</v>
          </cell>
          <cell r="BS604">
            <v>0</v>
          </cell>
          <cell r="BT604">
            <v>0</v>
          </cell>
          <cell r="BU604">
            <v>0</v>
          </cell>
          <cell r="BV604">
            <v>0</v>
          </cell>
          <cell r="BW604">
            <v>0</v>
          </cell>
          <cell r="BX604">
            <v>0</v>
          </cell>
          <cell r="BY604">
            <v>0</v>
          </cell>
          <cell r="BZ604">
            <v>0</v>
          </cell>
          <cell r="CA604">
            <v>0</v>
          </cell>
          <cell r="CB604">
            <v>0</v>
          </cell>
          <cell r="CC604">
            <v>0</v>
          </cell>
          <cell r="CD604">
            <v>0</v>
          </cell>
        </row>
        <row r="605">
          <cell r="C605">
            <v>37950</v>
          </cell>
          <cell r="I605">
            <v>0</v>
          </cell>
          <cell r="N605">
            <v>0</v>
          </cell>
          <cell r="P605">
            <v>0</v>
          </cell>
          <cell r="T605">
            <v>0</v>
          </cell>
          <cell r="V605">
            <v>0</v>
          </cell>
          <cell r="W605">
            <v>0</v>
          </cell>
          <cell r="X605">
            <v>0</v>
          </cell>
          <cell r="Y605">
            <v>0</v>
          </cell>
          <cell r="AB605">
            <v>0</v>
          </cell>
          <cell r="AC605">
            <v>11</v>
          </cell>
          <cell r="AD605">
            <v>0</v>
          </cell>
          <cell r="BF605">
            <v>0</v>
          </cell>
          <cell r="BG605">
            <v>0</v>
          </cell>
          <cell r="BH605">
            <v>0</v>
          </cell>
          <cell r="BI605">
            <v>0</v>
          </cell>
          <cell r="BJ605">
            <v>0</v>
          </cell>
          <cell r="BK605">
            <v>0</v>
          </cell>
          <cell r="BL605">
            <v>0</v>
          </cell>
          <cell r="BM605">
            <v>0</v>
          </cell>
          <cell r="BN605">
            <v>0</v>
          </cell>
          <cell r="BO605">
            <v>0</v>
          </cell>
          <cell r="BP605">
            <v>0</v>
          </cell>
          <cell r="BQ605">
            <v>0</v>
          </cell>
          <cell r="BR605">
            <v>0</v>
          </cell>
          <cell r="BS605">
            <v>0</v>
          </cell>
          <cell r="BT605">
            <v>0</v>
          </cell>
          <cell r="BU605">
            <v>0</v>
          </cell>
          <cell r="BV605">
            <v>0</v>
          </cell>
          <cell r="BW605">
            <v>0</v>
          </cell>
          <cell r="BX605">
            <v>0</v>
          </cell>
          <cell r="BY605">
            <v>0</v>
          </cell>
          <cell r="BZ605">
            <v>0</v>
          </cell>
          <cell r="CA605">
            <v>0</v>
          </cell>
          <cell r="CB605">
            <v>0</v>
          </cell>
          <cell r="CC605">
            <v>0</v>
          </cell>
          <cell r="CD605">
            <v>0</v>
          </cell>
        </row>
        <row r="606">
          <cell r="C606">
            <v>37950</v>
          </cell>
          <cell r="I606">
            <v>0</v>
          </cell>
          <cell r="N606">
            <v>0</v>
          </cell>
          <cell r="P606">
            <v>0</v>
          </cell>
          <cell r="T606">
            <v>0</v>
          </cell>
          <cell r="V606">
            <v>0</v>
          </cell>
          <cell r="W606">
            <v>0</v>
          </cell>
          <cell r="X606">
            <v>0</v>
          </cell>
          <cell r="Y606">
            <v>0</v>
          </cell>
          <cell r="AB606">
            <v>0</v>
          </cell>
          <cell r="AC606">
            <v>11</v>
          </cell>
          <cell r="AD606">
            <v>0</v>
          </cell>
          <cell r="BF606">
            <v>0</v>
          </cell>
          <cell r="BG606">
            <v>0</v>
          </cell>
          <cell r="BH606">
            <v>0</v>
          </cell>
          <cell r="BI606">
            <v>0</v>
          </cell>
          <cell r="BJ606">
            <v>0</v>
          </cell>
          <cell r="BK606">
            <v>0</v>
          </cell>
          <cell r="BL606">
            <v>0</v>
          </cell>
          <cell r="BM606">
            <v>0</v>
          </cell>
          <cell r="BN606">
            <v>0</v>
          </cell>
          <cell r="BO606">
            <v>0</v>
          </cell>
          <cell r="BP606">
            <v>0</v>
          </cell>
          <cell r="BQ606">
            <v>0</v>
          </cell>
          <cell r="BR606">
            <v>0</v>
          </cell>
          <cell r="BS606">
            <v>0</v>
          </cell>
          <cell r="BT606">
            <v>0</v>
          </cell>
          <cell r="BU606">
            <v>0</v>
          </cell>
          <cell r="BV606">
            <v>0</v>
          </cell>
          <cell r="BW606">
            <v>0</v>
          </cell>
          <cell r="BX606">
            <v>0</v>
          </cell>
          <cell r="BY606">
            <v>0</v>
          </cell>
          <cell r="BZ606">
            <v>0</v>
          </cell>
          <cell r="CA606">
            <v>0</v>
          </cell>
          <cell r="CB606">
            <v>0</v>
          </cell>
          <cell r="CC606">
            <v>0</v>
          </cell>
          <cell r="CD606">
            <v>0</v>
          </cell>
        </row>
        <row r="607">
          <cell r="C607">
            <v>37950</v>
          </cell>
          <cell r="I607">
            <v>0</v>
          </cell>
          <cell r="N607">
            <v>0</v>
          </cell>
          <cell r="P607">
            <v>0</v>
          </cell>
          <cell r="T607">
            <v>0</v>
          </cell>
          <cell r="V607">
            <v>0</v>
          </cell>
          <cell r="W607">
            <v>0</v>
          </cell>
          <cell r="X607">
            <v>0</v>
          </cell>
          <cell r="Y607">
            <v>0</v>
          </cell>
          <cell r="AB607">
            <v>0</v>
          </cell>
          <cell r="AC607">
            <v>11</v>
          </cell>
          <cell r="AD607">
            <v>0</v>
          </cell>
          <cell r="BF607">
            <v>0</v>
          </cell>
          <cell r="BG607">
            <v>0</v>
          </cell>
          <cell r="BH607">
            <v>0</v>
          </cell>
          <cell r="BI607">
            <v>0</v>
          </cell>
          <cell r="BJ607">
            <v>0</v>
          </cell>
          <cell r="BK607">
            <v>0</v>
          </cell>
          <cell r="BL607">
            <v>0</v>
          </cell>
          <cell r="BM607">
            <v>0</v>
          </cell>
          <cell r="BN607">
            <v>0</v>
          </cell>
          <cell r="BO607">
            <v>0</v>
          </cell>
          <cell r="BP607">
            <v>0</v>
          </cell>
          <cell r="BQ607">
            <v>0</v>
          </cell>
          <cell r="BR607">
            <v>0</v>
          </cell>
          <cell r="BS607">
            <v>0</v>
          </cell>
          <cell r="BT607">
            <v>0</v>
          </cell>
          <cell r="BU607">
            <v>0</v>
          </cell>
          <cell r="BV607">
            <v>0</v>
          </cell>
          <cell r="BW607">
            <v>0</v>
          </cell>
          <cell r="BX607">
            <v>0</v>
          </cell>
          <cell r="BY607">
            <v>0</v>
          </cell>
          <cell r="BZ607">
            <v>0</v>
          </cell>
          <cell r="CA607">
            <v>0</v>
          </cell>
          <cell r="CB607">
            <v>0</v>
          </cell>
          <cell r="CC607">
            <v>0</v>
          </cell>
          <cell r="CD607">
            <v>0</v>
          </cell>
        </row>
        <row r="608">
          <cell r="C608">
            <v>37950</v>
          </cell>
          <cell r="I608">
            <v>0</v>
          </cell>
          <cell r="N608">
            <v>0</v>
          </cell>
          <cell r="P608">
            <v>0</v>
          </cell>
          <cell r="T608">
            <v>0</v>
          </cell>
          <cell r="V608">
            <v>0</v>
          </cell>
          <cell r="W608">
            <v>0</v>
          </cell>
          <cell r="X608">
            <v>0</v>
          </cell>
          <cell r="Y608">
            <v>0</v>
          </cell>
          <cell r="AB608">
            <v>0</v>
          </cell>
          <cell r="AC608">
            <v>11</v>
          </cell>
          <cell r="AD608">
            <v>0</v>
          </cell>
          <cell r="BF608">
            <v>0</v>
          </cell>
          <cell r="BG608">
            <v>0</v>
          </cell>
          <cell r="BH608">
            <v>0</v>
          </cell>
          <cell r="BI608">
            <v>0</v>
          </cell>
          <cell r="BJ608">
            <v>0</v>
          </cell>
          <cell r="BK608">
            <v>0</v>
          </cell>
          <cell r="BL608">
            <v>0</v>
          </cell>
          <cell r="BM608">
            <v>0</v>
          </cell>
          <cell r="BN608">
            <v>0</v>
          </cell>
          <cell r="BO608">
            <v>0</v>
          </cell>
          <cell r="BP608">
            <v>0</v>
          </cell>
          <cell r="BQ608">
            <v>0</v>
          </cell>
          <cell r="BR608">
            <v>0</v>
          </cell>
          <cell r="BS608">
            <v>0</v>
          </cell>
          <cell r="BT608">
            <v>0</v>
          </cell>
          <cell r="BU608">
            <v>0</v>
          </cell>
          <cell r="BV608">
            <v>0</v>
          </cell>
          <cell r="BW608">
            <v>0</v>
          </cell>
          <cell r="BX608">
            <v>0</v>
          </cell>
          <cell r="BY608">
            <v>0</v>
          </cell>
          <cell r="BZ608">
            <v>0</v>
          </cell>
          <cell r="CA608">
            <v>0</v>
          </cell>
          <cell r="CB608">
            <v>0</v>
          </cell>
          <cell r="CC608">
            <v>0</v>
          </cell>
          <cell r="CD608">
            <v>0</v>
          </cell>
        </row>
        <row r="609">
          <cell r="C609">
            <v>37950</v>
          </cell>
          <cell r="I609">
            <v>0</v>
          </cell>
          <cell r="N609">
            <v>0</v>
          </cell>
          <cell r="P609">
            <v>0</v>
          </cell>
          <cell r="T609">
            <v>0</v>
          </cell>
          <cell r="V609">
            <v>0</v>
          </cell>
          <cell r="W609">
            <v>0</v>
          </cell>
          <cell r="X609">
            <v>0</v>
          </cell>
          <cell r="Y609">
            <v>0</v>
          </cell>
          <cell r="AB609">
            <v>0</v>
          </cell>
          <cell r="AC609">
            <v>11</v>
          </cell>
          <cell r="AD609">
            <v>0</v>
          </cell>
          <cell r="BF609">
            <v>0</v>
          </cell>
          <cell r="BG609">
            <v>0</v>
          </cell>
          <cell r="BH609">
            <v>0</v>
          </cell>
          <cell r="BI609">
            <v>0</v>
          </cell>
          <cell r="BJ609">
            <v>0</v>
          </cell>
          <cell r="BK609">
            <v>0</v>
          </cell>
          <cell r="BL609">
            <v>0</v>
          </cell>
          <cell r="BM609">
            <v>0</v>
          </cell>
          <cell r="BN609">
            <v>0</v>
          </cell>
          <cell r="BO609">
            <v>0</v>
          </cell>
          <cell r="BP609">
            <v>0</v>
          </cell>
          <cell r="BQ609">
            <v>0</v>
          </cell>
          <cell r="BR609">
            <v>0</v>
          </cell>
          <cell r="BS609">
            <v>0</v>
          </cell>
          <cell r="BT609">
            <v>0</v>
          </cell>
          <cell r="BU609">
            <v>0</v>
          </cell>
          <cell r="BV609">
            <v>0</v>
          </cell>
          <cell r="BW609">
            <v>0</v>
          </cell>
          <cell r="BX609">
            <v>0</v>
          </cell>
          <cell r="BY609">
            <v>0</v>
          </cell>
          <cell r="BZ609">
            <v>0</v>
          </cell>
          <cell r="CA609">
            <v>0</v>
          </cell>
          <cell r="CB609">
            <v>0</v>
          </cell>
          <cell r="CC609">
            <v>0</v>
          </cell>
          <cell r="CD609">
            <v>0</v>
          </cell>
        </row>
        <row r="610">
          <cell r="C610">
            <v>37950</v>
          </cell>
          <cell r="I610">
            <v>0</v>
          </cell>
          <cell r="N610">
            <v>0</v>
          </cell>
          <cell r="P610">
            <v>0</v>
          </cell>
          <cell r="T610">
            <v>0</v>
          </cell>
          <cell r="V610">
            <v>0</v>
          </cell>
          <cell r="W610">
            <v>0</v>
          </cell>
          <cell r="X610">
            <v>0</v>
          </cell>
          <cell r="Y610">
            <v>0</v>
          </cell>
          <cell r="AB610">
            <v>0</v>
          </cell>
          <cell r="AC610">
            <v>11</v>
          </cell>
          <cell r="AD610">
            <v>0</v>
          </cell>
          <cell r="BF610">
            <v>0</v>
          </cell>
          <cell r="BG610">
            <v>0</v>
          </cell>
          <cell r="BH610">
            <v>0</v>
          </cell>
          <cell r="BI610">
            <v>0</v>
          </cell>
          <cell r="BJ610">
            <v>0</v>
          </cell>
          <cell r="BK610">
            <v>0</v>
          </cell>
          <cell r="BL610">
            <v>0</v>
          </cell>
          <cell r="BM610">
            <v>0</v>
          </cell>
          <cell r="BN610">
            <v>0</v>
          </cell>
          <cell r="BO610">
            <v>0</v>
          </cell>
          <cell r="BP610">
            <v>0</v>
          </cell>
          <cell r="BQ610">
            <v>0</v>
          </cell>
          <cell r="BR610">
            <v>0</v>
          </cell>
          <cell r="BS610">
            <v>0</v>
          </cell>
          <cell r="BT610">
            <v>0</v>
          </cell>
          <cell r="BU610">
            <v>0</v>
          </cell>
          <cell r="BV610">
            <v>0</v>
          </cell>
          <cell r="BW610">
            <v>0</v>
          </cell>
          <cell r="BX610">
            <v>0</v>
          </cell>
          <cell r="BY610">
            <v>0</v>
          </cell>
          <cell r="BZ610">
            <v>0</v>
          </cell>
          <cell r="CA610">
            <v>0</v>
          </cell>
          <cell r="CB610">
            <v>0</v>
          </cell>
          <cell r="CC610">
            <v>0</v>
          </cell>
          <cell r="CD610">
            <v>0</v>
          </cell>
        </row>
        <row r="611">
          <cell r="C611">
            <v>37950</v>
          </cell>
          <cell r="I611">
            <v>0</v>
          </cell>
          <cell r="N611">
            <v>0</v>
          </cell>
          <cell r="P611">
            <v>0</v>
          </cell>
          <cell r="T611">
            <v>0</v>
          </cell>
          <cell r="V611">
            <v>0</v>
          </cell>
          <cell r="W611">
            <v>0</v>
          </cell>
          <cell r="X611">
            <v>0</v>
          </cell>
          <cell r="Y611">
            <v>0</v>
          </cell>
          <cell r="AB611">
            <v>0</v>
          </cell>
          <cell r="AC611">
            <v>11</v>
          </cell>
          <cell r="AD611">
            <v>0</v>
          </cell>
          <cell r="BF611">
            <v>0</v>
          </cell>
          <cell r="BG611">
            <v>0</v>
          </cell>
          <cell r="BH611">
            <v>0</v>
          </cell>
          <cell r="BI611">
            <v>0</v>
          </cell>
          <cell r="BJ611">
            <v>0</v>
          </cell>
          <cell r="BK611">
            <v>0</v>
          </cell>
          <cell r="BL611">
            <v>0</v>
          </cell>
          <cell r="BM611">
            <v>0</v>
          </cell>
          <cell r="BN611">
            <v>0</v>
          </cell>
          <cell r="BO611">
            <v>0</v>
          </cell>
          <cell r="BP611">
            <v>0</v>
          </cell>
          <cell r="BQ611">
            <v>0</v>
          </cell>
          <cell r="BR611">
            <v>0</v>
          </cell>
          <cell r="BS611">
            <v>0</v>
          </cell>
          <cell r="BT611">
            <v>0</v>
          </cell>
          <cell r="BU611">
            <v>0</v>
          </cell>
          <cell r="BV611">
            <v>0</v>
          </cell>
          <cell r="BW611">
            <v>0</v>
          </cell>
          <cell r="BX611">
            <v>0</v>
          </cell>
          <cell r="BY611">
            <v>0</v>
          </cell>
          <cell r="BZ611">
            <v>0</v>
          </cell>
          <cell r="CA611">
            <v>0</v>
          </cell>
          <cell r="CB611">
            <v>0</v>
          </cell>
          <cell r="CC611">
            <v>0</v>
          </cell>
          <cell r="CD611">
            <v>0</v>
          </cell>
        </row>
        <row r="612">
          <cell r="C612">
            <v>37950</v>
          </cell>
          <cell r="I612">
            <v>0</v>
          </cell>
          <cell r="N612">
            <v>0</v>
          </cell>
          <cell r="P612">
            <v>0</v>
          </cell>
          <cell r="T612">
            <v>0</v>
          </cell>
          <cell r="V612">
            <v>0</v>
          </cell>
          <cell r="W612">
            <v>0</v>
          </cell>
          <cell r="X612">
            <v>0</v>
          </cell>
          <cell r="Y612">
            <v>0</v>
          </cell>
          <cell r="AB612">
            <v>0</v>
          </cell>
          <cell r="AC612">
            <v>11</v>
          </cell>
          <cell r="AD612">
            <v>0</v>
          </cell>
          <cell r="BF612">
            <v>0</v>
          </cell>
          <cell r="BG612">
            <v>0</v>
          </cell>
          <cell r="BH612">
            <v>0</v>
          </cell>
          <cell r="BI612">
            <v>0</v>
          </cell>
          <cell r="BJ612">
            <v>0</v>
          </cell>
          <cell r="BK612">
            <v>0</v>
          </cell>
          <cell r="BL612">
            <v>0</v>
          </cell>
          <cell r="BM612">
            <v>0</v>
          </cell>
          <cell r="BN612">
            <v>0</v>
          </cell>
          <cell r="BO612">
            <v>0</v>
          </cell>
          <cell r="BP612">
            <v>0</v>
          </cell>
          <cell r="BQ612">
            <v>0</v>
          </cell>
          <cell r="BR612">
            <v>0</v>
          </cell>
          <cell r="BS612">
            <v>0</v>
          </cell>
          <cell r="BT612">
            <v>0</v>
          </cell>
          <cell r="BU612">
            <v>0</v>
          </cell>
          <cell r="BV612">
            <v>0</v>
          </cell>
          <cell r="BW612">
            <v>0</v>
          </cell>
          <cell r="BX612">
            <v>0</v>
          </cell>
          <cell r="BY612">
            <v>0</v>
          </cell>
          <cell r="BZ612">
            <v>0</v>
          </cell>
          <cell r="CA612">
            <v>0</v>
          </cell>
          <cell r="CB612">
            <v>0</v>
          </cell>
          <cell r="CC612">
            <v>0</v>
          </cell>
          <cell r="CD612">
            <v>0</v>
          </cell>
        </row>
        <row r="613">
          <cell r="C613">
            <v>37950</v>
          </cell>
          <cell r="I613">
            <v>0</v>
          </cell>
          <cell r="N613">
            <v>0</v>
          </cell>
          <cell r="P613">
            <v>0</v>
          </cell>
          <cell r="T613">
            <v>0</v>
          </cell>
          <cell r="V613">
            <v>0</v>
          </cell>
          <cell r="W613">
            <v>0</v>
          </cell>
          <cell r="X613">
            <v>0</v>
          </cell>
          <cell r="Y613">
            <v>0</v>
          </cell>
          <cell r="AB613">
            <v>0</v>
          </cell>
          <cell r="AC613">
            <v>11</v>
          </cell>
          <cell r="AD613">
            <v>0</v>
          </cell>
          <cell r="BF613">
            <v>0</v>
          </cell>
          <cell r="BG613">
            <v>0</v>
          </cell>
          <cell r="BH613">
            <v>0</v>
          </cell>
          <cell r="BI613">
            <v>0</v>
          </cell>
          <cell r="BJ613">
            <v>0</v>
          </cell>
          <cell r="BK613">
            <v>0</v>
          </cell>
          <cell r="BL613">
            <v>0</v>
          </cell>
          <cell r="BM613">
            <v>0</v>
          </cell>
          <cell r="BN613">
            <v>0</v>
          </cell>
          <cell r="BO613">
            <v>0</v>
          </cell>
          <cell r="BP613">
            <v>0</v>
          </cell>
          <cell r="BQ613">
            <v>0</v>
          </cell>
          <cell r="BR613">
            <v>0</v>
          </cell>
          <cell r="BS613">
            <v>0</v>
          </cell>
          <cell r="BT613">
            <v>0</v>
          </cell>
          <cell r="BU613">
            <v>0</v>
          </cell>
          <cell r="BV613">
            <v>0</v>
          </cell>
          <cell r="BW613">
            <v>0</v>
          </cell>
          <cell r="BX613">
            <v>0</v>
          </cell>
          <cell r="BY613">
            <v>0</v>
          </cell>
          <cell r="BZ613">
            <v>0</v>
          </cell>
          <cell r="CA613">
            <v>0</v>
          </cell>
          <cell r="CB613">
            <v>0</v>
          </cell>
          <cell r="CC613">
            <v>0</v>
          </cell>
          <cell r="CD613">
            <v>0</v>
          </cell>
        </row>
        <row r="614">
          <cell r="C614">
            <v>37950</v>
          </cell>
          <cell r="I614">
            <v>0</v>
          </cell>
          <cell r="N614">
            <v>0</v>
          </cell>
          <cell r="P614">
            <v>0</v>
          </cell>
          <cell r="T614">
            <v>0</v>
          </cell>
          <cell r="V614">
            <v>0</v>
          </cell>
          <cell r="W614">
            <v>0</v>
          </cell>
          <cell r="X614">
            <v>0</v>
          </cell>
          <cell r="Y614">
            <v>0</v>
          </cell>
          <cell r="AB614">
            <v>0</v>
          </cell>
          <cell r="AC614">
            <v>11</v>
          </cell>
          <cell r="AD614">
            <v>0</v>
          </cell>
          <cell r="BF614">
            <v>0</v>
          </cell>
          <cell r="BG614">
            <v>0</v>
          </cell>
          <cell r="BH614">
            <v>0</v>
          </cell>
          <cell r="BI614">
            <v>0</v>
          </cell>
          <cell r="BJ614">
            <v>0</v>
          </cell>
          <cell r="BK614">
            <v>0</v>
          </cell>
          <cell r="BL614">
            <v>0</v>
          </cell>
          <cell r="BM614">
            <v>0</v>
          </cell>
          <cell r="BN614">
            <v>0</v>
          </cell>
          <cell r="BO614">
            <v>0</v>
          </cell>
          <cell r="BP614">
            <v>0</v>
          </cell>
          <cell r="BQ614">
            <v>0</v>
          </cell>
          <cell r="BR614">
            <v>0</v>
          </cell>
          <cell r="BS614">
            <v>0</v>
          </cell>
          <cell r="BT614">
            <v>0</v>
          </cell>
          <cell r="BU614">
            <v>0</v>
          </cell>
          <cell r="BV614">
            <v>0</v>
          </cell>
          <cell r="BW614">
            <v>0</v>
          </cell>
          <cell r="BX614">
            <v>0</v>
          </cell>
          <cell r="BY614">
            <v>0</v>
          </cell>
          <cell r="BZ614">
            <v>0</v>
          </cell>
          <cell r="CA614">
            <v>0</v>
          </cell>
          <cell r="CB614">
            <v>0</v>
          </cell>
          <cell r="CC614">
            <v>0</v>
          </cell>
          <cell r="CD614">
            <v>0</v>
          </cell>
        </row>
        <row r="615">
          <cell r="C615">
            <v>37950</v>
          </cell>
          <cell r="I615">
            <v>0</v>
          </cell>
          <cell r="N615">
            <v>0</v>
          </cell>
          <cell r="P615">
            <v>0</v>
          </cell>
          <cell r="T615">
            <v>0</v>
          </cell>
          <cell r="V615">
            <v>0</v>
          </cell>
          <cell r="W615">
            <v>0</v>
          </cell>
          <cell r="X615">
            <v>0</v>
          </cell>
          <cell r="Y615">
            <v>0</v>
          </cell>
          <cell r="AB615">
            <v>0</v>
          </cell>
          <cell r="AC615">
            <v>11</v>
          </cell>
          <cell r="AD615">
            <v>0</v>
          </cell>
          <cell r="BF615">
            <v>0</v>
          </cell>
          <cell r="BG615">
            <v>0</v>
          </cell>
          <cell r="BH615">
            <v>0</v>
          </cell>
          <cell r="BI615">
            <v>0</v>
          </cell>
          <cell r="BJ615">
            <v>0</v>
          </cell>
          <cell r="BK615">
            <v>0</v>
          </cell>
          <cell r="BL615">
            <v>0</v>
          </cell>
          <cell r="BM615">
            <v>0</v>
          </cell>
          <cell r="BN615">
            <v>0</v>
          </cell>
          <cell r="BO615">
            <v>0</v>
          </cell>
          <cell r="BP615">
            <v>0</v>
          </cell>
          <cell r="BQ615">
            <v>0</v>
          </cell>
          <cell r="BR615">
            <v>0</v>
          </cell>
          <cell r="BS615">
            <v>0</v>
          </cell>
          <cell r="BT615">
            <v>0</v>
          </cell>
          <cell r="BU615">
            <v>0</v>
          </cell>
          <cell r="BV615">
            <v>0</v>
          </cell>
          <cell r="BW615">
            <v>0</v>
          </cell>
          <cell r="BX615">
            <v>0</v>
          </cell>
          <cell r="BY615">
            <v>0</v>
          </cell>
          <cell r="BZ615">
            <v>0</v>
          </cell>
          <cell r="CA615">
            <v>0</v>
          </cell>
          <cell r="CB615">
            <v>0</v>
          </cell>
          <cell r="CC615">
            <v>0</v>
          </cell>
          <cell r="CD615">
            <v>0</v>
          </cell>
        </row>
        <row r="616">
          <cell r="C616">
            <v>37950</v>
          </cell>
          <cell r="I616">
            <v>0</v>
          </cell>
          <cell r="N616">
            <v>0</v>
          </cell>
          <cell r="P616">
            <v>0</v>
          </cell>
          <cell r="T616">
            <v>0</v>
          </cell>
          <cell r="V616">
            <v>0</v>
          </cell>
          <cell r="W616">
            <v>0</v>
          </cell>
          <cell r="X616">
            <v>0</v>
          </cell>
          <cell r="Y616">
            <v>0</v>
          </cell>
          <cell r="AB616">
            <v>0</v>
          </cell>
          <cell r="AC616">
            <v>11</v>
          </cell>
          <cell r="AD616">
            <v>0</v>
          </cell>
          <cell r="BF616">
            <v>0</v>
          </cell>
          <cell r="BG616">
            <v>0</v>
          </cell>
          <cell r="BH616">
            <v>0</v>
          </cell>
          <cell r="BI616">
            <v>0</v>
          </cell>
          <cell r="BJ616">
            <v>0</v>
          </cell>
          <cell r="BK616">
            <v>0</v>
          </cell>
          <cell r="BL616">
            <v>0</v>
          </cell>
          <cell r="BM616">
            <v>0</v>
          </cell>
          <cell r="BN616">
            <v>0</v>
          </cell>
          <cell r="BO616">
            <v>0</v>
          </cell>
          <cell r="BP616">
            <v>0</v>
          </cell>
          <cell r="BQ616">
            <v>0</v>
          </cell>
          <cell r="BR616">
            <v>0</v>
          </cell>
          <cell r="BS616">
            <v>0</v>
          </cell>
          <cell r="BT616">
            <v>0</v>
          </cell>
          <cell r="BU616">
            <v>0</v>
          </cell>
          <cell r="BV616">
            <v>0</v>
          </cell>
          <cell r="BW616">
            <v>0</v>
          </cell>
          <cell r="BX616">
            <v>0</v>
          </cell>
          <cell r="BY616">
            <v>0</v>
          </cell>
          <cell r="BZ616">
            <v>0</v>
          </cell>
          <cell r="CA616">
            <v>0</v>
          </cell>
          <cell r="CB616">
            <v>0</v>
          </cell>
          <cell r="CC616">
            <v>0</v>
          </cell>
          <cell r="CD616">
            <v>0</v>
          </cell>
        </row>
        <row r="617">
          <cell r="C617">
            <v>37950</v>
          </cell>
          <cell r="D617">
            <v>37971</v>
          </cell>
          <cell r="E617">
            <v>37956</v>
          </cell>
          <cell r="F617">
            <v>0.52430555555555558</v>
          </cell>
          <cell r="G617" t="str">
            <v>Perfiladora Fagor Largueros</v>
          </cell>
          <cell r="H617" t="str">
            <v>Motor do eixo está com problemas</v>
          </cell>
          <cell r="I617">
            <v>0</v>
          </cell>
          <cell r="J617" t="str">
            <v>Sim</v>
          </cell>
          <cell r="K617" t="str">
            <v>Mecânica</v>
          </cell>
          <cell r="L617" t="str">
            <v>Destravamento dos Componentes</v>
          </cell>
          <cell r="M617" t="str">
            <v>Falha de Montagem / Preparação</v>
          </cell>
          <cell r="N617">
            <v>37956</v>
          </cell>
          <cell r="O617">
            <v>0.52777777777777779</v>
          </cell>
          <cell r="P617">
            <v>0</v>
          </cell>
          <cell r="T617">
            <v>37956</v>
          </cell>
          <cell r="U617">
            <v>0.55555555555555558</v>
          </cell>
          <cell r="V617">
            <v>3.4722222222222099E-3</v>
          </cell>
          <cell r="W617">
            <v>3.1249999999191536E-2</v>
          </cell>
          <cell r="X617">
            <v>0</v>
          </cell>
          <cell r="Y617">
            <v>0</v>
          </cell>
          <cell r="AB617">
            <v>12</v>
          </cell>
          <cell r="AC617">
            <v>11</v>
          </cell>
          <cell r="AD617">
            <v>0</v>
          </cell>
          <cell r="BF617">
            <v>0</v>
          </cell>
          <cell r="BG617">
            <v>0</v>
          </cell>
          <cell r="BH617">
            <v>0</v>
          </cell>
          <cell r="BI617">
            <v>0</v>
          </cell>
          <cell r="BJ617">
            <v>0</v>
          </cell>
          <cell r="BK617">
            <v>0</v>
          </cell>
          <cell r="BL617">
            <v>0</v>
          </cell>
          <cell r="BM617">
            <v>0</v>
          </cell>
          <cell r="BN617">
            <v>0</v>
          </cell>
          <cell r="BO617">
            <v>0</v>
          </cell>
          <cell r="BP617">
            <v>0</v>
          </cell>
          <cell r="BQ617">
            <v>0</v>
          </cell>
          <cell r="BR617">
            <v>0</v>
          </cell>
          <cell r="BS617">
            <v>0</v>
          </cell>
          <cell r="BT617">
            <v>12</v>
          </cell>
          <cell r="BU617">
            <v>0</v>
          </cell>
          <cell r="BV617">
            <v>0</v>
          </cell>
          <cell r="BW617">
            <v>0</v>
          </cell>
          <cell r="BX617">
            <v>0</v>
          </cell>
          <cell r="BY617">
            <v>0</v>
          </cell>
          <cell r="BZ617">
            <v>0</v>
          </cell>
          <cell r="CA617">
            <v>0</v>
          </cell>
          <cell r="CB617">
            <v>0</v>
          </cell>
          <cell r="CC617">
            <v>0</v>
          </cell>
          <cell r="CD617">
            <v>0</v>
          </cell>
        </row>
        <row r="618">
          <cell r="C618">
            <v>37950</v>
          </cell>
          <cell r="D618">
            <v>37972</v>
          </cell>
          <cell r="E618">
            <v>37964</v>
          </cell>
          <cell r="F618">
            <v>0.58333333333333337</v>
          </cell>
          <cell r="G618" t="str">
            <v>Células de Solda Automática</v>
          </cell>
          <cell r="H618" t="str">
            <v>Máquina não liga</v>
          </cell>
          <cell r="I618">
            <v>0</v>
          </cell>
          <cell r="J618" t="str">
            <v>Sim</v>
          </cell>
          <cell r="K618" t="str">
            <v>Elétrica</v>
          </cell>
          <cell r="L618" t="str">
            <v>Reparo</v>
          </cell>
          <cell r="M618" t="str">
            <v>Desgaste / Fadiga</v>
          </cell>
          <cell r="N618">
            <v>37964</v>
          </cell>
          <cell r="O618">
            <v>0.59722222222222221</v>
          </cell>
          <cell r="P618">
            <v>0</v>
          </cell>
          <cell r="T618">
            <v>37964</v>
          </cell>
          <cell r="U618">
            <v>0.61111111111111105</v>
          </cell>
          <cell r="V618">
            <v>0</v>
          </cell>
          <cell r="W618">
            <v>2.7777777776160861E-2</v>
          </cell>
          <cell r="X618">
            <v>0</v>
          </cell>
          <cell r="Y618">
            <v>0</v>
          </cell>
          <cell r="AB618">
            <v>12</v>
          </cell>
          <cell r="AC618">
            <v>11</v>
          </cell>
          <cell r="AD618">
            <v>0</v>
          </cell>
          <cell r="BF618">
            <v>12</v>
          </cell>
          <cell r="BG618">
            <v>0</v>
          </cell>
          <cell r="BH618">
            <v>0</v>
          </cell>
          <cell r="BI618">
            <v>0</v>
          </cell>
          <cell r="BJ618">
            <v>0</v>
          </cell>
          <cell r="BK618">
            <v>0</v>
          </cell>
          <cell r="BL618">
            <v>0</v>
          </cell>
          <cell r="BM618">
            <v>0</v>
          </cell>
          <cell r="BN618">
            <v>0</v>
          </cell>
          <cell r="BO618">
            <v>0</v>
          </cell>
          <cell r="BP618">
            <v>0</v>
          </cell>
          <cell r="BQ618">
            <v>0</v>
          </cell>
          <cell r="BR618">
            <v>0</v>
          </cell>
          <cell r="BS618">
            <v>0</v>
          </cell>
          <cell r="BT618">
            <v>0</v>
          </cell>
          <cell r="BU618">
            <v>0</v>
          </cell>
          <cell r="BV618">
            <v>0</v>
          </cell>
          <cell r="BW618">
            <v>0</v>
          </cell>
          <cell r="BX618">
            <v>0</v>
          </cell>
          <cell r="BY618">
            <v>0</v>
          </cell>
          <cell r="BZ618">
            <v>0</v>
          </cell>
          <cell r="CA618">
            <v>0</v>
          </cell>
          <cell r="CB618">
            <v>0</v>
          </cell>
          <cell r="CC618">
            <v>0</v>
          </cell>
          <cell r="CD618">
            <v>0</v>
          </cell>
        </row>
        <row r="619">
          <cell r="C619">
            <v>37950</v>
          </cell>
          <cell r="D619">
            <v>37972</v>
          </cell>
          <cell r="E619">
            <v>37965</v>
          </cell>
          <cell r="F619">
            <v>0.90277777777777779</v>
          </cell>
          <cell r="G619" t="str">
            <v>Células de Solda Automática</v>
          </cell>
          <cell r="H619" t="str">
            <v>A fresa de limpeza da tocha não pára de jogar óleo (anti-respingos)</v>
          </cell>
          <cell r="I619">
            <v>0</v>
          </cell>
          <cell r="J619" t="str">
            <v>Não</v>
          </cell>
          <cell r="K619" t="str">
            <v>Mecânica</v>
          </cell>
          <cell r="L619" t="str">
            <v>Destravamento dos Componentes</v>
          </cell>
          <cell r="M619" t="str">
            <v>Falha de Comando / Sistema</v>
          </cell>
          <cell r="N619">
            <v>37965</v>
          </cell>
          <cell r="O619">
            <v>0.90625</v>
          </cell>
          <cell r="P619">
            <v>0</v>
          </cell>
          <cell r="T619">
            <v>37965</v>
          </cell>
          <cell r="U619">
            <v>0.92361111111111116</v>
          </cell>
          <cell r="V619">
            <v>0</v>
          </cell>
          <cell r="W619">
            <v>1.7361111109494232E-2</v>
          </cell>
          <cell r="X619">
            <v>0</v>
          </cell>
          <cell r="Y619">
            <v>0</v>
          </cell>
          <cell r="AB619">
            <v>12</v>
          </cell>
          <cell r="AC619">
            <v>11</v>
          </cell>
          <cell r="AD619">
            <v>0</v>
          </cell>
          <cell r="BF619">
            <v>12</v>
          </cell>
          <cell r="BG619">
            <v>0</v>
          </cell>
          <cell r="BH619">
            <v>0</v>
          </cell>
          <cell r="BI619">
            <v>0</v>
          </cell>
          <cell r="BJ619">
            <v>0</v>
          </cell>
          <cell r="BK619">
            <v>0</v>
          </cell>
          <cell r="BL619">
            <v>0</v>
          </cell>
          <cell r="BM619">
            <v>0</v>
          </cell>
          <cell r="BN619">
            <v>0</v>
          </cell>
          <cell r="BO619">
            <v>0</v>
          </cell>
          <cell r="BP619">
            <v>0</v>
          </cell>
          <cell r="BQ619">
            <v>0</v>
          </cell>
          <cell r="BR619">
            <v>0</v>
          </cell>
          <cell r="BS619">
            <v>0</v>
          </cell>
          <cell r="BT619">
            <v>0</v>
          </cell>
          <cell r="BU619">
            <v>0</v>
          </cell>
          <cell r="BV619">
            <v>0</v>
          </cell>
          <cell r="BW619">
            <v>0</v>
          </cell>
          <cell r="BX619">
            <v>0</v>
          </cell>
          <cell r="BY619">
            <v>0</v>
          </cell>
          <cell r="BZ619">
            <v>0</v>
          </cell>
          <cell r="CA619">
            <v>0</v>
          </cell>
          <cell r="CB619">
            <v>0</v>
          </cell>
          <cell r="CC619">
            <v>0</v>
          </cell>
          <cell r="CD619">
            <v>0</v>
          </cell>
        </row>
        <row r="620">
          <cell r="C620">
            <v>37950</v>
          </cell>
          <cell r="I620">
            <v>0</v>
          </cell>
          <cell r="N620">
            <v>0</v>
          </cell>
          <cell r="P620">
            <v>0</v>
          </cell>
          <cell r="T620">
            <v>0</v>
          </cell>
          <cell r="V620">
            <v>0</v>
          </cell>
          <cell r="W620">
            <v>0</v>
          </cell>
          <cell r="X620">
            <v>0</v>
          </cell>
          <cell r="Y620">
            <v>0</v>
          </cell>
          <cell r="AB620">
            <v>0</v>
          </cell>
          <cell r="AC620">
            <v>11</v>
          </cell>
          <cell r="AD620">
            <v>0</v>
          </cell>
          <cell r="BF620">
            <v>0</v>
          </cell>
          <cell r="BG620">
            <v>0</v>
          </cell>
          <cell r="BH620">
            <v>0</v>
          </cell>
          <cell r="BI620">
            <v>0</v>
          </cell>
          <cell r="BJ620">
            <v>0</v>
          </cell>
          <cell r="BK620">
            <v>0</v>
          </cell>
          <cell r="BL620">
            <v>0</v>
          </cell>
          <cell r="BM620">
            <v>0</v>
          </cell>
          <cell r="BN620">
            <v>0</v>
          </cell>
          <cell r="BO620">
            <v>0</v>
          </cell>
          <cell r="BP620">
            <v>0</v>
          </cell>
          <cell r="BQ620">
            <v>0</v>
          </cell>
          <cell r="BR620">
            <v>0</v>
          </cell>
          <cell r="BS620">
            <v>0</v>
          </cell>
          <cell r="BT620">
            <v>0</v>
          </cell>
          <cell r="BU620">
            <v>0</v>
          </cell>
          <cell r="BV620">
            <v>0</v>
          </cell>
          <cell r="BW620">
            <v>0</v>
          </cell>
          <cell r="BX620">
            <v>0</v>
          </cell>
          <cell r="BY620">
            <v>0</v>
          </cell>
          <cell r="BZ620">
            <v>0</v>
          </cell>
          <cell r="CA620">
            <v>0</v>
          </cell>
          <cell r="CB620">
            <v>0</v>
          </cell>
          <cell r="CC620">
            <v>0</v>
          </cell>
          <cell r="CD620">
            <v>0</v>
          </cell>
        </row>
        <row r="621">
          <cell r="C621">
            <v>37950</v>
          </cell>
          <cell r="D621">
            <v>37972</v>
          </cell>
          <cell r="E621">
            <v>37967</v>
          </cell>
          <cell r="F621">
            <v>0.25</v>
          </cell>
          <cell r="G621" t="str">
            <v>Células de Solda Automática</v>
          </cell>
          <cell r="H621" t="str">
            <v>Mangueira de ar furada</v>
          </cell>
          <cell r="I621">
            <v>0</v>
          </cell>
          <cell r="J621" t="str">
            <v>Sim</v>
          </cell>
          <cell r="K621" t="str">
            <v>Mecânica</v>
          </cell>
          <cell r="L621" t="str">
            <v>Substituição do(s) Componente(s)</v>
          </cell>
          <cell r="M621" t="str">
            <v>Falha Operacional</v>
          </cell>
          <cell r="N621">
            <v>37967</v>
          </cell>
          <cell r="O621">
            <v>0.27083333333333331</v>
          </cell>
          <cell r="P621">
            <v>0</v>
          </cell>
          <cell r="T621">
            <v>37967</v>
          </cell>
          <cell r="U621">
            <v>0.3125</v>
          </cell>
          <cell r="V621">
            <v>0</v>
          </cell>
          <cell r="W621">
            <v>6.25E-2</v>
          </cell>
          <cell r="X621">
            <v>0</v>
          </cell>
          <cell r="Y621">
            <v>0</v>
          </cell>
          <cell r="AB621">
            <v>12</v>
          </cell>
          <cell r="AC621">
            <v>11</v>
          </cell>
          <cell r="AD621">
            <v>0</v>
          </cell>
          <cell r="BF621">
            <v>12</v>
          </cell>
          <cell r="BG621">
            <v>0</v>
          </cell>
          <cell r="BH621">
            <v>0</v>
          </cell>
          <cell r="BI621">
            <v>0</v>
          </cell>
          <cell r="BJ621">
            <v>0</v>
          </cell>
          <cell r="BK621">
            <v>0</v>
          </cell>
          <cell r="BL621">
            <v>0</v>
          </cell>
          <cell r="BM621">
            <v>0</v>
          </cell>
          <cell r="BN621">
            <v>0</v>
          </cell>
          <cell r="BO621">
            <v>0</v>
          </cell>
          <cell r="BP621">
            <v>0</v>
          </cell>
          <cell r="BQ621">
            <v>0</v>
          </cell>
          <cell r="BR621">
            <v>0</v>
          </cell>
          <cell r="BS621">
            <v>0</v>
          </cell>
          <cell r="BT621">
            <v>0</v>
          </cell>
          <cell r="BU621">
            <v>0</v>
          </cell>
          <cell r="BV621">
            <v>0</v>
          </cell>
          <cell r="BW621">
            <v>0</v>
          </cell>
          <cell r="BX621">
            <v>0</v>
          </cell>
          <cell r="BY621">
            <v>0</v>
          </cell>
          <cell r="BZ621">
            <v>0</v>
          </cell>
          <cell r="CA621">
            <v>0</v>
          </cell>
          <cell r="CB621">
            <v>0</v>
          </cell>
          <cell r="CC621">
            <v>0</v>
          </cell>
          <cell r="CD621">
            <v>0</v>
          </cell>
        </row>
        <row r="622">
          <cell r="C622">
            <v>37950</v>
          </cell>
          <cell r="I622">
            <v>0</v>
          </cell>
          <cell r="N622">
            <v>0</v>
          </cell>
          <cell r="P622">
            <v>0</v>
          </cell>
          <cell r="T622">
            <v>0</v>
          </cell>
          <cell r="V622">
            <v>0</v>
          </cell>
          <cell r="W622">
            <v>0</v>
          </cell>
          <cell r="X622">
            <v>0</v>
          </cell>
          <cell r="Y622">
            <v>0</v>
          </cell>
          <cell r="AB622">
            <v>0</v>
          </cell>
          <cell r="AC622">
            <v>11</v>
          </cell>
          <cell r="AD622">
            <v>0</v>
          </cell>
          <cell r="BF622">
            <v>0</v>
          </cell>
          <cell r="BG622">
            <v>0</v>
          </cell>
          <cell r="BH622">
            <v>0</v>
          </cell>
          <cell r="BI622">
            <v>0</v>
          </cell>
          <cell r="BJ622">
            <v>0</v>
          </cell>
          <cell r="BK622">
            <v>0</v>
          </cell>
          <cell r="BL622">
            <v>0</v>
          </cell>
          <cell r="BM622">
            <v>0</v>
          </cell>
          <cell r="BN622">
            <v>0</v>
          </cell>
          <cell r="BO622">
            <v>0</v>
          </cell>
          <cell r="BP622">
            <v>0</v>
          </cell>
          <cell r="BQ622">
            <v>0</v>
          </cell>
          <cell r="BR622">
            <v>0</v>
          </cell>
          <cell r="BS622">
            <v>0</v>
          </cell>
          <cell r="BT622">
            <v>0</v>
          </cell>
          <cell r="BU622">
            <v>0</v>
          </cell>
          <cell r="BV622">
            <v>0</v>
          </cell>
          <cell r="BW622">
            <v>0</v>
          </cell>
          <cell r="BX622">
            <v>0</v>
          </cell>
          <cell r="BY622">
            <v>0</v>
          </cell>
          <cell r="BZ622">
            <v>0</v>
          </cell>
          <cell r="CA622">
            <v>0</v>
          </cell>
          <cell r="CB622">
            <v>0</v>
          </cell>
          <cell r="CC622">
            <v>0</v>
          </cell>
          <cell r="CD622">
            <v>0</v>
          </cell>
        </row>
        <row r="623">
          <cell r="C623">
            <v>37950</v>
          </cell>
          <cell r="D623">
            <v>37977</v>
          </cell>
          <cell r="E623">
            <v>37962</v>
          </cell>
          <cell r="F623">
            <v>0.69444444444444453</v>
          </cell>
          <cell r="G623" t="str">
            <v>Células de Solda Automática</v>
          </cell>
          <cell r="H623" t="str">
            <v>Came de segurança da divisória de proteção está mal fixado</v>
          </cell>
          <cell r="I623">
            <v>0</v>
          </cell>
          <cell r="J623" t="str">
            <v>Não</v>
          </cell>
          <cell r="K623" t="str">
            <v>Mecânica</v>
          </cell>
          <cell r="L623" t="str">
            <v>Montagem / Instalação</v>
          </cell>
          <cell r="M623" t="str">
            <v>Falha de Montagem / Preparação</v>
          </cell>
          <cell r="N623">
            <v>37962</v>
          </cell>
          <cell r="O623">
            <v>0.69444444444444453</v>
          </cell>
          <cell r="P623">
            <v>0</v>
          </cell>
          <cell r="T623">
            <v>37962</v>
          </cell>
          <cell r="U623">
            <v>0.70833333333333337</v>
          </cell>
          <cell r="V623">
            <v>0</v>
          </cell>
          <cell r="W623">
            <v>1.3888888891314122E-2</v>
          </cell>
          <cell r="X623">
            <v>0</v>
          </cell>
          <cell r="Y623">
            <v>0</v>
          </cell>
          <cell r="AB623">
            <v>12</v>
          </cell>
          <cell r="AC623">
            <v>11</v>
          </cell>
          <cell r="AD623">
            <v>0</v>
          </cell>
          <cell r="BF623">
            <v>12</v>
          </cell>
          <cell r="BG623">
            <v>0</v>
          </cell>
          <cell r="BH623">
            <v>0</v>
          </cell>
          <cell r="BI623">
            <v>0</v>
          </cell>
          <cell r="BJ623">
            <v>0</v>
          </cell>
          <cell r="BK623">
            <v>0</v>
          </cell>
          <cell r="BL623">
            <v>0</v>
          </cell>
          <cell r="BM623">
            <v>0</v>
          </cell>
          <cell r="BN623">
            <v>0</v>
          </cell>
          <cell r="BO623">
            <v>0</v>
          </cell>
          <cell r="BP623">
            <v>0</v>
          </cell>
          <cell r="BQ623">
            <v>0</v>
          </cell>
          <cell r="BR623">
            <v>0</v>
          </cell>
          <cell r="BS623">
            <v>0</v>
          </cell>
          <cell r="BT623">
            <v>0</v>
          </cell>
          <cell r="BU623">
            <v>0</v>
          </cell>
          <cell r="BV623">
            <v>0</v>
          </cell>
          <cell r="BW623">
            <v>0</v>
          </cell>
          <cell r="BX623">
            <v>0</v>
          </cell>
          <cell r="BY623">
            <v>0</v>
          </cell>
          <cell r="BZ623">
            <v>0</v>
          </cell>
          <cell r="CA623">
            <v>0</v>
          </cell>
          <cell r="CB623">
            <v>0</v>
          </cell>
          <cell r="CC623">
            <v>0</v>
          </cell>
          <cell r="CD623">
            <v>0</v>
          </cell>
        </row>
        <row r="624">
          <cell r="C624">
            <v>37950</v>
          </cell>
          <cell r="D624">
            <v>37977</v>
          </cell>
          <cell r="E624">
            <v>37962</v>
          </cell>
          <cell r="F624">
            <v>0.66666666666666663</v>
          </cell>
          <cell r="G624" t="str">
            <v>Células de Solda Automática</v>
          </cell>
          <cell r="H624" t="str">
            <v>Sensor de impacto com problema (robô n.04)</v>
          </cell>
          <cell r="I624">
            <v>0</v>
          </cell>
          <cell r="J624" t="str">
            <v>Não</v>
          </cell>
          <cell r="K624" t="str">
            <v>Elétrica</v>
          </cell>
          <cell r="L624" t="str">
            <v>Substituição do(s) Componente(s)</v>
          </cell>
          <cell r="M624" t="str">
            <v>Falha Operacional</v>
          </cell>
          <cell r="N624">
            <v>37962</v>
          </cell>
          <cell r="O624">
            <v>0.66666666666666663</v>
          </cell>
          <cell r="P624">
            <v>0</v>
          </cell>
          <cell r="Q624">
            <v>0.66666666666666663</v>
          </cell>
          <cell r="R624">
            <v>37971</v>
          </cell>
          <cell r="S624">
            <v>0.58333333333333337</v>
          </cell>
          <cell r="T624">
            <v>37971</v>
          </cell>
          <cell r="U624">
            <v>0.625</v>
          </cell>
          <cell r="V624">
            <v>0</v>
          </cell>
          <cell r="W624">
            <v>4.166666666666663E-2</v>
          </cell>
          <cell r="X624">
            <v>0</v>
          </cell>
          <cell r="Y624">
            <v>0</v>
          </cell>
          <cell r="AB624">
            <v>12</v>
          </cell>
          <cell r="AC624">
            <v>11</v>
          </cell>
          <cell r="AD624">
            <v>0</v>
          </cell>
          <cell r="BF624">
            <v>12</v>
          </cell>
          <cell r="BG624">
            <v>0</v>
          </cell>
          <cell r="BH624">
            <v>0</v>
          </cell>
          <cell r="BI624">
            <v>0</v>
          </cell>
          <cell r="BJ624">
            <v>0</v>
          </cell>
          <cell r="BK624">
            <v>0</v>
          </cell>
          <cell r="BL624">
            <v>0</v>
          </cell>
          <cell r="BM624">
            <v>0</v>
          </cell>
          <cell r="BN624">
            <v>0</v>
          </cell>
          <cell r="BO624">
            <v>0</v>
          </cell>
          <cell r="BP624">
            <v>0</v>
          </cell>
          <cell r="BQ624">
            <v>0</v>
          </cell>
          <cell r="BR624">
            <v>0</v>
          </cell>
          <cell r="BS624">
            <v>0</v>
          </cell>
          <cell r="BT624">
            <v>0</v>
          </cell>
          <cell r="BU624">
            <v>0</v>
          </cell>
          <cell r="BV624">
            <v>0</v>
          </cell>
          <cell r="BW624">
            <v>0</v>
          </cell>
          <cell r="BX624">
            <v>0</v>
          </cell>
          <cell r="BY624">
            <v>0</v>
          </cell>
          <cell r="BZ624">
            <v>0</v>
          </cell>
          <cell r="CA624">
            <v>0</v>
          </cell>
          <cell r="CB624">
            <v>0</v>
          </cell>
          <cell r="CC624">
            <v>0</v>
          </cell>
          <cell r="CD624">
            <v>0</v>
          </cell>
        </row>
        <row r="625">
          <cell r="C625">
            <v>37950</v>
          </cell>
          <cell r="D625">
            <v>37972</v>
          </cell>
          <cell r="E625">
            <v>37967</v>
          </cell>
          <cell r="F625">
            <v>0.85416666666666663</v>
          </cell>
          <cell r="G625" t="str">
            <v>Células de Solda Automática</v>
          </cell>
          <cell r="H625" t="str">
            <v>Fresa não limpa o bocal de solda</v>
          </cell>
          <cell r="I625">
            <v>0</v>
          </cell>
          <cell r="J625" t="str">
            <v>Não</v>
          </cell>
          <cell r="K625" t="str">
            <v>Mecânica</v>
          </cell>
          <cell r="L625" t="str">
            <v>Substituição do(s) Componente(s)</v>
          </cell>
          <cell r="M625" t="str">
            <v>Falha de Comando / Sistema</v>
          </cell>
          <cell r="N625">
            <v>37967</v>
          </cell>
          <cell r="O625">
            <v>0.85763888888888884</v>
          </cell>
          <cell r="P625">
            <v>0</v>
          </cell>
          <cell r="T625">
            <v>37967</v>
          </cell>
          <cell r="U625">
            <v>0.87152777777777779</v>
          </cell>
          <cell r="V625">
            <v>0</v>
          </cell>
          <cell r="W625">
            <v>1.3888888892122697E-2</v>
          </cell>
          <cell r="X625">
            <v>0</v>
          </cell>
          <cell r="Y625">
            <v>0</v>
          </cell>
          <cell r="AB625">
            <v>12</v>
          </cell>
          <cell r="AC625">
            <v>11</v>
          </cell>
          <cell r="AD625">
            <v>0</v>
          </cell>
          <cell r="BF625">
            <v>12</v>
          </cell>
          <cell r="BG625">
            <v>0</v>
          </cell>
          <cell r="BH625">
            <v>0</v>
          </cell>
          <cell r="BI625">
            <v>0</v>
          </cell>
          <cell r="BJ625">
            <v>0</v>
          </cell>
          <cell r="BK625">
            <v>0</v>
          </cell>
          <cell r="BL625">
            <v>0</v>
          </cell>
          <cell r="BM625">
            <v>0</v>
          </cell>
          <cell r="BN625">
            <v>0</v>
          </cell>
          <cell r="BO625">
            <v>0</v>
          </cell>
          <cell r="BP625">
            <v>0</v>
          </cell>
          <cell r="BQ625">
            <v>0</v>
          </cell>
          <cell r="BR625">
            <v>0</v>
          </cell>
          <cell r="BS625">
            <v>0</v>
          </cell>
          <cell r="BT625">
            <v>0</v>
          </cell>
          <cell r="BU625">
            <v>0</v>
          </cell>
          <cell r="BV625">
            <v>0</v>
          </cell>
          <cell r="BW625">
            <v>0</v>
          </cell>
          <cell r="BX625">
            <v>0</v>
          </cell>
          <cell r="BY625">
            <v>0</v>
          </cell>
          <cell r="BZ625">
            <v>0</v>
          </cell>
          <cell r="CA625">
            <v>0</v>
          </cell>
          <cell r="CB625">
            <v>0</v>
          </cell>
          <cell r="CC625">
            <v>0</v>
          </cell>
          <cell r="CD625">
            <v>0</v>
          </cell>
        </row>
        <row r="626">
          <cell r="C626">
            <v>37950</v>
          </cell>
          <cell r="D626">
            <v>37993</v>
          </cell>
          <cell r="E626">
            <v>37979</v>
          </cell>
          <cell r="F626">
            <v>0.66666666666666663</v>
          </cell>
          <cell r="G626" t="str">
            <v>Células de Solda Automática</v>
          </cell>
          <cell r="H626" t="str">
            <v>Alarme no CLP (BUSF): falha de comunicação da mesa com o CLP</v>
          </cell>
          <cell r="I626">
            <v>0</v>
          </cell>
          <cell r="J626" t="str">
            <v>Sim</v>
          </cell>
          <cell r="K626" t="str">
            <v>Elétrica</v>
          </cell>
          <cell r="L626" t="str">
            <v>Correção de mau contato</v>
          </cell>
          <cell r="M626" t="str">
            <v>Mau contato</v>
          </cell>
          <cell r="N626">
            <v>0</v>
          </cell>
          <cell r="O626">
            <v>0.66666666666666663</v>
          </cell>
          <cell r="P626">
            <v>0</v>
          </cell>
          <cell r="T626">
            <v>0</v>
          </cell>
          <cell r="U626">
            <v>0.68194444444444446</v>
          </cell>
          <cell r="V626">
            <v>0</v>
          </cell>
          <cell r="W626">
            <v>0</v>
          </cell>
          <cell r="X626">
            <v>0</v>
          </cell>
          <cell r="Y626">
            <v>0</v>
          </cell>
          <cell r="AB626">
            <v>0</v>
          </cell>
          <cell r="AC626">
            <v>11</v>
          </cell>
          <cell r="AD626">
            <v>0</v>
          </cell>
          <cell r="BF626">
            <v>0</v>
          </cell>
          <cell r="BG626">
            <v>0</v>
          </cell>
          <cell r="BH626">
            <v>0</v>
          </cell>
          <cell r="BI626">
            <v>0</v>
          </cell>
          <cell r="BJ626">
            <v>0</v>
          </cell>
          <cell r="BK626">
            <v>0</v>
          </cell>
          <cell r="BL626">
            <v>0</v>
          </cell>
          <cell r="BM626">
            <v>0</v>
          </cell>
          <cell r="BN626">
            <v>0</v>
          </cell>
          <cell r="BO626">
            <v>0</v>
          </cell>
          <cell r="BP626">
            <v>0</v>
          </cell>
          <cell r="BQ626">
            <v>0</v>
          </cell>
          <cell r="BR626">
            <v>0</v>
          </cell>
          <cell r="BS626">
            <v>0</v>
          </cell>
          <cell r="BT626">
            <v>0</v>
          </cell>
          <cell r="BU626">
            <v>0</v>
          </cell>
          <cell r="BV626">
            <v>0</v>
          </cell>
          <cell r="BW626">
            <v>0</v>
          </cell>
          <cell r="BX626">
            <v>0</v>
          </cell>
          <cell r="BY626">
            <v>0</v>
          </cell>
          <cell r="BZ626">
            <v>0</v>
          </cell>
          <cell r="CA626">
            <v>0</v>
          </cell>
          <cell r="CB626">
            <v>0</v>
          </cell>
          <cell r="CC626">
            <v>0</v>
          </cell>
          <cell r="CD626">
            <v>0</v>
          </cell>
        </row>
        <row r="627">
          <cell r="C627">
            <v>37950</v>
          </cell>
          <cell r="D627">
            <v>37993</v>
          </cell>
          <cell r="E627">
            <v>37970</v>
          </cell>
          <cell r="F627">
            <v>0.27777777777777779</v>
          </cell>
          <cell r="G627" t="str">
            <v>Perfiladora Fagor Largueros</v>
          </cell>
          <cell r="H627" t="str">
            <v>Máquina não funciona no comando do robô</v>
          </cell>
          <cell r="I627">
            <v>0</v>
          </cell>
          <cell r="J627" t="str">
            <v>Não</v>
          </cell>
          <cell r="K627" t="str">
            <v>Elétrica</v>
          </cell>
          <cell r="L627" t="str">
            <v>Mesmo após acompanhamento do funcionamento, o problema não foi detectado</v>
          </cell>
          <cell r="M627" t="str">
            <v>Falha de Comando / Sistema</v>
          </cell>
          <cell r="N627">
            <v>0</v>
          </cell>
          <cell r="O627">
            <v>0.29166666666666669</v>
          </cell>
          <cell r="P627">
            <v>0</v>
          </cell>
          <cell r="T627">
            <v>0</v>
          </cell>
          <cell r="U627">
            <v>0.34722222222222227</v>
          </cell>
          <cell r="V627">
            <v>0</v>
          </cell>
          <cell r="W627">
            <v>0</v>
          </cell>
          <cell r="X627">
            <v>0</v>
          </cell>
          <cell r="Y627">
            <v>0</v>
          </cell>
          <cell r="AB627">
            <v>0</v>
          </cell>
          <cell r="AC627">
            <v>11</v>
          </cell>
          <cell r="AD627">
            <v>0</v>
          </cell>
          <cell r="BF627">
            <v>0</v>
          </cell>
          <cell r="BG627">
            <v>0</v>
          </cell>
          <cell r="BH627">
            <v>0</v>
          </cell>
          <cell r="BI627">
            <v>0</v>
          </cell>
          <cell r="BJ627">
            <v>0</v>
          </cell>
          <cell r="BK627">
            <v>0</v>
          </cell>
          <cell r="BL627">
            <v>0</v>
          </cell>
          <cell r="BM627">
            <v>0</v>
          </cell>
          <cell r="BN627">
            <v>0</v>
          </cell>
          <cell r="BO627">
            <v>0</v>
          </cell>
          <cell r="BP627">
            <v>0</v>
          </cell>
          <cell r="BQ627">
            <v>0</v>
          </cell>
          <cell r="BR627">
            <v>0</v>
          </cell>
          <cell r="BS627">
            <v>0</v>
          </cell>
          <cell r="BT627">
            <v>0</v>
          </cell>
          <cell r="BU627">
            <v>0</v>
          </cell>
          <cell r="BV627">
            <v>0</v>
          </cell>
          <cell r="BW627">
            <v>0</v>
          </cell>
          <cell r="BX627">
            <v>0</v>
          </cell>
          <cell r="BY627">
            <v>0</v>
          </cell>
          <cell r="BZ627">
            <v>0</v>
          </cell>
          <cell r="CA627">
            <v>0</v>
          </cell>
          <cell r="CB627">
            <v>0</v>
          </cell>
          <cell r="CC627">
            <v>0</v>
          </cell>
          <cell r="CD627">
            <v>0</v>
          </cell>
        </row>
        <row r="628">
          <cell r="C628">
            <v>37950</v>
          </cell>
          <cell r="I628">
            <v>0</v>
          </cell>
          <cell r="N628">
            <v>0</v>
          </cell>
          <cell r="P628">
            <v>0</v>
          </cell>
          <cell r="T628">
            <v>0</v>
          </cell>
          <cell r="V628">
            <v>0</v>
          </cell>
          <cell r="W628">
            <v>0</v>
          </cell>
          <cell r="X628">
            <v>0</v>
          </cell>
          <cell r="Y628">
            <v>0</v>
          </cell>
          <cell r="AB628">
            <v>0</v>
          </cell>
          <cell r="AC628">
            <v>11</v>
          </cell>
          <cell r="AD628">
            <v>0</v>
          </cell>
          <cell r="BF628">
            <v>0</v>
          </cell>
          <cell r="BG628">
            <v>0</v>
          </cell>
          <cell r="BH628">
            <v>0</v>
          </cell>
          <cell r="BI628">
            <v>0</v>
          </cell>
          <cell r="BJ628">
            <v>0</v>
          </cell>
          <cell r="BK628">
            <v>0</v>
          </cell>
          <cell r="BL628">
            <v>0</v>
          </cell>
          <cell r="BM628">
            <v>0</v>
          </cell>
          <cell r="BN628">
            <v>0</v>
          </cell>
          <cell r="BO628">
            <v>0</v>
          </cell>
          <cell r="BP628">
            <v>0</v>
          </cell>
          <cell r="BQ628">
            <v>0</v>
          </cell>
          <cell r="BR628">
            <v>0</v>
          </cell>
          <cell r="BS628">
            <v>0</v>
          </cell>
          <cell r="BT628">
            <v>0</v>
          </cell>
          <cell r="BU628">
            <v>0</v>
          </cell>
          <cell r="BV628">
            <v>0</v>
          </cell>
          <cell r="BW628">
            <v>0</v>
          </cell>
          <cell r="BX628">
            <v>0</v>
          </cell>
          <cell r="BY628">
            <v>0</v>
          </cell>
          <cell r="BZ628">
            <v>0</v>
          </cell>
          <cell r="CA628">
            <v>0</v>
          </cell>
          <cell r="CB628">
            <v>0</v>
          </cell>
          <cell r="CC628">
            <v>0</v>
          </cell>
          <cell r="CD628">
            <v>0</v>
          </cell>
        </row>
        <row r="629">
          <cell r="C629">
            <v>37950</v>
          </cell>
          <cell r="D629">
            <v>37993</v>
          </cell>
          <cell r="E629">
            <v>37909</v>
          </cell>
          <cell r="F629">
            <v>0.38263888888888892</v>
          </cell>
          <cell r="G629" t="str">
            <v>Células de Solda Automática</v>
          </cell>
          <cell r="H629" t="str">
            <v>Vazamento de água na conexão de refrigeração da tocha</v>
          </cell>
          <cell r="I629">
            <v>0</v>
          </cell>
          <cell r="J629" t="str">
            <v>Sim</v>
          </cell>
          <cell r="K629" t="str">
            <v>Mecânica</v>
          </cell>
          <cell r="L629" t="str">
            <v>Contenção do vazamento</v>
          </cell>
          <cell r="M629" t="str">
            <v>Desgaste / Fadiga</v>
          </cell>
          <cell r="N629">
            <v>0</v>
          </cell>
          <cell r="O629">
            <v>0.41666666666666669</v>
          </cell>
          <cell r="P629">
            <v>0</v>
          </cell>
          <cell r="T629">
            <v>0</v>
          </cell>
          <cell r="U629">
            <v>0.45833333333333331</v>
          </cell>
          <cell r="V629">
            <v>0</v>
          </cell>
          <cell r="W629">
            <v>0</v>
          </cell>
          <cell r="X629">
            <v>0</v>
          </cell>
          <cell r="Y629">
            <v>0</v>
          </cell>
          <cell r="AB629">
            <v>0</v>
          </cell>
          <cell r="AC629">
            <v>11</v>
          </cell>
          <cell r="AD629">
            <v>0</v>
          </cell>
          <cell r="BF629">
            <v>0</v>
          </cell>
          <cell r="BG629">
            <v>0</v>
          </cell>
          <cell r="BH629">
            <v>0</v>
          </cell>
          <cell r="BI629">
            <v>0</v>
          </cell>
          <cell r="BJ629">
            <v>0</v>
          </cell>
          <cell r="BK629">
            <v>0</v>
          </cell>
          <cell r="BL629">
            <v>0</v>
          </cell>
          <cell r="BM629">
            <v>0</v>
          </cell>
          <cell r="BN629">
            <v>0</v>
          </cell>
          <cell r="BO629">
            <v>0</v>
          </cell>
          <cell r="BP629">
            <v>0</v>
          </cell>
          <cell r="BQ629">
            <v>0</v>
          </cell>
          <cell r="BR629">
            <v>0</v>
          </cell>
          <cell r="BS629">
            <v>0</v>
          </cell>
          <cell r="BT629">
            <v>0</v>
          </cell>
          <cell r="BU629">
            <v>0</v>
          </cell>
          <cell r="BV629">
            <v>0</v>
          </cell>
          <cell r="BW629">
            <v>0</v>
          </cell>
          <cell r="BX629">
            <v>0</v>
          </cell>
          <cell r="BY629">
            <v>0</v>
          </cell>
          <cell r="BZ629">
            <v>0</v>
          </cell>
          <cell r="CA629">
            <v>0</v>
          </cell>
          <cell r="CB629">
            <v>0</v>
          </cell>
          <cell r="CC629">
            <v>0</v>
          </cell>
          <cell r="CD629">
            <v>0</v>
          </cell>
        </row>
        <row r="630">
          <cell r="C630">
            <v>37950</v>
          </cell>
          <cell r="D630">
            <v>37972</v>
          </cell>
          <cell r="E630">
            <v>37970</v>
          </cell>
          <cell r="F630">
            <v>0.54166666666666663</v>
          </cell>
          <cell r="G630" t="str">
            <v>Células de Solda Automática</v>
          </cell>
          <cell r="H630" t="str">
            <v>Cilindro de contagem na esteira está quebrado</v>
          </cell>
          <cell r="I630">
            <v>0</v>
          </cell>
          <cell r="J630" t="str">
            <v>Não</v>
          </cell>
          <cell r="K630" t="str">
            <v>Mecânica</v>
          </cell>
          <cell r="L630" t="str">
            <v>Reparo</v>
          </cell>
          <cell r="M630" t="str">
            <v>Falha Operacional</v>
          </cell>
          <cell r="N630">
            <v>37970</v>
          </cell>
          <cell r="O630">
            <v>0.62847222222222221</v>
          </cell>
          <cell r="P630">
            <v>0</v>
          </cell>
          <cell r="T630">
            <v>37970</v>
          </cell>
          <cell r="U630">
            <v>0.66666666666666663</v>
          </cell>
          <cell r="V630">
            <v>0</v>
          </cell>
          <cell r="W630">
            <v>3.8194444442019138E-2</v>
          </cell>
          <cell r="X630">
            <v>0</v>
          </cell>
          <cell r="Y630">
            <v>0</v>
          </cell>
          <cell r="AB630">
            <v>12</v>
          </cell>
          <cell r="AC630">
            <v>11</v>
          </cell>
          <cell r="AD630">
            <v>0</v>
          </cell>
          <cell r="BF630">
            <v>12</v>
          </cell>
          <cell r="BG630">
            <v>0</v>
          </cell>
          <cell r="BH630">
            <v>0</v>
          </cell>
          <cell r="BI630">
            <v>0</v>
          </cell>
          <cell r="BJ630">
            <v>0</v>
          </cell>
          <cell r="BK630">
            <v>0</v>
          </cell>
          <cell r="BL630">
            <v>0</v>
          </cell>
          <cell r="BM630">
            <v>0</v>
          </cell>
          <cell r="BN630">
            <v>0</v>
          </cell>
          <cell r="BO630">
            <v>0</v>
          </cell>
          <cell r="BP630">
            <v>0</v>
          </cell>
          <cell r="BQ630">
            <v>0</v>
          </cell>
          <cell r="BR630">
            <v>0</v>
          </cell>
          <cell r="BS630">
            <v>0</v>
          </cell>
          <cell r="BT630">
            <v>0</v>
          </cell>
          <cell r="BU630">
            <v>0</v>
          </cell>
          <cell r="BV630">
            <v>0</v>
          </cell>
          <cell r="BW630">
            <v>0</v>
          </cell>
          <cell r="BX630">
            <v>0</v>
          </cell>
          <cell r="BY630">
            <v>0</v>
          </cell>
          <cell r="BZ630">
            <v>0</v>
          </cell>
          <cell r="CA630">
            <v>0</v>
          </cell>
          <cell r="CB630">
            <v>0</v>
          </cell>
          <cell r="CC630">
            <v>0</v>
          </cell>
          <cell r="CD630">
            <v>0</v>
          </cell>
        </row>
        <row r="631">
          <cell r="C631">
            <v>37950</v>
          </cell>
          <cell r="D631">
            <v>37993</v>
          </cell>
          <cell r="E631">
            <v>37972</v>
          </cell>
          <cell r="F631">
            <v>0.27430555555555552</v>
          </cell>
          <cell r="G631" t="str">
            <v>Células de Solda Automática</v>
          </cell>
          <cell r="H631" t="str">
            <v>Cilindro da esfera alimentadora</v>
          </cell>
          <cell r="I631">
            <v>0</v>
          </cell>
          <cell r="J631" t="str">
            <v>Sim</v>
          </cell>
          <cell r="K631" t="str">
            <v>Mecânica</v>
          </cell>
          <cell r="L631" t="str">
            <v>Substituição do(s) Componente(s)</v>
          </cell>
          <cell r="M631" t="str">
            <v>Falha de Regulagem / Configuração / Dimensionamento</v>
          </cell>
          <cell r="N631">
            <v>0</v>
          </cell>
          <cell r="O631">
            <v>0.375</v>
          </cell>
          <cell r="P631">
            <v>0</v>
          </cell>
          <cell r="T631">
            <v>0</v>
          </cell>
          <cell r="U631">
            <v>0.4375</v>
          </cell>
          <cell r="V631">
            <v>0</v>
          </cell>
          <cell r="W631">
            <v>0</v>
          </cell>
          <cell r="X631">
            <v>0</v>
          </cell>
          <cell r="Y631">
            <v>0</v>
          </cell>
          <cell r="AB631">
            <v>0</v>
          </cell>
          <cell r="AC631">
            <v>11</v>
          </cell>
          <cell r="AD631">
            <v>0</v>
          </cell>
          <cell r="BF631">
            <v>0</v>
          </cell>
          <cell r="BG631">
            <v>0</v>
          </cell>
          <cell r="BH631">
            <v>0</v>
          </cell>
          <cell r="BI631">
            <v>0</v>
          </cell>
          <cell r="BJ631">
            <v>0</v>
          </cell>
          <cell r="BK631">
            <v>0</v>
          </cell>
          <cell r="BL631">
            <v>0</v>
          </cell>
          <cell r="BM631">
            <v>0</v>
          </cell>
          <cell r="BN631">
            <v>0</v>
          </cell>
          <cell r="BO631">
            <v>0</v>
          </cell>
          <cell r="BP631">
            <v>0</v>
          </cell>
          <cell r="BQ631">
            <v>0</v>
          </cell>
          <cell r="BR631">
            <v>0</v>
          </cell>
          <cell r="BS631">
            <v>0</v>
          </cell>
          <cell r="BT631">
            <v>0</v>
          </cell>
          <cell r="BU631">
            <v>0</v>
          </cell>
          <cell r="BV631">
            <v>0</v>
          </cell>
          <cell r="BW631">
            <v>0</v>
          </cell>
          <cell r="BX631">
            <v>0</v>
          </cell>
          <cell r="BY631">
            <v>0</v>
          </cell>
          <cell r="BZ631">
            <v>0</v>
          </cell>
          <cell r="CA631">
            <v>0</v>
          </cell>
          <cell r="CB631">
            <v>0</v>
          </cell>
          <cell r="CC631">
            <v>0</v>
          </cell>
          <cell r="CD631">
            <v>0</v>
          </cell>
        </row>
        <row r="632">
          <cell r="C632">
            <v>37950</v>
          </cell>
          <cell r="D632">
            <v>37993</v>
          </cell>
          <cell r="E632">
            <v>38345</v>
          </cell>
          <cell r="F632">
            <v>0.5625</v>
          </cell>
          <cell r="G632" t="str">
            <v>Células de Solda Automática</v>
          </cell>
          <cell r="H632" t="str">
            <v>Motor Power do robô de Manipulação não está acionando</v>
          </cell>
          <cell r="I632">
            <v>0</v>
          </cell>
          <cell r="J632" t="str">
            <v>Sim</v>
          </cell>
          <cell r="K632" t="str">
            <v>Elétrica</v>
          </cell>
          <cell r="L632" t="str">
            <v>Substituição do(s) Componente(s)</v>
          </cell>
          <cell r="M632" t="str">
            <v>Falha de Comando / Sistema</v>
          </cell>
          <cell r="N632">
            <v>0</v>
          </cell>
          <cell r="O632">
            <v>0.61111111111111105</v>
          </cell>
          <cell r="P632">
            <v>0</v>
          </cell>
          <cell r="T632">
            <v>0</v>
          </cell>
          <cell r="U632">
            <v>0.62430555555555556</v>
          </cell>
          <cell r="V632">
            <v>0</v>
          </cell>
          <cell r="W632">
            <v>0</v>
          </cell>
          <cell r="X632">
            <v>0</v>
          </cell>
          <cell r="Y632">
            <v>0</v>
          </cell>
          <cell r="AB632">
            <v>0</v>
          </cell>
          <cell r="AC632">
            <v>11</v>
          </cell>
          <cell r="AD632">
            <v>0</v>
          </cell>
          <cell r="BF632">
            <v>0</v>
          </cell>
          <cell r="BG632">
            <v>0</v>
          </cell>
          <cell r="BH632">
            <v>0</v>
          </cell>
          <cell r="BI632">
            <v>0</v>
          </cell>
          <cell r="BJ632">
            <v>0</v>
          </cell>
          <cell r="BK632">
            <v>0</v>
          </cell>
          <cell r="BL632">
            <v>0</v>
          </cell>
          <cell r="BM632">
            <v>0</v>
          </cell>
          <cell r="BN632">
            <v>0</v>
          </cell>
          <cell r="BO632">
            <v>0</v>
          </cell>
          <cell r="BP632">
            <v>0</v>
          </cell>
          <cell r="BQ632">
            <v>0</v>
          </cell>
          <cell r="BR632">
            <v>0</v>
          </cell>
          <cell r="BS632">
            <v>0</v>
          </cell>
          <cell r="BT632">
            <v>0</v>
          </cell>
          <cell r="BU632">
            <v>0</v>
          </cell>
          <cell r="BV632">
            <v>0</v>
          </cell>
          <cell r="BW632">
            <v>0</v>
          </cell>
          <cell r="BX632">
            <v>0</v>
          </cell>
          <cell r="BY632">
            <v>0</v>
          </cell>
          <cell r="BZ632">
            <v>0</v>
          </cell>
          <cell r="CA632">
            <v>0</v>
          </cell>
          <cell r="CB632">
            <v>0</v>
          </cell>
          <cell r="CC632">
            <v>0</v>
          </cell>
          <cell r="CD632">
            <v>0</v>
          </cell>
        </row>
        <row r="633">
          <cell r="C633">
            <v>37950</v>
          </cell>
          <cell r="D633">
            <v>37993</v>
          </cell>
          <cell r="E633">
            <v>37984</v>
          </cell>
          <cell r="F633">
            <v>0.29166666666666669</v>
          </cell>
          <cell r="G633" t="str">
            <v>Células de Solda Automática</v>
          </cell>
          <cell r="H633" t="str">
            <v>Cabo de Comunicação BUSF rompido</v>
          </cell>
          <cell r="I633">
            <v>0</v>
          </cell>
          <cell r="J633" t="str">
            <v>Sim</v>
          </cell>
          <cell r="K633" t="str">
            <v>Elétrica</v>
          </cell>
          <cell r="L633" t="str">
            <v>Reparo</v>
          </cell>
          <cell r="M633" t="str">
            <v>Desgaste / Fadiga</v>
          </cell>
          <cell r="N633">
            <v>0</v>
          </cell>
          <cell r="O633">
            <v>0.29166666666666669</v>
          </cell>
          <cell r="P633">
            <v>0</v>
          </cell>
          <cell r="T633">
            <v>0</v>
          </cell>
          <cell r="U633">
            <v>0.33333333333333331</v>
          </cell>
          <cell r="V633">
            <v>0</v>
          </cell>
          <cell r="W633">
            <v>0</v>
          </cell>
          <cell r="X633">
            <v>0</v>
          </cell>
          <cell r="Y633">
            <v>0</v>
          </cell>
          <cell r="AB633">
            <v>0</v>
          </cell>
          <cell r="AC633">
            <v>11</v>
          </cell>
          <cell r="AD633">
            <v>0</v>
          </cell>
          <cell r="BF633">
            <v>0</v>
          </cell>
          <cell r="BG633">
            <v>0</v>
          </cell>
          <cell r="BH633">
            <v>0</v>
          </cell>
          <cell r="BI633">
            <v>0</v>
          </cell>
          <cell r="BJ633">
            <v>0</v>
          </cell>
          <cell r="BK633">
            <v>0</v>
          </cell>
          <cell r="BL633">
            <v>0</v>
          </cell>
          <cell r="BM633">
            <v>0</v>
          </cell>
          <cell r="BN633">
            <v>0</v>
          </cell>
          <cell r="BO633">
            <v>0</v>
          </cell>
          <cell r="BP633">
            <v>0</v>
          </cell>
          <cell r="BQ633">
            <v>0</v>
          </cell>
          <cell r="BR633">
            <v>0</v>
          </cell>
          <cell r="BS633">
            <v>0</v>
          </cell>
          <cell r="BT633">
            <v>0</v>
          </cell>
          <cell r="BU633">
            <v>0</v>
          </cell>
          <cell r="BV633">
            <v>0</v>
          </cell>
          <cell r="BW633">
            <v>0</v>
          </cell>
          <cell r="BX633">
            <v>0</v>
          </cell>
          <cell r="BY633">
            <v>0</v>
          </cell>
          <cell r="BZ633">
            <v>0</v>
          </cell>
          <cell r="CA633">
            <v>0</v>
          </cell>
          <cell r="CB633">
            <v>0</v>
          </cell>
          <cell r="CC633">
            <v>0</v>
          </cell>
          <cell r="CD633">
            <v>0</v>
          </cell>
        </row>
        <row r="634">
          <cell r="C634">
            <v>37950</v>
          </cell>
          <cell r="D634">
            <v>37993</v>
          </cell>
          <cell r="E634">
            <v>37984</v>
          </cell>
          <cell r="F634">
            <v>0.3923611111111111</v>
          </cell>
          <cell r="G634" t="str">
            <v>Células de Solda Automática</v>
          </cell>
          <cell r="H634" t="str">
            <v>Falha no sensor ao depositar o conector Esquerdo</v>
          </cell>
          <cell r="I634">
            <v>0</v>
          </cell>
          <cell r="J634" t="str">
            <v>Sim</v>
          </cell>
          <cell r="K634" t="str">
            <v>Elétrica</v>
          </cell>
          <cell r="L634" t="str">
            <v>Regulagem do Componente</v>
          </cell>
          <cell r="M634" t="str">
            <v>Falha de Comando / Sistema</v>
          </cell>
          <cell r="N634">
            <v>0</v>
          </cell>
          <cell r="O634">
            <v>0.39583333333333331</v>
          </cell>
          <cell r="P634">
            <v>0</v>
          </cell>
          <cell r="T634">
            <v>0</v>
          </cell>
          <cell r="U634">
            <v>0.41666666666666669</v>
          </cell>
          <cell r="V634">
            <v>0</v>
          </cell>
          <cell r="W634">
            <v>0</v>
          </cell>
          <cell r="X634">
            <v>0</v>
          </cell>
          <cell r="Y634">
            <v>0</v>
          </cell>
          <cell r="AB634">
            <v>0</v>
          </cell>
          <cell r="AC634">
            <v>11</v>
          </cell>
          <cell r="AD634">
            <v>0</v>
          </cell>
          <cell r="BF634">
            <v>0</v>
          </cell>
          <cell r="BG634">
            <v>0</v>
          </cell>
          <cell r="BH634">
            <v>0</v>
          </cell>
          <cell r="BI634">
            <v>0</v>
          </cell>
          <cell r="BJ634">
            <v>0</v>
          </cell>
          <cell r="BK634">
            <v>0</v>
          </cell>
          <cell r="BL634">
            <v>0</v>
          </cell>
          <cell r="BM634">
            <v>0</v>
          </cell>
          <cell r="BN634">
            <v>0</v>
          </cell>
          <cell r="BO634">
            <v>0</v>
          </cell>
          <cell r="BP634">
            <v>0</v>
          </cell>
          <cell r="BQ634">
            <v>0</v>
          </cell>
          <cell r="BR634">
            <v>0</v>
          </cell>
          <cell r="BS634">
            <v>0</v>
          </cell>
          <cell r="BT634">
            <v>0</v>
          </cell>
          <cell r="BU634">
            <v>0</v>
          </cell>
          <cell r="BV634">
            <v>0</v>
          </cell>
          <cell r="BW634">
            <v>0</v>
          </cell>
          <cell r="BX634">
            <v>0</v>
          </cell>
          <cell r="BY634">
            <v>0</v>
          </cell>
          <cell r="BZ634">
            <v>0</v>
          </cell>
          <cell r="CA634">
            <v>0</v>
          </cell>
          <cell r="CB634">
            <v>0</v>
          </cell>
          <cell r="CC634">
            <v>0</v>
          </cell>
          <cell r="CD634">
            <v>0</v>
          </cell>
        </row>
        <row r="635">
          <cell r="C635">
            <v>37950</v>
          </cell>
          <cell r="D635">
            <v>37993</v>
          </cell>
          <cell r="E635">
            <v>37992</v>
          </cell>
          <cell r="F635">
            <v>0.4236111111111111</v>
          </cell>
          <cell r="G635" t="str">
            <v>Células de Solda Automática</v>
          </cell>
          <cell r="H635" t="str">
            <v>Problema no Cabo de Comunicação BUSF</v>
          </cell>
          <cell r="I635">
            <v>0</v>
          </cell>
          <cell r="J635" t="str">
            <v>Sim</v>
          </cell>
          <cell r="K635" t="str">
            <v>Elétrica</v>
          </cell>
          <cell r="L635" t="str">
            <v>Substituição do(s) Componente(s)</v>
          </cell>
          <cell r="M635" t="str">
            <v>Desgaste / Fadiga</v>
          </cell>
          <cell r="N635">
            <v>0</v>
          </cell>
          <cell r="O635">
            <v>0.44791666666666669</v>
          </cell>
          <cell r="P635">
            <v>0</v>
          </cell>
          <cell r="T635">
            <v>0</v>
          </cell>
          <cell r="U635">
            <v>0.46527777777777773</v>
          </cell>
          <cell r="V635">
            <v>0</v>
          </cell>
          <cell r="W635">
            <v>0</v>
          </cell>
          <cell r="X635">
            <v>0</v>
          </cell>
          <cell r="Y635">
            <v>0</v>
          </cell>
          <cell r="AB635">
            <v>0</v>
          </cell>
          <cell r="AC635">
            <v>11</v>
          </cell>
          <cell r="AD635">
            <v>0</v>
          </cell>
          <cell r="BF635">
            <v>0</v>
          </cell>
          <cell r="BG635">
            <v>0</v>
          </cell>
          <cell r="BH635">
            <v>0</v>
          </cell>
          <cell r="BI635">
            <v>0</v>
          </cell>
          <cell r="BJ635">
            <v>0</v>
          </cell>
          <cell r="BK635">
            <v>0</v>
          </cell>
          <cell r="BL635">
            <v>0</v>
          </cell>
          <cell r="BM635">
            <v>0</v>
          </cell>
          <cell r="BN635">
            <v>0</v>
          </cell>
          <cell r="BO635">
            <v>0</v>
          </cell>
          <cell r="BP635">
            <v>0</v>
          </cell>
          <cell r="BQ635">
            <v>0</v>
          </cell>
          <cell r="BR635">
            <v>0</v>
          </cell>
          <cell r="BS635">
            <v>0</v>
          </cell>
          <cell r="BT635">
            <v>0</v>
          </cell>
          <cell r="BU635">
            <v>0</v>
          </cell>
          <cell r="BV635">
            <v>0</v>
          </cell>
          <cell r="BW635">
            <v>0</v>
          </cell>
          <cell r="BX635">
            <v>0</v>
          </cell>
          <cell r="BY635">
            <v>0</v>
          </cell>
          <cell r="BZ635">
            <v>0</v>
          </cell>
          <cell r="CA635">
            <v>0</v>
          </cell>
          <cell r="CB635">
            <v>0</v>
          </cell>
          <cell r="CC635">
            <v>0</v>
          </cell>
          <cell r="CD635">
            <v>0</v>
          </cell>
        </row>
        <row r="636">
          <cell r="C636">
            <v>37950</v>
          </cell>
          <cell r="D636">
            <v>37993</v>
          </cell>
          <cell r="E636">
            <v>37992</v>
          </cell>
          <cell r="F636">
            <v>0.52777777777777779</v>
          </cell>
          <cell r="G636" t="str">
            <v>Células de Solda Automática</v>
          </cell>
          <cell r="H636" t="str">
            <v>Problema no Cabo de Comunicação BUSF</v>
          </cell>
          <cell r="I636">
            <v>0</v>
          </cell>
          <cell r="J636" t="str">
            <v>Sim</v>
          </cell>
          <cell r="K636" t="str">
            <v>Elétrica</v>
          </cell>
          <cell r="N636">
            <v>0</v>
          </cell>
          <cell r="P636">
            <v>0</v>
          </cell>
          <cell r="T636">
            <v>0</v>
          </cell>
          <cell r="V636">
            <v>0</v>
          </cell>
          <cell r="W636">
            <v>0</v>
          </cell>
          <cell r="X636">
            <v>0</v>
          </cell>
          <cell r="Y636">
            <v>0</v>
          </cell>
          <cell r="AB636">
            <v>0</v>
          </cell>
          <cell r="AC636">
            <v>11</v>
          </cell>
          <cell r="AD636">
            <v>0</v>
          </cell>
          <cell r="BF636">
            <v>0</v>
          </cell>
          <cell r="BG636">
            <v>0</v>
          </cell>
          <cell r="BH636">
            <v>0</v>
          </cell>
          <cell r="BI636">
            <v>0</v>
          </cell>
          <cell r="BJ636">
            <v>0</v>
          </cell>
          <cell r="BK636">
            <v>0</v>
          </cell>
          <cell r="BL636">
            <v>0</v>
          </cell>
          <cell r="BM636">
            <v>0</v>
          </cell>
          <cell r="BN636">
            <v>0</v>
          </cell>
          <cell r="BO636">
            <v>0</v>
          </cell>
          <cell r="BP636">
            <v>0</v>
          </cell>
          <cell r="BQ636">
            <v>0</v>
          </cell>
          <cell r="BR636">
            <v>0</v>
          </cell>
          <cell r="BS636">
            <v>0</v>
          </cell>
          <cell r="BT636">
            <v>0</v>
          </cell>
          <cell r="BU636">
            <v>0</v>
          </cell>
          <cell r="BV636">
            <v>0</v>
          </cell>
          <cell r="BW636">
            <v>0</v>
          </cell>
          <cell r="BX636">
            <v>0</v>
          </cell>
          <cell r="BY636">
            <v>0</v>
          </cell>
          <cell r="BZ636">
            <v>0</v>
          </cell>
          <cell r="CA636">
            <v>0</v>
          </cell>
          <cell r="CB636">
            <v>0</v>
          </cell>
          <cell r="CC636">
            <v>0</v>
          </cell>
          <cell r="CD636">
            <v>0</v>
          </cell>
        </row>
        <row r="637">
          <cell r="C637">
            <v>37953</v>
          </cell>
          <cell r="D637">
            <v>37971</v>
          </cell>
          <cell r="E637">
            <v>37953</v>
          </cell>
          <cell r="F637">
            <v>0.34027777777777773</v>
          </cell>
          <cell r="G637" t="str">
            <v>Linha de Pintura 15m</v>
          </cell>
          <cell r="H637" t="str">
            <v>Anomalia no Variador V2</v>
          </cell>
          <cell r="I637">
            <v>0</v>
          </cell>
          <cell r="J637" t="str">
            <v>Sim</v>
          </cell>
          <cell r="K637" t="str">
            <v>Elétrica</v>
          </cell>
          <cell r="L637" t="str">
            <v>Destravamento dos Componentes</v>
          </cell>
          <cell r="M637" t="str">
            <v>Sobrecarga</v>
          </cell>
          <cell r="N637">
            <v>37953</v>
          </cell>
          <cell r="O637">
            <v>0.35416666666666669</v>
          </cell>
          <cell r="P637">
            <v>0</v>
          </cell>
          <cell r="T637">
            <v>37953</v>
          </cell>
          <cell r="U637">
            <v>0.375</v>
          </cell>
          <cell r="V637">
            <v>1.3888888888888951E-2</v>
          </cell>
          <cell r="W637">
            <v>3.4722222222222265E-2</v>
          </cell>
          <cell r="X637">
            <v>0</v>
          </cell>
          <cell r="Y637">
            <v>0</v>
          </cell>
          <cell r="AB637">
            <v>11</v>
          </cell>
          <cell r="AC637">
            <v>11</v>
          </cell>
          <cell r="AD637">
            <v>0</v>
          </cell>
          <cell r="BF637">
            <v>0</v>
          </cell>
          <cell r="BG637">
            <v>0</v>
          </cell>
          <cell r="BH637">
            <v>0</v>
          </cell>
          <cell r="BI637">
            <v>0</v>
          </cell>
          <cell r="BJ637">
            <v>0</v>
          </cell>
          <cell r="BK637">
            <v>0</v>
          </cell>
          <cell r="BL637">
            <v>0</v>
          </cell>
          <cell r="BM637">
            <v>0</v>
          </cell>
          <cell r="BN637">
            <v>11</v>
          </cell>
          <cell r="BO637">
            <v>0</v>
          </cell>
          <cell r="BP637">
            <v>0</v>
          </cell>
          <cell r="BQ637">
            <v>0</v>
          </cell>
          <cell r="BR637">
            <v>0</v>
          </cell>
          <cell r="BS637">
            <v>0</v>
          </cell>
          <cell r="BT637">
            <v>0</v>
          </cell>
          <cell r="BU637">
            <v>0</v>
          </cell>
          <cell r="BV637">
            <v>0</v>
          </cell>
          <cell r="BW637">
            <v>0</v>
          </cell>
          <cell r="BX637">
            <v>0</v>
          </cell>
          <cell r="BY637">
            <v>0</v>
          </cell>
          <cell r="BZ637">
            <v>0</v>
          </cell>
          <cell r="CA637">
            <v>0</v>
          </cell>
          <cell r="CB637">
            <v>0</v>
          </cell>
          <cell r="CC637">
            <v>0</v>
          </cell>
          <cell r="CD637">
            <v>0</v>
          </cell>
        </row>
        <row r="638">
          <cell r="C638">
            <v>37953</v>
          </cell>
          <cell r="D638">
            <v>37971</v>
          </cell>
          <cell r="E638">
            <v>37953</v>
          </cell>
          <cell r="F638">
            <v>0.84375</v>
          </cell>
          <cell r="G638" t="str">
            <v>Linha de Pintura 15m</v>
          </cell>
          <cell r="H638" t="str">
            <v>Linha Travada</v>
          </cell>
          <cell r="I638">
            <v>0</v>
          </cell>
          <cell r="J638" t="str">
            <v>Sim</v>
          </cell>
          <cell r="K638" t="str">
            <v>Mecânica</v>
          </cell>
          <cell r="L638" t="str">
            <v>Destravamento dos Componentes</v>
          </cell>
          <cell r="M638" t="str">
            <v>Falha de Comando / Sistema</v>
          </cell>
          <cell r="N638">
            <v>37953</v>
          </cell>
          <cell r="O638">
            <v>0.84375</v>
          </cell>
          <cell r="P638">
            <v>0</v>
          </cell>
          <cell r="T638">
            <v>37953</v>
          </cell>
          <cell r="U638">
            <v>0.88541666666666663</v>
          </cell>
          <cell r="V638">
            <v>0</v>
          </cell>
          <cell r="W638">
            <v>4.1666666664241347E-2</v>
          </cell>
          <cell r="X638">
            <v>0</v>
          </cell>
          <cell r="Y638">
            <v>0</v>
          </cell>
          <cell r="AB638">
            <v>11</v>
          </cell>
          <cell r="AC638">
            <v>11</v>
          </cell>
          <cell r="AD638">
            <v>0</v>
          </cell>
          <cell r="BF638">
            <v>0</v>
          </cell>
          <cell r="BG638">
            <v>0</v>
          </cell>
          <cell r="BH638">
            <v>0</v>
          </cell>
          <cell r="BI638">
            <v>0</v>
          </cell>
          <cell r="BJ638">
            <v>0</v>
          </cell>
          <cell r="BK638">
            <v>0</v>
          </cell>
          <cell r="BL638">
            <v>0</v>
          </cell>
          <cell r="BM638">
            <v>0</v>
          </cell>
          <cell r="BN638">
            <v>11</v>
          </cell>
          <cell r="BO638">
            <v>0</v>
          </cell>
          <cell r="BP638">
            <v>0</v>
          </cell>
          <cell r="BQ638">
            <v>0</v>
          </cell>
          <cell r="BR638">
            <v>0</v>
          </cell>
          <cell r="BS638">
            <v>0</v>
          </cell>
          <cell r="BT638">
            <v>0</v>
          </cell>
          <cell r="BU638">
            <v>0</v>
          </cell>
          <cell r="BV638">
            <v>0</v>
          </cell>
          <cell r="BW638">
            <v>0</v>
          </cell>
          <cell r="BX638">
            <v>0</v>
          </cell>
          <cell r="BY638">
            <v>0</v>
          </cell>
          <cell r="BZ638">
            <v>0</v>
          </cell>
          <cell r="CA638">
            <v>0</v>
          </cell>
          <cell r="CB638">
            <v>0</v>
          </cell>
          <cell r="CC638">
            <v>0</v>
          </cell>
          <cell r="CD638">
            <v>0</v>
          </cell>
        </row>
        <row r="639">
          <cell r="C639">
            <v>37953</v>
          </cell>
          <cell r="D639">
            <v>37971</v>
          </cell>
          <cell r="E639">
            <v>37958</v>
          </cell>
          <cell r="F639">
            <v>0.52083333333333337</v>
          </cell>
          <cell r="G639" t="str">
            <v>Linha de Pintura 15m</v>
          </cell>
          <cell r="H639" t="str">
            <v>Nível baixo na bomba do fosfato</v>
          </cell>
          <cell r="I639">
            <v>0</v>
          </cell>
          <cell r="J639" t="str">
            <v>Sim</v>
          </cell>
          <cell r="K639" t="str">
            <v>Elétrica</v>
          </cell>
          <cell r="L639" t="str">
            <v>Ajuste / Regulagem</v>
          </cell>
          <cell r="M639" t="str">
            <v>Falha Operacional</v>
          </cell>
          <cell r="N639">
            <v>37958</v>
          </cell>
          <cell r="O639">
            <v>0.52083333333333337</v>
          </cell>
          <cell r="P639">
            <v>0</v>
          </cell>
          <cell r="T639">
            <v>37958</v>
          </cell>
          <cell r="U639">
            <v>0.52430555555555558</v>
          </cell>
          <cell r="V639">
            <v>0</v>
          </cell>
          <cell r="W639">
            <v>3.4722222214137455E-3</v>
          </cell>
          <cell r="X639">
            <v>0</v>
          </cell>
          <cell r="Y639">
            <v>0</v>
          </cell>
          <cell r="AB639">
            <v>12</v>
          </cell>
          <cell r="AC639">
            <v>11</v>
          </cell>
          <cell r="AD639">
            <v>0</v>
          </cell>
          <cell r="BF639">
            <v>0</v>
          </cell>
          <cell r="BG639">
            <v>0</v>
          </cell>
          <cell r="BH639">
            <v>0</v>
          </cell>
          <cell r="BI639">
            <v>0</v>
          </cell>
          <cell r="BJ639">
            <v>0</v>
          </cell>
          <cell r="BK639">
            <v>0</v>
          </cell>
          <cell r="BL639">
            <v>0</v>
          </cell>
          <cell r="BM639">
            <v>0</v>
          </cell>
          <cell r="BN639">
            <v>12</v>
          </cell>
          <cell r="BO639">
            <v>0</v>
          </cell>
          <cell r="BP639">
            <v>0</v>
          </cell>
          <cell r="BQ639">
            <v>0</v>
          </cell>
          <cell r="BR639">
            <v>0</v>
          </cell>
          <cell r="BS639">
            <v>0</v>
          </cell>
          <cell r="BT639">
            <v>0</v>
          </cell>
          <cell r="BU639">
            <v>0</v>
          </cell>
          <cell r="BV639">
            <v>0</v>
          </cell>
          <cell r="BW639">
            <v>0</v>
          </cell>
          <cell r="BX639">
            <v>0</v>
          </cell>
          <cell r="BY639">
            <v>0</v>
          </cell>
          <cell r="BZ639">
            <v>0</v>
          </cell>
          <cell r="CA639">
            <v>0</v>
          </cell>
          <cell r="CB639">
            <v>0</v>
          </cell>
          <cell r="CC639">
            <v>0</v>
          </cell>
          <cell r="CD639">
            <v>0</v>
          </cell>
        </row>
        <row r="640">
          <cell r="C640">
            <v>37953</v>
          </cell>
          <cell r="D640">
            <v>37971</v>
          </cell>
          <cell r="E640">
            <v>37957</v>
          </cell>
          <cell r="F640">
            <v>0.91666666666666663</v>
          </cell>
          <cell r="G640" t="str">
            <v>Linha de Pintura 15m</v>
          </cell>
          <cell r="H640" t="str">
            <v>Vazamento no reservatório do fosfato</v>
          </cell>
          <cell r="I640">
            <v>0</v>
          </cell>
          <cell r="J640" t="str">
            <v>Não</v>
          </cell>
          <cell r="K640" t="str">
            <v>Mecânica</v>
          </cell>
          <cell r="L640" t="str">
            <v>Contenção do vazamento</v>
          </cell>
          <cell r="M640" t="str">
            <v>Falha de Montagem / Preparação</v>
          </cell>
          <cell r="N640">
            <v>37957</v>
          </cell>
          <cell r="O640">
            <v>0.91666666666666663</v>
          </cell>
          <cell r="P640">
            <v>0</v>
          </cell>
          <cell r="T640">
            <v>37957</v>
          </cell>
          <cell r="U640">
            <v>0.95833333333333337</v>
          </cell>
          <cell r="V640">
            <v>0</v>
          </cell>
          <cell r="W640">
            <v>4.1666666669092023E-2</v>
          </cell>
          <cell r="X640">
            <v>0</v>
          </cell>
          <cell r="Y640">
            <v>0</v>
          </cell>
          <cell r="AB640">
            <v>12</v>
          </cell>
          <cell r="AC640">
            <v>11</v>
          </cell>
          <cell r="AD640">
            <v>0</v>
          </cell>
          <cell r="BF640">
            <v>0</v>
          </cell>
          <cell r="BG640">
            <v>0</v>
          </cell>
          <cell r="BH640">
            <v>0</v>
          </cell>
          <cell r="BI640">
            <v>0</v>
          </cell>
          <cell r="BJ640">
            <v>0</v>
          </cell>
          <cell r="BK640">
            <v>0</v>
          </cell>
          <cell r="BL640">
            <v>0</v>
          </cell>
          <cell r="BM640">
            <v>0</v>
          </cell>
          <cell r="BN640">
            <v>12</v>
          </cell>
          <cell r="BO640">
            <v>0</v>
          </cell>
          <cell r="BP640">
            <v>0</v>
          </cell>
          <cell r="BQ640">
            <v>0</v>
          </cell>
          <cell r="BR640">
            <v>0</v>
          </cell>
          <cell r="BS640">
            <v>0</v>
          </cell>
          <cell r="BT640">
            <v>0</v>
          </cell>
          <cell r="BU640">
            <v>0</v>
          </cell>
          <cell r="BV640">
            <v>0</v>
          </cell>
          <cell r="BW640">
            <v>0</v>
          </cell>
          <cell r="BX640">
            <v>0</v>
          </cell>
          <cell r="BY640">
            <v>0</v>
          </cell>
          <cell r="BZ640">
            <v>0</v>
          </cell>
          <cell r="CA640">
            <v>0</v>
          </cell>
          <cell r="CB640">
            <v>0</v>
          </cell>
          <cell r="CC640">
            <v>0</v>
          </cell>
          <cell r="CD640">
            <v>0</v>
          </cell>
        </row>
        <row r="641">
          <cell r="C641">
            <v>37953</v>
          </cell>
          <cell r="I641">
            <v>0</v>
          </cell>
          <cell r="N641">
            <v>0</v>
          </cell>
          <cell r="P641">
            <v>0</v>
          </cell>
          <cell r="T641">
            <v>0</v>
          </cell>
          <cell r="V641">
            <v>0</v>
          </cell>
          <cell r="W641">
            <v>0</v>
          </cell>
          <cell r="X641">
            <v>0</v>
          </cell>
          <cell r="Y641">
            <v>0</v>
          </cell>
          <cell r="AB641">
            <v>0</v>
          </cell>
          <cell r="AC641">
            <v>11</v>
          </cell>
          <cell r="AD641">
            <v>0</v>
          </cell>
          <cell r="BF641">
            <v>0</v>
          </cell>
          <cell r="BG641">
            <v>0</v>
          </cell>
          <cell r="BH641">
            <v>0</v>
          </cell>
          <cell r="BI641">
            <v>0</v>
          </cell>
          <cell r="BJ641">
            <v>0</v>
          </cell>
          <cell r="BK641">
            <v>0</v>
          </cell>
          <cell r="BL641">
            <v>0</v>
          </cell>
          <cell r="BM641">
            <v>0</v>
          </cell>
          <cell r="BN641">
            <v>0</v>
          </cell>
          <cell r="BO641">
            <v>0</v>
          </cell>
          <cell r="BP641">
            <v>0</v>
          </cell>
          <cell r="BQ641">
            <v>0</v>
          </cell>
          <cell r="BR641">
            <v>0</v>
          </cell>
          <cell r="BS641">
            <v>0</v>
          </cell>
          <cell r="BT641">
            <v>0</v>
          </cell>
          <cell r="BU641">
            <v>0</v>
          </cell>
          <cell r="BV641">
            <v>0</v>
          </cell>
          <cell r="BW641">
            <v>0</v>
          </cell>
          <cell r="BX641">
            <v>0</v>
          </cell>
          <cell r="BY641">
            <v>0</v>
          </cell>
          <cell r="BZ641">
            <v>0</v>
          </cell>
          <cell r="CA641">
            <v>0</v>
          </cell>
          <cell r="CB641">
            <v>0</v>
          </cell>
          <cell r="CC641">
            <v>0</v>
          </cell>
          <cell r="CD641">
            <v>0</v>
          </cell>
        </row>
        <row r="642">
          <cell r="C642">
            <v>37953</v>
          </cell>
          <cell r="D642">
            <v>37971</v>
          </cell>
          <cell r="E642">
            <v>37957</v>
          </cell>
          <cell r="F642">
            <v>0.85416666666666663</v>
          </cell>
          <cell r="G642" t="str">
            <v>Linha de Pintura 8,5m</v>
          </cell>
          <cell r="H642" t="str">
            <v>Linha Travada</v>
          </cell>
          <cell r="I642">
            <v>0</v>
          </cell>
          <cell r="J642" t="str">
            <v>Sim</v>
          </cell>
          <cell r="K642" t="str">
            <v>Mecânica</v>
          </cell>
          <cell r="L642" t="str">
            <v>Destravamento dos Componentes</v>
          </cell>
          <cell r="M642" t="str">
            <v>Falha de Comando / Sistema</v>
          </cell>
          <cell r="N642">
            <v>37957</v>
          </cell>
          <cell r="O642">
            <v>0.85416666666666663</v>
          </cell>
          <cell r="P642">
            <v>0</v>
          </cell>
          <cell r="T642">
            <v>37957</v>
          </cell>
          <cell r="U642">
            <v>0.875</v>
          </cell>
          <cell r="V642">
            <v>0</v>
          </cell>
          <cell r="W642">
            <v>2.083333333333337E-2</v>
          </cell>
          <cell r="X642">
            <v>0</v>
          </cell>
          <cell r="Y642">
            <v>0</v>
          </cell>
          <cell r="AB642">
            <v>12</v>
          </cell>
          <cell r="AC642">
            <v>11</v>
          </cell>
          <cell r="AD642">
            <v>0</v>
          </cell>
          <cell r="BF642">
            <v>0</v>
          </cell>
          <cell r="BG642">
            <v>0</v>
          </cell>
          <cell r="BH642">
            <v>0</v>
          </cell>
          <cell r="BI642">
            <v>0</v>
          </cell>
          <cell r="BJ642">
            <v>0</v>
          </cell>
          <cell r="BK642">
            <v>0</v>
          </cell>
          <cell r="BL642">
            <v>0</v>
          </cell>
          <cell r="BM642">
            <v>0</v>
          </cell>
          <cell r="BN642">
            <v>0</v>
          </cell>
          <cell r="BO642">
            <v>0</v>
          </cell>
          <cell r="BP642">
            <v>12</v>
          </cell>
          <cell r="BQ642">
            <v>0</v>
          </cell>
          <cell r="BR642">
            <v>0</v>
          </cell>
          <cell r="BS642">
            <v>0</v>
          </cell>
          <cell r="BT642">
            <v>0</v>
          </cell>
          <cell r="BU642">
            <v>0</v>
          </cell>
          <cell r="BV642">
            <v>0</v>
          </cell>
          <cell r="BW642">
            <v>0</v>
          </cell>
          <cell r="BX642">
            <v>0</v>
          </cell>
          <cell r="BY642">
            <v>0</v>
          </cell>
          <cell r="BZ642">
            <v>0</v>
          </cell>
          <cell r="CA642">
            <v>0</v>
          </cell>
          <cell r="CB642">
            <v>0</v>
          </cell>
          <cell r="CC642">
            <v>0</v>
          </cell>
          <cell r="CD642">
            <v>0</v>
          </cell>
        </row>
        <row r="643">
          <cell r="C643">
            <v>37953</v>
          </cell>
          <cell r="D643">
            <v>37971</v>
          </cell>
          <cell r="E643">
            <v>37959</v>
          </cell>
          <cell r="F643">
            <v>0.375</v>
          </cell>
          <cell r="G643" t="str">
            <v>Linha de Pintura 15m</v>
          </cell>
          <cell r="H643" t="str">
            <v>Mangueira da Pistola Manual danificada</v>
          </cell>
          <cell r="I643">
            <v>0</v>
          </cell>
          <cell r="J643" t="str">
            <v>Não</v>
          </cell>
          <cell r="K643" t="str">
            <v>Mecânica</v>
          </cell>
          <cell r="L643" t="str">
            <v>Substituição do(s) Componente(s)</v>
          </cell>
          <cell r="M643" t="str">
            <v>Desgaste / Fadiga</v>
          </cell>
          <cell r="N643">
            <v>37959</v>
          </cell>
          <cell r="O643">
            <v>0.37847222222222227</v>
          </cell>
          <cell r="P643">
            <v>0</v>
          </cell>
          <cell r="T643">
            <v>37959</v>
          </cell>
          <cell r="U643">
            <v>0.3923611111111111</v>
          </cell>
          <cell r="V643">
            <v>0</v>
          </cell>
          <cell r="W643">
            <v>1.3888888887271966E-2</v>
          </cell>
          <cell r="X643">
            <v>0</v>
          </cell>
          <cell r="Y643">
            <v>0</v>
          </cell>
          <cell r="AB643">
            <v>12</v>
          </cell>
          <cell r="AC643">
            <v>11</v>
          </cell>
          <cell r="AD643">
            <v>0</v>
          </cell>
          <cell r="BF643">
            <v>0</v>
          </cell>
          <cell r="BG643">
            <v>0</v>
          </cell>
          <cell r="BH643">
            <v>0</v>
          </cell>
          <cell r="BI643">
            <v>0</v>
          </cell>
          <cell r="BJ643">
            <v>0</v>
          </cell>
          <cell r="BK643">
            <v>0</v>
          </cell>
          <cell r="BL643">
            <v>0</v>
          </cell>
          <cell r="BM643">
            <v>0</v>
          </cell>
          <cell r="BN643">
            <v>12</v>
          </cell>
          <cell r="BO643">
            <v>0</v>
          </cell>
          <cell r="BP643">
            <v>0</v>
          </cell>
          <cell r="BQ643">
            <v>0</v>
          </cell>
          <cell r="BR643">
            <v>0</v>
          </cell>
          <cell r="BS643">
            <v>0</v>
          </cell>
          <cell r="BT643">
            <v>0</v>
          </cell>
          <cell r="BU643">
            <v>0</v>
          </cell>
          <cell r="BV643">
            <v>0</v>
          </cell>
          <cell r="BW643">
            <v>0</v>
          </cell>
          <cell r="BX643">
            <v>0</v>
          </cell>
          <cell r="BY643">
            <v>0</v>
          </cell>
          <cell r="BZ643">
            <v>0</v>
          </cell>
          <cell r="CA643">
            <v>0</v>
          </cell>
          <cell r="CB643">
            <v>0</v>
          </cell>
          <cell r="CC643">
            <v>0</v>
          </cell>
          <cell r="CD643">
            <v>0</v>
          </cell>
        </row>
        <row r="644">
          <cell r="C644">
            <v>37953</v>
          </cell>
          <cell r="D644">
            <v>37971</v>
          </cell>
          <cell r="E644">
            <v>37959</v>
          </cell>
          <cell r="F644">
            <v>0.67361111111111116</v>
          </cell>
          <cell r="G644" t="str">
            <v>Linha de Pintura 15m</v>
          </cell>
          <cell r="H644" t="str">
            <v>Elevador fora do nível</v>
          </cell>
          <cell r="I644">
            <v>0</v>
          </cell>
          <cell r="J644" t="str">
            <v>Sim</v>
          </cell>
          <cell r="K644" t="str">
            <v>Elétrica</v>
          </cell>
          <cell r="L644" t="str">
            <v>Ajuste / Regulagem</v>
          </cell>
          <cell r="M644" t="str">
            <v>Falha de Comando / Sistema</v>
          </cell>
          <cell r="N644">
            <v>37959</v>
          </cell>
          <cell r="O644">
            <v>0.68055555555555547</v>
          </cell>
          <cell r="P644">
            <v>0</v>
          </cell>
          <cell r="T644">
            <v>37959</v>
          </cell>
          <cell r="U644">
            <v>0.70138888888888884</v>
          </cell>
          <cell r="V644">
            <v>0</v>
          </cell>
          <cell r="W644">
            <v>2.7777777779394608E-2</v>
          </cell>
          <cell r="X644">
            <v>0</v>
          </cell>
          <cell r="Y644">
            <v>0</v>
          </cell>
          <cell r="AB644">
            <v>12</v>
          </cell>
          <cell r="AC644">
            <v>11</v>
          </cell>
          <cell r="AD644">
            <v>0</v>
          </cell>
          <cell r="BF644">
            <v>0</v>
          </cell>
          <cell r="BG644">
            <v>0</v>
          </cell>
          <cell r="BH644">
            <v>0</v>
          </cell>
          <cell r="BI644">
            <v>0</v>
          </cell>
          <cell r="BJ644">
            <v>0</v>
          </cell>
          <cell r="BK644">
            <v>0</v>
          </cell>
          <cell r="BL644">
            <v>0</v>
          </cell>
          <cell r="BM644">
            <v>0</v>
          </cell>
          <cell r="BN644">
            <v>12</v>
          </cell>
          <cell r="BO644">
            <v>0</v>
          </cell>
          <cell r="BP644">
            <v>0</v>
          </cell>
          <cell r="BQ644">
            <v>0</v>
          </cell>
          <cell r="BR644">
            <v>0</v>
          </cell>
          <cell r="BS644">
            <v>0</v>
          </cell>
          <cell r="BT644">
            <v>0</v>
          </cell>
          <cell r="BU644">
            <v>0</v>
          </cell>
          <cell r="BV644">
            <v>0</v>
          </cell>
          <cell r="BW644">
            <v>0</v>
          </cell>
          <cell r="BX644">
            <v>0</v>
          </cell>
          <cell r="BY644">
            <v>0</v>
          </cell>
          <cell r="BZ644">
            <v>0</v>
          </cell>
          <cell r="CA644">
            <v>0</v>
          </cell>
          <cell r="CB644">
            <v>0</v>
          </cell>
          <cell r="CC644">
            <v>0</v>
          </cell>
          <cell r="CD644">
            <v>0</v>
          </cell>
        </row>
        <row r="645">
          <cell r="C645">
            <v>37953</v>
          </cell>
          <cell r="D645">
            <v>37971</v>
          </cell>
          <cell r="E645">
            <v>37959</v>
          </cell>
          <cell r="F645">
            <v>0.68402777777777779</v>
          </cell>
          <cell r="G645" t="str">
            <v>Linha de Pintura 15m</v>
          </cell>
          <cell r="H645" t="str">
            <v>Bastidor Travado</v>
          </cell>
          <cell r="I645">
            <v>0</v>
          </cell>
          <cell r="J645" t="str">
            <v>Sim</v>
          </cell>
          <cell r="K645" t="str">
            <v>Mecânica</v>
          </cell>
          <cell r="L645" t="str">
            <v>Destravamento dos Componentes</v>
          </cell>
          <cell r="M645" t="str">
            <v>Travamento de Componente</v>
          </cell>
          <cell r="N645">
            <v>37959</v>
          </cell>
          <cell r="O645">
            <v>0.6875</v>
          </cell>
          <cell r="P645">
            <v>0</v>
          </cell>
          <cell r="T645">
            <v>37959</v>
          </cell>
          <cell r="U645">
            <v>0.69444444444444453</v>
          </cell>
          <cell r="V645">
            <v>0</v>
          </cell>
          <cell r="W645">
            <v>1.0416666667475094E-2</v>
          </cell>
          <cell r="X645">
            <v>0</v>
          </cell>
          <cell r="Y645">
            <v>0</v>
          </cell>
          <cell r="AB645">
            <v>12</v>
          </cell>
          <cell r="AC645">
            <v>11</v>
          </cell>
          <cell r="AD645">
            <v>0</v>
          </cell>
          <cell r="BF645">
            <v>0</v>
          </cell>
          <cell r="BG645">
            <v>0</v>
          </cell>
          <cell r="BH645">
            <v>0</v>
          </cell>
          <cell r="BI645">
            <v>0</v>
          </cell>
          <cell r="BJ645">
            <v>0</v>
          </cell>
          <cell r="BK645">
            <v>0</v>
          </cell>
          <cell r="BL645">
            <v>0</v>
          </cell>
          <cell r="BM645">
            <v>0</v>
          </cell>
          <cell r="BN645">
            <v>12</v>
          </cell>
          <cell r="BO645">
            <v>0</v>
          </cell>
          <cell r="BP645">
            <v>0</v>
          </cell>
          <cell r="BQ645">
            <v>0</v>
          </cell>
          <cell r="BR645">
            <v>0</v>
          </cell>
          <cell r="BS645">
            <v>0</v>
          </cell>
          <cell r="BT645">
            <v>0</v>
          </cell>
          <cell r="BU645">
            <v>0</v>
          </cell>
          <cell r="BV645">
            <v>0</v>
          </cell>
          <cell r="BW645">
            <v>0</v>
          </cell>
          <cell r="BX645">
            <v>0</v>
          </cell>
          <cell r="BY645">
            <v>0</v>
          </cell>
          <cell r="BZ645">
            <v>0</v>
          </cell>
          <cell r="CA645">
            <v>0</v>
          </cell>
          <cell r="CB645">
            <v>0</v>
          </cell>
          <cell r="CC645">
            <v>0</v>
          </cell>
          <cell r="CD645">
            <v>0</v>
          </cell>
        </row>
        <row r="646">
          <cell r="C646">
            <v>37953</v>
          </cell>
          <cell r="D646">
            <v>37971</v>
          </cell>
          <cell r="E646">
            <v>37960</v>
          </cell>
          <cell r="F646">
            <v>0.86111111111111116</v>
          </cell>
          <cell r="G646" t="str">
            <v>Linha de Pintura 8,5m</v>
          </cell>
          <cell r="H646" t="str">
            <v>Vazamento de ar comprimido em excesso</v>
          </cell>
          <cell r="I646">
            <v>0</v>
          </cell>
          <cell r="J646" t="str">
            <v>Não</v>
          </cell>
          <cell r="K646" t="str">
            <v>Mecânica</v>
          </cell>
          <cell r="L646" t="str">
            <v>Contenção do vazamento</v>
          </cell>
          <cell r="M646" t="str">
            <v>Defeito de Fabricação</v>
          </cell>
          <cell r="N646">
            <v>37960</v>
          </cell>
          <cell r="O646">
            <v>0.875</v>
          </cell>
          <cell r="P646">
            <v>0</v>
          </cell>
          <cell r="T646">
            <v>37960</v>
          </cell>
          <cell r="U646">
            <v>0.93055555555555547</v>
          </cell>
          <cell r="V646">
            <v>0</v>
          </cell>
          <cell r="W646">
            <v>5.5555555554747116E-2</v>
          </cell>
          <cell r="X646">
            <v>0</v>
          </cell>
          <cell r="Y646">
            <v>0</v>
          </cell>
          <cell r="AB646">
            <v>12</v>
          </cell>
          <cell r="AC646">
            <v>11</v>
          </cell>
          <cell r="AD646">
            <v>0</v>
          </cell>
          <cell r="BF646">
            <v>0</v>
          </cell>
          <cell r="BG646">
            <v>0</v>
          </cell>
          <cell r="BH646">
            <v>0</v>
          </cell>
          <cell r="BI646">
            <v>0</v>
          </cell>
          <cell r="BJ646">
            <v>0</v>
          </cell>
          <cell r="BK646">
            <v>0</v>
          </cell>
          <cell r="BL646">
            <v>0</v>
          </cell>
          <cell r="BM646">
            <v>0</v>
          </cell>
          <cell r="BN646">
            <v>0</v>
          </cell>
          <cell r="BO646">
            <v>0</v>
          </cell>
          <cell r="BP646">
            <v>12</v>
          </cell>
          <cell r="BQ646">
            <v>0</v>
          </cell>
          <cell r="BR646">
            <v>0</v>
          </cell>
          <cell r="BS646">
            <v>0</v>
          </cell>
          <cell r="BT646">
            <v>0</v>
          </cell>
          <cell r="BU646">
            <v>0</v>
          </cell>
          <cell r="BV646">
            <v>0</v>
          </cell>
          <cell r="BW646">
            <v>0</v>
          </cell>
          <cell r="BX646">
            <v>0</v>
          </cell>
          <cell r="BY646">
            <v>0</v>
          </cell>
          <cell r="BZ646">
            <v>0</v>
          </cell>
          <cell r="CA646">
            <v>0</v>
          </cell>
          <cell r="CB646">
            <v>0</v>
          </cell>
          <cell r="CC646">
            <v>0</v>
          </cell>
          <cell r="CD646">
            <v>0</v>
          </cell>
        </row>
        <row r="647">
          <cell r="C647">
            <v>37953</v>
          </cell>
          <cell r="D647">
            <v>37971</v>
          </cell>
          <cell r="E647">
            <v>37963</v>
          </cell>
          <cell r="F647">
            <v>0.65277777777777779</v>
          </cell>
          <cell r="G647" t="str">
            <v>Linha de Pintura 8,5m</v>
          </cell>
          <cell r="H647" t="str">
            <v>Exaustor não funciona</v>
          </cell>
          <cell r="I647">
            <v>0</v>
          </cell>
          <cell r="J647" t="str">
            <v>Sim</v>
          </cell>
          <cell r="K647" t="str">
            <v>Elétrica</v>
          </cell>
          <cell r="L647" t="str">
            <v>Substituição do(s) Componente(s)</v>
          </cell>
          <cell r="M647" t="str">
            <v>Sobrecarga</v>
          </cell>
          <cell r="N647">
            <v>37963</v>
          </cell>
          <cell r="O647">
            <v>0.65277777777777779</v>
          </cell>
          <cell r="P647">
            <v>0</v>
          </cell>
          <cell r="T647">
            <v>37963</v>
          </cell>
          <cell r="U647">
            <v>0.67361111111111116</v>
          </cell>
          <cell r="V647">
            <v>0</v>
          </cell>
          <cell r="W647">
            <v>2.0833333331716442E-2</v>
          </cell>
          <cell r="X647">
            <v>0</v>
          </cell>
          <cell r="Y647">
            <v>0</v>
          </cell>
          <cell r="AB647">
            <v>12</v>
          </cell>
          <cell r="AC647">
            <v>11</v>
          </cell>
          <cell r="AD647">
            <v>0</v>
          </cell>
          <cell r="BF647">
            <v>0</v>
          </cell>
          <cell r="BG647">
            <v>0</v>
          </cell>
          <cell r="BH647">
            <v>0</v>
          </cell>
          <cell r="BI647">
            <v>0</v>
          </cell>
          <cell r="BJ647">
            <v>0</v>
          </cell>
          <cell r="BK647">
            <v>0</v>
          </cell>
          <cell r="BL647">
            <v>0</v>
          </cell>
          <cell r="BM647">
            <v>0</v>
          </cell>
          <cell r="BN647">
            <v>0</v>
          </cell>
          <cell r="BO647">
            <v>0</v>
          </cell>
          <cell r="BP647">
            <v>12</v>
          </cell>
          <cell r="BQ647">
            <v>0</v>
          </cell>
          <cell r="BR647">
            <v>0</v>
          </cell>
          <cell r="BS647">
            <v>0</v>
          </cell>
          <cell r="BT647">
            <v>0</v>
          </cell>
          <cell r="BU647">
            <v>0</v>
          </cell>
          <cell r="BV647">
            <v>0</v>
          </cell>
          <cell r="BW647">
            <v>0</v>
          </cell>
          <cell r="BX647">
            <v>0</v>
          </cell>
          <cell r="BY647">
            <v>0</v>
          </cell>
          <cell r="BZ647">
            <v>0</v>
          </cell>
          <cell r="CA647">
            <v>0</v>
          </cell>
          <cell r="CB647">
            <v>0</v>
          </cell>
          <cell r="CC647">
            <v>0</v>
          </cell>
          <cell r="CD647">
            <v>0</v>
          </cell>
        </row>
        <row r="648">
          <cell r="C648">
            <v>37953</v>
          </cell>
          <cell r="I648">
            <v>0</v>
          </cell>
          <cell r="N648">
            <v>0</v>
          </cell>
          <cell r="P648">
            <v>0</v>
          </cell>
          <cell r="T648">
            <v>0</v>
          </cell>
          <cell r="V648">
            <v>0</v>
          </cell>
          <cell r="W648">
            <v>0</v>
          </cell>
          <cell r="X648">
            <v>0</v>
          </cell>
          <cell r="Y648">
            <v>0</v>
          </cell>
          <cell r="AB648">
            <v>0</v>
          </cell>
          <cell r="AC648">
            <v>11</v>
          </cell>
          <cell r="AD648">
            <v>0</v>
          </cell>
          <cell r="BF648">
            <v>0</v>
          </cell>
          <cell r="BG648">
            <v>0</v>
          </cell>
          <cell r="BH648">
            <v>0</v>
          </cell>
          <cell r="BI648">
            <v>0</v>
          </cell>
          <cell r="BJ648">
            <v>0</v>
          </cell>
          <cell r="BK648">
            <v>0</v>
          </cell>
          <cell r="BL648">
            <v>0</v>
          </cell>
          <cell r="BM648">
            <v>0</v>
          </cell>
          <cell r="BN648">
            <v>0</v>
          </cell>
          <cell r="BO648">
            <v>0</v>
          </cell>
          <cell r="BP648">
            <v>0</v>
          </cell>
          <cell r="BQ648">
            <v>0</v>
          </cell>
          <cell r="BR648">
            <v>0</v>
          </cell>
          <cell r="BS648">
            <v>0</v>
          </cell>
          <cell r="BT648">
            <v>0</v>
          </cell>
          <cell r="BU648">
            <v>0</v>
          </cell>
          <cell r="BV648">
            <v>0</v>
          </cell>
          <cell r="BW648">
            <v>0</v>
          </cell>
          <cell r="BX648">
            <v>0</v>
          </cell>
          <cell r="BY648">
            <v>0</v>
          </cell>
          <cell r="BZ648">
            <v>0</v>
          </cell>
          <cell r="CA648">
            <v>0</v>
          </cell>
          <cell r="CB648">
            <v>0</v>
          </cell>
          <cell r="CC648">
            <v>0</v>
          </cell>
          <cell r="CD648">
            <v>0</v>
          </cell>
        </row>
        <row r="649">
          <cell r="C649">
            <v>37953</v>
          </cell>
          <cell r="I649">
            <v>0</v>
          </cell>
          <cell r="N649">
            <v>0</v>
          </cell>
          <cell r="P649">
            <v>0</v>
          </cell>
          <cell r="T649">
            <v>0</v>
          </cell>
          <cell r="V649">
            <v>0</v>
          </cell>
          <cell r="W649">
            <v>0</v>
          </cell>
          <cell r="X649">
            <v>0</v>
          </cell>
          <cell r="Y649">
            <v>0</v>
          </cell>
          <cell r="AB649">
            <v>0</v>
          </cell>
          <cell r="AC649">
            <v>11</v>
          </cell>
          <cell r="AD649">
            <v>0</v>
          </cell>
          <cell r="BF649">
            <v>0</v>
          </cell>
          <cell r="BG649">
            <v>0</v>
          </cell>
          <cell r="BH649">
            <v>0</v>
          </cell>
          <cell r="BI649">
            <v>0</v>
          </cell>
          <cell r="BJ649">
            <v>0</v>
          </cell>
          <cell r="BK649">
            <v>0</v>
          </cell>
          <cell r="BL649">
            <v>0</v>
          </cell>
          <cell r="BM649">
            <v>0</v>
          </cell>
          <cell r="BN649">
            <v>0</v>
          </cell>
          <cell r="BO649">
            <v>0</v>
          </cell>
          <cell r="BP649">
            <v>0</v>
          </cell>
          <cell r="BQ649">
            <v>0</v>
          </cell>
          <cell r="BR649">
            <v>0</v>
          </cell>
          <cell r="BS649">
            <v>0</v>
          </cell>
          <cell r="BT649">
            <v>0</v>
          </cell>
          <cell r="BU649">
            <v>0</v>
          </cell>
          <cell r="BV649">
            <v>0</v>
          </cell>
          <cell r="BW649">
            <v>0</v>
          </cell>
          <cell r="BX649">
            <v>0</v>
          </cell>
          <cell r="BY649">
            <v>0</v>
          </cell>
          <cell r="BZ649">
            <v>0</v>
          </cell>
          <cell r="CA649">
            <v>0</v>
          </cell>
          <cell r="CB649">
            <v>0</v>
          </cell>
          <cell r="CC649">
            <v>0</v>
          </cell>
          <cell r="CD649">
            <v>0</v>
          </cell>
        </row>
        <row r="650">
          <cell r="C650">
            <v>37953</v>
          </cell>
          <cell r="I650">
            <v>0</v>
          </cell>
          <cell r="N650">
            <v>0</v>
          </cell>
          <cell r="P650">
            <v>0</v>
          </cell>
          <cell r="T650">
            <v>0</v>
          </cell>
          <cell r="V650">
            <v>0</v>
          </cell>
          <cell r="W650">
            <v>0</v>
          </cell>
          <cell r="X650">
            <v>0</v>
          </cell>
          <cell r="Y650">
            <v>0</v>
          </cell>
          <cell r="AB650">
            <v>0</v>
          </cell>
          <cell r="AC650">
            <v>11</v>
          </cell>
          <cell r="AD650">
            <v>0</v>
          </cell>
          <cell r="BF650">
            <v>0</v>
          </cell>
          <cell r="BG650">
            <v>0</v>
          </cell>
          <cell r="BH650">
            <v>0</v>
          </cell>
          <cell r="BI650">
            <v>0</v>
          </cell>
          <cell r="BJ650">
            <v>0</v>
          </cell>
          <cell r="BK650">
            <v>0</v>
          </cell>
          <cell r="BL650">
            <v>0</v>
          </cell>
          <cell r="BM650">
            <v>0</v>
          </cell>
          <cell r="BN650">
            <v>0</v>
          </cell>
          <cell r="BO650">
            <v>0</v>
          </cell>
          <cell r="BP650">
            <v>0</v>
          </cell>
          <cell r="BQ650">
            <v>0</v>
          </cell>
          <cell r="BR650">
            <v>0</v>
          </cell>
          <cell r="BS650">
            <v>0</v>
          </cell>
          <cell r="BT650">
            <v>0</v>
          </cell>
          <cell r="BU650">
            <v>0</v>
          </cell>
          <cell r="BV650">
            <v>0</v>
          </cell>
          <cell r="BW650">
            <v>0</v>
          </cell>
          <cell r="BX650">
            <v>0</v>
          </cell>
          <cell r="BY650">
            <v>0</v>
          </cell>
          <cell r="BZ650">
            <v>0</v>
          </cell>
          <cell r="CA650">
            <v>0</v>
          </cell>
          <cell r="CB650">
            <v>0</v>
          </cell>
          <cell r="CC650">
            <v>0</v>
          </cell>
          <cell r="CD650">
            <v>0</v>
          </cell>
        </row>
        <row r="651">
          <cell r="C651">
            <v>37953</v>
          </cell>
          <cell r="I651">
            <v>0</v>
          </cell>
          <cell r="N651">
            <v>0</v>
          </cell>
          <cell r="P651">
            <v>0</v>
          </cell>
          <cell r="T651">
            <v>0</v>
          </cell>
          <cell r="V651">
            <v>0</v>
          </cell>
          <cell r="W651">
            <v>0</v>
          </cell>
          <cell r="X651">
            <v>0</v>
          </cell>
          <cell r="Y651">
            <v>0</v>
          </cell>
          <cell r="AB651">
            <v>0</v>
          </cell>
          <cell r="AC651">
            <v>11</v>
          </cell>
          <cell r="AD651">
            <v>0</v>
          </cell>
          <cell r="BF651">
            <v>0</v>
          </cell>
          <cell r="BG651">
            <v>0</v>
          </cell>
          <cell r="BH651">
            <v>0</v>
          </cell>
          <cell r="BI651">
            <v>0</v>
          </cell>
          <cell r="BJ651">
            <v>0</v>
          </cell>
          <cell r="BK651">
            <v>0</v>
          </cell>
          <cell r="BL651">
            <v>0</v>
          </cell>
          <cell r="BM651">
            <v>0</v>
          </cell>
          <cell r="BN651">
            <v>0</v>
          </cell>
          <cell r="BO651">
            <v>0</v>
          </cell>
          <cell r="BP651">
            <v>0</v>
          </cell>
          <cell r="BQ651">
            <v>0</v>
          </cell>
          <cell r="BR651">
            <v>0</v>
          </cell>
          <cell r="BS651">
            <v>0</v>
          </cell>
          <cell r="BT651">
            <v>0</v>
          </cell>
          <cell r="BU651">
            <v>0</v>
          </cell>
          <cell r="BV651">
            <v>0</v>
          </cell>
          <cell r="BW651">
            <v>0</v>
          </cell>
          <cell r="BX651">
            <v>0</v>
          </cell>
          <cell r="BY651">
            <v>0</v>
          </cell>
          <cell r="BZ651">
            <v>0</v>
          </cell>
          <cell r="CA651">
            <v>0</v>
          </cell>
          <cell r="CB651">
            <v>0</v>
          </cell>
          <cell r="CC651">
            <v>0</v>
          </cell>
          <cell r="CD651">
            <v>0</v>
          </cell>
        </row>
        <row r="652">
          <cell r="C652">
            <v>37953</v>
          </cell>
          <cell r="I652">
            <v>0</v>
          </cell>
          <cell r="N652">
            <v>0</v>
          </cell>
          <cell r="P652">
            <v>0</v>
          </cell>
          <cell r="T652">
            <v>0</v>
          </cell>
          <cell r="V652">
            <v>0</v>
          </cell>
          <cell r="W652">
            <v>0</v>
          </cell>
          <cell r="X652">
            <v>0</v>
          </cell>
          <cell r="Y652">
            <v>0</v>
          </cell>
          <cell r="AB652">
            <v>0</v>
          </cell>
          <cell r="AC652">
            <v>11</v>
          </cell>
          <cell r="AD652">
            <v>0</v>
          </cell>
          <cell r="BF652">
            <v>0</v>
          </cell>
          <cell r="BG652">
            <v>0</v>
          </cell>
          <cell r="BH652">
            <v>0</v>
          </cell>
          <cell r="BI652">
            <v>0</v>
          </cell>
          <cell r="BJ652">
            <v>0</v>
          </cell>
          <cell r="BK652">
            <v>0</v>
          </cell>
          <cell r="BL652">
            <v>0</v>
          </cell>
          <cell r="BM652">
            <v>0</v>
          </cell>
          <cell r="BN652">
            <v>0</v>
          </cell>
          <cell r="BO652">
            <v>0</v>
          </cell>
          <cell r="BP652">
            <v>0</v>
          </cell>
          <cell r="BQ652">
            <v>0</v>
          </cell>
          <cell r="BR652">
            <v>0</v>
          </cell>
          <cell r="BS652">
            <v>0</v>
          </cell>
          <cell r="BT652">
            <v>0</v>
          </cell>
          <cell r="BU652">
            <v>0</v>
          </cell>
          <cell r="BV652">
            <v>0</v>
          </cell>
          <cell r="BW652">
            <v>0</v>
          </cell>
          <cell r="BX652">
            <v>0</v>
          </cell>
          <cell r="BY652">
            <v>0</v>
          </cell>
          <cell r="BZ652">
            <v>0</v>
          </cell>
          <cell r="CA652">
            <v>0</v>
          </cell>
          <cell r="CB652">
            <v>0</v>
          </cell>
          <cell r="CC652">
            <v>0</v>
          </cell>
          <cell r="CD652">
            <v>0</v>
          </cell>
        </row>
        <row r="653">
          <cell r="C653">
            <v>37953</v>
          </cell>
          <cell r="I653">
            <v>0</v>
          </cell>
          <cell r="N653">
            <v>0</v>
          </cell>
          <cell r="P653">
            <v>0</v>
          </cell>
          <cell r="T653">
            <v>0</v>
          </cell>
          <cell r="V653">
            <v>0</v>
          </cell>
          <cell r="W653">
            <v>0</v>
          </cell>
          <cell r="X653">
            <v>0</v>
          </cell>
          <cell r="Y653">
            <v>0</v>
          </cell>
          <cell r="AB653">
            <v>0</v>
          </cell>
          <cell r="AC653">
            <v>11</v>
          </cell>
          <cell r="AD653">
            <v>0</v>
          </cell>
          <cell r="BF653">
            <v>0</v>
          </cell>
          <cell r="BG653">
            <v>0</v>
          </cell>
          <cell r="BH653">
            <v>0</v>
          </cell>
          <cell r="BI653">
            <v>0</v>
          </cell>
          <cell r="BJ653">
            <v>0</v>
          </cell>
          <cell r="BK653">
            <v>0</v>
          </cell>
          <cell r="BL653">
            <v>0</v>
          </cell>
          <cell r="BM653">
            <v>0</v>
          </cell>
          <cell r="BN653">
            <v>0</v>
          </cell>
          <cell r="BO653">
            <v>0</v>
          </cell>
          <cell r="BP653">
            <v>0</v>
          </cell>
          <cell r="BQ653">
            <v>0</v>
          </cell>
          <cell r="BR653">
            <v>0</v>
          </cell>
          <cell r="BS653">
            <v>0</v>
          </cell>
          <cell r="BT653">
            <v>0</v>
          </cell>
          <cell r="BU653">
            <v>0</v>
          </cell>
          <cell r="BV653">
            <v>0</v>
          </cell>
          <cell r="BW653">
            <v>0</v>
          </cell>
          <cell r="BX653">
            <v>0</v>
          </cell>
          <cell r="BY653">
            <v>0</v>
          </cell>
          <cell r="BZ653">
            <v>0</v>
          </cell>
          <cell r="CA653">
            <v>0</v>
          </cell>
          <cell r="CB653">
            <v>0</v>
          </cell>
          <cell r="CC653">
            <v>0</v>
          </cell>
          <cell r="CD653">
            <v>0</v>
          </cell>
        </row>
        <row r="654">
          <cell r="C654">
            <v>37953</v>
          </cell>
          <cell r="I654">
            <v>0</v>
          </cell>
          <cell r="N654">
            <v>0</v>
          </cell>
          <cell r="P654">
            <v>0</v>
          </cell>
          <cell r="T654">
            <v>0</v>
          </cell>
          <cell r="V654">
            <v>0</v>
          </cell>
          <cell r="W654">
            <v>0</v>
          </cell>
          <cell r="X654">
            <v>0</v>
          </cell>
          <cell r="Y654">
            <v>0</v>
          </cell>
          <cell r="AB654">
            <v>0</v>
          </cell>
          <cell r="AC654">
            <v>11</v>
          </cell>
          <cell r="AD654">
            <v>0</v>
          </cell>
          <cell r="BF654">
            <v>0</v>
          </cell>
          <cell r="BG654">
            <v>0</v>
          </cell>
          <cell r="BH654">
            <v>0</v>
          </cell>
          <cell r="BI654">
            <v>0</v>
          </cell>
          <cell r="BJ654">
            <v>0</v>
          </cell>
          <cell r="BK654">
            <v>0</v>
          </cell>
          <cell r="BL654">
            <v>0</v>
          </cell>
          <cell r="BM654">
            <v>0</v>
          </cell>
          <cell r="BN654">
            <v>0</v>
          </cell>
          <cell r="BO654">
            <v>0</v>
          </cell>
          <cell r="BP654">
            <v>0</v>
          </cell>
          <cell r="BQ654">
            <v>0</v>
          </cell>
          <cell r="BR654">
            <v>0</v>
          </cell>
          <cell r="BS654">
            <v>0</v>
          </cell>
          <cell r="BT654">
            <v>0</v>
          </cell>
          <cell r="BU654">
            <v>0</v>
          </cell>
          <cell r="BV654">
            <v>0</v>
          </cell>
          <cell r="BW654">
            <v>0</v>
          </cell>
          <cell r="BX654">
            <v>0</v>
          </cell>
          <cell r="BY654">
            <v>0</v>
          </cell>
          <cell r="BZ654">
            <v>0</v>
          </cell>
          <cell r="CA654">
            <v>0</v>
          </cell>
          <cell r="CB654">
            <v>0</v>
          </cell>
          <cell r="CC654">
            <v>0</v>
          </cell>
          <cell r="CD654">
            <v>0</v>
          </cell>
        </row>
        <row r="655">
          <cell r="C655">
            <v>37953</v>
          </cell>
          <cell r="I655">
            <v>0</v>
          </cell>
          <cell r="N655">
            <v>0</v>
          </cell>
          <cell r="P655">
            <v>0</v>
          </cell>
          <cell r="T655">
            <v>0</v>
          </cell>
          <cell r="V655">
            <v>0</v>
          </cell>
          <cell r="W655">
            <v>0</v>
          </cell>
          <cell r="X655">
            <v>0</v>
          </cell>
          <cell r="Y655">
            <v>0</v>
          </cell>
          <cell r="AB655">
            <v>0</v>
          </cell>
          <cell r="AC655">
            <v>11</v>
          </cell>
          <cell r="AD655">
            <v>0</v>
          </cell>
          <cell r="BF655">
            <v>0</v>
          </cell>
          <cell r="BG655">
            <v>0</v>
          </cell>
          <cell r="BH655">
            <v>0</v>
          </cell>
          <cell r="BI655">
            <v>0</v>
          </cell>
          <cell r="BJ655">
            <v>0</v>
          </cell>
          <cell r="BK655">
            <v>0</v>
          </cell>
          <cell r="BL655">
            <v>0</v>
          </cell>
          <cell r="BM655">
            <v>0</v>
          </cell>
          <cell r="BN655">
            <v>0</v>
          </cell>
          <cell r="BO655">
            <v>0</v>
          </cell>
          <cell r="BP655">
            <v>0</v>
          </cell>
          <cell r="BQ655">
            <v>0</v>
          </cell>
          <cell r="BR655">
            <v>0</v>
          </cell>
          <cell r="BS655">
            <v>0</v>
          </cell>
          <cell r="BT655">
            <v>0</v>
          </cell>
          <cell r="BU655">
            <v>0</v>
          </cell>
          <cell r="BV655">
            <v>0</v>
          </cell>
          <cell r="BW655">
            <v>0</v>
          </cell>
          <cell r="BX655">
            <v>0</v>
          </cell>
          <cell r="BY655">
            <v>0</v>
          </cell>
          <cell r="BZ655">
            <v>0</v>
          </cell>
          <cell r="CA655">
            <v>0</v>
          </cell>
          <cell r="CB655">
            <v>0</v>
          </cell>
          <cell r="CC655">
            <v>0</v>
          </cell>
          <cell r="CD655">
            <v>0</v>
          </cell>
        </row>
        <row r="656">
          <cell r="C656">
            <v>37953</v>
          </cell>
          <cell r="I656">
            <v>0</v>
          </cell>
          <cell r="N656">
            <v>0</v>
          </cell>
          <cell r="P656">
            <v>0</v>
          </cell>
          <cell r="T656">
            <v>0</v>
          </cell>
          <cell r="V656">
            <v>0</v>
          </cell>
          <cell r="W656">
            <v>0</v>
          </cell>
          <cell r="X656">
            <v>0</v>
          </cell>
          <cell r="Y656">
            <v>0</v>
          </cell>
          <cell r="AB656">
            <v>0</v>
          </cell>
          <cell r="AC656">
            <v>11</v>
          </cell>
          <cell r="AD656">
            <v>0</v>
          </cell>
          <cell r="BF656">
            <v>0</v>
          </cell>
          <cell r="BG656">
            <v>0</v>
          </cell>
          <cell r="BH656">
            <v>0</v>
          </cell>
          <cell r="BI656">
            <v>0</v>
          </cell>
          <cell r="BJ656">
            <v>0</v>
          </cell>
          <cell r="BK656">
            <v>0</v>
          </cell>
          <cell r="BL656">
            <v>0</v>
          </cell>
          <cell r="BM656">
            <v>0</v>
          </cell>
          <cell r="BN656">
            <v>0</v>
          </cell>
          <cell r="BO656">
            <v>0</v>
          </cell>
          <cell r="BP656">
            <v>0</v>
          </cell>
          <cell r="BQ656">
            <v>0</v>
          </cell>
          <cell r="BR656">
            <v>0</v>
          </cell>
          <cell r="BS656">
            <v>0</v>
          </cell>
          <cell r="BT656">
            <v>0</v>
          </cell>
          <cell r="BU656">
            <v>0</v>
          </cell>
          <cell r="BV656">
            <v>0</v>
          </cell>
          <cell r="BW656">
            <v>0</v>
          </cell>
          <cell r="BX656">
            <v>0</v>
          </cell>
          <cell r="BY656">
            <v>0</v>
          </cell>
          <cell r="BZ656">
            <v>0</v>
          </cell>
          <cell r="CA656">
            <v>0</v>
          </cell>
          <cell r="CB656">
            <v>0</v>
          </cell>
          <cell r="CC656">
            <v>0</v>
          </cell>
          <cell r="CD656">
            <v>0</v>
          </cell>
        </row>
        <row r="657">
          <cell r="C657">
            <v>37963</v>
          </cell>
          <cell r="D657">
            <v>37971</v>
          </cell>
          <cell r="E657">
            <v>37963</v>
          </cell>
          <cell r="F657">
            <v>0.41666666666666669</v>
          </cell>
          <cell r="G657" t="str">
            <v>Linha de Pintura 8,5m</v>
          </cell>
          <cell r="H657" t="str">
            <v>Vazamento de ar comprimido em excesso</v>
          </cell>
          <cell r="I657">
            <v>0</v>
          </cell>
          <cell r="J657" t="str">
            <v>Não</v>
          </cell>
          <cell r="K657" t="str">
            <v>Mecânica</v>
          </cell>
          <cell r="L657" t="str">
            <v>Contenção do vazamento</v>
          </cell>
          <cell r="M657" t="str">
            <v>Defeito de Fabricação</v>
          </cell>
          <cell r="N657">
            <v>37963</v>
          </cell>
          <cell r="O657">
            <v>0.41666666666666669</v>
          </cell>
          <cell r="P657">
            <v>0</v>
          </cell>
          <cell r="T657">
            <v>37963</v>
          </cell>
          <cell r="U657">
            <v>0.5625</v>
          </cell>
          <cell r="V657">
            <v>0</v>
          </cell>
          <cell r="W657">
            <v>0.14583333333333331</v>
          </cell>
          <cell r="X657">
            <v>0</v>
          </cell>
          <cell r="Y657">
            <v>0</v>
          </cell>
          <cell r="AB657">
            <v>12</v>
          </cell>
          <cell r="AC657">
            <v>12</v>
          </cell>
          <cell r="AD657">
            <v>0</v>
          </cell>
          <cell r="BF657">
            <v>0</v>
          </cell>
          <cell r="BG657">
            <v>0</v>
          </cell>
          <cell r="BH657">
            <v>0</v>
          </cell>
          <cell r="BI657">
            <v>0</v>
          </cell>
          <cell r="BJ657">
            <v>0</v>
          </cell>
          <cell r="BK657">
            <v>0</v>
          </cell>
          <cell r="BL657">
            <v>0</v>
          </cell>
          <cell r="BM657">
            <v>0</v>
          </cell>
          <cell r="BN657">
            <v>0</v>
          </cell>
          <cell r="BO657">
            <v>0</v>
          </cell>
          <cell r="BP657">
            <v>12</v>
          </cell>
          <cell r="BQ657">
            <v>0</v>
          </cell>
          <cell r="BR657">
            <v>0</v>
          </cell>
          <cell r="BS657">
            <v>0</v>
          </cell>
          <cell r="BT657">
            <v>0</v>
          </cell>
          <cell r="BU657">
            <v>0</v>
          </cell>
          <cell r="BV657">
            <v>0</v>
          </cell>
          <cell r="BW657">
            <v>0</v>
          </cell>
          <cell r="BX657">
            <v>0</v>
          </cell>
          <cell r="BY657">
            <v>0</v>
          </cell>
          <cell r="BZ657">
            <v>0</v>
          </cell>
          <cell r="CA657">
            <v>0</v>
          </cell>
          <cell r="CB657">
            <v>0</v>
          </cell>
          <cell r="CC657">
            <v>0</v>
          </cell>
          <cell r="CD657">
            <v>0</v>
          </cell>
        </row>
        <row r="658">
          <cell r="C658">
            <v>37963</v>
          </cell>
          <cell r="D658">
            <v>37971</v>
          </cell>
          <cell r="E658">
            <v>37962</v>
          </cell>
          <cell r="F658">
            <v>0.41666666666666669</v>
          </cell>
          <cell r="G658" t="str">
            <v>Linha de Pintura 8,5m</v>
          </cell>
          <cell r="H658" t="str">
            <v>Problemas nos módulos 03 e 06</v>
          </cell>
          <cell r="I658">
            <v>0</v>
          </cell>
          <cell r="J658" t="str">
            <v>Não</v>
          </cell>
          <cell r="K658" t="str">
            <v>Elétrica</v>
          </cell>
          <cell r="L658" t="str">
            <v>Substituição do(s) Componente(s)</v>
          </cell>
          <cell r="M658" t="str">
            <v>Curto-circuito</v>
          </cell>
          <cell r="N658">
            <v>37962</v>
          </cell>
          <cell r="O658">
            <v>0.41666666666666669</v>
          </cell>
          <cell r="P658">
            <v>0</v>
          </cell>
          <cell r="T658">
            <v>37962</v>
          </cell>
          <cell r="U658">
            <v>0.4375</v>
          </cell>
          <cell r="V658">
            <v>0</v>
          </cell>
          <cell r="W658">
            <v>2.0833333333333315E-2</v>
          </cell>
          <cell r="X658">
            <v>0</v>
          </cell>
          <cell r="Y658">
            <v>0</v>
          </cell>
          <cell r="AB658">
            <v>12</v>
          </cell>
          <cell r="AC658">
            <v>12</v>
          </cell>
          <cell r="AD658">
            <v>0</v>
          </cell>
          <cell r="BF658">
            <v>0</v>
          </cell>
          <cell r="BG658">
            <v>0</v>
          </cell>
          <cell r="BH658">
            <v>0</v>
          </cell>
          <cell r="BI658">
            <v>0</v>
          </cell>
          <cell r="BJ658">
            <v>0</v>
          </cell>
          <cell r="BK658">
            <v>0</v>
          </cell>
          <cell r="BL658">
            <v>0</v>
          </cell>
          <cell r="BM658">
            <v>0</v>
          </cell>
          <cell r="BN658">
            <v>0</v>
          </cell>
          <cell r="BO658">
            <v>0</v>
          </cell>
          <cell r="BP658">
            <v>12</v>
          </cell>
          <cell r="BQ658">
            <v>0</v>
          </cell>
          <cell r="BR658">
            <v>0</v>
          </cell>
          <cell r="BS658">
            <v>0</v>
          </cell>
          <cell r="BT658">
            <v>0</v>
          </cell>
          <cell r="BU658">
            <v>0</v>
          </cell>
          <cell r="BV658">
            <v>0</v>
          </cell>
          <cell r="BW658">
            <v>0</v>
          </cell>
          <cell r="BX658">
            <v>0</v>
          </cell>
          <cell r="BY658">
            <v>0</v>
          </cell>
          <cell r="BZ658">
            <v>0</v>
          </cell>
          <cell r="CA658">
            <v>0</v>
          </cell>
          <cell r="CB658">
            <v>0</v>
          </cell>
          <cell r="CC658">
            <v>0</v>
          </cell>
          <cell r="CD658">
            <v>0</v>
          </cell>
        </row>
        <row r="659">
          <cell r="C659">
            <v>37963</v>
          </cell>
          <cell r="D659">
            <v>37993</v>
          </cell>
          <cell r="E659">
            <v>37965</v>
          </cell>
          <cell r="F659">
            <v>0.58333333333333337</v>
          </cell>
          <cell r="G659" t="str">
            <v>Linha de Pintura 8,5m</v>
          </cell>
          <cell r="H659" t="str">
            <v>Anomalia no parô 03</v>
          </cell>
          <cell r="I659">
            <v>0</v>
          </cell>
          <cell r="J659" t="str">
            <v>Sim</v>
          </cell>
          <cell r="K659" t="str">
            <v>Elétrica</v>
          </cell>
          <cell r="L659" t="str">
            <v>Ajuste / Regulagem</v>
          </cell>
          <cell r="M659" t="str">
            <v>Falha de Regulagem / Configuração / Dimensionamento</v>
          </cell>
          <cell r="N659">
            <v>0</v>
          </cell>
          <cell r="O659">
            <v>0.58680555555555558</v>
          </cell>
          <cell r="P659">
            <v>0</v>
          </cell>
          <cell r="T659">
            <v>0</v>
          </cell>
          <cell r="U659">
            <v>0.625</v>
          </cell>
          <cell r="V659">
            <v>0</v>
          </cell>
          <cell r="W659">
            <v>0</v>
          </cell>
          <cell r="X659">
            <v>0</v>
          </cell>
          <cell r="Y659">
            <v>0</v>
          </cell>
          <cell r="AB659">
            <v>0</v>
          </cell>
          <cell r="AC659">
            <v>12</v>
          </cell>
          <cell r="AD659">
            <v>0</v>
          </cell>
          <cell r="BF659">
            <v>0</v>
          </cell>
          <cell r="BG659">
            <v>0</v>
          </cell>
          <cell r="BH659">
            <v>0</v>
          </cell>
          <cell r="BI659">
            <v>0</v>
          </cell>
          <cell r="BJ659">
            <v>0</v>
          </cell>
          <cell r="BK659">
            <v>0</v>
          </cell>
          <cell r="BL659">
            <v>0</v>
          </cell>
          <cell r="BM659">
            <v>0</v>
          </cell>
          <cell r="BN659">
            <v>0</v>
          </cell>
          <cell r="BO659">
            <v>0</v>
          </cell>
          <cell r="BP659">
            <v>0</v>
          </cell>
          <cell r="BQ659">
            <v>0</v>
          </cell>
          <cell r="BR659">
            <v>0</v>
          </cell>
          <cell r="BS659">
            <v>0</v>
          </cell>
          <cell r="BT659">
            <v>0</v>
          </cell>
          <cell r="BU659">
            <v>0</v>
          </cell>
          <cell r="BV659">
            <v>0</v>
          </cell>
          <cell r="BW659">
            <v>0</v>
          </cell>
          <cell r="BX659">
            <v>0</v>
          </cell>
          <cell r="BY659">
            <v>0</v>
          </cell>
          <cell r="BZ659">
            <v>0</v>
          </cell>
          <cell r="CA659">
            <v>0</v>
          </cell>
          <cell r="CB659">
            <v>0</v>
          </cell>
          <cell r="CC659">
            <v>0</v>
          </cell>
          <cell r="CD659">
            <v>0</v>
          </cell>
        </row>
        <row r="660">
          <cell r="C660">
            <v>37963</v>
          </cell>
          <cell r="D660">
            <v>37977</v>
          </cell>
          <cell r="E660">
            <v>37965</v>
          </cell>
          <cell r="F660">
            <v>0.66666666666666663</v>
          </cell>
          <cell r="G660" t="str">
            <v>Linha de Pintura 8,5m</v>
          </cell>
          <cell r="H660" t="str">
            <v>Anomalia na Descarga</v>
          </cell>
          <cell r="I660">
            <v>0</v>
          </cell>
          <cell r="J660" t="str">
            <v>Sim</v>
          </cell>
          <cell r="K660" t="str">
            <v>Elétrica</v>
          </cell>
          <cell r="L660" t="str">
            <v>Reaperto dos componentes</v>
          </cell>
          <cell r="M660" t="str">
            <v>Vibração</v>
          </cell>
          <cell r="N660">
            <v>37965</v>
          </cell>
          <cell r="O660">
            <v>0.6875</v>
          </cell>
          <cell r="P660">
            <v>0</v>
          </cell>
          <cell r="T660">
            <v>37965</v>
          </cell>
          <cell r="U660">
            <v>0.70833333333333337</v>
          </cell>
          <cell r="V660">
            <v>0</v>
          </cell>
          <cell r="W660">
            <v>4.1666666669092023E-2</v>
          </cell>
          <cell r="X660">
            <v>0</v>
          </cell>
          <cell r="Y660">
            <v>0</v>
          </cell>
          <cell r="AB660">
            <v>12</v>
          </cell>
          <cell r="AC660">
            <v>12</v>
          </cell>
          <cell r="AD660">
            <v>0</v>
          </cell>
          <cell r="BF660">
            <v>0</v>
          </cell>
          <cell r="BG660">
            <v>0</v>
          </cell>
          <cell r="BH660">
            <v>0</v>
          </cell>
          <cell r="BI660">
            <v>0</v>
          </cell>
          <cell r="BJ660">
            <v>0</v>
          </cell>
          <cell r="BK660">
            <v>0</v>
          </cell>
          <cell r="BL660">
            <v>0</v>
          </cell>
          <cell r="BM660">
            <v>0</v>
          </cell>
          <cell r="BN660">
            <v>0</v>
          </cell>
          <cell r="BO660">
            <v>0</v>
          </cell>
          <cell r="BP660">
            <v>12</v>
          </cell>
          <cell r="BQ660">
            <v>0</v>
          </cell>
          <cell r="BR660">
            <v>0</v>
          </cell>
          <cell r="BS660">
            <v>0</v>
          </cell>
          <cell r="BT660">
            <v>0</v>
          </cell>
          <cell r="BU660">
            <v>0</v>
          </cell>
          <cell r="BV660">
            <v>0</v>
          </cell>
          <cell r="BW660">
            <v>0</v>
          </cell>
          <cell r="BX660">
            <v>0</v>
          </cell>
          <cell r="BY660">
            <v>0</v>
          </cell>
          <cell r="BZ660">
            <v>0</v>
          </cell>
          <cell r="CA660">
            <v>0</v>
          </cell>
          <cell r="CB660">
            <v>0</v>
          </cell>
          <cell r="CC660">
            <v>0</v>
          </cell>
          <cell r="CD660">
            <v>0</v>
          </cell>
        </row>
        <row r="661">
          <cell r="C661">
            <v>37963</v>
          </cell>
          <cell r="D661">
            <v>37972</v>
          </cell>
          <cell r="E661">
            <v>37965</v>
          </cell>
          <cell r="F661">
            <v>0.83333333333333337</v>
          </cell>
          <cell r="G661" t="str">
            <v>Linha de Pintura 8,5m</v>
          </cell>
          <cell r="H661" t="str">
            <v>Linha Travada</v>
          </cell>
          <cell r="I661">
            <v>0</v>
          </cell>
          <cell r="J661" t="str">
            <v>Sim</v>
          </cell>
          <cell r="K661" t="str">
            <v>Mecânica</v>
          </cell>
          <cell r="L661" t="str">
            <v>Destravamento dos Componentes</v>
          </cell>
          <cell r="M661" t="str">
            <v>Falha de Comando / Sistema</v>
          </cell>
          <cell r="N661">
            <v>37965</v>
          </cell>
          <cell r="O661">
            <v>0.84375</v>
          </cell>
          <cell r="P661">
            <v>0</v>
          </cell>
          <cell r="Q661">
            <v>1</v>
          </cell>
          <cell r="R661">
            <v>37966</v>
          </cell>
          <cell r="S661">
            <v>0.25</v>
          </cell>
          <cell r="T661">
            <v>37966</v>
          </cell>
          <cell r="U661">
            <v>0.3125</v>
          </cell>
          <cell r="V661">
            <v>0</v>
          </cell>
          <cell r="W661">
            <v>0.22916666666666663</v>
          </cell>
          <cell r="X661">
            <v>0</v>
          </cell>
          <cell r="Y661">
            <v>0</v>
          </cell>
          <cell r="AB661">
            <v>12</v>
          </cell>
          <cell r="AC661">
            <v>12</v>
          </cell>
          <cell r="AD661">
            <v>0</v>
          </cell>
          <cell r="BF661">
            <v>0</v>
          </cell>
          <cell r="BG661">
            <v>0</v>
          </cell>
          <cell r="BH661">
            <v>0</v>
          </cell>
          <cell r="BI661">
            <v>0</v>
          </cell>
          <cell r="BJ661">
            <v>0</v>
          </cell>
          <cell r="BK661">
            <v>0</v>
          </cell>
          <cell r="BL661">
            <v>0</v>
          </cell>
          <cell r="BM661">
            <v>0</v>
          </cell>
          <cell r="BN661">
            <v>0</v>
          </cell>
          <cell r="BO661">
            <v>0</v>
          </cell>
          <cell r="BP661">
            <v>12</v>
          </cell>
          <cell r="BQ661">
            <v>0</v>
          </cell>
          <cell r="BR661">
            <v>0</v>
          </cell>
          <cell r="BS661">
            <v>0</v>
          </cell>
          <cell r="BT661">
            <v>0</v>
          </cell>
          <cell r="BU661">
            <v>0</v>
          </cell>
          <cell r="BV661">
            <v>0</v>
          </cell>
          <cell r="BW661">
            <v>0</v>
          </cell>
          <cell r="BX661">
            <v>0</v>
          </cell>
          <cell r="BY661">
            <v>0</v>
          </cell>
          <cell r="BZ661">
            <v>0</v>
          </cell>
          <cell r="CA661">
            <v>0</v>
          </cell>
          <cell r="CB661">
            <v>0</v>
          </cell>
          <cell r="CC661">
            <v>0</v>
          </cell>
          <cell r="CD661">
            <v>0</v>
          </cell>
        </row>
        <row r="662">
          <cell r="C662">
            <v>37963</v>
          </cell>
          <cell r="D662">
            <v>37993</v>
          </cell>
          <cell r="E662">
            <v>37971</v>
          </cell>
          <cell r="F662">
            <v>0.25</v>
          </cell>
          <cell r="G662" t="str">
            <v>Linha de Pintura 8,5m</v>
          </cell>
          <cell r="H662" t="str">
            <v>Vazamento no sistema de exaustão</v>
          </cell>
          <cell r="I662">
            <v>0</v>
          </cell>
          <cell r="J662" t="str">
            <v>Sim</v>
          </cell>
          <cell r="K662" t="str">
            <v>Mecânica</v>
          </cell>
          <cell r="L662" t="str">
            <v>Soldagem da Caixa do Pulmão</v>
          </cell>
          <cell r="M662" t="str">
            <v>Defeito de Fabricação</v>
          </cell>
          <cell r="N662">
            <v>0</v>
          </cell>
          <cell r="O662">
            <v>0.27083333333333331</v>
          </cell>
          <cell r="P662">
            <v>0</v>
          </cell>
          <cell r="T662">
            <v>0</v>
          </cell>
          <cell r="U662">
            <v>0.33333333333333331</v>
          </cell>
          <cell r="V662">
            <v>0</v>
          </cell>
          <cell r="W662">
            <v>0</v>
          </cell>
          <cell r="X662">
            <v>0</v>
          </cell>
          <cell r="Y662">
            <v>0</v>
          </cell>
          <cell r="AB662">
            <v>0</v>
          </cell>
          <cell r="AC662">
            <v>12</v>
          </cell>
          <cell r="AD662">
            <v>0</v>
          </cell>
          <cell r="BF662">
            <v>0</v>
          </cell>
          <cell r="BG662">
            <v>0</v>
          </cell>
          <cell r="BH662">
            <v>0</v>
          </cell>
          <cell r="BI662">
            <v>0</v>
          </cell>
          <cell r="BJ662">
            <v>0</v>
          </cell>
          <cell r="BK662">
            <v>0</v>
          </cell>
          <cell r="BL662">
            <v>0</v>
          </cell>
          <cell r="BM662">
            <v>0</v>
          </cell>
          <cell r="BN662">
            <v>0</v>
          </cell>
          <cell r="BO662">
            <v>0</v>
          </cell>
          <cell r="BP662">
            <v>0</v>
          </cell>
          <cell r="BQ662">
            <v>0</v>
          </cell>
          <cell r="BR662">
            <v>0</v>
          </cell>
          <cell r="BS662">
            <v>0</v>
          </cell>
          <cell r="BT662">
            <v>0</v>
          </cell>
          <cell r="BU662">
            <v>0</v>
          </cell>
          <cell r="BV662">
            <v>0</v>
          </cell>
          <cell r="BW662">
            <v>0</v>
          </cell>
          <cell r="BX662">
            <v>0</v>
          </cell>
          <cell r="BY662">
            <v>0</v>
          </cell>
          <cell r="BZ662">
            <v>0</v>
          </cell>
          <cell r="CA662">
            <v>0</v>
          </cell>
          <cell r="CB662">
            <v>0</v>
          </cell>
          <cell r="CC662">
            <v>0</v>
          </cell>
          <cell r="CD662">
            <v>0</v>
          </cell>
        </row>
        <row r="663">
          <cell r="C663">
            <v>37963</v>
          </cell>
          <cell r="D663">
            <v>37993</v>
          </cell>
          <cell r="E663">
            <v>37974</v>
          </cell>
          <cell r="F663">
            <v>0.25</v>
          </cell>
          <cell r="G663" t="str">
            <v>Linha de Pintura 8,5m</v>
          </cell>
          <cell r="H663" t="str">
            <v>Vazamento no sistema de exaustão</v>
          </cell>
          <cell r="I663">
            <v>0</v>
          </cell>
          <cell r="J663" t="str">
            <v>Sim</v>
          </cell>
          <cell r="K663" t="str">
            <v>Mecânica</v>
          </cell>
          <cell r="L663" t="str">
            <v>Soldagem da Caixa do Pulmão</v>
          </cell>
          <cell r="M663" t="str">
            <v>Falha de Projeto</v>
          </cell>
          <cell r="N663">
            <v>0</v>
          </cell>
          <cell r="O663">
            <v>0.25</v>
          </cell>
          <cell r="P663">
            <v>0</v>
          </cell>
          <cell r="T663">
            <v>0</v>
          </cell>
          <cell r="U663">
            <v>0.30555555555555552</v>
          </cell>
          <cell r="V663">
            <v>0</v>
          </cell>
          <cell r="W663">
            <v>0</v>
          </cell>
          <cell r="X663">
            <v>0</v>
          </cell>
          <cell r="Y663">
            <v>0</v>
          </cell>
          <cell r="AB663">
            <v>0</v>
          </cell>
          <cell r="AC663">
            <v>12</v>
          </cell>
          <cell r="AD663">
            <v>0</v>
          </cell>
          <cell r="BF663">
            <v>0</v>
          </cell>
          <cell r="BG663">
            <v>0</v>
          </cell>
          <cell r="BH663">
            <v>0</v>
          </cell>
          <cell r="BI663">
            <v>0</v>
          </cell>
          <cell r="BJ663">
            <v>0</v>
          </cell>
          <cell r="BK663">
            <v>0</v>
          </cell>
          <cell r="BL663">
            <v>0</v>
          </cell>
          <cell r="BM663">
            <v>0</v>
          </cell>
          <cell r="BN663">
            <v>0</v>
          </cell>
          <cell r="BO663">
            <v>0</v>
          </cell>
          <cell r="BP663">
            <v>0</v>
          </cell>
          <cell r="BQ663">
            <v>0</v>
          </cell>
          <cell r="BR663">
            <v>0</v>
          </cell>
          <cell r="BS663">
            <v>0</v>
          </cell>
          <cell r="BT663">
            <v>0</v>
          </cell>
          <cell r="BU663">
            <v>0</v>
          </cell>
          <cell r="BV663">
            <v>0</v>
          </cell>
          <cell r="BW663">
            <v>0</v>
          </cell>
          <cell r="BX663">
            <v>0</v>
          </cell>
          <cell r="BY663">
            <v>0</v>
          </cell>
          <cell r="BZ663">
            <v>0</v>
          </cell>
          <cell r="CA663">
            <v>0</v>
          </cell>
          <cell r="CB663">
            <v>0</v>
          </cell>
          <cell r="CC663">
            <v>0</v>
          </cell>
          <cell r="CD663">
            <v>0</v>
          </cell>
        </row>
        <row r="664">
          <cell r="C664">
            <v>37963</v>
          </cell>
          <cell r="I664">
            <v>0</v>
          </cell>
          <cell r="N664">
            <v>0</v>
          </cell>
          <cell r="P664">
            <v>0</v>
          </cell>
          <cell r="T664">
            <v>0</v>
          </cell>
          <cell r="V664">
            <v>0</v>
          </cell>
          <cell r="W664">
            <v>0</v>
          </cell>
          <cell r="X664">
            <v>0</v>
          </cell>
          <cell r="Y664">
            <v>0</v>
          </cell>
          <cell r="AB664">
            <v>0</v>
          </cell>
          <cell r="AC664">
            <v>12</v>
          </cell>
          <cell r="AD664">
            <v>0</v>
          </cell>
          <cell r="BF664">
            <v>0</v>
          </cell>
          <cell r="BG664">
            <v>0</v>
          </cell>
          <cell r="BH664">
            <v>0</v>
          </cell>
          <cell r="BI664">
            <v>0</v>
          </cell>
          <cell r="BJ664">
            <v>0</v>
          </cell>
          <cell r="BK664">
            <v>0</v>
          </cell>
          <cell r="BL664">
            <v>0</v>
          </cell>
          <cell r="BM664">
            <v>0</v>
          </cell>
          <cell r="BN664">
            <v>0</v>
          </cell>
          <cell r="BO664">
            <v>0</v>
          </cell>
          <cell r="BP664">
            <v>0</v>
          </cell>
          <cell r="BQ664">
            <v>0</v>
          </cell>
          <cell r="BR664">
            <v>0</v>
          </cell>
          <cell r="BS664">
            <v>0</v>
          </cell>
          <cell r="BT664">
            <v>0</v>
          </cell>
          <cell r="BU664">
            <v>0</v>
          </cell>
          <cell r="BV664">
            <v>0</v>
          </cell>
          <cell r="BW664">
            <v>0</v>
          </cell>
          <cell r="BX664">
            <v>0</v>
          </cell>
          <cell r="BY664">
            <v>0</v>
          </cell>
          <cell r="BZ664">
            <v>0</v>
          </cell>
          <cell r="CA664">
            <v>0</v>
          </cell>
          <cell r="CB664">
            <v>0</v>
          </cell>
          <cell r="CC664">
            <v>0</v>
          </cell>
          <cell r="CD664">
            <v>0</v>
          </cell>
        </row>
        <row r="665">
          <cell r="C665">
            <v>37963</v>
          </cell>
          <cell r="I665">
            <v>0</v>
          </cell>
          <cell r="N665">
            <v>0</v>
          </cell>
          <cell r="P665">
            <v>0</v>
          </cell>
          <cell r="T665">
            <v>0</v>
          </cell>
          <cell r="V665">
            <v>0</v>
          </cell>
          <cell r="W665">
            <v>0</v>
          </cell>
          <cell r="X665">
            <v>0</v>
          </cell>
          <cell r="Y665">
            <v>0</v>
          </cell>
          <cell r="AB665">
            <v>0</v>
          </cell>
          <cell r="AC665">
            <v>12</v>
          </cell>
          <cell r="AD665">
            <v>0</v>
          </cell>
          <cell r="BF665">
            <v>0</v>
          </cell>
          <cell r="BG665">
            <v>0</v>
          </cell>
          <cell r="BH665">
            <v>0</v>
          </cell>
          <cell r="BI665">
            <v>0</v>
          </cell>
          <cell r="BJ665">
            <v>0</v>
          </cell>
          <cell r="BK665">
            <v>0</v>
          </cell>
          <cell r="BL665">
            <v>0</v>
          </cell>
          <cell r="BM665">
            <v>0</v>
          </cell>
          <cell r="BN665">
            <v>0</v>
          </cell>
          <cell r="BO665">
            <v>0</v>
          </cell>
          <cell r="BP665">
            <v>0</v>
          </cell>
          <cell r="BQ665">
            <v>0</v>
          </cell>
          <cell r="BR665">
            <v>0</v>
          </cell>
          <cell r="BS665">
            <v>0</v>
          </cell>
          <cell r="BT665">
            <v>0</v>
          </cell>
          <cell r="BU665">
            <v>0</v>
          </cell>
          <cell r="BV665">
            <v>0</v>
          </cell>
          <cell r="BW665">
            <v>0</v>
          </cell>
          <cell r="BX665">
            <v>0</v>
          </cell>
          <cell r="BY665">
            <v>0</v>
          </cell>
          <cell r="BZ665">
            <v>0</v>
          </cell>
          <cell r="CA665">
            <v>0</v>
          </cell>
          <cell r="CB665">
            <v>0</v>
          </cell>
          <cell r="CC665">
            <v>0</v>
          </cell>
          <cell r="CD665">
            <v>0</v>
          </cell>
        </row>
        <row r="666">
          <cell r="C666">
            <v>37963</v>
          </cell>
          <cell r="I666">
            <v>0</v>
          </cell>
          <cell r="N666">
            <v>0</v>
          </cell>
          <cell r="P666">
            <v>0</v>
          </cell>
          <cell r="T666">
            <v>0</v>
          </cell>
          <cell r="V666">
            <v>0</v>
          </cell>
          <cell r="W666">
            <v>0</v>
          </cell>
          <cell r="X666">
            <v>0</v>
          </cell>
          <cell r="Y666">
            <v>0</v>
          </cell>
          <cell r="AB666">
            <v>0</v>
          </cell>
          <cell r="AC666">
            <v>12</v>
          </cell>
          <cell r="AD666">
            <v>0</v>
          </cell>
          <cell r="BF666">
            <v>0</v>
          </cell>
          <cell r="BG666">
            <v>0</v>
          </cell>
          <cell r="BH666">
            <v>0</v>
          </cell>
          <cell r="BI666">
            <v>0</v>
          </cell>
          <cell r="BJ666">
            <v>0</v>
          </cell>
          <cell r="BK666">
            <v>0</v>
          </cell>
          <cell r="BL666">
            <v>0</v>
          </cell>
          <cell r="BM666">
            <v>0</v>
          </cell>
          <cell r="BN666">
            <v>0</v>
          </cell>
          <cell r="BO666">
            <v>0</v>
          </cell>
          <cell r="BP666">
            <v>0</v>
          </cell>
          <cell r="BQ666">
            <v>0</v>
          </cell>
          <cell r="BR666">
            <v>0</v>
          </cell>
          <cell r="BS666">
            <v>0</v>
          </cell>
          <cell r="BT666">
            <v>0</v>
          </cell>
          <cell r="BU666">
            <v>0</v>
          </cell>
          <cell r="BV666">
            <v>0</v>
          </cell>
          <cell r="BW666">
            <v>0</v>
          </cell>
          <cell r="BX666">
            <v>0</v>
          </cell>
          <cell r="BY666">
            <v>0</v>
          </cell>
          <cell r="BZ666">
            <v>0</v>
          </cell>
          <cell r="CA666">
            <v>0</v>
          </cell>
          <cell r="CB666">
            <v>0</v>
          </cell>
          <cell r="CC666">
            <v>0</v>
          </cell>
          <cell r="CD666">
            <v>0</v>
          </cell>
        </row>
        <row r="667">
          <cell r="C667">
            <v>37963</v>
          </cell>
          <cell r="I667">
            <v>0</v>
          </cell>
          <cell r="N667">
            <v>0</v>
          </cell>
          <cell r="P667">
            <v>0</v>
          </cell>
          <cell r="T667">
            <v>0</v>
          </cell>
          <cell r="V667">
            <v>0</v>
          </cell>
          <cell r="W667">
            <v>0</v>
          </cell>
          <cell r="X667">
            <v>0</v>
          </cell>
          <cell r="Y667">
            <v>0</v>
          </cell>
          <cell r="AB667">
            <v>0</v>
          </cell>
          <cell r="AC667">
            <v>12</v>
          </cell>
          <cell r="AD667">
            <v>0</v>
          </cell>
          <cell r="BF667">
            <v>0</v>
          </cell>
          <cell r="BG667">
            <v>0</v>
          </cell>
          <cell r="BH667">
            <v>0</v>
          </cell>
          <cell r="BI667">
            <v>0</v>
          </cell>
          <cell r="BJ667">
            <v>0</v>
          </cell>
          <cell r="BK667">
            <v>0</v>
          </cell>
          <cell r="BL667">
            <v>0</v>
          </cell>
          <cell r="BM667">
            <v>0</v>
          </cell>
          <cell r="BN667">
            <v>0</v>
          </cell>
          <cell r="BO667">
            <v>0</v>
          </cell>
          <cell r="BP667">
            <v>0</v>
          </cell>
          <cell r="BQ667">
            <v>0</v>
          </cell>
          <cell r="BR667">
            <v>0</v>
          </cell>
          <cell r="BS667">
            <v>0</v>
          </cell>
          <cell r="BT667">
            <v>0</v>
          </cell>
          <cell r="BU667">
            <v>0</v>
          </cell>
          <cell r="BV667">
            <v>0</v>
          </cell>
          <cell r="BW667">
            <v>0</v>
          </cell>
          <cell r="BX667">
            <v>0</v>
          </cell>
          <cell r="BY667">
            <v>0</v>
          </cell>
          <cell r="BZ667">
            <v>0</v>
          </cell>
          <cell r="CA667">
            <v>0</v>
          </cell>
          <cell r="CB667">
            <v>0</v>
          </cell>
          <cell r="CC667">
            <v>0</v>
          </cell>
          <cell r="CD667">
            <v>0</v>
          </cell>
        </row>
        <row r="668">
          <cell r="C668">
            <v>37963</v>
          </cell>
          <cell r="I668">
            <v>0</v>
          </cell>
          <cell r="N668">
            <v>0</v>
          </cell>
          <cell r="P668">
            <v>0</v>
          </cell>
          <cell r="T668">
            <v>0</v>
          </cell>
          <cell r="V668">
            <v>0</v>
          </cell>
          <cell r="W668">
            <v>0</v>
          </cell>
          <cell r="X668">
            <v>0</v>
          </cell>
          <cell r="Y668">
            <v>0</v>
          </cell>
          <cell r="AB668">
            <v>0</v>
          </cell>
          <cell r="AC668">
            <v>12</v>
          </cell>
          <cell r="AD668">
            <v>0</v>
          </cell>
          <cell r="BF668">
            <v>0</v>
          </cell>
          <cell r="BG668">
            <v>0</v>
          </cell>
          <cell r="BH668">
            <v>0</v>
          </cell>
          <cell r="BI668">
            <v>0</v>
          </cell>
          <cell r="BJ668">
            <v>0</v>
          </cell>
          <cell r="BK668">
            <v>0</v>
          </cell>
          <cell r="BL668">
            <v>0</v>
          </cell>
          <cell r="BM668">
            <v>0</v>
          </cell>
          <cell r="BN668">
            <v>0</v>
          </cell>
          <cell r="BO668">
            <v>0</v>
          </cell>
          <cell r="BP668">
            <v>0</v>
          </cell>
          <cell r="BQ668">
            <v>0</v>
          </cell>
          <cell r="BR668">
            <v>0</v>
          </cell>
          <cell r="BS668">
            <v>0</v>
          </cell>
          <cell r="BT668">
            <v>0</v>
          </cell>
          <cell r="BU668">
            <v>0</v>
          </cell>
          <cell r="BV668">
            <v>0</v>
          </cell>
          <cell r="BW668">
            <v>0</v>
          </cell>
          <cell r="BX668">
            <v>0</v>
          </cell>
          <cell r="BY668">
            <v>0</v>
          </cell>
          <cell r="BZ668">
            <v>0</v>
          </cell>
          <cell r="CA668">
            <v>0</v>
          </cell>
          <cell r="CB668">
            <v>0</v>
          </cell>
          <cell r="CC668">
            <v>0</v>
          </cell>
          <cell r="CD668">
            <v>0</v>
          </cell>
        </row>
        <row r="669">
          <cell r="C669">
            <v>37963</v>
          </cell>
          <cell r="D669">
            <v>37993</v>
          </cell>
          <cell r="E669">
            <v>37991</v>
          </cell>
          <cell r="F669">
            <v>0.33333333333333331</v>
          </cell>
          <cell r="G669" t="str">
            <v>Linha de Pintura 8,5m</v>
          </cell>
          <cell r="H669" t="str">
            <v>Pistola manual apresenta mau contato no cabo</v>
          </cell>
          <cell r="I669">
            <v>0</v>
          </cell>
          <cell r="J669" t="str">
            <v>Não</v>
          </cell>
          <cell r="K669" t="str">
            <v>Elétrica</v>
          </cell>
          <cell r="L669" t="str">
            <v>Correção de mau contato</v>
          </cell>
          <cell r="M669" t="str">
            <v>Mau contato</v>
          </cell>
          <cell r="N669">
            <v>0</v>
          </cell>
          <cell r="O669">
            <v>0.33333333333333331</v>
          </cell>
          <cell r="P669">
            <v>0</v>
          </cell>
          <cell r="T669">
            <v>0</v>
          </cell>
          <cell r="U669">
            <v>0.375</v>
          </cell>
          <cell r="V669">
            <v>0</v>
          </cell>
          <cell r="W669">
            <v>0</v>
          </cell>
          <cell r="X669">
            <v>0</v>
          </cell>
          <cell r="Y669">
            <v>0</v>
          </cell>
          <cell r="AB669">
            <v>0</v>
          </cell>
          <cell r="AC669">
            <v>12</v>
          </cell>
          <cell r="AD669">
            <v>0</v>
          </cell>
          <cell r="BF669">
            <v>0</v>
          </cell>
          <cell r="BG669">
            <v>0</v>
          </cell>
          <cell r="BH669">
            <v>0</v>
          </cell>
          <cell r="BI669">
            <v>0</v>
          </cell>
          <cell r="BJ669">
            <v>0</v>
          </cell>
          <cell r="BK669">
            <v>0</v>
          </cell>
          <cell r="BL669">
            <v>0</v>
          </cell>
          <cell r="BM669">
            <v>0</v>
          </cell>
          <cell r="BN669">
            <v>0</v>
          </cell>
          <cell r="BO669">
            <v>0</v>
          </cell>
          <cell r="BP669">
            <v>0</v>
          </cell>
          <cell r="BQ669">
            <v>0</v>
          </cell>
          <cell r="BR669">
            <v>0</v>
          </cell>
          <cell r="BS669">
            <v>0</v>
          </cell>
          <cell r="BT669">
            <v>0</v>
          </cell>
          <cell r="BU669">
            <v>0</v>
          </cell>
          <cell r="BV669">
            <v>0</v>
          </cell>
          <cell r="BW669">
            <v>0</v>
          </cell>
          <cell r="BX669">
            <v>0</v>
          </cell>
          <cell r="BY669">
            <v>0</v>
          </cell>
          <cell r="BZ669">
            <v>0</v>
          </cell>
          <cell r="CA669">
            <v>0</v>
          </cell>
          <cell r="CB669">
            <v>0</v>
          </cell>
          <cell r="CC669">
            <v>0</v>
          </cell>
          <cell r="CD669">
            <v>0</v>
          </cell>
        </row>
        <row r="670">
          <cell r="C670">
            <v>37963</v>
          </cell>
          <cell r="I670">
            <v>0</v>
          </cell>
          <cell r="N670">
            <v>0</v>
          </cell>
          <cell r="P670">
            <v>0</v>
          </cell>
          <cell r="T670">
            <v>0</v>
          </cell>
          <cell r="V670">
            <v>0</v>
          </cell>
          <cell r="W670">
            <v>0</v>
          </cell>
          <cell r="X670">
            <v>0</v>
          </cell>
          <cell r="Y670">
            <v>0</v>
          </cell>
          <cell r="AB670">
            <v>0</v>
          </cell>
          <cell r="AC670">
            <v>12</v>
          </cell>
          <cell r="AD670">
            <v>0</v>
          </cell>
          <cell r="BF670">
            <v>0</v>
          </cell>
          <cell r="BG670">
            <v>0</v>
          </cell>
          <cell r="BH670">
            <v>0</v>
          </cell>
          <cell r="BI670">
            <v>0</v>
          </cell>
          <cell r="BJ670">
            <v>0</v>
          </cell>
          <cell r="BK670">
            <v>0</v>
          </cell>
          <cell r="BL670">
            <v>0</v>
          </cell>
          <cell r="BM670">
            <v>0</v>
          </cell>
          <cell r="BN670">
            <v>0</v>
          </cell>
          <cell r="BO670">
            <v>0</v>
          </cell>
          <cell r="BP670">
            <v>0</v>
          </cell>
          <cell r="BQ670">
            <v>0</v>
          </cell>
          <cell r="BR670">
            <v>0</v>
          </cell>
          <cell r="BS670">
            <v>0</v>
          </cell>
          <cell r="BT670">
            <v>0</v>
          </cell>
          <cell r="BU670">
            <v>0</v>
          </cell>
          <cell r="BV670">
            <v>0</v>
          </cell>
          <cell r="BW670">
            <v>0</v>
          </cell>
          <cell r="BX670">
            <v>0</v>
          </cell>
          <cell r="BY670">
            <v>0</v>
          </cell>
          <cell r="BZ670">
            <v>0</v>
          </cell>
          <cell r="CA670">
            <v>0</v>
          </cell>
          <cell r="CB670">
            <v>0</v>
          </cell>
          <cell r="CC670">
            <v>0</v>
          </cell>
          <cell r="CD670">
            <v>0</v>
          </cell>
        </row>
        <row r="671">
          <cell r="C671">
            <v>37963</v>
          </cell>
          <cell r="I671">
            <v>0</v>
          </cell>
          <cell r="N671">
            <v>0</v>
          </cell>
          <cell r="P671">
            <v>0</v>
          </cell>
          <cell r="T671">
            <v>0</v>
          </cell>
          <cell r="V671">
            <v>0</v>
          </cell>
          <cell r="W671">
            <v>0</v>
          </cell>
          <cell r="X671">
            <v>0</v>
          </cell>
          <cell r="Y671">
            <v>0</v>
          </cell>
          <cell r="AB671">
            <v>0</v>
          </cell>
          <cell r="AC671">
            <v>12</v>
          </cell>
          <cell r="AD671">
            <v>0</v>
          </cell>
          <cell r="BF671">
            <v>0</v>
          </cell>
          <cell r="BG671">
            <v>0</v>
          </cell>
          <cell r="BH671">
            <v>0</v>
          </cell>
          <cell r="BI671">
            <v>0</v>
          </cell>
          <cell r="BJ671">
            <v>0</v>
          </cell>
          <cell r="BK671">
            <v>0</v>
          </cell>
          <cell r="BL671">
            <v>0</v>
          </cell>
          <cell r="BM671">
            <v>0</v>
          </cell>
          <cell r="BN671">
            <v>0</v>
          </cell>
          <cell r="BO671">
            <v>0</v>
          </cell>
          <cell r="BP671">
            <v>0</v>
          </cell>
          <cell r="BQ671">
            <v>0</v>
          </cell>
          <cell r="BR671">
            <v>0</v>
          </cell>
          <cell r="BS671">
            <v>0</v>
          </cell>
          <cell r="BT671">
            <v>0</v>
          </cell>
          <cell r="BU671">
            <v>0</v>
          </cell>
          <cell r="BV671">
            <v>0</v>
          </cell>
          <cell r="BW671">
            <v>0</v>
          </cell>
          <cell r="BX671">
            <v>0</v>
          </cell>
          <cell r="BY671">
            <v>0</v>
          </cell>
          <cell r="BZ671">
            <v>0</v>
          </cell>
          <cell r="CA671">
            <v>0</v>
          </cell>
          <cell r="CB671">
            <v>0</v>
          </cell>
          <cell r="CC671">
            <v>0</v>
          </cell>
          <cell r="CD671">
            <v>0</v>
          </cell>
        </row>
        <row r="672">
          <cell r="C672">
            <v>37963</v>
          </cell>
          <cell r="D672">
            <v>37993</v>
          </cell>
          <cell r="E672">
            <v>37992</v>
          </cell>
          <cell r="F672">
            <v>0.375</v>
          </cell>
          <cell r="G672" t="str">
            <v>Linha de Pintura 8,5m</v>
          </cell>
          <cell r="H672" t="str">
            <v>Cabo da pistola manual rompido</v>
          </cell>
          <cell r="I672">
            <v>0</v>
          </cell>
          <cell r="J672" t="str">
            <v>Não</v>
          </cell>
          <cell r="K672" t="str">
            <v>Elétrica</v>
          </cell>
          <cell r="L672" t="str">
            <v>Reparo</v>
          </cell>
          <cell r="M672" t="str">
            <v>Falha Operacional</v>
          </cell>
          <cell r="N672">
            <v>0</v>
          </cell>
          <cell r="O672">
            <v>0.375</v>
          </cell>
          <cell r="P672">
            <v>0</v>
          </cell>
          <cell r="T672">
            <v>0</v>
          </cell>
          <cell r="U672">
            <v>0.41180555555555554</v>
          </cell>
          <cell r="V672">
            <v>0</v>
          </cell>
          <cell r="W672">
            <v>0</v>
          </cell>
          <cell r="X672">
            <v>0</v>
          </cell>
          <cell r="Y672">
            <v>0</v>
          </cell>
          <cell r="AB672">
            <v>0</v>
          </cell>
          <cell r="AC672">
            <v>12</v>
          </cell>
          <cell r="AD672">
            <v>0</v>
          </cell>
          <cell r="BF672">
            <v>0</v>
          </cell>
          <cell r="BG672">
            <v>0</v>
          </cell>
          <cell r="BH672">
            <v>0</v>
          </cell>
          <cell r="BI672">
            <v>0</v>
          </cell>
          <cell r="BJ672">
            <v>0</v>
          </cell>
          <cell r="BK672">
            <v>0</v>
          </cell>
          <cell r="BL672">
            <v>0</v>
          </cell>
          <cell r="BM672">
            <v>0</v>
          </cell>
          <cell r="BN672">
            <v>0</v>
          </cell>
          <cell r="BO672">
            <v>0</v>
          </cell>
          <cell r="BP672">
            <v>0</v>
          </cell>
          <cell r="BQ672">
            <v>0</v>
          </cell>
          <cell r="BR672">
            <v>0</v>
          </cell>
          <cell r="BS672">
            <v>0</v>
          </cell>
          <cell r="BT672">
            <v>0</v>
          </cell>
          <cell r="BU672">
            <v>0</v>
          </cell>
          <cell r="BV672">
            <v>0</v>
          </cell>
          <cell r="BW672">
            <v>0</v>
          </cell>
          <cell r="BX672">
            <v>0</v>
          </cell>
          <cell r="BY672">
            <v>0</v>
          </cell>
          <cell r="BZ672">
            <v>0</v>
          </cell>
          <cell r="CA672">
            <v>0</v>
          </cell>
          <cell r="CB672">
            <v>0</v>
          </cell>
          <cell r="CC672">
            <v>0</v>
          </cell>
          <cell r="CD672">
            <v>0</v>
          </cell>
        </row>
        <row r="673">
          <cell r="C673">
            <v>37963</v>
          </cell>
          <cell r="I673">
            <v>0</v>
          </cell>
          <cell r="N673">
            <v>0</v>
          </cell>
          <cell r="P673">
            <v>0</v>
          </cell>
          <cell r="T673">
            <v>0</v>
          </cell>
          <cell r="V673">
            <v>0</v>
          </cell>
          <cell r="W673">
            <v>0</v>
          </cell>
          <cell r="X673">
            <v>0</v>
          </cell>
          <cell r="Y673">
            <v>0</v>
          </cell>
          <cell r="AB673">
            <v>0</v>
          </cell>
          <cell r="AC673">
            <v>12</v>
          </cell>
          <cell r="AD673">
            <v>0</v>
          </cell>
          <cell r="BF673">
            <v>0</v>
          </cell>
          <cell r="BG673">
            <v>0</v>
          </cell>
          <cell r="BH673">
            <v>0</v>
          </cell>
          <cell r="BI673">
            <v>0</v>
          </cell>
          <cell r="BJ673">
            <v>0</v>
          </cell>
          <cell r="BK673">
            <v>0</v>
          </cell>
          <cell r="BL673">
            <v>0</v>
          </cell>
          <cell r="BM673">
            <v>0</v>
          </cell>
          <cell r="BN673">
            <v>0</v>
          </cell>
          <cell r="BO673">
            <v>0</v>
          </cell>
          <cell r="BP673">
            <v>0</v>
          </cell>
          <cell r="BQ673">
            <v>0</v>
          </cell>
          <cell r="BR673">
            <v>0</v>
          </cell>
          <cell r="BS673">
            <v>0</v>
          </cell>
          <cell r="BT673">
            <v>0</v>
          </cell>
          <cell r="BU673">
            <v>0</v>
          </cell>
          <cell r="BV673">
            <v>0</v>
          </cell>
          <cell r="BW673">
            <v>0</v>
          </cell>
          <cell r="BX673">
            <v>0</v>
          </cell>
          <cell r="BY673">
            <v>0</v>
          </cell>
          <cell r="BZ673">
            <v>0</v>
          </cell>
          <cell r="CA673">
            <v>0</v>
          </cell>
          <cell r="CB673">
            <v>0</v>
          </cell>
          <cell r="CC673">
            <v>0</v>
          </cell>
          <cell r="CD673">
            <v>0</v>
          </cell>
        </row>
        <row r="674">
          <cell r="C674">
            <v>37963</v>
          </cell>
          <cell r="I674">
            <v>0</v>
          </cell>
          <cell r="N674">
            <v>0</v>
          </cell>
          <cell r="P674">
            <v>0</v>
          </cell>
          <cell r="T674">
            <v>0</v>
          </cell>
          <cell r="V674">
            <v>0</v>
          </cell>
          <cell r="W674">
            <v>0</v>
          </cell>
          <cell r="X674">
            <v>0</v>
          </cell>
          <cell r="Y674">
            <v>0</v>
          </cell>
          <cell r="AB674">
            <v>0</v>
          </cell>
          <cell r="AC674">
            <v>12</v>
          </cell>
          <cell r="AD674">
            <v>0</v>
          </cell>
          <cell r="BF674">
            <v>0</v>
          </cell>
          <cell r="BG674">
            <v>0</v>
          </cell>
          <cell r="BH674">
            <v>0</v>
          </cell>
          <cell r="BI674">
            <v>0</v>
          </cell>
          <cell r="BJ674">
            <v>0</v>
          </cell>
          <cell r="BK674">
            <v>0</v>
          </cell>
          <cell r="BL674">
            <v>0</v>
          </cell>
          <cell r="BM674">
            <v>0</v>
          </cell>
          <cell r="BN674">
            <v>0</v>
          </cell>
          <cell r="BO674">
            <v>0</v>
          </cell>
          <cell r="BP674">
            <v>0</v>
          </cell>
          <cell r="BQ674">
            <v>0</v>
          </cell>
          <cell r="BR674">
            <v>0</v>
          </cell>
          <cell r="BS674">
            <v>0</v>
          </cell>
          <cell r="BT674">
            <v>0</v>
          </cell>
          <cell r="BU674">
            <v>0</v>
          </cell>
          <cell r="BV674">
            <v>0</v>
          </cell>
          <cell r="BW674">
            <v>0</v>
          </cell>
          <cell r="BX674">
            <v>0</v>
          </cell>
          <cell r="BY674">
            <v>0</v>
          </cell>
          <cell r="BZ674">
            <v>0</v>
          </cell>
          <cell r="CA674">
            <v>0</v>
          </cell>
          <cell r="CB674">
            <v>0</v>
          </cell>
          <cell r="CC674">
            <v>0</v>
          </cell>
          <cell r="CD674">
            <v>0</v>
          </cell>
        </row>
        <row r="675">
          <cell r="C675">
            <v>37963</v>
          </cell>
          <cell r="I675">
            <v>0</v>
          </cell>
          <cell r="N675">
            <v>0</v>
          </cell>
          <cell r="P675">
            <v>0</v>
          </cell>
          <cell r="T675">
            <v>0</v>
          </cell>
          <cell r="V675">
            <v>0</v>
          </cell>
          <cell r="W675">
            <v>0</v>
          </cell>
          <cell r="X675">
            <v>0</v>
          </cell>
          <cell r="Y675">
            <v>0</v>
          </cell>
          <cell r="AB675">
            <v>0</v>
          </cell>
          <cell r="AC675">
            <v>12</v>
          </cell>
          <cell r="AD675">
            <v>0</v>
          </cell>
          <cell r="BF675">
            <v>0</v>
          </cell>
          <cell r="BG675">
            <v>0</v>
          </cell>
          <cell r="BH675">
            <v>0</v>
          </cell>
          <cell r="BI675">
            <v>0</v>
          </cell>
          <cell r="BJ675">
            <v>0</v>
          </cell>
          <cell r="BK675">
            <v>0</v>
          </cell>
          <cell r="BL675">
            <v>0</v>
          </cell>
          <cell r="BM675">
            <v>0</v>
          </cell>
          <cell r="BN675">
            <v>0</v>
          </cell>
          <cell r="BO675">
            <v>0</v>
          </cell>
          <cell r="BP675">
            <v>0</v>
          </cell>
          <cell r="BQ675">
            <v>0</v>
          </cell>
          <cell r="BR675">
            <v>0</v>
          </cell>
          <cell r="BS675">
            <v>0</v>
          </cell>
          <cell r="BT675">
            <v>0</v>
          </cell>
          <cell r="BU675">
            <v>0</v>
          </cell>
          <cell r="BV675">
            <v>0</v>
          </cell>
          <cell r="BW675">
            <v>0</v>
          </cell>
          <cell r="BX675">
            <v>0</v>
          </cell>
          <cell r="BY675">
            <v>0</v>
          </cell>
          <cell r="BZ675">
            <v>0</v>
          </cell>
          <cell r="CA675">
            <v>0</v>
          </cell>
          <cell r="CB675">
            <v>0</v>
          </cell>
          <cell r="CC675">
            <v>0</v>
          </cell>
          <cell r="CD675">
            <v>0</v>
          </cell>
        </row>
        <row r="676">
          <cell r="C676">
            <v>37963</v>
          </cell>
          <cell r="I676">
            <v>0</v>
          </cell>
          <cell r="N676">
            <v>0</v>
          </cell>
          <cell r="P676">
            <v>0</v>
          </cell>
          <cell r="T676">
            <v>0</v>
          </cell>
          <cell r="V676">
            <v>0</v>
          </cell>
          <cell r="W676">
            <v>0</v>
          </cell>
          <cell r="X676">
            <v>0</v>
          </cell>
          <cell r="Y676">
            <v>0</v>
          </cell>
          <cell r="AB676">
            <v>0</v>
          </cell>
          <cell r="AC676">
            <v>12</v>
          </cell>
          <cell r="AD676">
            <v>0</v>
          </cell>
          <cell r="BF676">
            <v>0</v>
          </cell>
          <cell r="BG676">
            <v>0</v>
          </cell>
          <cell r="BH676">
            <v>0</v>
          </cell>
          <cell r="BI676">
            <v>0</v>
          </cell>
          <cell r="BJ676">
            <v>0</v>
          </cell>
          <cell r="BK676">
            <v>0</v>
          </cell>
          <cell r="BL676">
            <v>0</v>
          </cell>
          <cell r="BM676">
            <v>0</v>
          </cell>
          <cell r="BN676">
            <v>0</v>
          </cell>
          <cell r="BO676">
            <v>0</v>
          </cell>
          <cell r="BP676">
            <v>0</v>
          </cell>
          <cell r="BQ676">
            <v>0</v>
          </cell>
          <cell r="BR676">
            <v>0</v>
          </cell>
          <cell r="BS676">
            <v>0</v>
          </cell>
          <cell r="BT676">
            <v>0</v>
          </cell>
          <cell r="BU676">
            <v>0</v>
          </cell>
          <cell r="BV676">
            <v>0</v>
          </cell>
          <cell r="BW676">
            <v>0</v>
          </cell>
          <cell r="BX676">
            <v>0</v>
          </cell>
          <cell r="BY676">
            <v>0</v>
          </cell>
          <cell r="BZ676">
            <v>0</v>
          </cell>
          <cell r="CA676">
            <v>0</v>
          </cell>
          <cell r="CB676">
            <v>0</v>
          </cell>
          <cell r="CC676">
            <v>0</v>
          </cell>
          <cell r="CD676">
            <v>0</v>
          </cell>
        </row>
        <row r="677">
          <cell r="C677">
            <v>37963</v>
          </cell>
          <cell r="I677">
            <v>0</v>
          </cell>
          <cell r="N677">
            <v>0</v>
          </cell>
          <cell r="P677">
            <v>0</v>
          </cell>
          <cell r="T677">
            <v>0</v>
          </cell>
          <cell r="V677">
            <v>0</v>
          </cell>
          <cell r="W677">
            <v>0</v>
          </cell>
          <cell r="X677">
            <v>0</v>
          </cell>
          <cell r="Y677">
            <v>0</v>
          </cell>
          <cell r="AB677">
            <v>0</v>
          </cell>
          <cell r="AC677">
            <v>12</v>
          </cell>
          <cell r="AD677">
            <v>0</v>
          </cell>
          <cell r="BF677">
            <v>0</v>
          </cell>
          <cell r="BG677">
            <v>0</v>
          </cell>
          <cell r="BH677">
            <v>0</v>
          </cell>
          <cell r="BI677">
            <v>0</v>
          </cell>
          <cell r="BJ677">
            <v>0</v>
          </cell>
          <cell r="BK677">
            <v>0</v>
          </cell>
          <cell r="BL677">
            <v>0</v>
          </cell>
          <cell r="BM677">
            <v>0</v>
          </cell>
          <cell r="BN677">
            <v>0</v>
          </cell>
          <cell r="BO677">
            <v>0</v>
          </cell>
          <cell r="BP677">
            <v>0</v>
          </cell>
          <cell r="BQ677">
            <v>0</v>
          </cell>
          <cell r="BR677">
            <v>0</v>
          </cell>
          <cell r="BS677">
            <v>0</v>
          </cell>
          <cell r="BT677">
            <v>0</v>
          </cell>
          <cell r="BU677">
            <v>0</v>
          </cell>
          <cell r="BV677">
            <v>0</v>
          </cell>
          <cell r="BW677">
            <v>0</v>
          </cell>
          <cell r="BX677">
            <v>0</v>
          </cell>
          <cell r="BY677">
            <v>0</v>
          </cell>
          <cell r="BZ677">
            <v>0</v>
          </cell>
          <cell r="CA677">
            <v>0</v>
          </cell>
          <cell r="CB677">
            <v>0</v>
          </cell>
          <cell r="CC677">
            <v>0</v>
          </cell>
          <cell r="CD677">
            <v>0</v>
          </cell>
        </row>
        <row r="678">
          <cell r="C678">
            <v>37963</v>
          </cell>
          <cell r="I678">
            <v>0</v>
          </cell>
          <cell r="N678">
            <v>0</v>
          </cell>
          <cell r="P678">
            <v>0</v>
          </cell>
          <cell r="T678">
            <v>0</v>
          </cell>
          <cell r="V678">
            <v>0</v>
          </cell>
          <cell r="W678">
            <v>0</v>
          </cell>
          <cell r="X678">
            <v>0</v>
          </cell>
          <cell r="Y678">
            <v>0</v>
          </cell>
          <cell r="AB678">
            <v>0</v>
          </cell>
          <cell r="AC678">
            <v>12</v>
          </cell>
          <cell r="AD678">
            <v>0</v>
          </cell>
          <cell r="BF678">
            <v>0</v>
          </cell>
          <cell r="BG678">
            <v>0</v>
          </cell>
          <cell r="BH678">
            <v>0</v>
          </cell>
          <cell r="BI678">
            <v>0</v>
          </cell>
          <cell r="BJ678">
            <v>0</v>
          </cell>
          <cell r="BK678">
            <v>0</v>
          </cell>
          <cell r="BL678">
            <v>0</v>
          </cell>
          <cell r="BM678">
            <v>0</v>
          </cell>
          <cell r="BN678">
            <v>0</v>
          </cell>
          <cell r="BO678">
            <v>0</v>
          </cell>
          <cell r="BP678">
            <v>0</v>
          </cell>
          <cell r="BQ678">
            <v>0</v>
          </cell>
          <cell r="BR678">
            <v>0</v>
          </cell>
          <cell r="BS678">
            <v>0</v>
          </cell>
          <cell r="BT678">
            <v>0</v>
          </cell>
          <cell r="BU678">
            <v>0</v>
          </cell>
          <cell r="BV678">
            <v>0</v>
          </cell>
          <cell r="BW678">
            <v>0</v>
          </cell>
          <cell r="BX678">
            <v>0</v>
          </cell>
          <cell r="BY678">
            <v>0</v>
          </cell>
          <cell r="BZ678">
            <v>0</v>
          </cell>
          <cell r="CA678">
            <v>0</v>
          </cell>
          <cell r="CB678">
            <v>0</v>
          </cell>
          <cell r="CC678">
            <v>0</v>
          </cell>
          <cell r="CD678">
            <v>0</v>
          </cell>
        </row>
        <row r="679">
          <cell r="C679">
            <v>37963</v>
          </cell>
          <cell r="D679">
            <v>37977</v>
          </cell>
          <cell r="E679">
            <v>37966</v>
          </cell>
          <cell r="F679">
            <v>0.85416666666666663</v>
          </cell>
          <cell r="G679" t="str">
            <v>Linha de Pintura 15m</v>
          </cell>
          <cell r="H679" t="str">
            <v>Exaustor não funciona</v>
          </cell>
          <cell r="I679">
            <v>0</v>
          </cell>
          <cell r="J679" t="str">
            <v>Sim</v>
          </cell>
          <cell r="K679" t="str">
            <v>Elétrica</v>
          </cell>
          <cell r="L679" t="str">
            <v>Substituição do(s) Componente(s)</v>
          </cell>
          <cell r="M679" t="str">
            <v>Sobrecarga</v>
          </cell>
          <cell r="N679">
            <v>37966</v>
          </cell>
          <cell r="O679">
            <v>0.86111111111111116</v>
          </cell>
          <cell r="P679">
            <v>0</v>
          </cell>
          <cell r="T679">
            <v>37966</v>
          </cell>
          <cell r="U679">
            <v>0.86805555555555547</v>
          </cell>
          <cell r="V679">
            <v>0</v>
          </cell>
          <cell r="W679">
            <v>1.3888888888080486E-2</v>
          </cell>
          <cell r="X679">
            <v>0</v>
          </cell>
          <cell r="Y679">
            <v>0</v>
          </cell>
          <cell r="AB679">
            <v>12</v>
          </cell>
          <cell r="AC679">
            <v>12</v>
          </cell>
          <cell r="AD679">
            <v>0</v>
          </cell>
          <cell r="BF679">
            <v>0</v>
          </cell>
          <cell r="BG679">
            <v>0</v>
          </cell>
          <cell r="BH679">
            <v>0</v>
          </cell>
          <cell r="BI679">
            <v>0</v>
          </cell>
          <cell r="BJ679">
            <v>0</v>
          </cell>
          <cell r="BK679">
            <v>0</v>
          </cell>
          <cell r="BL679">
            <v>0</v>
          </cell>
          <cell r="BM679">
            <v>0</v>
          </cell>
          <cell r="BN679">
            <v>12</v>
          </cell>
          <cell r="BO679">
            <v>0</v>
          </cell>
          <cell r="BP679">
            <v>0</v>
          </cell>
          <cell r="BQ679">
            <v>0</v>
          </cell>
          <cell r="BR679">
            <v>0</v>
          </cell>
          <cell r="BS679">
            <v>0</v>
          </cell>
          <cell r="BT679">
            <v>0</v>
          </cell>
          <cell r="BU679">
            <v>0</v>
          </cell>
          <cell r="BV679">
            <v>0</v>
          </cell>
          <cell r="BW679">
            <v>0</v>
          </cell>
          <cell r="BX679">
            <v>0</v>
          </cell>
          <cell r="BY679">
            <v>0</v>
          </cell>
          <cell r="BZ679">
            <v>0</v>
          </cell>
          <cell r="CA679">
            <v>0</v>
          </cell>
          <cell r="CB679">
            <v>0</v>
          </cell>
          <cell r="CC679">
            <v>0</v>
          </cell>
          <cell r="CD679">
            <v>0</v>
          </cell>
        </row>
        <row r="680">
          <cell r="C680">
            <v>37963</v>
          </cell>
          <cell r="D680">
            <v>37993</v>
          </cell>
          <cell r="E680">
            <v>37965</v>
          </cell>
          <cell r="F680">
            <v>0.43333333333333335</v>
          </cell>
          <cell r="G680" t="str">
            <v>Linha de Pintura 15m</v>
          </cell>
          <cell r="H680" t="str">
            <v>Elevador fora do nível</v>
          </cell>
          <cell r="I680">
            <v>0</v>
          </cell>
          <cell r="J680" t="str">
            <v>Não</v>
          </cell>
          <cell r="K680" t="str">
            <v>Elétrica</v>
          </cell>
          <cell r="L680" t="str">
            <v>Ajuste / Regulagem</v>
          </cell>
          <cell r="M680" t="str">
            <v>Falha de Comando / Sistema</v>
          </cell>
          <cell r="N680">
            <v>0</v>
          </cell>
          <cell r="O680">
            <v>0.4375</v>
          </cell>
          <cell r="P680">
            <v>0</v>
          </cell>
          <cell r="T680">
            <v>0</v>
          </cell>
          <cell r="U680">
            <v>0.4513888888888889</v>
          </cell>
          <cell r="V680">
            <v>0</v>
          </cell>
          <cell r="W680">
            <v>0</v>
          </cell>
          <cell r="X680">
            <v>0</v>
          </cell>
          <cell r="Y680">
            <v>0</v>
          </cell>
          <cell r="AB680">
            <v>0</v>
          </cell>
          <cell r="AC680">
            <v>12</v>
          </cell>
          <cell r="AD680">
            <v>0</v>
          </cell>
          <cell r="BF680">
            <v>0</v>
          </cell>
          <cell r="BG680">
            <v>0</v>
          </cell>
          <cell r="BH680">
            <v>0</v>
          </cell>
          <cell r="BI680">
            <v>0</v>
          </cell>
          <cell r="BJ680">
            <v>0</v>
          </cell>
          <cell r="BK680">
            <v>0</v>
          </cell>
          <cell r="BL680">
            <v>0</v>
          </cell>
          <cell r="BM680">
            <v>0</v>
          </cell>
          <cell r="BN680">
            <v>0</v>
          </cell>
          <cell r="BO680">
            <v>0</v>
          </cell>
          <cell r="BP680">
            <v>0</v>
          </cell>
          <cell r="BQ680">
            <v>0</v>
          </cell>
          <cell r="BR680">
            <v>0</v>
          </cell>
          <cell r="BS680">
            <v>0</v>
          </cell>
          <cell r="BT680">
            <v>0</v>
          </cell>
          <cell r="BU680">
            <v>0</v>
          </cell>
          <cell r="BV680">
            <v>0</v>
          </cell>
          <cell r="BW680">
            <v>0</v>
          </cell>
          <cell r="BX680">
            <v>0</v>
          </cell>
          <cell r="BY680">
            <v>0</v>
          </cell>
          <cell r="BZ680">
            <v>0</v>
          </cell>
          <cell r="CA680">
            <v>0</v>
          </cell>
          <cell r="CB680">
            <v>0</v>
          </cell>
          <cell r="CC680">
            <v>0</v>
          </cell>
          <cell r="CD680">
            <v>0</v>
          </cell>
        </row>
        <row r="681">
          <cell r="C681">
            <v>37963</v>
          </cell>
          <cell r="D681">
            <v>37977</v>
          </cell>
          <cell r="E681">
            <v>37966</v>
          </cell>
          <cell r="F681">
            <v>0.79166666666666663</v>
          </cell>
          <cell r="G681" t="str">
            <v>Linha de Pintura 15m</v>
          </cell>
          <cell r="H681" t="str">
            <v>Pistola de Líquido parada</v>
          </cell>
          <cell r="I681">
            <v>0</v>
          </cell>
          <cell r="J681" t="str">
            <v>Não</v>
          </cell>
          <cell r="K681" t="str">
            <v>Mecânica</v>
          </cell>
          <cell r="L681" t="str">
            <v>Substituição do(s) Componente(s)</v>
          </cell>
          <cell r="M681" t="str">
            <v>Falha Operacional</v>
          </cell>
          <cell r="N681">
            <v>37966</v>
          </cell>
          <cell r="O681">
            <v>0.79166666666666663</v>
          </cell>
          <cell r="P681">
            <v>0</v>
          </cell>
          <cell r="T681">
            <v>37966</v>
          </cell>
          <cell r="U681">
            <v>0.81944444444444453</v>
          </cell>
          <cell r="V681">
            <v>0</v>
          </cell>
          <cell r="W681">
            <v>2.7777777778586255E-2</v>
          </cell>
          <cell r="X681">
            <v>0</v>
          </cell>
          <cell r="Y681">
            <v>0</v>
          </cell>
          <cell r="AB681">
            <v>12</v>
          </cell>
          <cell r="AC681">
            <v>12</v>
          </cell>
          <cell r="AD681">
            <v>0</v>
          </cell>
          <cell r="BF681">
            <v>0</v>
          </cell>
          <cell r="BG681">
            <v>0</v>
          </cell>
          <cell r="BH681">
            <v>0</v>
          </cell>
          <cell r="BI681">
            <v>0</v>
          </cell>
          <cell r="BJ681">
            <v>0</v>
          </cell>
          <cell r="BK681">
            <v>0</v>
          </cell>
          <cell r="BL681">
            <v>0</v>
          </cell>
          <cell r="BM681">
            <v>0</v>
          </cell>
          <cell r="BN681">
            <v>12</v>
          </cell>
          <cell r="BO681">
            <v>0</v>
          </cell>
          <cell r="BP681">
            <v>0</v>
          </cell>
          <cell r="BQ681">
            <v>0</v>
          </cell>
          <cell r="BR681">
            <v>0</v>
          </cell>
          <cell r="BS681">
            <v>0</v>
          </cell>
          <cell r="BT681">
            <v>0</v>
          </cell>
          <cell r="BU681">
            <v>0</v>
          </cell>
          <cell r="BV681">
            <v>0</v>
          </cell>
          <cell r="BW681">
            <v>0</v>
          </cell>
          <cell r="BX681">
            <v>0</v>
          </cell>
          <cell r="BY681">
            <v>0</v>
          </cell>
          <cell r="BZ681">
            <v>0</v>
          </cell>
          <cell r="CA681">
            <v>0</v>
          </cell>
          <cell r="CB681">
            <v>0</v>
          </cell>
          <cell r="CC681">
            <v>0</v>
          </cell>
          <cell r="CD681">
            <v>0</v>
          </cell>
        </row>
        <row r="682">
          <cell r="C682">
            <v>37963</v>
          </cell>
          <cell r="D682">
            <v>37977</v>
          </cell>
          <cell r="E682">
            <v>37967</v>
          </cell>
          <cell r="F682">
            <v>0.45833333333333331</v>
          </cell>
          <cell r="G682" t="str">
            <v>Linha de Pintura 15m</v>
          </cell>
          <cell r="H682" t="str">
            <v>Pistola no. 07 com problema no Venturi</v>
          </cell>
          <cell r="I682">
            <v>0</v>
          </cell>
          <cell r="J682" t="str">
            <v>Sim</v>
          </cell>
          <cell r="K682" t="str">
            <v>Mecânica</v>
          </cell>
          <cell r="L682" t="str">
            <v>Substituição do(s) Componente(s)</v>
          </cell>
          <cell r="M682" t="str">
            <v>Desgaste / Fadiga</v>
          </cell>
          <cell r="N682">
            <v>37967</v>
          </cell>
          <cell r="O682">
            <v>0.45833333333333331</v>
          </cell>
          <cell r="P682">
            <v>0</v>
          </cell>
          <cell r="T682">
            <v>37967</v>
          </cell>
          <cell r="U682">
            <v>0.46875</v>
          </cell>
          <cell r="V682">
            <v>0</v>
          </cell>
          <cell r="W682">
            <v>1.0416666666666685E-2</v>
          </cell>
          <cell r="X682">
            <v>0</v>
          </cell>
          <cell r="Y682">
            <v>0</v>
          </cell>
          <cell r="AB682">
            <v>12</v>
          </cell>
          <cell r="AC682">
            <v>12</v>
          </cell>
          <cell r="AD682">
            <v>0</v>
          </cell>
          <cell r="BF682">
            <v>0</v>
          </cell>
          <cell r="BG682">
            <v>0</v>
          </cell>
          <cell r="BH682">
            <v>0</v>
          </cell>
          <cell r="BI682">
            <v>0</v>
          </cell>
          <cell r="BJ682">
            <v>0</v>
          </cell>
          <cell r="BK682">
            <v>0</v>
          </cell>
          <cell r="BL682">
            <v>0</v>
          </cell>
          <cell r="BM682">
            <v>0</v>
          </cell>
          <cell r="BN682">
            <v>12</v>
          </cell>
          <cell r="BO682">
            <v>0</v>
          </cell>
          <cell r="BP682">
            <v>0</v>
          </cell>
          <cell r="BQ682">
            <v>0</v>
          </cell>
          <cell r="BR682">
            <v>0</v>
          </cell>
          <cell r="BS682">
            <v>0</v>
          </cell>
          <cell r="BT682">
            <v>0</v>
          </cell>
          <cell r="BU682">
            <v>0</v>
          </cell>
          <cell r="BV682">
            <v>0</v>
          </cell>
          <cell r="BW682">
            <v>0</v>
          </cell>
          <cell r="BX682">
            <v>0</v>
          </cell>
          <cell r="BY682">
            <v>0</v>
          </cell>
          <cell r="BZ682">
            <v>0</v>
          </cell>
          <cell r="CA682">
            <v>0</v>
          </cell>
          <cell r="CB682">
            <v>0</v>
          </cell>
          <cell r="CC682">
            <v>0</v>
          </cell>
          <cell r="CD682">
            <v>0</v>
          </cell>
        </row>
        <row r="683">
          <cell r="C683">
            <v>37963</v>
          </cell>
          <cell r="E683">
            <v>37971</v>
          </cell>
          <cell r="F683">
            <v>0.84375</v>
          </cell>
          <cell r="G683" t="str">
            <v>Linha de Pintura 8,5m</v>
          </cell>
          <cell r="H683" t="str">
            <v>Exaustor não funciona</v>
          </cell>
          <cell r="I683">
            <v>0</v>
          </cell>
          <cell r="J683" t="str">
            <v>Sim</v>
          </cell>
          <cell r="K683" t="str">
            <v>Elétrica</v>
          </cell>
          <cell r="L683" t="str">
            <v>Substituição do(s) Componente(s)</v>
          </cell>
          <cell r="M683" t="str">
            <v>Sobrecarga</v>
          </cell>
          <cell r="N683">
            <v>0</v>
          </cell>
          <cell r="P683">
            <v>0</v>
          </cell>
          <cell r="T683">
            <v>0</v>
          </cell>
          <cell r="V683">
            <v>0</v>
          </cell>
          <cell r="W683">
            <v>0</v>
          </cell>
          <cell r="X683">
            <v>0</v>
          </cell>
          <cell r="Y683">
            <v>0</v>
          </cell>
          <cell r="AB683">
            <v>0</v>
          </cell>
          <cell r="AC683">
            <v>12</v>
          </cell>
          <cell r="AD683">
            <v>0</v>
          </cell>
          <cell r="BF683">
            <v>0</v>
          </cell>
          <cell r="BG683">
            <v>0</v>
          </cell>
          <cell r="BH683">
            <v>0</v>
          </cell>
          <cell r="BI683">
            <v>0</v>
          </cell>
          <cell r="BJ683">
            <v>0</v>
          </cell>
          <cell r="BK683">
            <v>0</v>
          </cell>
          <cell r="BL683">
            <v>0</v>
          </cell>
          <cell r="BM683">
            <v>0</v>
          </cell>
          <cell r="BN683">
            <v>0</v>
          </cell>
          <cell r="BO683">
            <v>0</v>
          </cell>
          <cell r="BP683">
            <v>1</v>
          </cell>
          <cell r="BQ683">
            <v>0</v>
          </cell>
          <cell r="BR683">
            <v>0</v>
          </cell>
          <cell r="BS683">
            <v>0</v>
          </cell>
          <cell r="BT683">
            <v>0</v>
          </cell>
          <cell r="BU683">
            <v>0</v>
          </cell>
          <cell r="BV683">
            <v>0</v>
          </cell>
          <cell r="BW683">
            <v>0</v>
          </cell>
          <cell r="BX683">
            <v>0</v>
          </cell>
          <cell r="BY683">
            <v>0</v>
          </cell>
          <cell r="BZ683">
            <v>0</v>
          </cell>
          <cell r="CA683">
            <v>0</v>
          </cell>
          <cell r="CB683">
            <v>0</v>
          </cell>
          <cell r="CC683">
            <v>0</v>
          </cell>
          <cell r="CD683">
            <v>0</v>
          </cell>
        </row>
        <row r="684">
          <cell r="C684">
            <v>37963</v>
          </cell>
          <cell r="D684">
            <v>37993</v>
          </cell>
          <cell r="E684">
            <v>37972</v>
          </cell>
          <cell r="F684">
            <v>0.29166666666666669</v>
          </cell>
          <cell r="G684" t="str">
            <v>Linha de Pintura 15m</v>
          </cell>
          <cell r="H684" t="str">
            <v>Prendedor do braço da pistola 13 quebrado conforme regulagem</v>
          </cell>
          <cell r="I684">
            <v>0</v>
          </cell>
          <cell r="J684" t="str">
            <v>Não</v>
          </cell>
          <cell r="K684" t="str">
            <v>Mecânica</v>
          </cell>
          <cell r="L684" t="str">
            <v>Substituição do(s) Componente(s)</v>
          </cell>
          <cell r="M684" t="str">
            <v>Defeito de Fabricação</v>
          </cell>
          <cell r="N684">
            <v>0</v>
          </cell>
          <cell r="O684">
            <v>0.30208333333333331</v>
          </cell>
          <cell r="P684">
            <v>0</v>
          </cell>
          <cell r="T684">
            <v>0</v>
          </cell>
          <cell r="U684">
            <v>0.34722222222222227</v>
          </cell>
          <cell r="V684">
            <v>0</v>
          </cell>
          <cell r="W684">
            <v>0</v>
          </cell>
          <cell r="X684">
            <v>0</v>
          </cell>
          <cell r="Y684">
            <v>0</v>
          </cell>
          <cell r="AB684">
            <v>0</v>
          </cell>
          <cell r="AC684">
            <v>12</v>
          </cell>
          <cell r="AD684">
            <v>0</v>
          </cell>
          <cell r="BF684">
            <v>0</v>
          </cell>
          <cell r="BG684">
            <v>0</v>
          </cell>
          <cell r="BH684">
            <v>0</v>
          </cell>
          <cell r="BI684">
            <v>0</v>
          </cell>
          <cell r="BJ684">
            <v>0</v>
          </cell>
          <cell r="BK684">
            <v>0</v>
          </cell>
          <cell r="BL684">
            <v>0</v>
          </cell>
          <cell r="BM684">
            <v>0</v>
          </cell>
          <cell r="BN684">
            <v>0</v>
          </cell>
          <cell r="BO684">
            <v>0</v>
          </cell>
          <cell r="BP684">
            <v>0</v>
          </cell>
          <cell r="BQ684">
            <v>0</v>
          </cell>
          <cell r="BR684">
            <v>0</v>
          </cell>
          <cell r="BS684">
            <v>0</v>
          </cell>
          <cell r="BT684">
            <v>0</v>
          </cell>
          <cell r="BU684">
            <v>0</v>
          </cell>
          <cell r="BV684">
            <v>0</v>
          </cell>
          <cell r="BW684">
            <v>0</v>
          </cell>
          <cell r="BX684">
            <v>0</v>
          </cell>
          <cell r="BY684">
            <v>0</v>
          </cell>
          <cell r="BZ684">
            <v>0</v>
          </cell>
          <cell r="CA684">
            <v>0</v>
          </cell>
          <cell r="CB684">
            <v>0</v>
          </cell>
          <cell r="CC684">
            <v>0</v>
          </cell>
          <cell r="CD684">
            <v>0</v>
          </cell>
        </row>
        <row r="685">
          <cell r="C685">
            <v>37963</v>
          </cell>
          <cell r="D685">
            <v>37993</v>
          </cell>
          <cell r="E685">
            <v>37973</v>
          </cell>
          <cell r="F685">
            <v>0.38194444444444442</v>
          </cell>
          <cell r="G685" t="str">
            <v>Linha de Pintura 15m</v>
          </cell>
          <cell r="H685" t="str">
            <v>Elevador fora do nível</v>
          </cell>
          <cell r="I685">
            <v>0</v>
          </cell>
          <cell r="J685" t="str">
            <v>Não</v>
          </cell>
          <cell r="K685" t="str">
            <v>Elétrica</v>
          </cell>
          <cell r="L685" t="str">
            <v>Ajuste / Regulagem</v>
          </cell>
          <cell r="M685" t="str">
            <v>Falha de Comando / Sistema</v>
          </cell>
          <cell r="N685">
            <v>0</v>
          </cell>
          <cell r="O685">
            <v>0.38194444444444442</v>
          </cell>
          <cell r="P685">
            <v>0</v>
          </cell>
          <cell r="T685">
            <v>0</v>
          </cell>
          <cell r="U685">
            <v>0.3888888888888889</v>
          </cell>
          <cell r="V685">
            <v>0</v>
          </cell>
          <cell r="W685">
            <v>0</v>
          </cell>
          <cell r="X685">
            <v>0</v>
          </cell>
          <cell r="Y685">
            <v>0</v>
          </cell>
          <cell r="AB685">
            <v>0</v>
          </cell>
          <cell r="AC685">
            <v>12</v>
          </cell>
          <cell r="AD685">
            <v>0</v>
          </cell>
          <cell r="BF685">
            <v>0</v>
          </cell>
          <cell r="BG685">
            <v>0</v>
          </cell>
          <cell r="BH685">
            <v>0</v>
          </cell>
          <cell r="BI685">
            <v>0</v>
          </cell>
          <cell r="BJ685">
            <v>0</v>
          </cell>
          <cell r="BK685">
            <v>0</v>
          </cell>
          <cell r="BL685">
            <v>0</v>
          </cell>
          <cell r="BM685">
            <v>0</v>
          </cell>
          <cell r="BN685">
            <v>0</v>
          </cell>
          <cell r="BO685">
            <v>0</v>
          </cell>
          <cell r="BP685">
            <v>0</v>
          </cell>
          <cell r="BQ685">
            <v>0</v>
          </cell>
          <cell r="BR685">
            <v>0</v>
          </cell>
          <cell r="BS685">
            <v>0</v>
          </cell>
          <cell r="BT685">
            <v>0</v>
          </cell>
          <cell r="BU685">
            <v>0</v>
          </cell>
          <cell r="BV685">
            <v>0</v>
          </cell>
          <cell r="BW685">
            <v>0</v>
          </cell>
          <cell r="BX685">
            <v>0</v>
          </cell>
          <cell r="BY685">
            <v>0</v>
          </cell>
          <cell r="BZ685">
            <v>0</v>
          </cell>
          <cell r="CA685">
            <v>0</v>
          </cell>
          <cell r="CB685">
            <v>0</v>
          </cell>
          <cell r="CC685">
            <v>0</v>
          </cell>
          <cell r="CD685">
            <v>0</v>
          </cell>
        </row>
        <row r="686">
          <cell r="C686">
            <v>37963</v>
          </cell>
          <cell r="D686">
            <v>37993</v>
          </cell>
          <cell r="E686">
            <v>37973</v>
          </cell>
          <cell r="F686">
            <v>0.72916666666666663</v>
          </cell>
          <cell r="G686" t="str">
            <v>Linha de Pintura 8,5m</v>
          </cell>
          <cell r="H686" t="str">
            <v>Bastidor Travado</v>
          </cell>
          <cell r="I686">
            <v>0</v>
          </cell>
          <cell r="J686" t="str">
            <v>Não</v>
          </cell>
          <cell r="K686" t="str">
            <v>Mecânica</v>
          </cell>
          <cell r="L686" t="str">
            <v>Destravamento dos Componentes</v>
          </cell>
          <cell r="M686" t="str">
            <v>Falha de Comando / Sistema</v>
          </cell>
          <cell r="N686">
            <v>0</v>
          </cell>
          <cell r="O686">
            <v>0.73263888888888884</v>
          </cell>
          <cell r="P686">
            <v>0</v>
          </cell>
          <cell r="T686">
            <v>0</v>
          </cell>
          <cell r="U686">
            <v>0.74305555555555547</v>
          </cell>
          <cell r="V686">
            <v>0</v>
          </cell>
          <cell r="W686">
            <v>0</v>
          </cell>
          <cell r="X686">
            <v>0</v>
          </cell>
          <cell r="Y686">
            <v>0</v>
          </cell>
          <cell r="AB686">
            <v>0</v>
          </cell>
          <cell r="AC686">
            <v>12</v>
          </cell>
          <cell r="AD686">
            <v>0</v>
          </cell>
          <cell r="BF686">
            <v>0</v>
          </cell>
          <cell r="BG686">
            <v>0</v>
          </cell>
          <cell r="BH686">
            <v>0</v>
          </cell>
          <cell r="BI686">
            <v>0</v>
          </cell>
          <cell r="BJ686">
            <v>0</v>
          </cell>
          <cell r="BK686">
            <v>0</v>
          </cell>
          <cell r="BL686">
            <v>0</v>
          </cell>
          <cell r="BM686">
            <v>0</v>
          </cell>
          <cell r="BN686">
            <v>0</v>
          </cell>
          <cell r="BO686">
            <v>0</v>
          </cell>
          <cell r="BP686">
            <v>0</v>
          </cell>
          <cell r="BQ686">
            <v>0</v>
          </cell>
          <cell r="BR686">
            <v>0</v>
          </cell>
          <cell r="BS686">
            <v>0</v>
          </cell>
          <cell r="BT686">
            <v>0</v>
          </cell>
          <cell r="BU686">
            <v>0</v>
          </cell>
          <cell r="BV686">
            <v>0</v>
          </cell>
          <cell r="BW686">
            <v>0</v>
          </cell>
          <cell r="BX686">
            <v>0</v>
          </cell>
          <cell r="BY686">
            <v>0</v>
          </cell>
          <cell r="BZ686">
            <v>0</v>
          </cell>
          <cell r="CA686">
            <v>0</v>
          </cell>
          <cell r="CB686">
            <v>0</v>
          </cell>
          <cell r="CC686">
            <v>0</v>
          </cell>
          <cell r="CD686">
            <v>0</v>
          </cell>
        </row>
        <row r="687">
          <cell r="C687">
            <v>37963</v>
          </cell>
          <cell r="D687">
            <v>37993</v>
          </cell>
          <cell r="E687">
            <v>37974</v>
          </cell>
          <cell r="F687">
            <v>0.60416666666666663</v>
          </cell>
          <cell r="G687" t="str">
            <v>Linha de Pintura 15m</v>
          </cell>
          <cell r="H687" t="str">
            <v>Bomba do Enxágüe 02 travada</v>
          </cell>
          <cell r="I687">
            <v>0</v>
          </cell>
          <cell r="J687" t="str">
            <v>Não</v>
          </cell>
          <cell r="K687" t="str">
            <v>Mecânica</v>
          </cell>
          <cell r="L687" t="str">
            <v>Mesmo após acompanhamento do funcionamento, o problema não foi detectado</v>
          </cell>
          <cell r="M687" t="str">
            <v>Falha Operacional</v>
          </cell>
          <cell r="N687">
            <v>0</v>
          </cell>
          <cell r="O687">
            <v>0.60763888888888895</v>
          </cell>
          <cell r="P687">
            <v>0</v>
          </cell>
          <cell r="T687">
            <v>0</v>
          </cell>
          <cell r="U687">
            <v>0.61805555555555558</v>
          </cell>
          <cell r="V687">
            <v>0</v>
          </cell>
          <cell r="W687">
            <v>0</v>
          </cell>
          <cell r="X687">
            <v>0</v>
          </cell>
          <cell r="Y687">
            <v>0</v>
          </cell>
          <cell r="AB687">
            <v>0</v>
          </cell>
          <cell r="AC687">
            <v>12</v>
          </cell>
          <cell r="AD687">
            <v>0</v>
          </cell>
          <cell r="BF687">
            <v>0</v>
          </cell>
          <cell r="BG687">
            <v>0</v>
          </cell>
          <cell r="BH687">
            <v>0</v>
          </cell>
          <cell r="BI687">
            <v>0</v>
          </cell>
          <cell r="BJ687">
            <v>0</v>
          </cell>
          <cell r="BK687">
            <v>0</v>
          </cell>
          <cell r="BL687">
            <v>0</v>
          </cell>
          <cell r="BM687">
            <v>0</v>
          </cell>
          <cell r="BN687">
            <v>0</v>
          </cell>
          <cell r="BO687">
            <v>0</v>
          </cell>
          <cell r="BP687">
            <v>0</v>
          </cell>
          <cell r="BQ687">
            <v>0</v>
          </cell>
          <cell r="BR687">
            <v>0</v>
          </cell>
          <cell r="BS687">
            <v>0</v>
          </cell>
          <cell r="BT687">
            <v>0</v>
          </cell>
          <cell r="BU687">
            <v>0</v>
          </cell>
          <cell r="BV687">
            <v>0</v>
          </cell>
          <cell r="BW687">
            <v>0</v>
          </cell>
          <cell r="BX687">
            <v>0</v>
          </cell>
          <cell r="BY687">
            <v>0</v>
          </cell>
          <cell r="BZ687">
            <v>0</v>
          </cell>
          <cell r="CA687">
            <v>0</v>
          </cell>
          <cell r="CB687">
            <v>0</v>
          </cell>
          <cell r="CC687">
            <v>0</v>
          </cell>
          <cell r="CD687">
            <v>0</v>
          </cell>
        </row>
        <row r="688">
          <cell r="C688">
            <v>37963</v>
          </cell>
          <cell r="D688">
            <v>37993</v>
          </cell>
          <cell r="E688">
            <v>37974</v>
          </cell>
          <cell r="F688">
            <v>0.66666666666666663</v>
          </cell>
          <cell r="G688" t="str">
            <v>Linha de Pintura 15m</v>
          </cell>
          <cell r="H688" t="str">
            <v>Linha Travada</v>
          </cell>
          <cell r="I688">
            <v>0</v>
          </cell>
          <cell r="J688" t="str">
            <v>Sim</v>
          </cell>
          <cell r="K688" t="str">
            <v>Elétrica</v>
          </cell>
          <cell r="L688" t="str">
            <v>Mesmo após acompanhamento do funcionamento, o problema não foi detectado</v>
          </cell>
          <cell r="M688" t="str">
            <v>Falha Operacional</v>
          </cell>
          <cell r="N688">
            <v>0</v>
          </cell>
          <cell r="O688">
            <v>0.68055555555555547</v>
          </cell>
          <cell r="P688">
            <v>0</v>
          </cell>
          <cell r="T688">
            <v>0</v>
          </cell>
          <cell r="U688">
            <v>0.6875</v>
          </cell>
          <cell r="V688">
            <v>0</v>
          </cell>
          <cell r="W688">
            <v>0</v>
          </cell>
          <cell r="X688">
            <v>0</v>
          </cell>
          <cell r="Y688">
            <v>0</v>
          </cell>
          <cell r="AB688">
            <v>0</v>
          </cell>
          <cell r="AC688">
            <v>12</v>
          </cell>
          <cell r="AD688">
            <v>0</v>
          </cell>
          <cell r="BF688">
            <v>0</v>
          </cell>
          <cell r="BG688">
            <v>0</v>
          </cell>
          <cell r="BH688">
            <v>0</v>
          </cell>
          <cell r="BI688">
            <v>0</v>
          </cell>
          <cell r="BJ688">
            <v>0</v>
          </cell>
          <cell r="BK688">
            <v>0</v>
          </cell>
          <cell r="BL688">
            <v>0</v>
          </cell>
          <cell r="BM688">
            <v>0</v>
          </cell>
          <cell r="BN688">
            <v>0</v>
          </cell>
          <cell r="BO688">
            <v>0</v>
          </cell>
          <cell r="BP688">
            <v>0</v>
          </cell>
          <cell r="BQ688">
            <v>0</v>
          </cell>
          <cell r="BR688">
            <v>0</v>
          </cell>
          <cell r="BS688">
            <v>0</v>
          </cell>
          <cell r="BT688">
            <v>0</v>
          </cell>
          <cell r="BU688">
            <v>0</v>
          </cell>
          <cell r="BV688">
            <v>0</v>
          </cell>
          <cell r="BW688">
            <v>0</v>
          </cell>
          <cell r="BX688">
            <v>0</v>
          </cell>
          <cell r="BY688">
            <v>0</v>
          </cell>
          <cell r="BZ688">
            <v>0</v>
          </cell>
          <cell r="CA688">
            <v>0</v>
          </cell>
          <cell r="CB688">
            <v>0</v>
          </cell>
          <cell r="CC688">
            <v>0</v>
          </cell>
          <cell r="CD688">
            <v>0</v>
          </cell>
        </row>
        <row r="689">
          <cell r="C689">
            <v>37963</v>
          </cell>
          <cell r="D689">
            <v>37993</v>
          </cell>
          <cell r="E689">
            <v>37978</v>
          </cell>
          <cell r="F689">
            <v>0.70833333333333337</v>
          </cell>
          <cell r="G689" t="str">
            <v>Linha de Pintura 15m</v>
          </cell>
          <cell r="H689" t="str">
            <v>Linha Travada</v>
          </cell>
          <cell r="I689">
            <v>0</v>
          </cell>
          <cell r="J689" t="str">
            <v>Sim</v>
          </cell>
          <cell r="K689" t="str">
            <v>Elétrica</v>
          </cell>
          <cell r="L689" t="str">
            <v>Recontagem dos bastidores nos estoques e correção</v>
          </cell>
          <cell r="M689" t="str">
            <v>Falha Operacional</v>
          </cell>
          <cell r="N689">
            <v>0</v>
          </cell>
          <cell r="O689">
            <v>0.70833333333333337</v>
          </cell>
          <cell r="P689">
            <v>0</v>
          </cell>
          <cell r="T689">
            <v>0</v>
          </cell>
          <cell r="U689">
            <v>0.77430555555555547</v>
          </cell>
          <cell r="V689">
            <v>0</v>
          </cell>
          <cell r="W689">
            <v>0</v>
          </cell>
          <cell r="X689">
            <v>0</v>
          </cell>
          <cell r="Y689">
            <v>0</v>
          </cell>
          <cell r="AB689">
            <v>0</v>
          </cell>
          <cell r="AC689">
            <v>12</v>
          </cell>
          <cell r="AD689">
            <v>0</v>
          </cell>
          <cell r="BF689">
            <v>0</v>
          </cell>
          <cell r="BG689">
            <v>0</v>
          </cell>
          <cell r="BH689">
            <v>0</v>
          </cell>
          <cell r="BI689">
            <v>0</v>
          </cell>
          <cell r="BJ689">
            <v>0</v>
          </cell>
          <cell r="BK689">
            <v>0</v>
          </cell>
          <cell r="BL689">
            <v>0</v>
          </cell>
          <cell r="BM689">
            <v>0</v>
          </cell>
          <cell r="BN689">
            <v>0</v>
          </cell>
          <cell r="BO689">
            <v>0</v>
          </cell>
          <cell r="BP689">
            <v>0</v>
          </cell>
          <cell r="BQ689">
            <v>0</v>
          </cell>
          <cell r="BR689">
            <v>0</v>
          </cell>
          <cell r="BS689">
            <v>0</v>
          </cell>
          <cell r="BT689">
            <v>0</v>
          </cell>
          <cell r="BU689">
            <v>0</v>
          </cell>
          <cell r="BV689">
            <v>0</v>
          </cell>
          <cell r="BW689">
            <v>0</v>
          </cell>
          <cell r="BX689">
            <v>0</v>
          </cell>
          <cell r="BY689">
            <v>0</v>
          </cell>
          <cell r="BZ689">
            <v>0</v>
          </cell>
          <cell r="CA689">
            <v>0</v>
          </cell>
          <cell r="CB689">
            <v>0</v>
          </cell>
          <cell r="CC689">
            <v>0</v>
          </cell>
          <cell r="CD689">
            <v>0</v>
          </cell>
        </row>
        <row r="690">
          <cell r="C690">
            <v>37963</v>
          </cell>
          <cell r="I690">
            <v>0</v>
          </cell>
          <cell r="N690">
            <v>0</v>
          </cell>
          <cell r="P690">
            <v>0</v>
          </cell>
          <cell r="T690">
            <v>0</v>
          </cell>
          <cell r="V690">
            <v>0</v>
          </cell>
          <cell r="W690">
            <v>0</v>
          </cell>
          <cell r="X690">
            <v>0</v>
          </cell>
          <cell r="Y690">
            <v>0</v>
          </cell>
          <cell r="AB690">
            <v>0</v>
          </cell>
          <cell r="AC690">
            <v>12</v>
          </cell>
          <cell r="AD690">
            <v>0</v>
          </cell>
          <cell r="BF690">
            <v>0</v>
          </cell>
          <cell r="BG690">
            <v>0</v>
          </cell>
          <cell r="BH690">
            <v>0</v>
          </cell>
          <cell r="BI690">
            <v>0</v>
          </cell>
          <cell r="BJ690">
            <v>0</v>
          </cell>
          <cell r="BK690">
            <v>0</v>
          </cell>
          <cell r="BL690">
            <v>0</v>
          </cell>
          <cell r="BM690">
            <v>0</v>
          </cell>
          <cell r="BN690">
            <v>0</v>
          </cell>
          <cell r="BO690">
            <v>0</v>
          </cell>
          <cell r="BP690">
            <v>0</v>
          </cell>
          <cell r="BQ690">
            <v>0</v>
          </cell>
          <cell r="BR690">
            <v>0</v>
          </cell>
          <cell r="BS690">
            <v>0</v>
          </cell>
          <cell r="BT690">
            <v>0</v>
          </cell>
          <cell r="BU690">
            <v>0</v>
          </cell>
          <cell r="BV690">
            <v>0</v>
          </cell>
          <cell r="BW690">
            <v>0</v>
          </cell>
          <cell r="BX690">
            <v>0</v>
          </cell>
          <cell r="BY690">
            <v>0</v>
          </cell>
          <cell r="BZ690">
            <v>0</v>
          </cell>
          <cell r="CA690">
            <v>0</v>
          </cell>
          <cell r="CB690">
            <v>0</v>
          </cell>
          <cell r="CC690">
            <v>0</v>
          </cell>
          <cell r="CD690">
            <v>0</v>
          </cell>
        </row>
        <row r="691">
          <cell r="C691">
            <v>37963</v>
          </cell>
          <cell r="I691">
            <v>0</v>
          </cell>
          <cell r="N691">
            <v>0</v>
          </cell>
          <cell r="P691">
            <v>0</v>
          </cell>
          <cell r="T691">
            <v>0</v>
          </cell>
          <cell r="V691">
            <v>0</v>
          </cell>
          <cell r="W691">
            <v>0</v>
          </cell>
          <cell r="X691">
            <v>0</v>
          </cell>
          <cell r="Y691">
            <v>0</v>
          </cell>
          <cell r="AB691">
            <v>0</v>
          </cell>
          <cell r="AC691">
            <v>12</v>
          </cell>
          <cell r="AD691">
            <v>0</v>
          </cell>
          <cell r="BF691">
            <v>0</v>
          </cell>
          <cell r="BG691">
            <v>0</v>
          </cell>
          <cell r="BH691">
            <v>0</v>
          </cell>
          <cell r="BI691">
            <v>0</v>
          </cell>
          <cell r="BJ691">
            <v>0</v>
          </cell>
          <cell r="BK691">
            <v>0</v>
          </cell>
          <cell r="BL691">
            <v>0</v>
          </cell>
          <cell r="BM691">
            <v>0</v>
          </cell>
          <cell r="BN691">
            <v>0</v>
          </cell>
          <cell r="BO691">
            <v>0</v>
          </cell>
          <cell r="BP691">
            <v>0</v>
          </cell>
          <cell r="BQ691">
            <v>0</v>
          </cell>
          <cell r="BR691">
            <v>0</v>
          </cell>
          <cell r="BS691">
            <v>0</v>
          </cell>
          <cell r="BT691">
            <v>0</v>
          </cell>
          <cell r="BU691">
            <v>0</v>
          </cell>
          <cell r="BV691">
            <v>0</v>
          </cell>
          <cell r="BW691">
            <v>0</v>
          </cell>
          <cell r="BX691">
            <v>0</v>
          </cell>
          <cell r="BY691">
            <v>0</v>
          </cell>
          <cell r="BZ691">
            <v>0</v>
          </cell>
          <cell r="CA691">
            <v>0</v>
          </cell>
          <cell r="CB691">
            <v>0</v>
          </cell>
          <cell r="CC691">
            <v>0</v>
          </cell>
          <cell r="CD691">
            <v>0</v>
          </cell>
        </row>
        <row r="692">
          <cell r="C692">
            <v>37963</v>
          </cell>
          <cell r="D692">
            <v>37993</v>
          </cell>
          <cell r="E692">
            <v>37985</v>
          </cell>
          <cell r="F692">
            <v>0.58333333333333337</v>
          </cell>
          <cell r="G692" t="str">
            <v>Linha de Pintura 15m</v>
          </cell>
          <cell r="H692" t="str">
            <v>Parôs 03 e 11 não estão liberando</v>
          </cell>
          <cell r="I692">
            <v>0</v>
          </cell>
          <cell r="J692" t="str">
            <v>Sim</v>
          </cell>
          <cell r="K692" t="str">
            <v>Elétrica</v>
          </cell>
          <cell r="L692" t="str">
            <v>Recontagem dos bastidores nos estoques e correção</v>
          </cell>
          <cell r="M692" t="str">
            <v>Falha Operacional</v>
          </cell>
          <cell r="N692">
            <v>0</v>
          </cell>
          <cell r="O692">
            <v>0.58333333333333337</v>
          </cell>
          <cell r="P692">
            <v>0</v>
          </cell>
          <cell r="T692">
            <v>0</v>
          </cell>
          <cell r="U692">
            <v>0.66666666666666663</v>
          </cell>
          <cell r="V692">
            <v>0</v>
          </cell>
          <cell r="W692">
            <v>0</v>
          </cell>
          <cell r="X692">
            <v>0</v>
          </cell>
          <cell r="Y692">
            <v>0</v>
          </cell>
          <cell r="AB692">
            <v>0</v>
          </cell>
          <cell r="AC692">
            <v>12</v>
          </cell>
          <cell r="AD692">
            <v>0</v>
          </cell>
          <cell r="BF692">
            <v>0</v>
          </cell>
          <cell r="BG692">
            <v>0</v>
          </cell>
          <cell r="BH692">
            <v>0</v>
          </cell>
          <cell r="BI692">
            <v>0</v>
          </cell>
          <cell r="BJ692">
            <v>0</v>
          </cell>
          <cell r="BK692">
            <v>0</v>
          </cell>
          <cell r="BL692">
            <v>0</v>
          </cell>
          <cell r="BM692">
            <v>0</v>
          </cell>
          <cell r="BN692">
            <v>0</v>
          </cell>
          <cell r="BO692">
            <v>0</v>
          </cell>
          <cell r="BP692">
            <v>0</v>
          </cell>
          <cell r="BQ692">
            <v>0</v>
          </cell>
          <cell r="BR692">
            <v>0</v>
          </cell>
          <cell r="BS692">
            <v>0</v>
          </cell>
          <cell r="BT692">
            <v>0</v>
          </cell>
          <cell r="BU692">
            <v>0</v>
          </cell>
          <cell r="BV692">
            <v>0</v>
          </cell>
          <cell r="BW692">
            <v>0</v>
          </cell>
          <cell r="BX692">
            <v>0</v>
          </cell>
          <cell r="BY692">
            <v>0</v>
          </cell>
          <cell r="BZ692">
            <v>0</v>
          </cell>
          <cell r="CA692">
            <v>0</v>
          </cell>
          <cell r="CB692">
            <v>0</v>
          </cell>
          <cell r="CC692">
            <v>0</v>
          </cell>
          <cell r="CD692">
            <v>0</v>
          </cell>
        </row>
        <row r="693">
          <cell r="C693">
            <v>37963</v>
          </cell>
          <cell r="I693">
            <v>0</v>
          </cell>
          <cell r="N693">
            <v>0</v>
          </cell>
          <cell r="P693">
            <v>0</v>
          </cell>
          <cell r="T693">
            <v>0</v>
          </cell>
          <cell r="V693">
            <v>0</v>
          </cell>
          <cell r="W693">
            <v>0</v>
          </cell>
          <cell r="X693">
            <v>0</v>
          </cell>
          <cell r="Y693">
            <v>0</v>
          </cell>
          <cell r="AB693">
            <v>0</v>
          </cell>
          <cell r="AC693">
            <v>12</v>
          </cell>
          <cell r="AD693">
            <v>0</v>
          </cell>
          <cell r="BF693">
            <v>0</v>
          </cell>
          <cell r="BG693">
            <v>0</v>
          </cell>
          <cell r="BH693">
            <v>0</v>
          </cell>
          <cell r="BI693">
            <v>0</v>
          </cell>
          <cell r="BJ693">
            <v>0</v>
          </cell>
          <cell r="BK693">
            <v>0</v>
          </cell>
          <cell r="BL693">
            <v>0</v>
          </cell>
          <cell r="BM693">
            <v>0</v>
          </cell>
          <cell r="BN693">
            <v>0</v>
          </cell>
          <cell r="BO693">
            <v>0</v>
          </cell>
          <cell r="BP693">
            <v>0</v>
          </cell>
          <cell r="BQ693">
            <v>0</v>
          </cell>
          <cell r="BR693">
            <v>0</v>
          </cell>
          <cell r="BS693">
            <v>0</v>
          </cell>
          <cell r="BT693">
            <v>0</v>
          </cell>
          <cell r="BU693">
            <v>0</v>
          </cell>
          <cell r="BV693">
            <v>0</v>
          </cell>
          <cell r="BW693">
            <v>0</v>
          </cell>
          <cell r="BX693">
            <v>0</v>
          </cell>
          <cell r="BY693">
            <v>0</v>
          </cell>
          <cell r="BZ693">
            <v>0</v>
          </cell>
          <cell r="CA693">
            <v>0</v>
          </cell>
          <cell r="CB693">
            <v>0</v>
          </cell>
          <cell r="CC693">
            <v>0</v>
          </cell>
          <cell r="CD693">
            <v>0</v>
          </cell>
        </row>
        <row r="694">
          <cell r="C694">
            <v>37963</v>
          </cell>
          <cell r="I694">
            <v>0</v>
          </cell>
          <cell r="N694">
            <v>0</v>
          </cell>
          <cell r="P694">
            <v>0</v>
          </cell>
          <cell r="T694">
            <v>0</v>
          </cell>
          <cell r="V694">
            <v>0</v>
          </cell>
          <cell r="W694">
            <v>0</v>
          </cell>
          <cell r="X694">
            <v>0</v>
          </cell>
          <cell r="Y694">
            <v>0</v>
          </cell>
          <cell r="AB694">
            <v>0</v>
          </cell>
          <cell r="AC694">
            <v>12</v>
          </cell>
          <cell r="AD694">
            <v>0</v>
          </cell>
          <cell r="BF694">
            <v>0</v>
          </cell>
          <cell r="BG694">
            <v>0</v>
          </cell>
          <cell r="BH694">
            <v>0</v>
          </cell>
          <cell r="BI694">
            <v>0</v>
          </cell>
          <cell r="BJ694">
            <v>0</v>
          </cell>
          <cell r="BK694">
            <v>0</v>
          </cell>
          <cell r="BL694">
            <v>0</v>
          </cell>
          <cell r="BM694">
            <v>0</v>
          </cell>
          <cell r="BN694">
            <v>0</v>
          </cell>
          <cell r="BO694">
            <v>0</v>
          </cell>
          <cell r="BP694">
            <v>0</v>
          </cell>
          <cell r="BQ694">
            <v>0</v>
          </cell>
          <cell r="BR694">
            <v>0</v>
          </cell>
          <cell r="BS694">
            <v>0</v>
          </cell>
          <cell r="BT694">
            <v>0</v>
          </cell>
          <cell r="BU694">
            <v>0</v>
          </cell>
          <cell r="BV694">
            <v>0</v>
          </cell>
          <cell r="BW694">
            <v>0</v>
          </cell>
          <cell r="BX694">
            <v>0</v>
          </cell>
          <cell r="BY694">
            <v>0</v>
          </cell>
          <cell r="BZ694">
            <v>0</v>
          </cell>
          <cell r="CA694">
            <v>0</v>
          </cell>
          <cell r="CB694">
            <v>0</v>
          </cell>
          <cell r="CC694">
            <v>0</v>
          </cell>
          <cell r="CD694">
            <v>0</v>
          </cell>
        </row>
        <row r="695">
          <cell r="C695">
            <v>37963</v>
          </cell>
          <cell r="I695">
            <v>0</v>
          </cell>
          <cell r="N695">
            <v>0</v>
          </cell>
          <cell r="P695">
            <v>0</v>
          </cell>
          <cell r="T695">
            <v>0</v>
          </cell>
          <cell r="V695">
            <v>0</v>
          </cell>
          <cell r="W695">
            <v>0</v>
          </cell>
          <cell r="X695">
            <v>0</v>
          </cell>
          <cell r="Y695">
            <v>0</v>
          </cell>
          <cell r="AB695">
            <v>0</v>
          </cell>
          <cell r="AC695">
            <v>12</v>
          </cell>
          <cell r="AD695">
            <v>0</v>
          </cell>
          <cell r="BF695">
            <v>0</v>
          </cell>
          <cell r="BG695">
            <v>0</v>
          </cell>
          <cell r="BH695">
            <v>0</v>
          </cell>
          <cell r="BI695">
            <v>0</v>
          </cell>
          <cell r="BJ695">
            <v>0</v>
          </cell>
          <cell r="BK695">
            <v>0</v>
          </cell>
          <cell r="BL695">
            <v>0</v>
          </cell>
          <cell r="BM695">
            <v>0</v>
          </cell>
          <cell r="BN695">
            <v>0</v>
          </cell>
          <cell r="BO695">
            <v>0</v>
          </cell>
          <cell r="BP695">
            <v>0</v>
          </cell>
          <cell r="BQ695">
            <v>0</v>
          </cell>
          <cell r="BR695">
            <v>0</v>
          </cell>
          <cell r="BS695">
            <v>0</v>
          </cell>
          <cell r="BT695">
            <v>0</v>
          </cell>
          <cell r="BU695">
            <v>0</v>
          </cell>
          <cell r="BV695">
            <v>0</v>
          </cell>
          <cell r="BW695">
            <v>0</v>
          </cell>
          <cell r="BX695">
            <v>0</v>
          </cell>
          <cell r="BY695">
            <v>0</v>
          </cell>
          <cell r="BZ695">
            <v>0</v>
          </cell>
          <cell r="CA695">
            <v>0</v>
          </cell>
          <cell r="CB695">
            <v>0</v>
          </cell>
          <cell r="CC695">
            <v>0</v>
          </cell>
          <cell r="CD695">
            <v>0</v>
          </cell>
        </row>
        <row r="696">
          <cell r="C696">
            <v>37963</v>
          </cell>
          <cell r="I696">
            <v>0</v>
          </cell>
          <cell r="N696">
            <v>0</v>
          </cell>
          <cell r="P696">
            <v>0</v>
          </cell>
          <cell r="T696">
            <v>0</v>
          </cell>
          <cell r="V696">
            <v>0</v>
          </cell>
          <cell r="W696">
            <v>0</v>
          </cell>
          <cell r="X696">
            <v>0</v>
          </cell>
          <cell r="Y696">
            <v>0</v>
          </cell>
          <cell r="AB696">
            <v>0</v>
          </cell>
          <cell r="AC696">
            <v>12</v>
          </cell>
          <cell r="AD696">
            <v>0</v>
          </cell>
          <cell r="BF696">
            <v>0</v>
          </cell>
          <cell r="BG696">
            <v>0</v>
          </cell>
          <cell r="BH696">
            <v>0</v>
          </cell>
          <cell r="BI696">
            <v>0</v>
          </cell>
          <cell r="BJ696">
            <v>0</v>
          </cell>
          <cell r="BK696">
            <v>0</v>
          </cell>
          <cell r="BL696">
            <v>0</v>
          </cell>
          <cell r="BM696">
            <v>0</v>
          </cell>
          <cell r="BN696">
            <v>0</v>
          </cell>
          <cell r="BO696">
            <v>0</v>
          </cell>
          <cell r="BP696">
            <v>0</v>
          </cell>
          <cell r="BQ696">
            <v>0</v>
          </cell>
          <cell r="BR696">
            <v>0</v>
          </cell>
          <cell r="BS696">
            <v>0</v>
          </cell>
          <cell r="BT696">
            <v>0</v>
          </cell>
          <cell r="BU696">
            <v>0</v>
          </cell>
          <cell r="BV696">
            <v>0</v>
          </cell>
          <cell r="BW696">
            <v>0</v>
          </cell>
          <cell r="BX696">
            <v>0</v>
          </cell>
          <cell r="BY696">
            <v>0</v>
          </cell>
          <cell r="BZ696">
            <v>0</v>
          </cell>
          <cell r="CA696">
            <v>0</v>
          </cell>
          <cell r="CB696">
            <v>0</v>
          </cell>
          <cell r="CC696">
            <v>0</v>
          </cell>
          <cell r="CD696">
            <v>0</v>
          </cell>
        </row>
        <row r="697">
          <cell r="C697">
            <v>37963</v>
          </cell>
          <cell r="I697">
            <v>0</v>
          </cell>
          <cell r="N697">
            <v>0</v>
          </cell>
          <cell r="P697">
            <v>0</v>
          </cell>
          <cell r="T697">
            <v>0</v>
          </cell>
          <cell r="V697">
            <v>0</v>
          </cell>
          <cell r="W697">
            <v>0</v>
          </cell>
          <cell r="X697">
            <v>0</v>
          </cell>
          <cell r="Y697">
            <v>0</v>
          </cell>
          <cell r="AB697">
            <v>0</v>
          </cell>
          <cell r="AC697">
            <v>12</v>
          </cell>
          <cell r="AD697">
            <v>0</v>
          </cell>
          <cell r="BF697">
            <v>0</v>
          </cell>
          <cell r="BG697">
            <v>0</v>
          </cell>
          <cell r="BH697">
            <v>0</v>
          </cell>
          <cell r="BI697">
            <v>0</v>
          </cell>
          <cell r="BJ697">
            <v>0</v>
          </cell>
          <cell r="BK697">
            <v>0</v>
          </cell>
          <cell r="BL697">
            <v>0</v>
          </cell>
          <cell r="BM697">
            <v>0</v>
          </cell>
          <cell r="BN697">
            <v>0</v>
          </cell>
          <cell r="BO697">
            <v>0</v>
          </cell>
          <cell r="BP697">
            <v>0</v>
          </cell>
          <cell r="BQ697">
            <v>0</v>
          </cell>
          <cell r="BR697">
            <v>0</v>
          </cell>
          <cell r="BS697">
            <v>0</v>
          </cell>
          <cell r="BT697">
            <v>0</v>
          </cell>
          <cell r="BU697">
            <v>0</v>
          </cell>
          <cell r="BV697">
            <v>0</v>
          </cell>
          <cell r="BW697">
            <v>0</v>
          </cell>
          <cell r="BX697">
            <v>0</v>
          </cell>
          <cell r="BY697">
            <v>0</v>
          </cell>
          <cell r="BZ697">
            <v>0</v>
          </cell>
          <cell r="CA697">
            <v>0</v>
          </cell>
          <cell r="CB697">
            <v>0</v>
          </cell>
          <cell r="CC697">
            <v>0</v>
          </cell>
          <cell r="CD697">
            <v>0</v>
          </cell>
        </row>
        <row r="698">
          <cell r="C698">
            <v>37963</v>
          </cell>
          <cell r="I698">
            <v>0</v>
          </cell>
          <cell r="N698">
            <v>0</v>
          </cell>
          <cell r="P698">
            <v>0</v>
          </cell>
          <cell r="T698">
            <v>0</v>
          </cell>
          <cell r="V698">
            <v>0</v>
          </cell>
          <cell r="W698">
            <v>0</v>
          </cell>
          <cell r="X698">
            <v>0</v>
          </cell>
          <cell r="Y698">
            <v>0</v>
          </cell>
          <cell r="AB698">
            <v>0</v>
          </cell>
          <cell r="AC698">
            <v>12</v>
          </cell>
          <cell r="AD698">
            <v>0</v>
          </cell>
          <cell r="BF698">
            <v>0</v>
          </cell>
          <cell r="BG698">
            <v>0</v>
          </cell>
          <cell r="BH698">
            <v>0</v>
          </cell>
          <cell r="BI698">
            <v>0</v>
          </cell>
          <cell r="BJ698">
            <v>0</v>
          </cell>
          <cell r="BK698">
            <v>0</v>
          </cell>
          <cell r="BL698">
            <v>0</v>
          </cell>
          <cell r="BM698">
            <v>0</v>
          </cell>
          <cell r="BN698">
            <v>0</v>
          </cell>
          <cell r="BO698">
            <v>0</v>
          </cell>
          <cell r="BP698">
            <v>0</v>
          </cell>
          <cell r="BQ698">
            <v>0</v>
          </cell>
          <cell r="BR698">
            <v>0</v>
          </cell>
          <cell r="BS698">
            <v>0</v>
          </cell>
          <cell r="BT698">
            <v>0</v>
          </cell>
          <cell r="BU698">
            <v>0</v>
          </cell>
          <cell r="BV698">
            <v>0</v>
          </cell>
          <cell r="BW698">
            <v>0</v>
          </cell>
          <cell r="BX698">
            <v>0</v>
          </cell>
          <cell r="BY698">
            <v>0</v>
          </cell>
          <cell r="BZ698">
            <v>0</v>
          </cell>
          <cell r="CA698">
            <v>0</v>
          </cell>
          <cell r="CB698">
            <v>0</v>
          </cell>
          <cell r="CC698">
            <v>0</v>
          </cell>
          <cell r="CD698">
            <v>0</v>
          </cell>
        </row>
        <row r="699">
          <cell r="C699">
            <v>37963</v>
          </cell>
          <cell r="D699" t="str">
            <v>,0,</v>
          </cell>
          <cell r="E699">
            <v>37985</v>
          </cell>
          <cell r="F699">
            <v>0.38541666666666669</v>
          </cell>
          <cell r="G699" t="str">
            <v>Linha de Pintura 3,2m</v>
          </cell>
          <cell r="H699" t="str">
            <v>Pinça quebrada</v>
          </cell>
          <cell r="I699">
            <v>0</v>
          </cell>
          <cell r="J699" t="str">
            <v>Sim</v>
          </cell>
          <cell r="K699" t="str">
            <v>Mecânica</v>
          </cell>
          <cell r="L699" t="str">
            <v>Substituição do(s) Componente(s)</v>
          </cell>
          <cell r="M699" t="str">
            <v>Desgaste / Fadiga</v>
          </cell>
          <cell r="N699">
            <v>0</v>
          </cell>
          <cell r="O699">
            <v>0.3888888888888889</v>
          </cell>
          <cell r="P699">
            <v>0</v>
          </cell>
          <cell r="T699">
            <v>0</v>
          </cell>
          <cell r="U699">
            <v>0.42708333333333331</v>
          </cell>
          <cell r="V699">
            <v>0</v>
          </cell>
          <cell r="W699">
            <v>0</v>
          </cell>
          <cell r="X699">
            <v>0</v>
          </cell>
          <cell r="Y699">
            <v>0</v>
          </cell>
          <cell r="AB699">
            <v>0</v>
          </cell>
          <cell r="AC699">
            <v>12</v>
          </cell>
          <cell r="AD699">
            <v>0</v>
          </cell>
          <cell r="BF699">
            <v>0</v>
          </cell>
          <cell r="BG699">
            <v>0</v>
          </cell>
          <cell r="BH699">
            <v>0</v>
          </cell>
          <cell r="BI699">
            <v>0</v>
          </cell>
          <cell r="BJ699">
            <v>0</v>
          </cell>
          <cell r="BK699">
            <v>0</v>
          </cell>
          <cell r="BL699">
            <v>0</v>
          </cell>
          <cell r="BM699">
            <v>0</v>
          </cell>
          <cell r="BN699">
            <v>0</v>
          </cell>
          <cell r="BO699">
            <v>0</v>
          </cell>
          <cell r="BP699">
            <v>0</v>
          </cell>
          <cell r="BQ699">
            <v>0</v>
          </cell>
          <cell r="BR699">
            <v>0</v>
          </cell>
          <cell r="BS699">
            <v>0</v>
          </cell>
          <cell r="BT699">
            <v>0</v>
          </cell>
          <cell r="BU699">
            <v>0</v>
          </cell>
          <cell r="BV699">
            <v>0</v>
          </cell>
          <cell r="BW699">
            <v>0</v>
          </cell>
          <cell r="BX699">
            <v>0</v>
          </cell>
          <cell r="BY699">
            <v>0</v>
          </cell>
          <cell r="BZ699">
            <v>0</v>
          </cell>
          <cell r="CA699">
            <v>0</v>
          </cell>
          <cell r="CB699">
            <v>0</v>
          </cell>
          <cell r="CC699">
            <v>0</v>
          </cell>
          <cell r="CD699">
            <v>0</v>
          </cell>
        </row>
        <row r="700">
          <cell r="C700">
            <v>37963</v>
          </cell>
          <cell r="I700">
            <v>0</v>
          </cell>
          <cell r="N700">
            <v>0</v>
          </cell>
          <cell r="P700">
            <v>0</v>
          </cell>
          <cell r="T700">
            <v>0</v>
          </cell>
          <cell r="V700">
            <v>0</v>
          </cell>
          <cell r="W700">
            <v>0</v>
          </cell>
          <cell r="X700">
            <v>0</v>
          </cell>
          <cell r="Y700">
            <v>0</v>
          </cell>
          <cell r="AB700">
            <v>0</v>
          </cell>
          <cell r="AC700">
            <v>12</v>
          </cell>
          <cell r="AD700">
            <v>0</v>
          </cell>
          <cell r="BF700">
            <v>0</v>
          </cell>
          <cell r="BG700">
            <v>0</v>
          </cell>
          <cell r="BH700">
            <v>0</v>
          </cell>
          <cell r="BI700">
            <v>0</v>
          </cell>
          <cell r="BJ700">
            <v>0</v>
          </cell>
          <cell r="BK700">
            <v>0</v>
          </cell>
          <cell r="BL700">
            <v>0</v>
          </cell>
          <cell r="BM700">
            <v>0</v>
          </cell>
          <cell r="BN700">
            <v>0</v>
          </cell>
          <cell r="BO700">
            <v>0</v>
          </cell>
          <cell r="BP700">
            <v>0</v>
          </cell>
          <cell r="BQ700">
            <v>0</v>
          </cell>
          <cell r="BR700">
            <v>0</v>
          </cell>
          <cell r="BS700">
            <v>0</v>
          </cell>
          <cell r="BT700">
            <v>0</v>
          </cell>
          <cell r="BU700">
            <v>0</v>
          </cell>
          <cell r="BV700">
            <v>0</v>
          </cell>
          <cell r="BW700">
            <v>0</v>
          </cell>
          <cell r="BX700">
            <v>0</v>
          </cell>
          <cell r="BY700">
            <v>0</v>
          </cell>
          <cell r="BZ700">
            <v>0</v>
          </cell>
          <cell r="CA700">
            <v>0</v>
          </cell>
          <cell r="CB700">
            <v>0</v>
          </cell>
          <cell r="CC700">
            <v>0</v>
          </cell>
          <cell r="CD700">
            <v>0</v>
          </cell>
        </row>
        <row r="701">
          <cell r="C701">
            <v>37963</v>
          </cell>
          <cell r="I701">
            <v>0</v>
          </cell>
          <cell r="N701">
            <v>0</v>
          </cell>
          <cell r="P701">
            <v>0</v>
          </cell>
          <cell r="T701">
            <v>0</v>
          </cell>
          <cell r="V701">
            <v>0</v>
          </cell>
          <cell r="W701">
            <v>0</v>
          </cell>
          <cell r="X701">
            <v>0</v>
          </cell>
          <cell r="Y701">
            <v>0</v>
          </cell>
          <cell r="AB701">
            <v>0</v>
          </cell>
          <cell r="AC701">
            <v>12</v>
          </cell>
          <cell r="AD701">
            <v>0</v>
          </cell>
          <cell r="BF701">
            <v>0</v>
          </cell>
          <cell r="BG701">
            <v>0</v>
          </cell>
          <cell r="BH701">
            <v>0</v>
          </cell>
          <cell r="BI701">
            <v>0</v>
          </cell>
          <cell r="BJ701">
            <v>0</v>
          </cell>
          <cell r="BK701">
            <v>0</v>
          </cell>
          <cell r="BL701">
            <v>0</v>
          </cell>
          <cell r="BM701">
            <v>0</v>
          </cell>
          <cell r="BN701">
            <v>0</v>
          </cell>
          <cell r="BO701">
            <v>0</v>
          </cell>
          <cell r="BP701">
            <v>0</v>
          </cell>
          <cell r="BQ701">
            <v>0</v>
          </cell>
          <cell r="BR701">
            <v>0</v>
          </cell>
          <cell r="BS701">
            <v>0</v>
          </cell>
          <cell r="BT701">
            <v>0</v>
          </cell>
          <cell r="BU701">
            <v>0</v>
          </cell>
          <cell r="BV701">
            <v>0</v>
          </cell>
          <cell r="BW701">
            <v>0</v>
          </cell>
          <cell r="BX701">
            <v>0</v>
          </cell>
          <cell r="BY701">
            <v>0</v>
          </cell>
          <cell r="BZ701">
            <v>0</v>
          </cell>
          <cell r="CA701">
            <v>0</v>
          </cell>
          <cell r="CB701">
            <v>0</v>
          </cell>
          <cell r="CC701">
            <v>0</v>
          </cell>
          <cell r="CD701">
            <v>0</v>
          </cell>
        </row>
        <row r="702">
          <cell r="C702">
            <v>37963</v>
          </cell>
          <cell r="I702">
            <v>0</v>
          </cell>
          <cell r="N702">
            <v>0</v>
          </cell>
          <cell r="P702">
            <v>0</v>
          </cell>
          <cell r="T702">
            <v>0</v>
          </cell>
          <cell r="V702">
            <v>0</v>
          </cell>
          <cell r="W702">
            <v>0</v>
          </cell>
          <cell r="X702">
            <v>0</v>
          </cell>
          <cell r="Y702">
            <v>0</v>
          </cell>
          <cell r="AB702">
            <v>0</v>
          </cell>
          <cell r="AC702">
            <v>12</v>
          </cell>
          <cell r="AD702">
            <v>0</v>
          </cell>
          <cell r="BF702">
            <v>0</v>
          </cell>
          <cell r="BG702">
            <v>0</v>
          </cell>
          <cell r="BH702">
            <v>0</v>
          </cell>
          <cell r="BI702">
            <v>0</v>
          </cell>
          <cell r="BJ702">
            <v>0</v>
          </cell>
          <cell r="BK702">
            <v>0</v>
          </cell>
          <cell r="BL702">
            <v>0</v>
          </cell>
          <cell r="BM702">
            <v>0</v>
          </cell>
          <cell r="BN702">
            <v>0</v>
          </cell>
          <cell r="BO702">
            <v>0</v>
          </cell>
          <cell r="BP702">
            <v>0</v>
          </cell>
          <cell r="BQ702">
            <v>0</v>
          </cell>
          <cell r="BR702">
            <v>0</v>
          </cell>
          <cell r="BS702">
            <v>0</v>
          </cell>
          <cell r="BT702">
            <v>0</v>
          </cell>
          <cell r="BU702">
            <v>0</v>
          </cell>
          <cell r="BV702">
            <v>0</v>
          </cell>
          <cell r="BW702">
            <v>0</v>
          </cell>
          <cell r="BX702">
            <v>0</v>
          </cell>
          <cell r="BY702">
            <v>0</v>
          </cell>
          <cell r="BZ702">
            <v>0</v>
          </cell>
          <cell r="CA702">
            <v>0</v>
          </cell>
          <cell r="CB702">
            <v>0</v>
          </cell>
          <cell r="CC702">
            <v>0</v>
          </cell>
          <cell r="CD702">
            <v>0</v>
          </cell>
        </row>
        <row r="703">
          <cell r="C703">
            <v>37963</v>
          </cell>
          <cell r="I703">
            <v>0</v>
          </cell>
          <cell r="N703">
            <v>0</v>
          </cell>
          <cell r="P703">
            <v>0</v>
          </cell>
          <cell r="T703">
            <v>0</v>
          </cell>
          <cell r="V703">
            <v>0</v>
          </cell>
          <cell r="W703">
            <v>0</v>
          </cell>
          <cell r="X703">
            <v>0</v>
          </cell>
          <cell r="Y703">
            <v>0</v>
          </cell>
          <cell r="AB703">
            <v>0</v>
          </cell>
          <cell r="AC703">
            <v>12</v>
          </cell>
          <cell r="AD703">
            <v>0</v>
          </cell>
          <cell r="BF703">
            <v>0</v>
          </cell>
          <cell r="BG703">
            <v>0</v>
          </cell>
          <cell r="BH703">
            <v>0</v>
          </cell>
          <cell r="BI703">
            <v>0</v>
          </cell>
          <cell r="BJ703">
            <v>0</v>
          </cell>
          <cell r="BK703">
            <v>0</v>
          </cell>
          <cell r="BL703">
            <v>0</v>
          </cell>
          <cell r="BM703">
            <v>0</v>
          </cell>
          <cell r="BN703">
            <v>0</v>
          </cell>
          <cell r="BO703">
            <v>0</v>
          </cell>
          <cell r="BP703">
            <v>0</v>
          </cell>
          <cell r="BQ703">
            <v>0</v>
          </cell>
          <cell r="BR703">
            <v>0</v>
          </cell>
          <cell r="BS703">
            <v>0</v>
          </cell>
          <cell r="BT703">
            <v>0</v>
          </cell>
          <cell r="BU703">
            <v>0</v>
          </cell>
          <cell r="BV703">
            <v>0</v>
          </cell>
          <cell r="BW703">
            <v>0</v>
          </cell>
          <cell r="BX703">
            <v>0</v>
          </cell>
          <cell r="BY703">
            <v>0</v>
          </cell>
          <cell r="BZ703">
            <v>0</v>
          </cell>
          <cell r="CA703">
            <v>0</v>
          </cell>
          <cell r="CB703">
            <v>0</v>
          </cell>
          <cell r="CC703">
            <v>0</v>
          </cell>
          <cell r="CD703">
            <v>0</v>
          </cell>
        </row>
        <row r="704">
          <cell r="C704">
            <v>37963</v>
          </cell>
          <cell r="I704">
            <v>0</v>
          </cell>
          <cell r="N704">
            <v>0</v>
          </cell>
          <cell r="P704">
            <v>0</v>
          </cell>
          <cell r="T704">
            <v>0</v>
          </cell>
          <cell r="V704">
            <v>0</v>
          </cell>
          <cell r="W704">
            <v>0</v>
          </cell>
          <cell r="X704">
            <v>0</v>
          </cell>
          <cell r="Y704">
            <v>0</v>
          </cell>
          <cell r="AB704">
            <v>0</v>
          </cell>
          <cell r="AC704">
            <v>12</v>
          </cell>
          <cell r="AD704">
            <v>0</v>
          </cell>
          <cell r="BF704">
            <v>0</v>
          </cell>
          <cell r="BG704">
            <v>0</v>
          </cell>
          <cell r="BH704">
            <v>0</v>
          </cell>
          <cell r="BI704">
            <v>0</v>
          </cell>
          <cell r="BJ704">
            <v>0</v>
          </cell>
          <cell r="BK704">
            <v>0</v>
          </cell>
          <cell r="BL704">
            <v>0</v>
          </cell>
          <cell r="BM704">
            <v>0</v>
          </cell>
          <cell r="BN704">
            <v>0</v>
          </cell>
          <cell r="BO704">
            <v>0</v>
          </cell>
          <cell r="BP704">
            <v>0</v>
          </cell>
          <cell r="BQ704">
            <v>0</v>
          </cell>
          <cell r="BR704">
            <v>0</v>
          </cell>
          <cell r="BS704">
            <v>0</v>
          </cell>
          <cell r="BT704">
            <v>0</v>
          </cell>
          <cell r="BU704">
            <v>0</v>
          </cell>
          <cell r="BV704">
            <v>0</v>
          </cell>
          <cell r="BW704">
            <v>0</v>
          </cell>
          <cell r="BX704">
            <v>0</v>
          </cell>
          <cell r="BY704">
            <v>0</v>
          </cell>
          <cell r="BZ704">
            <v>0</v>
          </cell>
          <cell r="CA704">
            <v>0</v>
          </cell>
          <cell r="CB704">
            <v>0</v>
          </cell>
          <cell r="CC704">
            <v>0</v>
          </cell>
          <cell r="CD704">
            <v>0</v>
          </cell>
        </row>
        <row r="705">
          <cell r="C705">
            <v>37963</v>
          </cell>
          <cell r="I705">
            <v>0</v>
          </cell>
          <cell r="N705">
            <v>0</v>
          </cell>
          <cell r="P705">
            <v>0</v>
          </cell>
          <cell r="T705">
            <v>0</v>
          </cell>
          <cell r="V705">
            <v>0</v>
          </cell>
          <cell r="W705">
            <v>0</v>
          </cell>
          <cell r="X705">
            <v>0</v>
          </cell>
          <cell r="Y705">
            <v>0</v>
          </cell>
          <cell r="AB705">
            <v>0</v>
          </cell>
          <cell r="AC705">
            <v>12</v>
          </cell>
          <cell r="AD705">
            <v>0</v>
          </cell>
          <cell r="BF705">
            <v>0</v>
          </cell>
          <cell r="BG705">
            <v>0</v>
          </cell>
          <cell r="BH705">
            <v>0</v>
          </cell>
          <cell r="BI705">
            <v>0</v>
          </cell>
          <cell r="BJ705">
            <v>0</v>
          </cell>
          <cell r="BK705">
            <v>0</v>
          </cell>
          <cell r="BL705">
            <v>0</v>
          </cell>
          <cell r="BM705">
            <v>0</v>
          </cell>
          <cell r="BN705">
            <v>0</v>
          </cell>
          <cell r="BO705">
            <v>0</v>
          </cell>
          <cell r="BP705">
            <v>0</v>
          </cell>
          <cell r="BQ705">
            <v>0</v>
          </cell>
          <cell r="BR705">
            <v>0</v>
          </cell>
          <cell r="BS705">
            <v>0</v>
          </cell>
          <cell r="BT705">
            <v>0</v>
          </cell>
          <cell r="BU705">
            <v>0</v>
          </cell>
          <cell r="BV705">
            <v>0</v>
          </cell>
          <cell r="BW705">
            <v>0</v>
          </cell>
          <cell r="BX705">
            <v>0</v>
          </cell>
          <cell r="BY705">
            <v>0</v>
          </cell>
          <cell r="BZ705">
            <v>0</v>
          </cell>
          <cell r="CA705">
            <v>0</v>
          </cell>
          <cell r="CB705">
            <v>0</v>
          </cell>
          <cell r="CC705">
            <v>0</v>
          </cell>
          <cell r="CD705">
            <v>0</v>
          </cell>
        </row>
        <row r="706">
          <cell r="C706">
            <v>37963</v>
          </cell>
          <cell r="I706">
            <v>0</v>
          </cell>
          <cell r="N706">
            <v>0</v>
          </cell>
          <cell r="P706">
            <v>0</v>
          </cell>
          <cell r="T706">
            <v>0</v>
          </cell>
          <cell r="V706">
            <v>0</v>
          </cell>
          <cell r="W706">
            <v>0</v>
          </cell>
          <cell r="X706">
            <v>0</v>
          </cell>
          <cell r="Y706">
            <v>0</v>
          </cell>
          <cell r="AB706">
            <v>0</v>
          </cell>
          <cell r="AC706">
            <v>12</v>
          </cell>
          <cell r="AD706">
            <v>0</v>
          </cell>
          <cell r="BF706">
            <v>0</v>
          </cell>
          <cell r="BG706">
            <v>0</v>
          </cell>
          <cell r="BH706">
            <v>0</v>
          </cell>
          <cell r="BI706">
            <v>0</v>
          </cell>
          <cell r="BJ706">
            <v>0</v>
          </cell>
          <cell r="BK706">
            <v>0</v>
          </cell>
          <cell r="BL706">
            <v>0</v>
          </cell>
          <cell r="BM706">
            <v>0</v>
          </cell>
          <cell r="BN706">
            <v>0</v>
          </cell>
          <cell r="BO706">
            <v>0</v>
          </cell>
          <cell r="BP706">
            <v>0</v>
          </cell>
          <cell r="BQ706">
            <v>0</v>
          </cell>
          <cell r="BR706">
            <v>0</v>
          </cell>
          <cell r="BS706">
            <v>0</v>
          </cell>
          <cell r="BT706">
            <v>0</v>
          </cell>
          <cell r="BU706">
            <v>0</v>
          </cell>
          <cell r="BV706">
            <v>0</v>
          </cell>
          <cell r="BW706">
            <v>0</v>
          </cell>
          <cell r="BX706">
            <v>0</v>
          </cell>
          <cell r="BY706">
            <v>0</v>
          </cell>
          <cell r="BZ706">
            <v>0</v>
          </cell>
          <cell r="CA706">
            <v>0</v>
          </cell>
          <cell r="CB706">
            <v>0</v>
          </cell>
          <cell r="CC706">
            <v>0</v>
          </cell>
          <cell r="CD706">
            <v>0</v>
          </cell>
        </row>
        <row r="707">
          <cell r="C707">
            <v>37963</v>
          </cell>
          <cell r="I707">
            <v>0</v>
          </cell>
          <cell r="N707">
            <v>0</v>
          </cell>
          <cell r="P707">
            <v>0</v>
          </cell>
          <cell r="T707">
            <v>0</v>
          </cell>
          <cell r="V707">
            <v>0</v>
          </cell>
          <cell r="W707">
            <v>0</v>
          </cell>
          <cell r="X707">
            <v>0</v>
          </cell>
          <cell r="Y707">
            <v>0</v>
          </cell>
          <cell r="AB707">
            <v>0</v>
          </cell>
          <cell r="AC707">
            <v>12</v>
          </cell>
          <cell r="AD707">
            <v>0</v>
          </cell>
          <cell r="BF707">
            <v>0</v>
          </cell>
          <cell r="BG707">
            <v>0</v>
          </cell>
          <cell r="BH707">
            <v>0</v>
          </cell>
          <cell r="BI707">
            <v>0</v>
          </cell>
          <cell r="BJ707">
            <v>0</v>
          </cell>
          <cell r="BK707">
            <v>0</v>
          </cell>
          <cell r="BL707">
            <v>0</v>
          </cell>
          <cell r="BM707">
            <v>0</v>
          </cell>
          <cell r="BN707">
            <v>0</v>
          </cell>
          <cell r="BO707">
            <v>0</v>
          </cell>
          <cell r="BP707">
            <v>0</v>
          </cell>
          <cell r="BQ707">
            <v>0</v>
          </cell>
          <cell r="BR707">
            <v>0</v>
          </cell>
          <cell r="BS707">
            <v>0</v>
          </cell>
          <cell r="BT707">
            <v>0</v>
          </cell>
          <cell r="BU707">
            <v>0</v>
          </cell>
          <cell r="BV707">
            <v>0</v>
          </cell>
          <cell r="BW707">
            <v>0</v>
          </cell>
          <cell r="BX707">
            <v>0</v>
          </cell>
          <cell r="BY707">
            <v>0</v>
          </cell>
          <cell r="BZ707">
            <v>0</v>
          </cell>
          <cell r="CA707">
            <v>0</v>
          </cell>
          <cell r="CB707">
            <v>0</v>
          </cell>
          <cell r="CC707">
            <v>0</v>
          </cell>
          <cell r="CD707">
            <v>0</v>
          </cell>
        </row>
        <row r="708">
          <cell r="C708">
            <v>37963</v>
          </cell>
          <cell r="I708">
            <v>0</v>
          </cell>
          <cell r="N708">
            <v>0</v>
          </cell>
          <cell r="P708">
            <v>0</v>
          </cell>
          <cell r="T708">
            <v>0</v>
          </cell>
          <cell r="V708">
            <v>0</v>
          </cell>
          <cell r="W708">
            <v>0</v>
          </cell>
          <cell r="X708">
            <v>0</v>
          </cell>
          <cell r="Y708">
            <v>0</v>
          </cell>
          <cell r="AB708">
            <v>0</v>
          </cell>
          <cell r="AC708">
            <v>12</v>
          </cell>
          <cell r="AD708">
            <v>0</v>
          </cell>
          <cell r="BF708">
            <v>0</v>
          </cell>
          <cell r="BG708">
            <v>0</v>
          </cell>
          <cell r="BH708">
            <v>0</v>
          </cell>
          <cell r="BI708">
            <v>0</v>
          </cell>
          <cell r="BJ708">
            <v>0</v>
          </cell>
          <cell r="BK708">
            <v>0</v>
          </cell>
          <cell r="BL708">
            <v>0</v>
          </cell>
          <cell r="BM708">
            <v>0</v>
          </cell>
          <cell r="BN708">
            <v>0</v>
          </cell>
          <cell r="BO708">
            <v>0</v>
          </cell>
          <cell r="BP708">
            <v>0</v>
          </cell>
          <cell r="BQ708">
            <v>0</v>
          </cell>
          <cell r="BR708">
            <v>0</v>
          </cell>
          <cell r="BS708">
            <v>0</v>
          </cell>
          <cell r="BT708">
            <v>0</v>
          </cell>
          <cell r="BU708">
            <v>0</v>
          </cell>
          <cell r="BV708">
            <v>0</v>
          </cell>
          <cell r="BW708">
            <v>0</v>
          </cell>
          <cell r="BX708">
            <v>0</v>
          </cell>
          <cell r="BY708">
            <v>0</v>
          </cell>
          <cell r="BZ708">
            <v>0</v>
          </cell>
          <cell r="CA708">
            <v>0</v>
          </cell>
          <cell r="CB708">
            <v>0</v>
          </cell>
          <cell r="CC708">
            <v>0</v>
          </cell>
          <cell r="CD708">
            <v>0</v>
          </cell>
        </row>
        <row r="709">
          <cell r="C709">
            <v>37963</v>
          </cell>
          <cell r="I709">
            <v>0</v>
          </cell>
          <cell r="N709">
            <v>0</v>
          </cell>
          <cell r="P709">
            <v>0</v>
          </cell>
          <cell r="T709">
            <v>0</v>
          </cell>
          <cell r="V709">
            <v>0</v>
          </cell>
          <cell r="W709">
            <v>0</v>
          </cell>
          <cell r="X709">
            <v>0</v>
          </cell>
          <cell r="Y709">
            <v>0</v>
          </cell>
          <cell r="AB709">
            <v>0</v>
          </cell>
          <cell r="AC709">
            <v>12</v>
          </cell>
          <cell r="AD709">
            <v>0</v>
          </cell>
          <cell r="BF709">
            <v>0</v>
          </cell>
          <cell r="BG709">
            <v>0</v>
          </cell>
          <cell r="BH709">
            <v>0</v>
          </cell>
          <cell r="BI709">
            <v>0</v>
          </cell>
          <cell r="BJ709">
            <v>0</v>
          </cell>
          <cell r="BK709">
            <v>0</v>
          </cell>
          <cell r="BL709">
            <v>0</v>
          </cell>
          <cell r="BM709">
            <v>0</v>
          </cell>
          <cell r="BN709">
            <v>0</v>
          </cell>
          <cell r="BO709">
            <v>0</v>
          </cell>
          <cell r="BP709">
            <v>0</v>
          </cell>
          <cell r="BQ709">
            <v>0</v>
          </cell>
          <cell r="BR709">
            <v>0</v>
          </cell>
          <cell r="BS709">
            <v>0</v>
          </cell>
          <cell r="BT709">
            <v>0</v>
          </cell>
          <cell r="BU709">
            <v>0</v>
          </cell>
          <cell r="BV709">
            <v>0</v>
          </cell>
          <cell r="BW709">
            <v>0</v>
          </cell>
          <cell r="BX709">
            <v>0</v>
          </cell>
          <cell r="BY709">
            <v>0</v>
          </cell>
          <cell r="BZ709">
            <v>0</v>
          </cell>
          <cell r="CA709">
            <v>0</v>
          </cell>
          <cell r="CB709">
            <v>0</v>
          </cell>
          <cell r="CC709">
            <v>0</v>
          </cell>
          <cell r="CD709">
            <v>0</v>
          </cell>
        </row>
        <row r="710">
          <cell r="C710">
            <v>37963</v>
          </cell>
          <cell r="I710">
            <v>0</v>
          </cell>
          <cell r="N710">
            <v>0</v>
          </cell>
          <cell r="P710">
            <v>0</v>
          </cell>
          <cell r="T710">
            <v>0</v>
          </cell>
          <cell r="V710">
            <v>0</v>
          </cell>
          <cell r="W710">
            <v>0</v>
          </cell>
          <cell r="X710">
            <v>0</v>
          </cell>
          <cell r="Y710">
            <v>0</v>
          </cell>
          <cell r="AB710">
            <v>0</v>
          </cell>
          <cell r="AC710">
            <v>12</v>
          </cell>
          <cell r="AD710">
            <v>0</v>
          </cell>
          <cell r="BF710">
            <v>0</v>
          </cell>
          <cell r="BG710">
            <v>0</v>
          </cell>
          <cell r="BH710">
            <v>0</v>
          </cell>
          <cell r="BI710">
            <v>0</v>
          </cell>
          <cell r="BJ710">
            <v>0</v>
          </cell>
          <cell r="BK710">
            <v>0</v>
          </cell>
          <cell r="BL710">
            <v>0</v>
          </cell>
          <cell r="BM710">
            <v>0</v>
          </cell>
          <cell r="BN710">
            <v>0</v>
          </cell>
          <cell r="BO710">
            <v>0</v>
          </cell>
          <cell r="BP710">
            <v>0</v>
          </cell>
          <cell r="BQ710">
            <v>0</v>
          </cell>
          <cell r="BR710">
            <v>0</v>
          </cell>
          <cell r="BS710">
            <v>0</v>
          </cell>
          <cell r="BT710">
            <v>0</v>
          </cell>
          <cell r="BU710">
            <v>0</v>
          </cell>
          <cell r="BV710">
            <v>0</v>
          </cell>
          <cell r="BW710">
            <v>0</v>
          </cell>
          <cell r="BX710">
            <v>0</v>
          </cell>
          <cell r="BY710">
            <v>0</v>
          </cell>
          <cell r="BZ710">
            <v>0</v>
          </cell>
          <cell r="CA710">
            <v>0</v>
          </cell>
          <cell r="CB710">
            <v>0</v>
          </cell>
          <cell r="CC710">
            <v>0</v>
          </cell>
          <cell r="CD710">
            <v>0</v>
          </cell>
        </row>
        <row r="711">
          <cell r="C711">
            <v>37963</v>
          </cell>
          <cell r="I711">
            <v>0</v>
          </cell>
          <cell r="N711">
            <v>0</v>
          </cell>
          <cell r="P711">
            <v>0</v>
          </cell>
          <cell r="T711">
            <v>0</v>
          </cell>
          <cell r="V711">
            <v>0</v>
          </cell>
          <cell r="W711">
            <v>0</v>
          </cell>
          <cell r="X711">
            <v>0</v>
          </cell>
          <cell r="Y711">
            <v>0</v>
          </cell>
          <cell r="AB711">
            <v>0</v>
          </cell>
          <cell r="AC711">
            <v>12</v>
          </cell>
          <cell r="AD711">
            <v>0</v>
          </cell>
          <cell r="BF711">
            <v>0</v>
          </cell>
          <cell r="BG711">
            <v>0</v>
          </cell>
          <cell r="BH711">
            <v>0</v>
          </cell>
          <cell r="BI711">
            <v>0</v>
          </cell>
          <cell r="BJ711">
            <v>0</v>
          </cell>
          <cell r="BK711">
            <v>0</v>
          </cell>
          <cell r="BL711">
            <v>0</v>
          </cell>
          <cell r="BM711">
            <v>0</v>
          </cell>
          <cell r="BN711">
            <v>0</v>
          </cell>
          <cell r="BO711">
            <v>0</v>
          </cell>
          <cell r="BP711">
            <v>0</v>
          </cell>
          <cell r="BQ711">
            <v>0</v>
          </cell>
          <cell r="BR711">
            <v>0</v>
          </cell>
          <cell r="BS711">
            <v>0</v>
          </cell>
          <cell r="BT711">
            <v>0</v>
          </cell>
          <cell r="BU711">
            <v>0</v>
          </cell>
          <cell r="BV711">
            <v>0</v>
          </cell>
          <cell r="BW711">
            <v>0</v>
          </cell>
          <cell r="BX711">
            <v>0</v>
          </cell>
          <cell r="BY711">
            <v>0</v>
          </cell>
          <cell r="BZ711">
            <v>0</v>
          </cell>
          <cell r="CA711">
            <v>0</v>
          </cell>
          <cell r="CB711">
            <v>0</v>
          </cell>
          <cell r="CC711">
            <v>0</v>
          </cell>
          <cell r="CD711">
            <v>0</v>
          </cell>
        </row>
        <row r="712">
          <cell r="C712">
            <v>37963</v>
          </cell>
          <cell r="I712">
            <v>0</v>
          </cell>
          <cell r="N712">
            <v>0</v>
          </cell>
          <cell r="P712">
            <v>0</v>
          </cell>
          <cell r="T712">
            <v>0</v>
          </cell>
          <cell r="V712">
            <v>0</v>
          </cell>
          <cell r="W712">
            <v>0</v>
          </cell>
          <cell r="X712">
            <v>0</v>
          </cell>
          <cell r="Y712">
            <v>0</v>
          </cell>
          <cell r="AB712">
            <v>0</v>
          </cell>
          <cell r="AC712">
            <v>12</v>
          </cell>
          <cell r="AD712">
            <v>0</v>
          </cell>
          <cell r="BF712">
            <v>0</v>
          </cell>
          <cell r="BG712">
            <v>0</v>
          </cell>
          <cell r="BH712">
            <v>0</v>
          </cell>
          <cell r="BI712">
            <v>0</v>
          </cell>
          <cell r="BJ712">
            <v>0</v>
          </cell>
          <cell r="BK712">
            <v>0</v>
          </cell>
          <cell r="BL712">
            <v>0</v>
          </cell>
          <cell r="BM712">
            <v>0</v>
          </cell>
          <cell r="BN712">
            <v>0</v>
          </cell>
          <cell r="BO712">
            <v>0</v>
          </cell>
          <cell r="BP712">
            <v>0</v>
          </cell>
          <cell r="BQ712">
            <v>0</v>
          </cell>
          <cell r="BR712">
            <v>0</v>
          </cell>
          <cell r="BS712">
            <v>0</v>
          </cell>
          <cell r="BT712">
            <v>0</v>
          </cell>
          <cell r="BU712">
            <v>0</v>
          </cell>
          <cell r="BV712">
            <v>0</v>
          </cell>
          <cell r="BW712">
            <v>0</v>
          </cell>
          <cell r="BX712">
            <v>0</v>
          </cell>
          <cell r="BY712">
            <v>0</v>
          </cell>
          <cell r="BZ712">
            <v>0</v>
          </cell>
          <cell r="CA712">
            <v>0</v>
          </cell>
          <cell r="CB712">
            <v>0</v>
          </cell>
          <cell r="CC712">
            <v>0</v>
          </cell>
          <cell r="CD712">
            <v>0</v>
          </cell>
        </row>
        <row r="713">
          <cell r="C713">
            <v>37963</v>
          </cell>
          <cell r="I713">
            <v>0</v>
          </cell>
          <cell r="N713">
            <v>0</v>
          </cell>
          <cell r="P713">
            <v>0</v>
          </cell>
          <cell r="T713">
            <v>0</v>
          </cell>
          <cell r="V713">
            <v>0</v>
          </cell>
          <cell r="W713">
            <v>0</v>
          </cell>
          <cell r="X713">
            <v>0</v>
          </cell>
          <cell r="Y713">
            <v>0</v>
          </cell>
          <cell r="AB713">
            <v>0</v>
          </cell>
          <cell r="AC713">
            <v>12</v>
          </cell>
          <cell r="AD713">
            <v>0</v>
          </cell>
          <cell r="BF713">
            <v>0</v>
          </cell>
          <cell r="BG713">
            <v>0</v>
          </cell>
          <cell r="BH713">
            <v>0</v>
          </cell>
          <cell r="BI713">
            <v>0</v>
          </cell>
          <cell r="BJ713">
            <v>0</v>
          </cell>
          <cell r="BK713">
            <v>0</v>
          </cell>
          <cell r="BL713">
            <v>0</v>
          </cell>
          <cell r="BM713">
            <v>0</v>
          </cell>
          <cell r="BN713">
            <v>0</v>
          </cell>
          <cell r="BO713">
            <v>0</v>
          </cell>
          <cell r="BP713">
            <v>0</v>
          </cell>
          <cell r="BQ713">
            <v>0</v>
          </cell>
          <cell r="BR713">
            <v>0</v>
          </cell>
          <cell r="BS713">
            <v>0</v>
          </cell>
          <cell r="BT713">
            <v>0</v>
          </cell>
          <cell r="BU713">
            <v>0</v>
          </cell>
          <cell r="BV713">
            <v>0</v>
          </cell>
          <cell r="BW713">
            <v>0</v>
          </cell>
          <cell r="BX713">
            <v>0</v>
          </cell>
          <cell r="BY713">
            <v>0</v>
          </cell>
          <cell r="BZ713">
            <v>0</v>
          </cell>
          <cell r="CA713">
            <v>0</v>
          </cell>
          <cell r="CB713">
            <v>0</v>
          </cell>
          <cell r="CC713">
            <v>0</v>
          </cell>
          <cell r="CD713">
            <v>0</v>
          </cell>
        </row>
        <row r="714">
          <cell r="C714">
            <v>37963</v>
          </cell>
          <cell r="I714">
            <v>0</v>
          </cell>
          <cell r="N714">
            <v>0</v>
          </cell>
          <cell r="P714">
            <v>0</v>
          </cell>
          <cell r="T714">
            <v>0</v>
          </cell>
          <cell r="V714">
            <v>0</v>
          </cell>
          <cell r="W714">
            <v>0</v>
          </cell>
          <cell r="X714">
            <v>0</v>
          </cell>
          <cell r="Y714">
            <v>0</v>
          </cell>
          <cell r="AB714">
            <v>0</v>
          </cell>
          <cell r="AC714">
            <v>12</v>
          </cell>
          <cell r="AD714">
            <v>0</v>
          </cell>
          <cell r="BF714">
            <v>0</v>
          </cell>
          <cell r="BG714">
            <v>0</v>
          </cell>
          <cell r="BH714">
            <v>0</v>
          </cell>
          <cell r="BI714">
            <v>0</v>
          </cell>
          <cell r="BJ714">
            <v>0</v>
          </cell>
          <cell r="BK714">
            <v>0</v>
          </cell>
          <cell r="BL714">
            <v>0</v>
          </cell>
          <cell r="BM714">
            <v>0</v>
          </cell>
          <cell r="BN714">
            <v>0</v>
          </cell>
          <cell r="BO714">
            <v>0</v>
          </cell>
          <cell r="BP714">
            <v>0</v>
          </cell>
          <cell r="BQ714">
            <v>0</v>
          </cell>
          <cell r="BR714">
            <v>0</v>
          </cell>
          <cell r="BS714">
            <v>0</v>
          </cell>
          <cell r="BT714">
            <v>0</v>
          </cell>
          <cell r="BU714">
            <v>0</v>
          </cell>
          <cell r="BV714">
            <v>0</v>
          </cell>
          <cell r="BW714">
            <v>0</v>
          </cell>
          <cell r="BX714">
            <v>0</v>
          </cell>
          <cell r="BY714">
            <v>0</v>
          </cell>
          <cell r="BZ714">
            <v>0</v>
          </cell>
          <cell r="CA714">
            <v>0</v>
          </cell>
          <cell r="CB714">
            <v>0</v>
          </cell>
          <cell r="CC714">
            <v>0</v>
          </cell>
          <cell r="CD714">
            <v>0</v>
          </cell>
        </row>
        <row r="715">
          <cell r="C715">
            <v>37963</v>
          </cell>
          <cell r="I715">
            <v>0</v>
          </cell>
          <cell r="N715">
            <v>0</v>
          </cell>
          <cell r="P715">
            <v>0</v>
          </cell>
          <cell r="T715">
            <v>0</v>
          </cell>
          <cell r="V715">
            <v>0</v>
          </cell>
          <cell r="W715">
            <v>0</v>
          </cell>
          <cell r="X715">
            <v>0</v>
          </cell>
          <cell r="Y715">
            <v>0</v>
          </cell>
          <cell r="AB715">
            <v>0</v>
          </cell>
          <cell r="AC715">
            <v>12</v>
          </cell>
          <cell r="AD715">
            <v>0</v>
          </cell>
          <cell r="BF715">
            <v>0</v>
          </cell>
          <cell r="BG715">
            <v>0</v>
          </cell>
          <cell r="BH715">
            <v>0</v>
          </cell>
          <cell r="BI715">
            <v>0</v>
          </cell>
          <cell r="BJ715">
            <v>0</v>
          </cell>
          <cell r="BK715">
            <v>0</v>
          </cell>
          <cell r="BL715">
            <v>0</v>
          </cell>
          <cell r="BM715">
            <v>0</v>
          </cell>
          <cell r="BN715">
            <v>0</v>
          </cell>
          <cell r="BO715">
            <v>0</v>
          </cell>
          <cell r="BP715">
            <v>0</v>
          </cell>
          <cell r="BQ715">
            <v>0</v>
          </cell>
          <cell r="BR715">
            <v>0</v>
          </cell>
          <cell r="BS715">
            <v>0</v>
          </cell>
          <cell r="BT715">
            <v>0</v>
          </cell>
          <cell r="BU715">
            <v>0</v>
          </cell>
          <cell r="BV715">
            <v>0</v>
          </cell>
          <cell r="BW715">
            <v>0</v>
          </cell>
          <cell r="BX715">
            <v>0</v>
          </cell>
          <cell r="BY715">
            <v>0</v>
          </cell>
          <cell r="BZ715">
            <v>0</v>
          </cell>
          <cell r="CA715">
            <v>0</v>
          </cell>
          <cell r="CB715">
            <v>0</v>
          </cell>
          <cell r="CC715">
            <v>0</v>
          </cell>
          <cell r="CD715">
            <v>0</v>
          </cell>
        </row>
        <row r="716">
          <cell r="C716">
            <v>37963</v>
          </cell>
          <cell r="I716">
            <v>0</v>
          </cell>
          <cell r="N716">
            <v>0</v>
          </cell>
          <cell r="P716">
            <v>0</v>
          </cell>
          <cell r="T716">
            <v>0</v>
          </cell>
          <cell r="V716">
            <v>0</v>
          </cell>
          <cell r="W716">
            <v>0</v>
          </cell>
          <cell r="X716">
            <v>0</v>
          </cell>
          <cell r="Y716">
            <v>0</v>
          </cell>
          <cell r="AB716">
            <v>0</v>
          </cell>
          <cell r="AC716">
            <v>12</v>
          </cell>
          <cell r="AD716">
            <v>0</v>
          </cell>
          <cell r="BF716">
            <v>0</v>
          </cell>
          <cell r="BG716">
            <v>0</v>
          </cell>
          <cell r="BH716">
            <v>0</v>
          </cell>
          <cell r="BI716">
            <v>0</v>
          </cell>
          <cell r="BJ716">
            <v>0</v>
          </cell>
          <cell r="BK716">
            <v>0</v>
          </cell>
          <cell r="BL716">
            <v>0</v>
          </cell>
          <cell r="BM716">
            <v>0</v>
          </cell>
          <cell r="BN716">
            <v>0</v>
          </cell>
          <cell r="BO716">
            <v>0</v>
          </cell>
          <cell r="BP716">
            <v>0</v>
          </cell>
          <cell r="BQ716">
            <v>0</v>
          </cell>
          <cell r="BR716">
            <v>0</v>
          </cell>
          <cell r="BS716">
            <v>0</v>
          </cell>
          <cell r="BT716">
            <v>0</v>
          </cell>
          <cell r="BU716">
            <v>0</v>
          </cell>
          <cell r="BV716">
            <v>0</v>
          </cell>
          <cell r="BW716">
            <v>0</v>
          </cell>
          <cell r="BX716">
            <v>0</v>
          </cell>
          <cell r="BY716">
            <v>0</v>
          </cell>
          <cell r="BZ716">
            <v>0</v>
          </cell>
          <cell r="CA716">
            <v>0</v>
          </cell>
          <cell r="CB716">
            <v>0</v>
          </cell>
          <cell r="CC716">
            <v>0</v>
          </cell>
          <cell r="CD716">
            <v>0</v>
          </cell>
        </row>
      </sheetData>
      <sheetData sheetId="2"/>
      <sheetData sheetId="3"/>
      <sheetData sheetId="4"/>
      <sheetData sheetId="5"/>
      <sheetData sheetId="6"/>
      <sheetData sheetId="7"/>
      <sheetData sheetId="8"/>
      <sheetData sheetId="9"/>
      <sheetData sheetId="10"/>
      <sheetData sheetId="11">
        <row r="2">
          <cell r="A2" t="str">
            <v>Nome</v>
          </cell>
          <cell r="B2" t="str">
            <v>Descrição</v>
          </cell>
          <cell r="C2" t="str">
            <v>Apelido</v>
          </cell>
          <cell r="D2" t="str">
            <v>Centro Custo</v>
          </cell>
          <cell r="E2" t="str">
            <v>Código SAP</v>
          </cell>
        </row>
        <row r="3">
          <cell r="A3" t="str">
            <v>Cabine de Pintura 15m</v>
          </cell>
          <cell r="B3" t="str">
            <v>Linha de Pintura Colunas (Até 15 m)</v>
          </cell>
          <cell r="C3" t="str">
            <v>Picasso</v>
          </cell>
          <cell r="D3" t="str">
            <v>EI32205803</v>
          </cell>
          <cell r="E3">
            <v>5803</v>
          </cell>
        </row>
        <row r="4">
          <cell r="A4" t="str">
            <v>Cabine de Pintura 3,2m</v>
          </cell>
          <cell r="B4" t="str">
            <v>Linha de Pintura Longarinas (Até 3,2 m)</v>
          </cell>
          <cell r="C4" t="str">
            <v>Dalí</v>
          </cell>
          <cell r="D4" t="str">
            <v>EI32205802</v>
          </cell>
          <cell r="E4">
            <v>5802</v>
          </cell>
        </row>
        <row r="5">
          <cell r="A5" t="str">
            <v>Cabine de Pintura 8,5m</v>
          </cell>
          <cell r="B5" t="str">
            <v>Linha de Pintura Produtos Gerais (Até 8,5 m)</v>
          </cell>
          <cell r="C5" t="str">
            <v>Goya</v>
          </cell>
          <cell r="D5" t="str">
            <v>EI32205801</v>
          </cell>
          <cell r="E5">
            <v>5801</v>
          </cell>
        </row>
        <row r="6">
          <cell r="A6" t="str">
            <v>Dobradeira Sorg</v>
          </cell>
          <cell r="B6" t="str">
            <v>Dobradeira Sorg</v>
          </cell>
          <cell r="D6" t="str">
            <v>EI32105201</v>
          </cell>
          <cell r="E6">
            <v>5201</v>
          </cell>
        </row>
        <row r="7">
          <cell r="A7" t="str">
            <v>Empilhadeira Elétrica</v>
          </cell>
          <cell r="B7" t="str">
            <v>Chefia e Movimentação</v>
          </cell>
          <cell r="D7" t="str">
            <v>EI32000000</v>
          </cell>
          <cell r="E7" t="str">
            <v>EI32000000</v>
          </cell>
        </row>
        <row r="8">
          <cell r="A8" t="str">
            <v>Esmerilhadeira</v>
          </cell>
          <cell r="B8" t="str">
            <v>Solda Manual</v>
          </cell>
          <cell r="D8" t="str">
            <v>EI32305701</v>
          </cell>
          <cell r="E8">
            <v>5701</v>
          </cell>
        </row>
        <row r="9">
          <cell r="A9" t="str">
            <v>Fresadora Universal</v>
          </cell>
          <cell r="B9" t="str">
            <v>Ferramentaria (Máquinas diversas)</v>
          </cell>
          <cell r="D9" t="str">
            <v>EI34000000</v>
          </cell>
          <cell r="E9" t="str">
            <v>EI34000000</v>
          </cell>
        </row>
        <row r="10">
          <cell r="A10" t="str">
            <v>Furadeira de Coluna</v>
          </cell>
          <cell r="B10" t="str">
            <v>Ferramentaria (Máquinas diversas)</v>
          </cell>
          <cell r="D10" t="str">
            <v>EI34000000</v>
          </cell>
          <cell r="E10" t="str">
            <v>EI34000000</v>
          </cell>
        </row>
        <row r="11">
          <cell r="A11" t="str">
            <v>Guilhotina Sorg</v>
          </cell>
          <cell r="B11" t="str">
            <v>Guilhotina Sorg</v>
          </cell>
          <cell r="D11" t="str">
            <v>EI32105402</v>
          </cell>
          <cell r="E11">
            <v>5402</v>
          </cell>
        </row>
        <row r="12">
          <cell r="A12" t="str">
            <v>Máquina de Embalar</v>
          </cell>
          <cell r="B12" t="str">
            <v>Pintura</v>
          </cell>
          <cell r="D12" t="str">
            <v>EI32200000</v>
          </cell>
        </row>
        <row r="13">
          <cell r="A13" t="str">
            <v>Máquina de Solda MIG</v>
          </cell>
          <cell r="B13" t="str">
            <v>Solda Manual</v>
          </cell>
          <cell r="D13" t="str">
            <v>EI32305700</v>
          </cell>
          <cell r="E13">
            <v>5700</v>
          </cell>
        </row>
        <row r="14">
          <cell r="A14" t="str">
            <v>Perfiladora Dimeco Conectores</v>
          </cell>
          <cell r="B14" t="str">
            <v>Perfiladora Dimeco Conectores + Prensa Jundiaí 200t com Alimentador</v>
          </cell>
          <cell r="C14" t="str">
            <v>Picún</v>
          </cell>
          <cell r="D14" t="str">
            <v>EI32105311</v>
          </cell>
          <cell r="E14">
            <v>5311</v>
          </cell>
        </row>
        <row r="15">
          <cell r="A15" t="str">
            <v>Perfiladora Dimeco Travesaños</v>
          </cell>
          <cell r="B15" t="str">
            <v>Perfiladora Dimeco Travesaños</v>
          </cell>
          <cell r="C15" t="str">
            <v>Pravia</v>
          </cell>
          <cell r="D15" t="str">
            <v>EI32105112</v>
          </cell>
          <cell r="E15">
            <v>5112</v>
          </cell>
        </row>
        <row r="16">
          <cell r="A16" t="str">
            <v>Perfiladora Fagor Largueros</v>
          </cell>
          <cell r="B16" t="str">
            <v>Perfiladora Fagor Largueros</v>
          </cell>
          <cell r="C16" t="str">
            <v>Asturias</v>
          </cell>
          <cell r="D16" t="str">
            <v>EI32105113</v>
          </cell>
          <cell r="E16">
            <v>5113</v>
          </cell>
        </row>
        <row r="17">
          <cell r="A17" t="str">
            <v>Perfiladora Fagor Montantes</v>
          </cell>
          <cell r="B17" t="str">
            <v>Perfiladora Fagor Montantes</v>
          </cell>
          <cell r="C17" t="str">
            <v>Iberia</v>
          </cell>
          <cell r="D17" t="str">
            <v>EI32105102</v>
          </cell>
          <cell r="E17">
            <v>5102</v>
          </cell>
        </row>
        <row r="18">
          <cell r="A18" t="str">
            <v>Perfiladora Gasparini</v>
          </cell>
          <cell r="B18" t="str">
            <v>Perfiladora de Colunas Gasparini</v>
          </cell>
          <cell r="C18" t="str">
            <v>Filippo</v>
          </cell>
          <cell r="D18" t="str">
            <v>EI32105101</v>
          </cell>
          <cell r="E18">
            <v>5101</v>
          </cell>
        </row>
        <row r="19">
          <cell r="A19" t="str">
            <v>Perfiladora Zikeli</v>
          </cell>
          <cell r="B19" t="str">
            <v>Perfiladora Zikeli</v>
          </cell>
          <cell r="C19" t="str">
            <v>María</v>
          </cell>
          <cell r="D19" t="str">
            <v>EI32105111</v>
          </cell>
          <cell r="E19">
            <v>5111</v>
          </cell>
        </row>
        <row r="20">
          <cell r="A20" t="str">
            <v>Prensa Gijón</v>
          </cell>
          <cell r="B20" t="str">
            <v>Prensa Gijón</v>
          </cell>
          <cell r="D20" t="str">
            <v>EI32105321</v>
          </cell>
          <cell r="E20">
            <v>5321</v>
          </cell>
        </row>
        <row r="21">
          <cell r="A21" t="str">
            <v>Prensa Jundiaí</v>
          </cell>
          <cell r="B21" t="str">
            <v>Prensa Jundiaí</v>
          </cell>
          <cell r="D21" t="str">
            <v>EI32105301</v>
          </cell>
          <cell r="E21">
            <v>5301</v>
          </cell>
        </row>
        <row r="22">
          <cell r="A22" t="str">
            <v>Retífica Plana</v>
          </cell>
          <cell r="B22" t="str">
            <v>Ferramentaria (Máquinas diversas)</v>
          </cell>
          <cell r="D22" t="str">
            <v>EI34000000</v>
          </cell>
          <cell r="E22" t="str">
            <v>EI34000000</v>
          </cell>
        </row>
        <row r="23">
          <cell r="A23" t="str">
            <v>Robô de Solda Automática</v>
          </cell>
          <cell r="B23" t="str">
            <v>Células de Solda Robotizadas / Longarinas</v>
          </cell>
          <cell r="C23" t="str">
            <v>Brasil</v>
          </cell>
          <cell r="D23" t="str">
            <v>EI32305724</v>
          </cell>
          <cell r="E23">
            <v>5724</v>
          </cell>
        </row>
        <row r="24">
          <cell r="A24" t="str">
            <v>Robô de Solda Automática</v>
          </cell>
          <cell r="B24" t="str">
            <v>Células de Solda Robotizadas / Longarinas</v>
          </cell>
          <cell r="C24" t="str">
            <v>España</v>
          </cell>
          <cell r="D24" t="str">
            <v>EI32305724</v>
          </cell>
          <cell r="E24">
            <v>5724</v>
          </cell>
        </row>
        <row r="25">
          <cell r="A25" t="str">
            <v>Robô de Solda Manual</v>
          </cell>
          <cell r="B25" t="str">
            <v>Célula de Solda Robotizada / Bases</v>
          </cell>
          <cell r="C25" t="str">
            <v>Pelé</v>
          </cell>
          <cell r="D25" t="str">
            <v>EI32305723</v>
          </cell>
          <cell r="E25">
            <v>5723</v>
          </cell>
        </row>
        <row r="26">
          <cell r="A26" t="str">
            <v>Robô de Solda Manual</v>
          </cell>
          <cell r="B26" t="str">
            <v>Célula de Solda Robotizada / Longarinas</v>
          </cell>
          <cell r="C26" t="str">
            <v>Pim-Pam-Pum</v>
          </cell>
          <cell r="D26" t="str">
            <v>EI32305721</v>
          </cell>
          <cell r="E26">
            <v>5721</v>
          </cell>
        </row>
        <row r="27">
          <cell r="A27" t="str">
            <v>Robô de Solda Manual</v>
          </cell>
          <cell r="B27" t="str">
            <v>Célula de Solda Robotizada / Longarinas</v>
          </cell>
          <cell r="C27" t="str">
            <v>Samba</v>
          </cell>
          <cell r="D27" t="str">
            <v>EI32305722</v>
          </cell>
          <cell r="E27">
            <v>5722</v>
          </cell>
        </row>
        <row r="28">
          <cell r="A28" t="str">
            <v>Sala dos Compressores</v>
          </cell>
          <cell r="B28" t="str">
            <v>Prédio Fábrica</v>
          </cell>
          <cell r="D28" t="str">
            <v>EI30500000</v>
          </cell>
        </row>
        <row r="29">
          <cell r="A29" t="str">
            <v>Serra de Fita</v>
          </cell>
          <cell r="B29" t="str">
            <v>Serra de Fita</v>
          </cell>
          <cell r="D29" t="str">
            <v>EI32105501</v>
          </cell>
          <cell r="E29">
            <v>5501</v>
          </cell>
        </row>
        <row r="30">
          <cell r="A30" t="str">
            <v>Serra Elétrica Circular</v>
          </cell>
          <cell r="B30" t="str">
            <v>Serras Brasil</v>
          </cell>
          <cell r="D30" t="str">
            <v>EI32105500</v>
          </cell>
          <cell r="E30">
            <v>5500</v>
          </cell>
        </row>
      </sheetData>
      <sheetData sheetId="12"/>
      <sheetData sheetId="13"/>
      <sheetData sheetId="14"/>
      <sheetData sheetId="15"/>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istórico de Manutenção"/>
      <sheetName val="Coleta de Dados"/>
      <sheetName val="Abril a Agosto"/>
      <sheetName val="Gráficos Abril a Agosto"/>
      <sheetName val="Setembro"/>
      <sheetName val="Gráficos (Setembro)"/>
      <sheetName val="Outubro"/>
      <sheetName val="Gráficos (Outubro)"/>
      <sheetName val="Total"/>
      <sheetName val="Gráficos (Total)"/>
      <sheetName val="Divulgação"/>
      <sheetName val="Consulta"/>
      <sheetName val="Consulta e Referência"/>
      <sheetName val="Filtragem"/>
      <sheetName val="Máquinas Mês a Mês"/>
      <sheetName val="Causas Raiz Mês a Mês"/>
      <sheetName val="gráfico"/>
    </sheetNames>
    <sheetDataSet>
      <sheetData sheetId="0"/>
      <sheetData sheetId="1">
        <row r="5">
          <cell r="AD5">
            <v>37712</v>
          </cell>
        </row>
        <row r="6">
          <cell r="AD6" t="str">
            <v>S/N</v>
          </cell>
        </row>
        <row r="7">
          <cell r="C7">
            <v>37712</v>
          </cell>
          <cell r="D7">
            <v>37718</v>
          </cell>
          <cell r="E7">
            <v>37718</v>
          </cell>
          <cell r="F7">
            <v>0.40625</v>
          </cell>
          <cell r="G7" t="str">
            <v>Guilhotina Sorg</v>
          </cell>
          <cell r="H7" t="str">
            <v>Falha no comando</v>
          </cell>
          <cell r="I7" t="str">
            <v>Corretiva</v>
          </cell>
          <cell r="J7" t="str">
            <v>Não</v>
          </cell>
          <cell r="K7" t="str">
            <v>Elétrica</v>
          </cell>
          <cell r="L7" t="str">
            <v>Ajuste / Regulagem</v>
          </cell>
          <cell r="M7" t="str">
            <v>Falha de Regulagem / Configuração / Dimensionamento</v>
          </cell>
          <cell r="N7">
            <v>37722</v>
          </cell>
          <cell r="O7">
            <v>0.41666666666666669</v>
          </cell>
          <cell r="P7">
            <v>37722</v>
          </cell>
          <cell r="Q7">
            <v>0.41666666666666669</v>
          </cell>
          <cell r="T7">
            <v>37722</v>
          </cell>
          <cell r="U7">
            <v>0.5</v>
          </cell>
          <cell r="V7">
            <v>37722</v>
          </cell>
          <cell r="W7">
            <v>0.5</v>
          </cell>
          <cell r="X7">
            <v>8.3333333333333315E-2</v>
          </cell>
          <cell r="Y7">
            <v>8.3333333333333315E-2</v>
          </cell>
          <cell r="AB7">
            <v>4</v>
          </cell>
          <cell r="AC7">
            <v>4</v>
          </cell>
          <cell r="AD7" t="str">
            <v>N</v>
          </cell>
          <cell r="BF7">
            <v>0</v>
          </cell>
          <cell r="BG7">
            <v>0</v>
          </cell>
          <cell r="BH7">
            <v>0</v>
          </cell>
          <cell r="BI7">
            <v>0</v>
          </cell>
          <cell r="BJ7">
            <v>0</v>
          </cell>
          <cell r="BK7">
            <v>0</v>
          </cell>
          <cell r="BL7">
            <v>0</v>
          </cell>
          <cell r="BM7">
            <v>4</v>
          </cell>
          <cell r="BN7">
            <v>0</v>
          </cell>
          <cell r="BO7">
            <v>0</v>
          </cell>
          <cell r="BP7">
            <v>0</v>
          </cell>
          <cell r="BQ7">
            <v>0</v>
          </cell>
          <cell r="BR7">
            <v>0</v>
          </cell>
          <cell r="BS7">
            <v>0</v>
          </cell>
          <cell r="BT7">
            <v>0</v>
          </cell>
          <cell r="BU7">
            <v>0</v>
          </cell>
          <cell r="BV7">
            <v>0</v>
          </cell>
          <cell r="BW7">
            <v>0</v>
          </cell>
          <cell r="BX7">
            <v>0</v>
          </cell>
          <cell r="BY7">
            <v>0</v>
          </cell>
          <cell r="BZ7">
            <v>0</v>
          </cell>
          <cell r="CA7">
            <v>0</v>
          </cell>
          <cell r="CB7">
            <v>0</v>
          </cell>
          <cell r="CC7">
            <v>0</v>
          </cell>
          <cell r="CD7">
            <v>0</v>
          </cell>
        </row>
        <row r="8">
          <cell r="C8">
            <v>37712</v>
          </cell>
          <cell r="D8">
            <v>37725</v>
          </cell>
          <cell r="E8">
            <v>37725</v>
          </cell>
          <cell r="F8">
            <v>0.47222222222222227</v>
          </cell>
          <cell r="G8" t="str">
            <v>Prensa Jundiaí</v>
          </cell>
          <cell r="H8" t="str">
            <v>Martelo travado</v>
          </cell>
          <cell r="I8" t="str">
            <v>Corretiva</v>
          </cell>
          <cell r="J8" t="str">
            <v>Sim</v>
          </cell>
          <cell r="K8" t="str">
            <v>Elétrica</v>
          </cell>
          <cell r="L8" t="str">
            <v>Destravamento dos Componentes</v>
          </cell>
          <cell r="M8" t="str">
            <v>Travamento de Componente</v>
          </cell>
          <cell r="N8">
            <v>37725</v>
          </cell>
          <cell r="O8">
            <v>0.47569444444444442</v>
          </cell>
          <cell r="P8">
            <v>37725</v>
          </cell>
          <cell r="Q8">
            <v>0.47569444444444442</v>
          </cell>
          <cell r="T8">
            <v>37725</v>
          </cell>
          <cell r="U8">
            <v>0.4861111111111111</v>
          </cell>
          <cell r="V8">
            <v>37725</v>
          </cell>
          <cell r="W8">
            <v>0.4861111111111111</v>
          </cell>
          <cell r="X8">
            <v>1.0416666666666685E-2</v>
          </cell>
          <cell r="Y8">
            <v>1.0416666665049812E-2</v>
          </cell>
          <cell r="AB8">
            <v>4</v>
          </cell>
          <cell r="AC8">
            <v>4</v>
          </cell>
          <cell r="AD8" t="str">
            <v>S</v>
          </cell>
          <cell r="BF8">
            <v>0</v>
          </cell>
          <cell r="BG8">
            <v>0</v>
          </cell>
          <cell r="BH8">
            <v>0</v>
          </cell>
          <cell r="BI8">
            <v>0</v>
          </cell>
          <cell r="BJ8">
            <v>0</v>
          </cell>
          <cell r="BK8">
            <v>0</v>
          </cell>
          <cell r="BL8">
            <v>0</v>
          </cell>
          <cell r="BM8">
            <v>0</v>
          </cell>
          <cell r="BN8">
            <v>0</v>
          </cell>
          <cell r="BO8">
            <v>0</v>
          </cell>
          <cell r="BP8">
            <v>0</v>
          </cell>
          <cell r="BQ8">
            <v>0</v>
          </cell>
          <cell r="BR8">
            <v>0</v>
          </cell>
          <cell r="BS8">
            <v>0</v>
          </cell>
          <cell r="BT8">
            <v>0</v>
          </cell>
          <cell r="BU8">
            <v>0</v>
          </cell>
          <cell r="BV8">
            <v>0</v>
          </cell>
          <cell r="BW8">
            <v>0</v>
          </cell>
          <cell r="BX8">
            <v>0</v>
          </cell>
          <cell r="BY8">
            <v>4</v>
          </cell>
          <cell r="BZ8">
            <v>0</v>
          </cell>
          <cell r="CA8">
            <v>0</v>
          </cell>
          <cell r="CB8">
            <v>0</v>
          </cell>
          <cell r="CC8">
            <v>0</v>
          </cell>
          <cell r="CD8">
            <v>0</v>
          </cell>
        </row>
        <row r="9">
          <cell r="C9">
            <v>37712</v>
          </cell>
          <cell r="D9">
            <v>37728</v>
          </cell>
          <cell r="E9">
            <v>37727</v>
          </cell>
          <cell r="F9">
            <v>0.66666666666666663</v>
          </cell>
          <cell r="G9" t="str">
            <v>Guilhotina Sorg</v>
          </cell>
          <cell r="H9" t="str">
            <v>Suporte para chapas está solto;  fazer um stop p/ peças longas; mudar a localização da régua de esquadro</v>
          </cell>
          <cell r="I9" t="str">
            <v>Corretiva</v>
          </cell>
          <cell r="J9" t="str">
            <v>Não</v>
          </cell>
          <cell r="K9" t="str">
            <v>Mecânica</v>
          </cell>
          <cell r="L9" t="str">
            <v>Melhoria no Sistema de Fixação</v>
          </cell>
          <cell r="M9" t="str">
            <v>Melhoria Técnica</v>
          </cell>
          <cell r="N9">
            <v>37728</v>
          </cell>
          <cell r="O9">
            <v>0.53125</v>
          </cell>
          <cell r="P9">
            <v>37728</v>
          </cell>
          <cell r="Q9">
            <v>0.57291666666666663</v>
          </cell>
          <cell r="R9">
            <v>37729</v>
          </cell>
          <cell r="S9">
            <v>0.33333333333333331</v>
          </cell>
          <cell r="T9">
            <v>37729</v>
          </cell>
          <cell r="U9">
            <v>0.41666666666666669</v>
          </cell>
          <cell r="V9">
            <v>0</v>
          </cell>
          <cell r="W9">
            <v>0.125</v>
          </cell>
          <cell r="X9">
            <v>0.125</v>
          </cell>
          <cell r="Y9">
            <v>0.125</v>
          </cell>
          <cell r="AB9">
            <v>4</v>
          </cell>
          <cell r="AC9">
            <v>4</v>
          </cell>
          <cell r="AD9" t="str">
            <v>N</v>
          </cell>
          <cell r="BF9">
            <v>0</v>
          </cell>
          <cell r="BG9">
            <v>0</v>
          </cell>
          <cell r="BH9">
            <v>0</v>
          </cell>
          <cell r="BI9">
            <v>0</v>
          </cell>
          <cell r="BJ9">
            <v>0</v>
          </cell>
          <cell r="BK9">
            <v>0</v>
          </cell>
          <cell r="BL9">
            <v>0</v>
          </cell>
          <cell r="BM9">
            <v>4</v>
          </cell>
          <cell r="BN9">
            <v>0</v>
          </cell>
          <cell r="BO9">
            <v>0</v>
          </cell>
          <cell r="BP9">
            <v>0</v>
          </cell>
          <cell r="BQ9">
            <v>0</v>
          </cell>
          <cell r="BR9">
            <v>0</v>
          </cell>
          <cell r="BS9">
            <v>0</v>
          </cell>
          <cell r="BT9">
            <v>0</v>
          </cell>
          <cell r="BU9">
            <v>0</v>
          </cell>
          <cell r="BV9">
            <v>0</v>
          </cell>
          <cell r="BW9">
            <v>0</v>
          </cell>
          <cell r="BX9">
            <v>0</v>
          </cell>
          <cell r="BY9">
            <v>0</v>
          </cell>
          <cell r="BZ9">
            <v>0</v>
          </cell>
          <cell r="CA9">
            <v>0</v>
          </cell>
          <cell r="CB9">
            <v>0</v>
          </cell>
          <cell r="CC9">
            <v>0</v>
          </cell>
          <cell r="CD9">
            <v>0</v>
          </cell>
        </row>
        <row r="10">
          <cell r="C10">
            <v>37712</v>
          </cell>
          <cell r="D10">
            <v>37736</v>
          </cell>
          <cell r="E10">
            <v>37735</v>
          </cell>
          <cell r="F10">
            <v>0.75</v>
          </cell>
          <cell r="G10" t="str">
            <v>Guilhotina Sorg</v>
          </cell>
          <cell r="H10" t="str">
            <v>Defeito no Sistema Hidráulico</v>
          </cell>
          <cell r="I10" t="str">
            <v>Corretiva</v>
          </cell>
          <cell r="J10" t="str">
            <v>Sim</v>
          </cell>
          <cell r="K10" t="str">
            <v>Mecânica</v>
          </cell>
          <cell r="L10" t="str">
            <v>Regulagem no Sistema Hidráulico e Elétrico</v>
          </cell>
          <cell r="M10" t="str">
            <v>Falha de Regulagem / Configuração / Dimensionamento</v>
          </cell>
          <cell r="N10">
            <v>37735</v>
          </cell>
          <cell r="O10">
            <v>0.8125</v>
          </cell>
          <cell r="P10">
            <v>37735</v>
          </cell>
          <cell r="Q10">
            <v>0.83333333333333337</v>
          </cell>
          <cell r="R10">
            <v>37736</v>
          </cell>
          <cell r="S10">
            <v>0.33333333333333331</v>
          </cell>
          <cell r="T10">
            <v>37736</v>
          </cell>
          <cell r="U10">
            <v>0.41666666666666669</v>
          </cell>
          <cell r="V10">
            <v>6.25E-2</v>
          </cell>
          <cell r="W10">
            <v>0.16666666666666674</v>
          </cell>
          <cell r="X10">
            <v>0.10416666666666674</v>
          </cell>
          <cell r="Y10">
            <v>0.10416666666666674</v>
          </cell>
          <cell r="AB10">
            <v>4</v>
          </cell>
          <cell r="AC10">
            <v>4</v>
          </cell>
          <cell r="AD10" t="str">
            <v>S</v>
          </cell>
          <cell r="BF10">
            <v>0</v>
          </cell>
          <cell r="BG10">
            <v>0</v>
          </cell>
          <cell r="BH10">
            <v>0</v>
          </cell>
          <cell r="BI10">
            <v>0</v>
          </cell>
          <cell r="BJ10">
            <v>0</v>
          </cell>
          <cell r="BK10">
            <v>0</v>
          </cell>
          <cell r="BL10">
            <v>0</v>
          </cell>
          <cell r="BM10">
            <v>4</v>
          </cell>
          <cell r="BN10">
            <v>0</v>
          </cell>
          <cell r="BO10">
            <v>0</v>
          </cell>
          <cell r="BP10">
            <v>0</v>
          </cell>
          <cell r="BQ10">
            <v>0</v>
          </cell>
          <cell r="BR10">
            <v>0</v>
          </cell>
          <cell r="BS10">
            <v>0</v>
          </cell>
          <cell r="BT10">
            <v>0</v>
          </cell>
          <cell r="BU10">
            <v>0</v>
          </cell>
          <cell r="BV10">
            <v>0</v>
          </cell>
          <cell r="BW10">
            <v>0</v>
          </cell>
          <cell r="BX10">
            <v>0</v>
          </cell>
          <cell r="BY10">
            <v>0</v>
          </cell>
          <cell r="BZ10">
            <v>0</v>
          </cell>
          <cell r="CA10">
            <v>0</v>
          </cell>
          <cell r="CB10">
            <v>0</v>
          </cell>
          <cell r="CC10">
            <v>0</v>
          </cell>
          <cell r="CD10">
            <v>0</v>
          </cell>
        </row>
        <row r="11">
          <cell r="C11">
            <v>37712</v>
          </cell>
          <cell r="D11">
            <v>37763</v>
          </cell>
          <cell r="E11">
            <v>37761</v>
          </cell>
          <cell r="F11">
            <v>0.61805555555555558</v>
          </cell>
          <cell r="G11" t="str">
            <v>Dobradeira Sorg</v>
          </cell>
          <cell r="H11" t="str">
            <v>Capa de Proteção do Motor está solta</v>
          </cell>
          <cell r="I11" t="str">
            <v>Corretiva</v>
          </cell>
          <cell r="J11" t="str">
            <v>Não</v>
          </cell>
          <cell r="K11" t="str">
            <v>Mecânica</v>
          </cell>
          <cell r="L11" t="str">
            <v>Reparo</v>
          </cell>
          <cell r="M11" t="str">
            <v>Vibração</v>
          </cell>
          <cell r="N11">
            <v>37762</v>
          </cell>
          <cell r="O11">
            <v>0.375</v>
          </cell>
          <cell r="P11">
            <v>37762</v>
          </cell>
          <cell r="Q11">
            <v>0.375</v>
          </cell>
          <cell r="T11">
            <v>37762</v>
          </cell>
          <cell r="U11">
            <v>0.4375</v>
          </cell>
          <cell r="V11">
            <v>37762</v>
          </cell>
          <cell r="W11">
            <v>0.4375</v>
          </cell>
          <cell r="X11">
            <v>6.25E-2</v>
          </cell>
          <cell r="Y11">
            <v>6.25E-2</v>
          </cell>
          <cell r="AB11">
            <v>5</v>
          </cell>
          <cell r="AC11">
            <v>4</v>
          </cell>
          <cell r="AD11">
            <v>0</v>
          </cell>
          <cell r="BF11">
            <v>0</v>
          </cell>
          <cell r="BG11">
            <v>0</v>
          </cell>
          <cell r="BH11">
            <v>5</v>
          </cell>
          <cell r="BI11">
            <v>0</v>
          </cell>
          <cell r="BJ11">
            <v>0</v>
          </cell>
          <cell r="BK11">
            <v>0</v>
          </cell>
          <cell r="BL11">
            <v>0</v>
          </cell>
          <cell r="BM11">
            <v>0</v>
          </cell>
          <cell r="BN11">
            <v>0</v>
          </cell>
          <cell r="BO11">
            <v>0</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row>
        <row r="12">
          <cell r="C12">
            <v>37712</v>
          </cell>
          <cell r="I12">
            <v>0</v>
          </cell>
          <cell r="N12">
            <v>0</v>
          </cell>
          <cell r="P12">
            <v>0</v>
          </cell>
          <cell r="T12">
            <v>0</v>
          </cell>
          <cell r="V12">
            <v>0</v>
          </cell>
          <cell r="W12">
            <v>0</v>
          </cell>
          <cell r="X12">
            <v>0</v>
          </cell>
          <cell r="Y12">
            <v>0</v>
          </cell>
          <cell r="AB12">
            <v>0</v>
          </cell>
          <cell r="AC12">
            <v>4</v>
          </cell>
          <cell r="AD12">
            <v>0</v>
          </cell>
          <cell r="BF12">
            <v>0</v>
          </cell>
          <cell r="BG12">
            <v>0</v>
          </cell>
          <cell r="BH12">
            <v>0</v>
          </cell>
          <cell r="BI12">
            <v>0</v>
          </cell>
          <cell r="BJ12">
            <v>0</v>
          </cell>
          <cell r="BK12">
            <v>0</v>
          </cell>
          <cell r="BL12">
            <v>0</v>
          </cell>
          <cell r="BM12">
            <v>0</v>
          </cell>
          <cell r="BN12">
            <v>0</v>
          </cell>
          <cell r="BO12">
            <v>0</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row>
        <row r="13">
          <cell r="C13">
            <v>37712</v>
          </cell>
          <cell r="D13">
            <v>37819</v>
          </cell>
          <cell r="E13">
            <v>37772</v>
          </cell>
          <cell r="F13">
            <v>0.58333333333333337</v>
          </cell>
          <cell r="G13" t="str">
            <v>Prensa Jundiaí</v>
          </cell>
          <cell r="H13" t="str">
            <v>Capa do fio do painel bimanual escapou</v>
          </cell>
          <cell r="I13" t="str">
            <v>Corretiva</v>
          </cell>
          <cell r="J13" t="str">
            <v>Não</v>
          </cell>
          <cell r="K13" t="str">
            <v>Elétrica</v>
          </cell>
          <cell r="L13" t="str">
            <v>Reparo</v>
          </cell>
          <cell r="M13" t="str">
            <v>Causa não especificada</v>
          </cell>
          <cell r="N13">
            <v>37774</v>
          </cell>
          <cell r="O13">
            <v>0.375</v>
          </cell>
          <cell r="P13">
            <v>37774</v>
          </cell>
          <cell r="Q13">
            <v>0.375</v>
          </cell>
          <cell r="T13">
            <v>37774</v>
          </cell>
          <cell r="U13">
            <v>0.39930555555555558</v>
          </cell>
          <cell r="V13">
            <v>37774</v>
          </cell>
          <cell r="W13">
            <v>0.39930555555555558</v>
          </cell>
          <cell r="X13">
            <v>2.4305555554747116E-2</v>
          </cell>
          <cell r="Y13">
            <v>2.4305555554747116E-2</v>
          </cell>
          <cell r="AB13">
            <v>6</v>
          </cell>
          <cell r="AC13">
            <v>4</v>
          </cell>
          <cell r="AD13">
            <v>0</v>
          </cell>
          <cell r="BF13">
            <v>0</v>
          </cell>
          <cell r="BG13">
            <v>0</v>
          </cell>
          <cell r="BH13">
            <v>0</v>
          </cell>
          <cell r="BI13">
            <v>0</v>
          </cell>
          <cell r="BJ13">
            <v>0</v>
          </cell>
          <cell r="BK13">
            <v>0</v>
          </cell>
          <cell r="BL13">
            <v>0</v>
          </cell>
          <cell r="BM13">
            <v>0</v>
          </cell>
          <cell r="BN13">
            <v>0</v>
          </cell>
          <cell r="BO13">
            <v>0</v>
          </cell>
          <cell r="BP13">
            <v>0</v>
          </cell>
          <cell r="BQ13">
            <v>0</v>
          </cell>
          <cell r="BR13">
            <v>0</v>
          </cell>
          <cell r="BS13">
            <v>0</v>
          </cell>
          <cell r="BT13">
            <v>0</v>
          </cell>
          <cell r="BU13">
            <v>0</v>
          </cell>
          <cell r="BV13">
            <v>0</v>
          </cell>
          <cell r="BW13">
            <v>0</v>
          </cell>
          <cell r="BX13">
            <v>0</v>
          </cell>
          <cell r="BY13">
            <v>6</v>
          </cell>
          <cell r="BZ13">
            <v>0</v>
          </cell>
          <cell r="CA13">
            <v>0</v>
          </cell>
          <cell r="CB13">
            <v>0</v>
          </cell>
          <cell r="CC13">
            <v>0</v>
          </cell>
          <cell r="CD13">
            <v>0</v>
          </cell>
        </row>
        <row r="14">
          <cell r="C14">
            <v>37712</v>
          </cell>
          <cell r="D14">
            <v>37785</v>
          </cell>
          <cell r="E14">
            <v>37770</v>
          </cell>
          <cell r="F14">
            <v>0.72916666666666663</v>
          </cell>
          <cell r="G14" t="str">
            <v>Dobradeira Sorg</v>
          </cell>
          <cell r="H14" t="str">
            <v>Travamento dos movimentos</v>
          </cell>
          <cell r="I14" t="str">
            <v>Corretiva</v>
          </cell>
          <cell r="J14" t="str">
            <v>Sim</v>
          </cell>
          <cell r="K14" t="str">
            <v>Elétrica</v>
          </cell>
          <cell r="L14" t="str">
            <v>Substituição do(s) Componente(s)</v>
          </cell>
          <cell r="M14" t="str">
            <v>Desgaste / Fadiga</v>
          </cell>
          <cell r="N14">
            <v>37770</v>
          </cell>
          <cell r="O14">
            <v>0.72916666666666663</v>
          </cell>
          <cell r="P14">
            <v>37770</v>
          </cell>
          <cell r="Q14">
            <v>0.72916666666666663</v>
          </cell>
          <cell r="T14">
            <v>37771</v>
          </cell>
          <cell r="U14">
            <v>0.4375</v>
          </cell>
          <cell r="V14">
            <v>37771</v>
          </cell>
          <cell r="W14">
            <v>0.4375</v>
          </cell>
          <cell r="X14">
            <v>0.125</v>
          </cell>
          <cell r="Y14">
            <v>0.125</v>
          </cell>
          <cell r="AB14">
            <v>5</v>
          </cell>
          <cell r="AC14">
            <v>4</v>
          </cell>
          <cell r="AD14">
            <v>0</v>
          </cell>
          <cell r="BF14">
            <v>0</v>
          </cell>
          <cell r="BG14">
            <v>0</v>
          </cell>
          <cell r="BH14">
            <v>5</v>
          </cell>
          <cell r="BI14">
            <v>0</v>
          </cell>
          <cell r="BJ14">
            <v>0</v>
          </cell>
          <cell r="BK14">
            <v>0</v>
          </cell>
          <cell r="BL14">
            <v>0</v>
          </cell>
          <cell r="BM14">
            <v>0</v>
          </cell>
          <cell r="BN14">
            <v>0</v>
          </cell>
          <cell r="BO14">
            <v>0</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row>
        <row r="15">
          <cell r="C15">
            <v>37712</v>
          </cell>
          <cell r="D15">
            <v>37803</v>
          </cell>
          <cell r="E15">
            <v>37777</v>
          </cell>
          <cell r="F15">
            <v>0.74305555555555547</v>
          </cell>
          <cell r="G15" t="str">
            <v>Guilhotina Sorg</v>
          </cell>
          <cell r="H15" t="str">
            <v>Máquina não referencia</v>
          </cell>
          <cell r="I15" t="str">
            <v>Corretiva</v>
          </cell>
          <cell r="J15" t="str">
            <v>Sim</v>
          </cell>
          <cell r="K15" t="str">
            <v>Elétrica</v>
          </cell>
          <cell r="L15" t="str">
            <v>Regulagem e Referência da Máquina</v>
          </cell>
          <cell r="M15" t="str">
            <v>Falha de Comando / Sistema</v>
          </cell>
          <cell r="N15">
            <v>37777</v>
          </cell>
          <cell r="O15">
            <v>0.74305555555555547</v>
          </cell>
          <cell r="P15">
            <v>37777</v>
          </cell>
          <cell r="Q15">
            <v>0.72916666666666663</v>
          </cell>
          <cell r="T15">
            <v>37777</v>
          </cell>
          <cell r="U15">
            <v>0.8125</v>
          </cell>
          <cell r="V15">
            <v>37777</v>
          </cell>
          <cell r="W15">
            <v>0.8125</v>
          </cell>
          <cell r="X15">
            <v>8.333333333333337E-2</v>
          </cell>
          <cell r="Y15">
            <v>8.333333333333337E-2</v>
          </cell>
          <cell r="AB15">
            <v>6</v>
          </cell>
          <cell r="AC15">
            <v>4</v>
          </cell>
          <cell r="AD15">
            <v>0</v>
          </cell>
          <cell r="BF15">
            <v>0</v>
          </cell>
          <cell r="BG15">
            <v>0</v>
          </cell>
          <cell r="BH15">
            <v>0</v>
          </cell>
          <cell r="BI15">
            <v>0</v>
          </cell>
          <cell r="BJ15">
            <v>0</v>
          </cell>
          <cell r="BK15">
            <v>0</v>
          </cell>
          <cell r="BL15">
            <v>0</v>
          </cell>
          <cell r="BM15">
            <v>6</v>
          </cell>
          <cell r="BN15">
            <v>0</v>
          </cell>
          <cell r="BO15">
            <v>0</v>
          </cell>
          <cell r="BP15">
            <v>0</v>
          </cell>
          <cell r="BQ15">
            <v>0</v>
          </cell>
          <cell r="BR15">
            <v>0</v>
          </cell>
          <cell r="BS15">
            <v>0</v>
          </cell>
          <cell r="BT15">
            <v>0</v>
          </cell>
          <cell r="BU15">
            <v>0</v>
          </cell>
          <cell r="BV15">
            <v>0</v>
          </cell>
          <cell r="BW15">
            <v>0</v>
          </cell>
          <cell r="BX15">
            <v>0</v>
          </cell>
          <cell r="BY15">
            <v>0</v>
          </cell>
          <cell r="BZ15">
            <v>0</v>
          </cell>
          <cell r="CA15">
            <v>0</v>
          </cell>
          <cell r="CB15">
            <v>0</v>
          </cell>
          <cell r="CC15">
            <v>0</v>
          </cell>
          <cell r="CD15">
            <v>0</v>
          </cell>
        </row>
        <row r="16">
          <cell r="C16">
            <v>37712</v>
          </cell>
          <cell r="D16">
            <v>37803</v>
          </cell>
          <cell r="E16">
            <v>37798</v>
          </cell>
          <cell r="F16">
            <v>0.5</v>
          </cell>
          <cell r="G16" t="str">
            <v>Guilhotina Sorg</v>
          </cell>
          <cell r="H16" t="str">
            <v>Vazamento no fluido Hidráulico</v>
          </cell>
          <cell r="I16" t="str">
            <v>Corretiva</v>
          </cell>
          <cell r="J16" t="str">
            <v>Sim</v>
          </cell>
          <cell r="K16" t="str">
            <v>Mecânica</v>
          </cell>
          <cell r="L16" t="str">
            <v>Retirado vazamento de óleo mediante reaperto</v>
          </cell>
          <cell r="M16" t="str">
            <v>Falha de Regulagem / Configuração / Dimensionamento</v>
          </cell>
          <cell r="N16">
            <v>37798</v>
          </cell>
          <cell r="O16">
            <v>0.5</v>
          </cell>
          <cell r="P16">
            <v>37798</v>
          </cell>
          <cell r="Q16">
            <v>0.5</v>
          </cell>
          <cell r="T16">
            <v>37798</v>
          </cell>
          <cell r="U16">
            <v>0.51388888888888895</v>
          </cell>
          <cell r="V16">
            <v>37798</v>
          </cell>
          <cell r="W16">
            <v>0.51388888888888895</v>
          </cell>
          <cell r="X16">
            <v>1.3888888888888951E-2</v>
          </cell>
          <cell r="Y16">
            <v>1.3888888890505768E-2</v>
          </cell>
          <cell r="AB16">
            <v>6</v>
          </cell>
          <cell r="AC16">
            <v>4</v>
          </cell>
          <cell r="AD16">
            <v>0</v>
          </cell>
          <cell r="BF16">
            <v>0</v>
          </cell>
          <cell r="BG16">
            <v>0</v>
          </cell>
          <cell r="BH16">
            <v>0</v>
          </cell>
          <cell r="BI16">
            <v>0</v>
          </cell>
          <cell r="BJ16">
            <v>0</v>
          </cell>
          <cell r="BK16">
            <v>0</v>
          </cell>
          <cell r="BL16">
            <v>0</v>
          </cell>
          <cell r="BM16">
            <v>6</v>
          </cell>
          <cell r="BN16">
            <v>0</v>
          </cell>
          <cell r="BO16">
            <v>0</v>
          </cell>
          <cell r="BP16">
            <v>0</v>
          </cell>
          <cell r="BQ16">
            <v>0</v>
          </cell>
          <cell r="BR16">
            <v>0</v>
          </cell>
          <cell r="BS16">
            <v>0</v>
          </cell>
          <cell r="BT16">
            <v>0</v>
          </cell>
          <cell r="BU16">
            <v>0</v>
          </cell>
          <cell r="BV16">
            <v>0</v>
          </cell>
          <cell r="BW16">
            <v>0</v>
          </cell>
          <cell r="BX16">
            <v>0</v>
          </cell>
          <cell r="BY16">
            <v>0</v>
          </cell>
          <cell r="BZ16">
            <v>0</v>
          </cell>
          <cell r="CA16">
            <v>0</v>
          </cell>
          <cell r="CB16">
            <v>0</v>
          </cell>
          <cell r="CC16">
            <v>0</v>
          </cell>
          <cell r="CD16">
            <v>0</v>
          </cell>
        </row>
        <row r="17">
          <cell r="C17">
            <v>37712</v>
          </cell>
          <cell r="D17">
            <v>37721</v>
          </cell>
          <cell r="E17">
            <v>37721</v>
          </cell>
          <cell r="F17">
            <v>0.42499999999999999</v>
          </cell>
          <cell r="G17" t="str">
            <v>Perfiladora Dimeco Travesaños</v>
          </cell>
          <cell r="H17" t="str">
            <v>Alimentador com Defeito</v>
          </cell>
          <cell r="I17" t="str">
            <v>Corretiva</v>
          </cell>
          <cell r="J17" t="str">
            <v>Sim</v>
          </cell>
          <cell r="K17" t="str">
            <v>Mecânica</v>
          </cell>
          <cell r="L17" t="str">
            <v>Regulagem do eixo do alimentador</v>
          </cell>
          <cell r="M17" t="str">
            <v>Desgaste / Fadiga</v>
          </cell>
          <cell r="N17">
            <v>37721</v>
          </cell>
          <cell r="O17">
            <v>0.42499999999999999</v>
          </cell>
          <cell r="P17">
            <v>37721</v>
          </cell>
          <cell r="Q17">
            <v>0.42499999999999999</v>
          </cell>
          <cell r="T17">
            <v>37721</v>
          </cell>
          <cell r="U17">
            <v>0.43402777777777773</v>
          </cell>
          <cell r="V17">
            <v>37721</v>
          </cell>
          <cell r="W17">
            <v>0.43402777777777773</v>
          </cell>
          <cell r="X17">
            <v>9.0277777777777457E-3</v>
          </cell>
          <cell r="Y17">
            <v>9.0277777810115478E-3</v>
          </cell>
          <cell r="AB17">
            <v>4</v>
          </cell>
          <cell r="AC17">
            <v>4</v>
          </cell>
          <cell r="AD17" t="str">
            <v>S</v>
          </cell>
          <cell r="BF17">
            <v>0</v>
          </cell>
          <cell r="BG17">
            <v>0</v>
          </cell>
          <cell r="BH17">
            <v>0</v>
          </cell>
          <cell r="BI17">
            <v>0</v>
          </cell>
          <cell r="BJ17">
            <v>0</v>
          </cell>
          <cell r="BK17">
            <v>0</v>
          </cell>
          <cell r="BL17">
            <v>0</v>
          </cell>
          <cell r="BM17">
            <v>0</v>
          </cell>
          <cell r="BN17">
            <v>0</v>
          </cell>
          <cell r="BO17">
            <v>0</v>
          </cell>
          <cell r="BP17">
            <v>0</v>
          </cell>
          <cell r="BQ17">
            <v>0</v>
          </cell>
          <cell r="BR17">
            <v>0</v>
          </cell>
          <cell r="BS17">
            <v>4</v>
          </cell>
          <cell r="BT17">
            <v>0</v>
          </cell>
          <cell r="BU17">
            <v>0</v>
          </cell>
          <cell r="BV17">
            <v>0</v>
          </cell>
          <cell r="BW17">
            <v>0</v>
          </cell>
          <cell r="BX17">
            <v>0</v>
          </cell>
          <cell r="BY17">
            <v>0</v>
          </cell>
          <cell r="BZ17">
            <v>0</v>
          </cell>
          <cell r="CA17">
            <v>0</v>
          </cell>
          <cell r="CB17">
            <v>0</v>
          </cell>
          <cell r="CC17">
            <v>0</v>
          </cell>
          <cell r="CD17">
            <v>0</v>
          </cell>
        </row>
        <row r="18">
          <cell r="C18">
            <v>37712</v>
          </cell>
          <cell r="D18">
            <v>37727</v>
          </cell>
          <cell r="E18">
            <v>37726</v>
          </cell>
          <cell r="F18">
            <v>0.41666666666666669</v>
          </cell>
          <cell r="G18" t="str">
            <v>Perfiladora Dimeco Travesaños</v>
          </cell>
          <cell r="H18" t="str">
            <v>Pistão do Encoder torto</v>
          </cell>
          <cell r="I18" t="str">
            <v>Corretiva</v>
          </cell>
          <cell r="J18" t="str">
            <v>Não</v>
          </cell>
          <cell r="K18" t="str">
            <v>Mecânica</v>
          </cell>
          <cell r="L18" t="str">
            <v>Substituição do(s) Componente(s)</v>
          </cell>
          <cell r="M18" t="str">
            <v>Falha Operacional</v>
          </cell>
          <cell r="N18">
            <v>37762</v>
          </cell>
          <cell r="O18">
            <v>0.60416666666666663</v>
          </cell>
          <cell r="P18">
            <v>37762</v>
          </cell>
          <cell r="Q18">
            <v>0.60416666666666663</v>
          </cell>
          <cell r="T18">
            <v>37762</v>
          </cell>
          <cell r="U18">
            <v>0.6875</v>
          </cell>
          <cell r="V18">
            <v>37762</v>
          </cell>
          <cell r="W18">
            <v>0.6875</v>
          </cell>
          <cell r="X18">
            <v>8.333333333333337E-2</v>
          </cell>
          <cell r="Y18">
            <v>8.333333333333337E-2</v>
          </cell>
          <cell r="AB18">
            <v>5</v>
          </cell>
          <cell r="AC18">
            <v>4</v>
          </cell>
          <cell r="AD18">
            <v>0</v>
          </cell>
          <cell r="BF18">
            <v>0</v>
          </cell>
          <cell r="BG18">
            <v>0</v>
          </cell>
          <cell r="BH18">
            <v>0</v>
          </cell>
          <cell r="BI18">
            <v>0</v>
          </cell>
          <cell r="BJ18">
            <v>0</v>
          </cell>
          <cell r="BK18">
            <v>0</v>
          </cell>
          <cell r="BL18">
            <v>0</v>
          </cell>
          <cell r="BM18">
            <v>0</v>
          </cell>
          <cell r="BN18">
            <v>0</v>
          </cell>
          <cell r="BO18">
            <v>0</v>
          </cell>
          <cell r="BP18">
            <v>0</v>
          </cell>
          <cell r="BQ18">
            <v>0</v>
          </cell>
          <cell r="BR18">
            <v>0</v>
          </cell>
          <cell r="BS18">
            <v>5</v>
          </cell>
          <cell r="BT18">
            <v>0</v>
          </cell>
          <cell r="BU18">
            <v>0</v>
          </cell>
          <cell r="BV18">
            <v>0</v>
          </cell>
          <cell r="BW18">
            <v>0</v>
          </cell>
          <cell r="BX18">
            <v>0</v>
          </cell>
          <cell r="BY18">
            <v>0</v>
          </cell>
          <cell r="BZ18">
            <v>0</v>
          </cell>
          <cell r="CA18">
            <v>0</v>
          </cell>
          <cell r="CB18">
            <v>0</v>
          </cell>
          <cell r="CC18">
            <v>0</v>
          </cell>
          <cell r="CD18">
            <v>0</v>
          </cell>
        </row>
        <row r="19">
          <cell r="C19">
            <v>37712</v>
          </cell>
          <cell r="D19">
            <v>37733</v>
          </cell>
          <cell r="E19">
            <v>37733</v>
          </cell>
          <cell r="F19">
            <v>0.34375</v>
          </cell>
          <cell r="G19" t="str">
            <v>Perfiladora Dimeco Travesaños</v>
          </cell>
          <cell r="H19" t="str">
            <v>Pino Guia Quebrado</v>
          </cell>
          <cell r="I19" t="str">
            <v>Corretiva</v>
          </cell>
          <cell r="J19" t="str">
            <v>Sim</v>
          </cell>
          <cell r="K19" t="str">
            <v>Mecânica</v>
          </cell>
          <cell r="L19" t="str">
            <v>O pino danificado foi substituído por um novo, confeccionado internamente (Ferramentaria)</v>
          </cell>
          <cell r="M19" t="str">
            <v>Defeito de Fabricação</v>
          </cell>
          <cell r="N19">
            <v>37733</v>
          </cell>
          <cell r="O19">
            <v>0.34375</v>
          </cell>
          <cell r="P19">
            <v>37733</v>
          </cell>
          <cell r="Q19">
            <v>0.34375</v>
          </cell>
          <cell r="T19">
            <v>37733</v>
          </cell>
          <cell r="U19">
            <v>0.375</v>
          </cell>
          <cell r="V19">
            <v>37733</v>
          </cell>
          <cell r="W19">
            <v>0.375</v>
          </cell>
          <cell r="X19">
            <v>3.125E-2</v>
          </cell>
          <cell r="Y19">
            <v>3.125E-2</v>
          </cell>
          <cell r="AB19">
            <v>4</v>
          </cell>
          <cell r="AC19">
            <v>4</v>
          </cell>
          <cell r="AD19" t="str">
            <v>S</v>
          </cell>
          <cell r="BF19">
            <v>0</v>
          </cell>
          <cell r="BG19">
            <v>0</v>
          </cell>
          <cell r="BH19">
            <v>0</v>
          </cell>
          <cell r="BI19">
            <v>0</v>
          </cell>
          <cell r="BJ19">
            <v>0</v>
          </cell>
          <cell r="BK19">
            <v>0</v>
          </cell>
          <cell r="BL19">
            <v>0</v>
          </cell>
          <cell r="BM19">
            <v>0</v>
          </cell>
          <cell r="BN19">
            <v>0</v>
          </cell>
          <cell r="BO19">
            <v>0</v>
          </cell>
          <cell r="BP19">
            <v>0</v>
          </cell>
          <cell r="BQ19">
            <v>0</v>
          </cell>
          <cell r="BR19">
            <v>0</v>
          </cell>
          <cell r="BS19">
            <v>4</v>
          </cell>
          <cell r="BT19">
            <v>0</v>
          </cell>
          <cell r="BU19">
            <v>0</v>
          </cell>
          <cell r="BV19">
            <v>0</v>
          </cell>
          <cell r="BW19">
            <v>0</v>
          </cell>
          <cell r="BX19">
            <v>0</v>
          </cell>
          <cell r="BY19">
            <v>0</v>
          </cell>
          <cell r="BZ19">
            <v>0</v>
          </cell>
          <cell r="CA19">
            <v>0</v>
          </cell>
          <cell r="CB19">
            <v>0</v>
          </cell>
          <cell r="CC19">
            <v>0</v>
          </cell>
          <cell r="CD19">
            <v>0</v>
          </cell>
        </row>
        <row r="20">
          <cell r="C20">
            <v>37712</v>
          </cell>
          <cell r="D20">
            <v>37810</v>
          </cell>
          <cell r="E20">
            <v>37756</v>
          </cell>
          <cell r="F20">
            <v>0.44097222222222227</v>
          </cell>
          <cell r="G20" t="str">
            <v>Perfiladora Dimeco Travesaños</v>
          </cell>
          <cell r="H20" t="str">
            <v>Máquina não liga</v>
          </cell>
          <cell r="I20" t="str">
            <v>Corretiva</v>
          </cell>
          <cell r="J20" t="str">
            <v>Sim</v>
          </cell>
          <cell r="K20" t="str">
            <v>Elétrica</v>
          </cell>
          <cell r="L20" t="str">
            <v>Substituição do(s) Componente(s)</v>
          </cell>
          <cell r="M20" t="str">
            <v>Causa não especificada</v>
          </cell>
          <cell r="N20">
            <v>37756</v>
          </cell>
          <cell r="O20">
            <v>0.44097222222222227</v>
          </cell>
          <cell r="P20">
            <v>37756</v>
          </cell>
          <cell r="Q20">
            <v>0.44097222222222227</v>
          </cell>
          <cell r="T20">
            <v>37757</v>
          </cell>
          <cell r="U20">
            <v>0.45833333333333331</v>
          </cell>
          <cell r="V20">
            <v>37757</v>
          </cell>
          <cell r="W20">
            <v>0.45833333333333331</v>
          </cell>
          <cell r="X20">
            <v>0.5590277777777779</v>
          </cell>
          <cell r="Y20">
            <v>0.55902777778020307</v>
          </cell>
          <cell r="AB20">
            <v>5</v>
          </cell>
          <cell r="AC20">
            <v>4</v>
          </cell>
          <cell r="AD20">
            <v>0</v>
          </cell>
          <cell r="BF20">
            <v>0</v>
          </cell>
          <cell r="BG20">
            <v>0</v>
          </cell>
          <cell r="BH20">
            <v>0</v>
          </cell>
          <cell r="BI20">
            <v>0</v>
          </cell>
          <cell r="BJ20">
            <v>0</v>
          </cell>
          <cell r="BK20">
            <v>0</v>
          </cell>
          <cell r="BL20">
            <v>0</v>
          </cell>
          <cell r="BM20">
            <v>0</v>
          </cell>
          <cell r="BN20">
            <v>0</v>
          </cell>
          <cell r="BO20">
            <v>0</v>
          </cell>
          <cell r="BP20">
            <v>0</v>
          </cell>
          <cell r="BQ20">
            <v>0</v>
          </cell>
          <cell r="BR20">
            <v>0</v>
          </cell>
          <cell r="BS20">
            <v>5</v>
          </cell>
          <cell r="BT20">
            <v>0</v>
          </cell>
          <cell r="BU20">
            <v>0</v>
          </cell>
          <cell r="BV20">
            <v>0</v>
          </cell>
          <cell r="BW20">
            <v>0</v>
          </cell>
          <cell r="BX20">
            <v>0</v>
          </cell>
          <cell r="BY20">
            <v>0</v>
          </cell>
          <cell r="BZ20">
            <v>0</v>
          </cell>
          <cell r="CA20">
            <v>0</v>
          </cell>
          <cell r="CB20">
            <v>0</v>
          </cell>
          <cell r="CC20">
            <v>0</v>
          </cell>
          <cell r="CD20">
            <v>0</v>
          </cell>
        </row>
        <row r="21">
          <cell r="C21">
            <v>37712</v>
          </cell>
          <cell r="D21">
            <v>37763</v>
          </cell>
          <cell r="E21">
            <v>37756</v>
          </cell>
          <cell r="F21">
            <v>0.41666666666666669</v>
          </cell>
          <cell r="G21" t="str">
            <v>Perfiladora Dimeco Travesaños</v>
          </cell>
          <cell r="H21" t="str">
            <v>Trocar filtro de óleo hidráulico; Eliminar vazamento; Arrumar guia dos mordentes</v>
          </cell>
          <cell r="I21" t="str">
            <v>Corretiva</v>
          </cell>
          <cell r="J21" t="str">
            <v>Não</v>
          </cell>
          <cell r="K21" t="str">
            <v>Mecânica</v>
          </cell>
          <cell r="L21" t="str">
            <v>Trocado filtro hidráulico novo; retirado vazamento e arrumadas as guias dos mordentes</v>
          </cell>
          <cell r="M21" t="str">
            <v>Desgaste / Fadiga</v>
          </cell>
          <cell r="N21">
            <v>37756</v>
          </cell>
          <cell r="O21">
            <v>0.41666666666666669</v>
          </cell>
          <cell r="P21">
            <v>37756</v>
          </cell>
          <cell r="Q21">
            <v>0.41666666666666669</v>
          </cell>
          <cell r="T21">
            <v>37756</v>
          </cell>
          <cell r="U21">
            <v>0.75</v>
          </cell>
          <cell r="V21">
            <v>37756</v>
          </cell>
          <cell r="W21">
            <v>0.75</v>
          </cell>
          <cell r="X21">
            <v>0.33333333333333331</v>
          </cell>
          <cell r="Y21">
            <v>0.33333333333333331</v>
          </cell>
          <cell r="AB21">
            <v>5</v>
          </cell>
          <cell r="AC21">
            <v>4</v>
          </cell>
          <cell r="AD21">
            <v>0</v>
          </cell>
          <cell r="BF21">
            <v>0</v>
          </cell>
          <cell r="BG21">
            <v>0</v>
          </cell>
          <cell r="BH21">
            <v>0</v>
          </cell>
          <cell r="BI21">
            <v>0</v>
          </cell>
          <cell r="BJ21">
            <v>0</v>
          </cell>
          <cell r="BK21">
            <v>0</v>
          </cell>
          <cell r="BL21">
            <v>0</v>
          </cell>
          <cell r="BM21">
            <v>0</v>
          </cell>
          <cell r="BN21">
            <v>0</v>
          </cell>
          <cell r="BO21">
            <v>0</v>
          </cell>
          <cell r="BP21">
            <v>0</v>
          </cell>
          <cell r="BQ21">
            <v>0</v>
          </cell>
          <cell r="BR21">
            <v>0</v>
          </cell>
          <cell r="BS21">
            <v>5</v>
          </cell>
          <cell r="BT21">
            <v>0</v>
          </cell>
          <cell r="BU21">
            <v>0</v>
          </cell>
          <cell r="BV21">
            <v>0</v>
          </cell>
          <cell r="BW21">
            <v>0</v>
          </cell>
          <cell r="BX21">
            <v>0</v>
          </cell>
          <cell r="BY21">
            <v>0</v>
          </cell>
          <cell r="BZ21">
            <v>0</v>
          </cell>
          <cell r="CA21">
            <v>0</v>
          </cell>
          <cell r="CB21">
            <v>0</v>
          </cell>
          <cell r="CC21">
            <v>0</v>
          </cell>
          <cell r="CD21">
            <v>0</v>
          </cell>
        </row>
        <row r="22">
          <cell r="C22">
            <v>37712</v>
          </cell>
          <cell r="D22">
            <v>37776</v>
          </cell>
          <cell r="E22">
            <v>37775</v>
          </cell>
          <cell r="F22">
            <v>0.83333333333333337</v>
          </cell>
          <cell r="G22" t="str">
            <v>Perfiladora Dimeco Travesaños</v>
          </cell>
          <cell r="H22" t="str">
            <v>Disco de Serra danificado</v>
          </cell>
          <cell r="I22" t="str">
            <v>Corretiva</v>
          </cell>
          <cell r="J22" t="str">
            <v>Sim</v>
          </cell>
          <cell r="K22" t="str">
            <v>Mecânica</v>
          </cell>
          <cell r="L22" t="str">
            <v>Substituição do(s) Componente(s)</v>
          </cell>
          <cell r="M22" t="str">
            <v>Desgaste / Fadiga</v>
          </cell>
          <cell r="N22">
            <v>37775</v>
          </cell>
          <cell r="O22">
            <v>0.83333333333333337</v>
          </cell>
          <cell r="P22">
            <v>37775</v>
          </cell>
          <cell r="Q22">
            <v>0.83333333333333337</v>
          </cell>
          <cell r="T22">
            <v>37775</v>
          </cell>
          <cell r="U22">
            <v>0.91666666666666663</v>
          </cell>
          <cell r="V22">
            <v>37775</v>
          </cell>
          <cell r="W22">
            <v>0.91666666666666663</v>
          </cell>
          <cell r="X22">
            <v>8.3333333333333259E-2</v>
          </cell>
          <cell r="Y22">
            <v>8.3333333330907977E-2</v>
          </cell>
          <cell r="AB22">
            <v>6</v>
          </cell>
          <cell r="AC22">
            <v>4</v>
          </cell>
          <cell r="AD22">
            <v>0</v>
          </cell>
          <cell r="BF22">
            <v>0</v>
          </cell>
          <cell r="BG22">
            <v>0</v>
          </cell>
          <cell r="BH22">
            <v>0</v>
          </cell>
          <cell r="BI22">
            <v>0</v>
          </cell>
          <cell r="BJ22">
            <v>0</v>
          </cell>
          <cell r="BK22">
            <v>0</v>
          </cell>
          <cell r="BL22">
            <v>0</v>
          </cell>
          <cell r="BM22">
            <v>0</v>
          </cell>
          <cell r="BN22">
            <v>0</v>
          </cell>
          <cell r="BO22">
            <v>0</v>
          </cell>
          <cell r="BP22">
            <v>0</v>
          </cell>
          <cell r="BQ22">
            <v>0</v>
          </cell>
          <cell r="BR22">
            <v>0</v>
          </cell>
          <cell r="BS22">
            <v>6</v>
          </cell>
          <cell r="BT22">
            <v>0</v>
          </cell>
          <cell r="BU22">
            <v>0</v>
          </cell>
          <cell r="BV22">
            <v>0</v>
          </cell>
          <cell r="BW22">
            <v>0</v>
          </cell>
          <cell r="BX22">
            <v>0</v>
          </cell>
          <cell r="BY22">
            <v>0</v>
          </cell>
          <cell r="BZ22">
            <v>0</v>
          </cell>
          <cell r="CA22">
            <v>0</v>
          </cell>
          <cell r="CB22">
            <v>0</v>
          </cell>
          <cell r="CC22">
            <v>0</v>
          </cell>
          <cell r="CD22">
            <v>0</v>
          </cell>
        </row>
        <row r="23">
          <cell r="C23">
            <v>37712</v>
          </cell>
          <cell r="D23">
            <v>37783</v>
          </cell>
          <cell r="E23">
            <v>37777</v>
          </cell>
          <cell r="F23">
            <v>0.45624999999999999</v>
          </cell>
          <cell r="G23" t="str">
            <v>Perfiladora Dimeco Travesaños</v>
          </cell>
          <cell r="H23" t="str">
            <v>Disco de serra causa excesso de rebarbas no material</v>
          </cell>
          <cell r="I23" t="str">
            <v>Corretiva</v>
          </cell>
          <cell r="J23" t="str">
            <v>Sim</v>
          </cell>
          <cell r="K23" t="str">
            <v>Mecânica</v>
          </cell>
          <cell r="L23" t="str">
            <v>Substituição do(s) Componente(s)</v>
          </cell>
          <cell r="M23" t="str">
            <v>Desgaste / Fadiga</v>
          </cell>
          <cell r="N23">
            <v>37777</v>
          </cell>
          <cell r="O23">
            <v>0.45624999999999999</v>
          </cell>
          <cell r="P23">
            <v>37777</v>
          </cell>
          <cell r="Q23">
            <v>0.45624999999999999</v>
          </cell>
          <cell r="T23">
            <v>37777</v>
          </cell>
          <cell r="U23">
            <v>0.47083333333333338</v>
          </cell>
          <cell r="V23">
            <v>37777</v>
          </cell>
          <cell r="W23">
            <v>0.47083333333333338</v>
          </cell>
          <cell r="X23">
            <v>1.4583333333333393E-2</v>
          </cell>
          <cell r="Y23">
            <v>1.4583333332848281E-2</v>
          </cell>
          <cell r="AB23">
            <v>6</v>
          </cell>
          <cell r="AC23">
            <v>4</v>
          </cell>
          <cell r="AD23">
            <v>0</v>
          </cell>
          <cell r="BF23">
            <v>0</v>
          </cell>
          <cell r="BG23">
            <v>0</v>
          </cell>
          <cell r="BH23">
            <v>0</v>
          </cell>
          <cell r="BI23">
            <v>0</v>
          </cell>
          <cell r="BJ23">
            <v>0</v>
          </cell>
          <cell r="BK23">
            <v>0</v>
          </cell>
          <cell r="BL23">
            <v>0</v>
          </cell>
          <cell r="BM23">
            <v>0</v>
          </cell>
          <cell r="BN23">
            <v>0</v>
          </cell>
          <cell r="BO23">
            <v>0</v>
          </cell>
          <cell r="BP23">
            <v>0</v>
          </cell>
          <cell r="BQ23">
            <v>0</v>
          </cell>
          <cell r="BR23">
            <v>0</v>
          </cell>
          <cell r="BS23">
            <v>6</v>
          </cell>
          <cell r="BT23">
            <v>0</v>
          </cell>
          <cell r="BU23">
            <v>0</v>
          </cell>
          <cell r="BV23">
            <v>0</v>
          </cell>
          <cell r="BW23">
            <v>0</v>
          </cell>
          <cell r="BX23">
            <v>0</v>
          </cell>
          <cell r="BY23">
            <v>0</v>
          </cell>
          <cell r="BZ23">
            <v>0</v>
          </cell>
          <cell r="CA23">
            <v>0</v>
          </cell>
          <cell r="CB23">
            <v>0</v>
          </cell>
          <cell r="CC23">
            <v>0</v>
          </cell>
          <cell r="CD23">
            <v>0</v>
          </cell>
        </row>
        <row r="24">
          <cell r="C24">
            <v>37712</v>
          </cell>
          <cell r="D24">
            <v>37810</v>
          </cell>
          <cell r="E24">
            <v>37778</v>
          </cell>
          <cell r="F24">
            <v>0.39583333333333331</v>
          </cell>
          <cell r="G24" t="str">
            <v>Perfiladora Dimeco Travesaños</v>
          </cell>
          <cell r="H24" t="str">
            <v>Mordente da serra está travando</v>
          </cell>
          <cell r="I24" t="str">
            <v>Corretiva</v>
          </cell>
          <cell r="J24" t="str">
            <v>Sim</v>
          </cell>
          <cell r="K24" t="str">
            <v>Elétrica</v>
          </cell>
          <cell r="L24" t="str">
            <v>Substituição do(s) Componente(s)</v>
          </cell>
          <cell r="M24" t="str">
            <v>Desgaste / Fadiga</v>
          </cell>
          <cell r="N24">
            <v>37778</v>
          </cell>
          <cell r="O24">
            <v>0.39583333333333331</v>
          </cell>
          <cell r="P24">
            <v>37778</v>
          </cell>
          <cell r="Q24">
            <v>0.39583333333333331</v>
          </cell>
          <cell r="T24">
            <v>37779</v>
          </cell>
          <cell r="U24">
            <v>0.52777777777777779</v>
          </cell>
          <cell r="V24">
            <v>37779</v>
          </cell>
          <cell r="W24">
            <v>0.52777777777777779</v>
          </cell>
          <cell r="X24">
            <v>1.1319444444444444</v>
          </cell>
          <cell r="Y24">
            <v>1.1319444444476783</v>
          </cell>
          <cell r="AB24">
            <v>6</v>
          </cell>
          <cell r="AC24">
            <v>4</v>
          </cell>
          <cell r="AD24">
            <v>0</v>
          </cell>
          <cell r="BF24">
            <v>0</v>
          </cell>
          <cell r="BG24">
            <v>0</v>
          </cell>
          <cell r="BH24">
            <v>0</v>
          </cell>
          <cell r="BI24">
            <v>0</v>
          </cell>
          <cell r="BJ24">
            <v>0</v>
          </cell>
          <cell r="BK24">
            <v>0</v>
          </cell>
          <cell r="BL24">
            <v>0</v>
          </cell>
          <cell r="BM24">
            <v>0</v>
          </cell>
          <cell r="BN24">
            <v>0</v>
          </cell>
          <cell r="BO24">
            <v>0</v>
          </cell>
          <cell r="BP24">
            <v>0</v>
          </cell>
          <cell r="BQ24">
            <v>0</v>
          </cell>
          <cell r="BR24">
            <v>0</v>
          </cell>
          <cell r="BS24">
            <v>6</v>
          </cell>
          <cell r="BT24">
            <v>0</v>
          </cell>
          <cell r="BU24">
            <v>0</v>
          </cell>
          <cell r="BV24">
            <v>0</v>
          </cell>
          <cell r="BW24">
            <v>0</v>
          </cell>
          <cell r="BX24">
            <v>0</v>
          </cell>
          <cell r="BY24">
            <v>0</v>
          </cell>
          <cell r="BZ24">
            <v>0</v>
          </cell>
          <cell r="CA24">
            <v>0</v>
          </cell>
          <cell r="CB24">
            <v>0</v>
          </cell>
          <cell r="CC24">
            <v>0</v>
          </cell>
          <cell r="CD24">
            <v>0</v>
          </cell>
        </row>
        <row r="25">
          <cell r="C25">
            <v>37712</v>
          </cell>
          <cell r="D25">
            <v>37810</v>
          </cell>
          <cell r="E25">
            <v>37778</v>
          </cell>
          <cell r="F25">
            <v>0.39583333333333331</v>
          </cell>
          <cell r="G25" t="str">
            <v>Perfiladora Dimeco Travesaños</v>
          </cell>
          <cell r="H25" t="str">
            <v>Serrote da mordaça com problema</v>
          </cell>
          <cell r="I25" t="str">
            <v>Corretiva</v>
          </cell>
          <cell r="J25" t="str">
            <v>Sim</v>
          </cell>
          <cell r="K25" t="str">
            <v>Mecânica</v>
          </cell>
          <cell r="L25" t="str">
            <v>Regulagem no sistema Hidráulico e Elétrico</v>
          </cell>
          <cell r="M25" t="str">
            <v>Desgaste / Fadiga</v>
          </cell>
          <cell r="N25">
            <v>37778</v>
          </cell>
          <cell r="O25">
            <v>0.39583333333333331</v>
          </cell>
          <cell r="P25">
            <v>37778</v>
          </cell>
          <cell r="Q25">
            <v>0.39583333333333331</v>
          </cell>
          <cell r="T25">
            <v>37778</v>
          </cell>
          <cell r="U25">
            <v>0.47916666666666669</v>
          </cell>
          <cell r="V25">
            <v>37778</v>
          </cell>
          <cell r="W25">
            <v>0.47916666666666669</v>
          </cell>
          <cell r="X25">
            <v>8.333333333333337E-2</v>
          </cell>
          <cell r="Y25">
            <v>8.3333333330908033E-2</v>
          </cell>
          <cell r="AB25">
            <v>6</v>
          </cell>
          <cell r="AC25">
            <v>4</v>
          </cell>
          <cell r="AD25">
            <v>0</v>
          </cell>
          <cell r="BF25">
            <v>0</v>
          </cell>
          <cell r="BG25">
            <v>0</v>
          </cell>
          <cell r="BH25">
            <v>0</v>
          </cell>
          <cell r="BI25">
            <v>0</v>
          </cell>
          <cell r="BJ25">
            <v>0</v>
          </cell>
          <cell r="BK25">
            <v>0</v>
          </cell>
          <cell r="BL25">
            <v>0</v>
          </cell>
          <cell r="BM25">
            <v>0</v>
          </cell>
          <cell r="BN25">
            <v>0</v>
          </cell>
          <cell r="BO25">
            <v>0</v>
          </cell>
          <cell r="BP25">
            <v>0</v>
          </cell>
          <cell r="BQ25">
            <v>0</v>
          </cell>
          <cell r="BR25">
            <v>0</v>
          </cell>
          <cell r="BS25">
            <v>6</v>
          </cell>
          <cell r="BT25">
            <v>0</v>
          </cell>
          <cell r="BU25">
            <v>0</v>
          </cell>
          <cell r="BV25">
            <v>0</v>
          </cell>
          <cell r="BW25">
            <v>0</v>
          </cell>
          <cell r="BX25">
            <v>0</v>
          </cell>
          <cell r="BY25">
            <v>0</v>
          </cell>
          <cell r="BZ25">
            <v>0</v>
          </cell>
          <cell r="CA25">
            <v>0</v>
          </cell>
          <cell r="CB25">
            <v>0</v>
          </cell>
          <cell r="CC25">
            <v>0</v>
          </cell>
          <cell r="CD25">
            <v>0</v>
          </cell>
        </row>
        <row r="26">
          <cell r="C26">
            <v>37712</v>
          </cell>
          <cell r="D26">
            <v>37721</v>
          </cell>
          <cell r="E26">
            <v>37720</v>
          </cell>
          <cell r="F26">
            <v>0.47916666666666669</v>
          </cell>
          <cell r="G26" t="str">
            <v>Perfiladora Dimeco Travesaños</v>
          </cell>
          <cell r="H26" t="str">
            <v>Problema no sistema hidráulico da Prensa Gijón</v>
          </cell>
          <cell r="I26" t="str">
            <v>Corretiva</v>
          </cell>
          <cell r="J26" t="str">
            <v>Sim</v>
          </cell>
          <cell r="K26" t="str">
            <v>Mecânica</v>
          </cell>
          <cell r="L26" t="str">
            <v>Regulagem do Sistema Hidráulico e ajustes na Máquina</v>
          </cell>
          <cell r="M26" t="str">
            <v>Desgaste / Fadiga</v>
          </cell>
          <cell r="N26">
            <v>37720</v>
          </cell>
          <cell r="O26">
            <v>0.47916666666666669</v>
          </cell>
          <cell r="P26">
            <v>37720</v>
          </cell>
          <cell r="Q26">
            <v>0.47916666666666669</v>
          </cell>
          <cell r="T26">
            <v>37720</v>
          </cell>
          <cell r="U26">
            <v>0.5</v>
          </cell>
          <cell r="V26">
            <v>37720</v>
          </cell>
          <cell r="W26">
            <v>0.5</v>
          </cell>
          <cell r="X26">
            <v>2.0833333333333315E-2</v>
          </cell>
          <cell r="Y26">
            <v>2.0833333333333315E-2</v>
          </cell>
          <cell r="AB26">
            <v>4</v>
          </cell>
          <cell r="AC26">
            <v>4</v>
          </cell>
          <cell r="AD26" t="str">
            <v>S</v>
          </cell>
          <cell r="BF26">
            <v>0</v>
          </cell>
          <cell r="BG26">
            <v>0</v>
          </cell>
          <cell r="BH26">
            <v>0</v>
          </cell>
          <cell r="BI26">
            <v>0</v>
          </cell>
          <cell r="BJ26">
            <v>0</v>
          </cell>
          <cell r="BK26">
            <v>0</v>
          </cell>
          <cell r="BL26">
            <v>0</v>
          </cell>
          <cell r="BM26">
            <v>0</v>
          </cell>
          <cell r="BN26">
            <v>0</v>
          </cell>
          <cell r="BO26">
            <v>0</v>
          </cell>
          <cell r="BP26">
            <v>0</v>
          </cell>
          <cell r="BQ26">
            <v>0</v>
          </cell>
          <cell r="BR26">
            <v>0</v>
          </cell>
          <cell r="BS26">
            <v>4</v>
          </cell>
          <cell r="BT26">
            <v>0</v>
          </cell>
          <cell r="BU26">
            <v>0</v>
          </cell>
          <cell r="BV26">
            <v>0</v>
          </cell>
          <cell r="BW26">
            <v>0</v>
          </cell>
          <cell r="BX26">
            <v>0</v>
          </cell>
          <cell r="BY26">
            <v>0</v>
          </cell>
          <cell r="BZ26">
            <v>0</v>
          </cell>
          <cell r="CA26">
            <v>0</v>
          </cell>
          <cell r="CB26">
            <v>0</v>
          </cell>
          <cell r="CC26">
            <v>0</v>
          </cell>
          <cell r="CD26">
            <v>0</v>
          </cell>
        </row>
        <row r="27">
          <cell r="C27">
            <v>37718</v>
          </cell>
          <cell r="D27">
            <v>37858</v>
          </cell>
          <cell r="E27">
            <v>37806</v>
          </cell>
          <cell r="F27">
            <v>0.63888888888888895</v>
          </cell>
          <cell r="G27" t="str">
            <v>Células de Solda Manual</v>
          </cell>
          <cell r="H27" t="str">
            <v>A fresa de limpeza da tocha não está jogando óleo (anti-respingos)</v>
          </cell>
          <cell r="I27" t="str">
            <v>Corretiva</v>
          </cell>
          <cell r="J27" t="str">
            <v>Não</v>
          </cell>
          <cell r="K27" t="str">
            <v>Mecânica</v>
          </cell>
          <cell r="L27" t="str">
            <v>Limpeza do Equipamento / Componente</v>
          </cell>
          <cell r="M27" t="str">
            <v>Sujeira em excesso</v>
          </cell>
          <cell r="N27">
            <v>37844</v>
          </cell>
          <cell r="O27">
            <v>0.33333333333333331</v>
          </cell>
          <cell r="P27">
            <v>37844</v>
          </cell>
          <cell r="Q27">
            <v>0.33333333333333331</v>
          </cell>
          <cell r="T27">
            <v>37844</v>
          </cell>
          <cell r="U27">
            <v>0.375</v>
          </cell>
          <cell r="V27">
            <v>37844</v>
          </cell>
          <cell r="W27">
            <v>0.375</v>
          </cell>
          <cell r="X27">
            <v>4.1666666666666685E-2</v>
          </cell>
          <cell r="Y27">
            <v>4.1666666666666685E-2</v>
          </cell>
          <cell r="AB27">
            <v>8</v>
          </cell>
          <cell r="AC27">
            <v>4</v>
          </cell>
          <cell r="AD27">
            <v>0</v>
          </cell>
          <cell r="BF27">
            <v>0</v>
          </cell>
          <cell r="BG27">
            <v>8</v>
          </cell>
          <cell r="BH27">
            <v>0</v>
          </cell>
          <cell r="BI27">
            <v>0</v>
          </cell>
          <cell r="BJ27">
            <v>0</v>
          </cell>
          <cell r="BK27">
            <v>0</v>
          </cell>
          <cell r="BL27">
            <v>0</v>
          </cell>
          <cell r="BM27">
            <v>0</v>
          </cell>
          <cell r="BN27">
            <v>0</v>
          </cell>
          <cell r="BO27">
            <v>0</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row>
        <row r="28">
          <cell r="C28">
            <v>37718</v>
          </cell>
          <cell r="D28">
            <v>37718</v>
          </cell>
          <cell r="E28">
            <v>37718</v>
          </cell>
          <cell r="F28">
            <v>0.62847222222222221</v>
          </cell>
          <cell r="G28" t="str">
            <v>Máquina de Solda MIG</v>
          </cell>
          <cell r="H28" t="str">
            <v>Plug incompatível com a tomada da linha da Solda Manual</v>
          </cell>
          <cell r="I28" t="str">
            <v>Corretiva</v>
          </cell>
          <cell r="J28" t="str">
            <v>Sim</v>
          </cell>
          <cell r="K28" t="str">
            <v>Elétrica</v>
          </cell>
          <cell r="L28" t="str">
            <v>Substituição do(s) Componente(s)</v>
          </cell>
          <cell r="M28" t="str">
            <v>Alteração na Localização da Máquina</v>
          </cell>
          <cell r="N28">
            <v>37718</v>
          </cell>
          <cell r="O28">
            <v>0.65625</v>
          </cell>
          <cell r="P28">
            <v>37718</v>
          </cell>
          <cell r="Q28">
            <v>0.65625</v>
          </cell>
          <cell r="T28">
            <v>37718</v>
          </cell>
          <cell r="U28">
            <v>0.66527777777777775</v>
          </cell>
          <cell r="V28">
            <v>37718</v>
          </cell>
          <cell r="W28">
            <v>0.66527777777777775</v>
          </cell>
          <cell r="X28">
            <v>9.0277777777777457E-3</v>
          </cell>
          <cell r="Y28">
            <v>9.0277777781011537E-3</v>
          </cell>
          <cell r="AB28">
            <v>4</v>
          </cell>
          <cell r="AC28">
            <v>4</v>
          </cell>
          <cell r="AD28" t="str">
            <v>S</v>
          </cell>
          <cell r="BF28">
            <v>0</v>
          </cell>
          <cell r="BG28">
            <v>0</v>
          </cell>
          <cell r="BH28">
            <v>0</v>
          </cell>
          <cell r="BI28">
            <v>0</v>
          </cell>
          <cell r="BJ28">
            <v>0</v>
          </cell>
          <cell r="BK28">
            <v>0</v>
          </cell>
          <cell r="BL28">
            <v>0</v>
          </cell>
          <cell r="BM28">
            <v>0</v>
          </cell>
          <cell r="BN28">
            <v>0</v>
          </cell>
          <cell r="BO28">
            <v>0</v>
          </cell>
          <cell r="BP28">
            <v>0</v>
          </cell>
          <cell r="BQ28">
            <v>0</v>
          </cell>
          <cell r="BR28">
            <v>4</v>
          </cell>
          <cell r="BS28">
            <v>0</v>
          </cell>
          <cell r="BT28">
            <v>0</v>
          </cell>
          <cell r="BU28">
            <v>0</v>
          </cell>
          <cell r="BV28">
            <v>0</v>
          </cell>
          <cell r="BW28">
            <v>0</v>
          </cell>
          <cell r="BX28">
            <v>0</v>
          </cell>
          <cell r="BY28">
            <v>0</v>
          </cell>
          <cell r="BZ28">
            <v>0</v>
          </cell>
          <cell r="CA28">
            <v>0</v>
          </cell>
          <cell r="CB28">
            <v>0</v>
          </cell>
          <cell r="CC28">
            <v>0</v>
          </cell>
          <cell r="CD28">
            <v>0</v>
          </cell>
        </row>
        <row r="29">
          <cell r="C29">
            <v>37718</v>
          </cell>
          <cell r="D29">
            <v>37727</v>
          </cell>
          <cell r="E29">
            <v>37727</v>
          </cell>
          <cell r="F29">
            <v>0.5</v>
          </cell>
          <cell r="G29" t="str">
            <v>Células de Solda Manual</v>
          </cell>
          <cell r="H29" t="str">
            <v>A fresa de limpeza da tocha não está jogando óleo (anti-respingos)</v>
          </cell>
          <cell r="I29" t="str">
            <v>Corretiva</v>
          </cell>
          <cell r="J29" t="str">
            <v>Não</v>
          </cell>
          <cell r="K29" t="str">
            <v>Mecânica</v>
          </cell>
          <cell r="L29" t="str">
            <v>Limpeza do Equipamento / Componente</v>
          </cell>
          <cell r="M29" t="str">
            <v>Sujeira em excesso</v>
          </cell>
          <cell r="N29">
            <v>37727</v>
          </cell>
          <cell r="O29">
            <v>0.54166666666666663</v>
          </cell>
          <cell r="P29">
            <v>37727</v>
          </cell>
          <cell r="Q29">
            <v>0.54166666666666663</v>
          </cell>
          <cell r="T29">
            <v>37727</v>
          </cell>
          <cell r="U29">
            <v>0.5625</v>
          </cell>
          <cell r="V29">
            <v>37727</v>
          </cell>
          <cell r="W29">
            <v>0.5625</v>
          </cell>
          <cell r="X29">
            <v>2.083333333333337E-2</v>
          </cell>
          <cell r="Y29">
            <v>2.083333333333337E-2</v>
          </cell>
          <cell r="AB29">
            <v>4</v>
          </cell>
          <cell r="AC29">
            <v>4</v>
          </cell>
          <cell r="AD29" t="str">
            <v>N</v>
          </cell>
          <cell r="BF29">
            <v>0</v>
          </cell>
          <cell r="BG29">
            <v>4</v>
          </cell>
          <cell r="BH29">
            <v>0</v>
          </cell>
          <cell r="BI29">
            <v>0</v>
          </cell>
          <cell r="BJ29">
            <v>0</v>
          </cell>
          <cell r="BK29">
            <v>0</v>
          </cell>
          <cell r="BL29">
            <v>0</v>
          </cell>
          <cell r="BM29">
            <v>0</v>
          </cell>
          <cell r="BN29">
            <v>0</v>
          </cell>
          <cell r="BO29">
            <v>0</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row>
        <row r="30">
          <cell r="C30">
            <v>37718</v>
          </cell>
          <cell r="D30">
            <v>37767</v>
          </cell>
          <cell r="E30">
            <v>37767</v>
          </cell>
          <cell r="F30">
            <v>0.46250000000000002</v>
          </cell>
          <cell r="G30" t="str">
            <v>Células de Solda Manual</v>
          </cell>
          <cell r="H30" t="str">
            <v>Mau contato no bocal da tocha</v>
          </cell>
          <cell r="I30" t="str">
            <v>Corretiva</v>
          </cell>
          <cell r="J30" t="str">
            <v>Não</v>
          </cell>
          <cell r="K30" t="str">
            <v>Mecânica</v>
          </cell>
          <cell r="L30" t="str">
            <v>Substituição do(s) Componente(s)</v>
          </cell>
          <cell r="M30" t="str">
            <v>Desgaste / Fadiga</v>
          </cell>
          <cell r="N30">
            <v>37767</v>
          </cell>
          <cell r="O30">
            <v>0.47222222222222227</v>
          </cell>
          <cell r="P30">
            <v>37767</v>
          </cell>
          <cell r="Q30">
            <v>0.47222222222222227</v>
          </cell>
          <cell r="T30">
            <v>37767</v>
          </cell>
          <cell r="U30">
            <v>0.5</v>
          </cell>
          <cell r="V30">
            <v>37767</v>
          </cell>
          <cell r="W30">
            <v>0.5</v>
          </cell>
          <cell r="X30">
            <v>2.7777777777777735E-2</v>
          </cell>
          <cell r="Y30">
            <v>2.7777777777777735E-2</v>
          </cell>
          <cell r="AB30">
            <v>5</v>
          </cell>
          <cell r="AC30">
            <v>4</v>
          </cell>
          <cell r="AD30">
            <v>0</v>
          </cell>
          <cell r="BF30">
            <v>0</v>
          </cell>
          <cell r="BG30">
            <v>5</v>
          </cell>
          <cell r="BH30">
            <v>0</v>
          </cell>
          <cell r="BI30">
            <v>0</v>
          </cell>
          <cell r="BJ30">
            <v>0</v>
          </cell>
          <cell r="BK30">
            <v>0</v>
          </cell>
          <cell r="BL30">
            <v>0</v>
          </cell>
          <cell r="BM30">
            <v>0</v>
          </cell>
          <cell r="BN30">
            <v>0</v>
          </cell>
          <cell r="BO30">
            <v>0</v>
          </cell>
          <cell r="BP30">
            <v>0</v>
          </cell>
          <cell r="BQ30">
            <v>0</v>
          </cell>
          <cell r="BR30">
            <v>0</v>
          </cell>
          <cell r="BS30">
            <v>0</v>
          </cell>
          <cell r="BT30">
            <v>0</v>
          </cell>
          <cell r="BU30">
            <v>0</v>
          </cell>
          <cell r="BV30">
            <v>0</v>
          </cell>
          <cell r="BW30">
            <v>0</v>
          </cell>
          <cell r="BX30">
            <v>0</v>
          </cell>
          <cell r="BY30">
            <v>0</v>
          </cell>
          <cell r="BZ30">
            <v>0</v>
          </cell>
          <cell r="CA30">
            <v>0</v>
          </cell>
          <cell r="CB30">
            <v>0</v>
          </cell>
          <cell r="CC30">
            <v>0</v>
          </cell>
          <cell r="CD30">
            <v>0</v>
          </cell>
        </row>
        <row r="31">
          <cell r="C31">
            <v>37718</v>
          </cell>
          <cell r="D31">
            <v>37735</v>
          </cell>
          <cell r="E31">
            <v>37734</v>
          </cell>
          <cell r="F31">
            <v>0.45833333333333331</v>
          </cell>
          <cell r="G31" t="str">
            <v>Células de Solda Manual</v>
          </cell>
          <cell r="H31" t="str">
            <v>Condutor elétrico (conduite) entupido</v>
          </cell>
          <cell r="I31" t="str">
            <v>Corretiva</v>
          </cell>
          <cell r="J31" t="str">
            <v>Sim</v>
          </cell>
          <cell r="K31" t="str">
            <v>Mecânica</v>
          </cell>
          <cell r="L31" t="str">
            <v>Substituição do(s) Componente(s)</v>
          </cell>
          <cell r="M31" t="str">
            <v>Desgaste / Fadiga</v>
          </cell>
          <cell r="N31">
            <v>37734</v>
          </cell>
          <cell r="O31">
            <v>0.45833333333333331</v>
          </cell>
          <cell r="P31">
            <v>37734</v>
          </cell>
          <cell r="Q31">
            <v>0.45833333333333331</v>
          </cell>
          <cell r="T31">
            <v>37734</v>
          </cell>
          <cell r="U31">
            <v>0.47916666666666669</v>
          </cell>
          <cell r="V31">
            <v>37734</v>
          </cell>
          <cell r="W31">
            <v>0.47916666666666669</v>
          </cell>
          <cell r="X31">
            <v>2.083333333333337E-2</v>
          </cell>
          <cell r="Y31">
            <v>2.0833333330908033E-2</v>
          </cell>
          <cell r="AB31">
            <v>4</v>
          </cell>
          <cell r="AC31">
            <v>4</v>
          </cell>
          <cell r="AD31" t="str">
            <v>S</v>
          </cell>
          <cell r="BF31">
            <v>0</v>
          </cell>
          <cell r="BG31">
            <v>4</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BZ31">
            <v>0</v>
          </cell>
          <cell r="CA31">
            <v>0</v>
          </cell>
          <cell r="CB31">
            <v>0</v>
          </cell>
          <cell r="CC31">
            <v>0</v>
          </cell>
          <cell r="CD31">
            <v>0</v>
          </cell>
        </row>
        <row r="32">
          <cell r="C32">
            <v>37718</v>
          </cell>
          <cell r="D32">
            <v>37776</v>
          </cell>
          <cell r="E32">
            <v>37776</v>
          </cell>
          <cell r="F32">
            <v>0.40277777777777773</v>
          </cell>
          <cell r="G32" t="str">
            <v>Células de Solda Manual</v>
          </cell>
          <cell r="H32" t="str">
            <v>Bocal Danificado</v>
          </cell>
          <cell r="I32" t="str">
            <v>Corretiva</v>
          </cell>
          <cell r="J32" t="str">
            <v>Sim</v>
          </cell>
          <cell r="K32" t="str">
            <v>Mecânica</v>
          </cell>
          <cell r="L32" t="str">
            <v>Substituição do(s) Componente(s)</v>
          </cell>
          <cell r="M32" t="str">
            <v>Desgaste / Fadiga</v>
          </cell>
          <cell r="N32">
            <v>37776</v>
          </cell>
          <cell r="O32">
            <v>0.42708333333333331</v>
          </cell>
          <cell r="P32">
            <v>37776</v>
          </cell>
          <cell r="Q32">
            <v>0.42708333333333331</v>
          </cell>
          <cell r="T32">
            <v>37776</v>
          </cell>
          <cell r="U32">
            <v>0.4375</v>
          </cell>
          <cell r="V32">
            <v>37776</v>
          </cell>
          <cell r="W32">
            <v>0.4375</v>
          </cell>
          <cell r="X32">
            <v>1.0416666666666685E-2</v>
          </cell>
          <cell r="Y32">
            <v>1.0416666666666685E-2</v>
          </cell>
          <cell r="AB32">
            <v>6</v>
          </cell>
          <cell r="AC32">
            <v>4</v>
          </cell>
          <cell r="AD32">
            <v>0</v>
          </cell>
          <cell r="BF32">
            <v>0</v>
          </cell>
          <cell r="BG32">
            <v>6</v>
          </cell>
          <cell r="BH32">
            <v>0</v>
          </cell>
          <cell r="BI32">
            <v>0</v>
          </cell>
          <cell r="BJ32">
            <v>0</v>
          </cell>
          <cell r="BK32">
            <v>0</v>
          </cell>
          <cell r="BL32">
            <v>0</v>
          </cell>
          <cell r="BM32">
            <v>0</v>
          </cell>
          <cell r="BN32">
            <v>0</v>
          </cell>
          <cell r="BO32">
            <v>0</v>
          </cell>
          <cell r="BP32">
            <v>0</v>
          </cell>
          <cell r="BQ32">
            <v>0</v>
          </cell>
          <cell r="BR32">
            <v>0</v>
          </cell>
          <cell r="BS32">
            <v>0</v>
          </cell>
          <cell r="BT32">
            <v>0</v>
          </cell>
          <cell r="BU32">
            <v>0</v>
          </cell>
          <cell r="BV32">
            <v>0</v>
          </cell>
          <cell r="BW32">
            <v>0</v>
          </cell>
          <cell r="BX32">
            <v>0</v>
          </cell>
          <cell r="BY32">
            <v>0</v>
          </cell>
          <cell r="BZ32">
            <v>0</v>
          </cell>
          <cell r="CA32">
            <v>0</v>
          </cell>
          <cell r="CB32">
            <v>0</v>
          </cell>
          <cell r="CC32">
            <v>0</v>
          </cell>
          <cell r="CD32">
            <v>0</v>
          </cell>
        </row>
        <row r="33">
          <cell r="C33">
            <v>37718</v>
          </cell>
          <cell r="D33">
            <v>37722</v>
          </cell>
          <cell r="E33">
            <v>37722</v>
          </cell>
          <cell r="F33">
            <v>0.41666666666666669</v>
          </cell>
          <cell r="G33" t="str">
            <v>Máquina de Solda MIG</v>
          </cell>
          <cell r="H33" t="str">
            <v>Plug incompatível com a tomada da linha da Solda Manual</v>
          </cell>
          <cell r="I33" t="str">
            <v>Corretiva</v>
          </cell>
          <cell r="J33" t="str">
            <v>Sim</v>
          </cell>
          <cell r="K33" t="str">
            <v>Elétrica</v>
          </cell>
          <cell r="L33" t="str">
            <v>Substituição do(s) Componente(s)</v>
          </cell>
          <cell r="M33" t="str">
            <v>Alteração na Localização da Máquina</v>
          </cell>
          <cell r="N33">
            <v>37722</v>
          </cell>
          <cell r="O33">
            <v>0.41666666666666669</v>
          </cell>
          <cell r="P33">
            <v>37722</v>
          </cell>
          <cell r="Q33">
            <v>0.41666666666666669</v>
          </cell>
          <cell r="T33">
            <v>37722</v>
          </cell>
          <cell r="U33">
            <v>0.42708333333333331</v>
          </cell>
          <cell r="V33">
            <v>37722</v>
          </cell>
          <cell r="W33">
            <v>0.42708333333333331</v>
          </cell>
          <cell r="X33">
            <v>1.041666666666663E-2</v>
          </cell>
          <cell r="Y33">
            <v>1.0416666669091967E-2</v>
          </cell>
          <cell r="AB33">
            <v>4</v>
          </cell>
          <cell r="AC33">
            <v>4</v>
          </cell>
          <cell r="AD33" t="str">
            <v>S</v>
          </cell>
          <cell r="BF33">
            <v>0</v>
          </cell>
          <cell r="BG33">
            <v>0</v>
          </cell>
          <cell r="BH33">
            <v>0</v>
          </cell>
          <cell r="BI33">
            <v>0</v>
          </cell>
          <cell r="BJ33">
            <v>0</v>
          </cell>
          <cell r="BK33">
            <v>0</v>
          </cell>
          <cell r="BL33">
            <v>0</v>
          </cell>
          <cell r="BM33">
            <v>0</v>
          </cell>
          <cell r="BN33">
            <v>0</v>
          </cell>
          <cell r="BO33">
            <v>0</v>
          </cell>
          <cell r="BP33">
            <v>0</v>
          </cell>
          <cell r="BQ33">
            <v>0</v>
          </cell>
          <cell r="BR33">
            <v>4</v>
          </cell>
          <cell r="BS33">
            <v>0</v>
          </cell>
          <cell r="BT33">
            <v>0</v>
          </cell>
          <cell r="BU33">
            <v>0</v>
          </cell>
          <cell r="BV33">
            <v>0</v>
          </cell>
          <cell r="BW33">
            <v>0</v>
          </cell>
          <cell r="BX33">
            <v>0</v>
          </cell>
          <cell r="BY33">
            <v>0</v>
          </cell>
          <cell r="BZ33">
            <v>0</v>
          </cell>
          <cell r="CA33">
            <v>0</v>
          </cell>
          <cell r="CB33">
            <v>0</v>
          </cell>
          <cell r="CC33">
            <v>0</v>
          </cell>
          <cell r="CD33">
            <v>0</v>
          </cell>
        </row>
        <row r="34">
          <cell r="C34">
            <v>37718</v>
          </cell>
          <cell r="I34">
            <v>0</v>
          </cell>
          <cell r="N34">
            <v>0</v>
          </cell>
          <cell r="P34">
            <v>0</v>
          </cell>
          <cell r="T34">
            <v>0</v>
          </cell>
          <cell r="V34">
            <v>0</v>
          </cell>
          <cell r="W34">
            <v>0</v>
          </cell>
          <cell r="X34">
            <v>0</v>
          </cell>
          <cell r="Y34">
            <v>0</v>
          </cell>
          <cell r="AB34">
            <v>0</v>
          </cell>
          <cell r="AC34">
            <v>4</v>
          </cell>
          <cell r="AD34">
            <v>0</v>
          </cell>
          <cell r="BF34">
            <v>0</v>
          </cell>
          <cell r="BG34">
            <v>0</v>
          </cell>
          <cell r="BH34">
            <v>0</v>
          </cell>
          <cell r="BI34">
            <v>0</v>
          </cell>
          <cell r="BJ34">
            <v>0</v>
          </cell>
          <cell r="BK34">
            <v>0</v>
          </cell>
          <cell r="BL34">
            <v>0</v>
          </cell>
          <cell r="BM34">
            <v>0</v>
          </cell>
          <cell r="BN34">
            <v>0</v>
          </cell>
          <cell r="BO34">
            <v>0</v>
          </cell>
          <cell r="BP34">
            <v>0</v>
          </cell>
          <cell r="BQ34">
            <v>0</v>
          </cell>
          <cell r="BR34">
            <v>0</v>
          </cell>
          <cell r="BS34">
            <v>0</v>
          </cell>
          <cell r="BT34">
            <v>0</v>
          </cell>
          <cell r="BU34">
            <v>0</v>
          </cell>
          <cell r="BV34">
            <v>0</v>
          </cell>
          <cell r="BW34">
            <v>0</v>
          </cell>
          <cell r="BX34">
            <v>0</v>
          </cell>
          <cell r="BY34">
            <v>0</v>
          </cell>
          <cell r="BZ34">
            <v>0</v>
          </cell>
          <cell r="CA34">
            <v>0</v>
          </cell>
          <cell r="CB34">
            <v>0</v>
          </cell>
          <cell r="CC34">
            <v>0</v>
          </cell>
          <cell r="CD34">
            <v>0</v>
          </cell>
        </row>
        <row r="35">
          <cell r="C35">
            <v>37718</v>
          </cell>
          <cell r="D35">
            <v>37846</v>
          </cell>
          <cell r="E35">
            <v>37820</v>
          </cell>
          <cell r="F35">
            <v>0.61805555555555558</v>
          </cell>
          <cell r="G35" t="str">
            <v>Máquina de Solda MIG</v>
          </cell>
          <cell r="H35" t="str">
            <v>Cabo de alimentação com mau contato / Isolador Quebrado</v>
          </cell>
          <cell r="I35" t="str">
            <v>Corretiva</v>
          </cell>
          <cell r="J35" t="str">
            <v>Sim</v>
          </cell>
          <cell r="K35" t="str">
            <v>Elétrica</v>
          </cell>
          <cell r="L35" t="str">
            <v>Reparo</v>
          </cell>
          <cell r="M35" t="str">
            <v>Falha de Comando / Sistema</v>
          </cell>
          <cell r="N35">
            <v>37820</v>
          </cell>
          <cell r="O35">
            <v>0.625</v>
          </cell>
          <cell r="P35">
            <v>37820</v>
          </cell>
          <cell r="Q35">
            <v>0.625</v>
          </cell>
          <cell r="T35">
            <v>37820</v>
          </cell>
          <cell r="U35">
            <v>0.63541666666666663</v>
          </cell>
          <cell r="V35">
            <v>37820</v>
          </cell>
          <cell r="W35">
            <v>0.63541666666666663</v>
          </cell>
          <cell r="X35">
            <v>1.041666666666663E-2</v>
          </cell>
          <cell r="Y35">
            <v>1.0416666664241347E-2</v>
          </cell>
          <cell r="AB35">
            <v>7</v>
          </cell>
          <cell r="AC35">
            <v>4</v>
          </cell>
          <cell r="AD35">
            <v>0</v>
          </cell>
          <cell r="BF35">
            <v>0</v>
          </cell>
          <cell r="BG35">
            <v>0</v>
          </cell>
          <cell r="BH35">
            <v>0</v>
          </cell>
          <cell r="BI35">
            <v>0</v>
          </cell>
          <cell r="BJ35">
            <v>0</v>
          </cell>
          <cell r="BK35">
            <v>0</v>
          </cell>
          <cell r="BL35">
            <v>0</v>
          </cell>
          <cell r="BM35">
            <v>0</v>
          </cell>
          <cell r="BN35">
            <v>0</v>
          </cell>
          <cell r="BO35">
            <v>0</v>
          </cell>
          <cell r="BP35">
            <v>0</v>
          </cell>
          <cell r="BQ35">
            <v>0</v>
          </cell>
          <cell r="BR35">
            <v>7</v>
          </cell>
          <cell r="BS35">
            <v>0</v>
          </cell>
          <cell r="BT35">
            <v>0</v>
          </cell>
          <cell r="BU35">
            <v>0</v>
          </cell>
          <cell r="BV35">
            <v>0</v>
          </cell>
          <cell r="BW35">
            <v>0</v>
          </cell>
          <cell r="BX35">
            <v>0</v>
          </cell>
          <cell r="BY35">
            <v>0</v>
          </cell>
          <cell r="BZ35">
            <v>0</v>
          </cell>
          <cell r="CA35">
            <v>0</v>
          </cell>
          <cell r="CB35">
            <v>0</v>
          </cell>
          <cell r="CC35">
            <v>0</v>
          </cell>
          <cell r="CD35">
            <v>0</v>
          </cell>
        </row>
        <row r="36">
          <cell r="C36">
            <v>37718</v>
          </cell>
          <cell r="D36">
            <v>37838</v>
          </cell>
          <cell r="E36">
            <v>37825</v>
          </cell>
          <cell r="F36">
            <v>0.45833333333333331</v>
          </cell>
          <cell r="G36" t="str">
            <v>Células de Solda Manual</v>
          </cell>
          <cell r="H36" t="str">
            <v>A fresa de limpeza da tocha não está jogando óleo (anti-respingos)</v>
          </cell>
          <cell r="I36" t="str">
            <v>Corretiva</v>
          </cell>
          <cell r="J36" t="str">
            <v>Não</v>
          </cell>
          <cell r="K36" t="str">
            <v>Mecânica</v>
          </cell>
          <cell r="L36" t="str">
            <v>Limpeza do Equipamento / Componente</v>
          </cell>
          <cell r="M36" t="str">
            <v>Sujeira em excesso</v>
          </cell>
          <cell r="N36">
            <v>37834</v>
          </cell>
          <cell r="O36">
            <v>0.33333333333333331</v>
          </cell>
          <cell r="P36">
            <v>37834</v>
          </cell>
          <cell r="Q36">
            <v>0.33333333333333331</v>
          </cell>
          <cell r="T36">
            <v>37834</v>
          </cell>
          <cell r="U36">
            <v>0.4375</v>
          </cell>
          <cell r="V36">
            <v>37834</v>
          </cell>
          <cell r="W36">
            <v>0.4375</v>
          </cell>
          <cell r="X36">
            <v>0.10416666666666669</v>
          </cell>
          <cell r="Y36">
            <v>0.10416666666666669</v>
          </cell>
          <cell r="AB36">
            <v>8</v>
          </cell>
          <cell r="AC36">
            <v>4</v>
          </cell>
          <cell r="AD36">
            <v>0</v>
          </cell>
          <cell r="BF36">
            <v>0</v>
          </cell>
          <cell r="BG36">
            <v>8</v>
          </cell>
          <cell r="BH36">
            <v>0</v>
          </cell>
          <cell r="BI36">
            <v>0</v>
          </cell>
          <cell r="BJ36">
            <v>0</v>
          </cell>
          <cell r="BK36">
            <v>0</v>
          </cell>
          <cell r="BL36">
            <v>0</v>
          </cell>
          <cell r="BM36">
            <v>0</v>
          </cell>
          <cell r="BN36">
            <v>0</v>
          </cell>
          <cell r="BO36">
            <v>0</v>
          </cell>
          <cell r="BP36">
            <v>0</v>
          </cell>
          <cell r="BQ36">
            <v>0</v>
          </cell>
          <cell r="BR36">
            <v>0</v>
          </cell>
          <cell r="BS36">
            <v>0</v>
          </cell>
          <cell r="BT36">
            <v>0</v>
          </cell>
          <cell r="BU36">
            <v>0</v>
          </cell>
          <cell r="BV36">
            <v>0</v>
          </cell>
          <cell r="BW36">
            <v>0</v>
          </cell>
          <cell r="BX36">
            <v>0</v>
          </cell>
          <cell r="BY36">
            <v>0</v>
          </cell>
          <cell r="BZ36">
            <v>0</v>
          </cell>
          <cell r="CA36">
            <v>0</v>
          </cell>
          <cell r="CB36">
            <v>0</v>
          </cell>
          <cell r="CC36">
            <v>0</v>
          </cell>
          <cell r="CD36">
            <v>0</v>
          </cell>
        </row>
        <row r="37">
          <cell r="C37">
            <v>37718</v>
          </cell>
          <cell r="D37">
            <v>37719</v>
          </cell>
          <cell r="E37">
            <v>37719</v>
          </cell>
          <cell r="F37">
            <v>0.62152777777777779</v>
          </cell>
          <cell r="G37" t="str">
            <v>Linha de Pintura 8,5m</v>
          </cell>
          <cell r="H37" t="str">
            <v>Travamento na Corrente de Carga e Descarga</v>
          </cell>
          <cell r="I37" t="str">
            <v>Corretiva</v>
          </cell>
          <cell r="J37" t="str">
            <v>Sim</v>
          </cell>
          <cell r="K37" t="str">
            <v>Mecânica</v>
          </cell>
          <cell r="L37" t="str">
            <v>Reaperto dos componentes</v>
          </cell>
          <cell r="M37" t="str">
            <v>Vibração</v>
          </cell>
          <cell r="N37">
            <v>37719</v>
          </cell>
          <cell r="O37">
            <v>0.62152777777777779</v>
          </cell>
          <cell r="P37">
            <v>37719</v>
          </cell>
          <cell r="Q37">
            <v>0.62152777777777779</v>
          </cell>
          <cell r="T37">
            <v>37719</v>
          </cell>
          <cell r="U37">
            <v>0.68055555555555547</v>
          </cell>
          <cell r="V37">
            <v>37719</v>
          </cell>
          <cell r="W37">
            <v>0.68055555555555547</v>
          </cell>
          <cell r="X37">
            <v>5.9027777777777679E-2</v>
          </cell>
          <cell r="Y37">
            <v>5.9027777776969326E-2</v>
          </cell>
          <cell r="AB37">
            <v>4</v>
          </cell>
          <cell r="AC37">
            <v>4</v>
          </cell>
          <cell r="AD37" t="str">
            <v>S</v>
          </cell>
          <cell r="BF37">
            <v>0</v>
          </cell>
          <cell r="BG37">
            <v>0</v>
          </cell>
          <cell r="BH37">
            <v>0</v>
          </cell>
          <cell r="BI37">
            <v>0</v>
          </cell>
          <cell r="BJ37">
            <v>0</v>
          </cell>
          <cell r="BK37">
            <v>0</v>
          </cell>
          <cell r="BL37">
            <v>0</v>
          </cell>
          <cell r="BM37">
            <v>0</v>
          </cell>
          <cell r="BN37">
            <v>0</v>
          </cell>
          <cell r="BO37">
            <v>0</v>
          </cell>
          <cell r="BP37">
            <v>4</v>
          </cell>
          <cell r="BQ37">
            <v>0</v>
          </cell>
          <cell r="BR37">
            <v>0</v>
          </cell>
          <cell r="BS37">
            <v>0</v>
          </cell>
          <cell r="BT37">
            <v>0</v>
          </cell>
          <cell r="BU37">
            <v>0</v>
          </cell>
          <cell r="BV37">
            <v>0</v>
          </cell>
          <cell r="BW37">
            <v>0</v>
          </cell>
          <cell r="BX37">
            <v>0</v>
          </cell>
          <cell r="BY37">
            <v>0</v>
          </cell>
          <cell r="BZ37">
            <v>0</v>
          </cell>
          <cell r="CA37">
            <v>0</v>
          </cell>
          <cell r="CB37">
            <v>0</v>
          </cell>
          <cell r="CC37">
            <v>0</v>
          </cell>
          <cell r="CD37">
            <v>0</v>
          </cell>
        </row>
        <row r="38">
          <cell r="C38">
            <v>37718</v>
          </cell>
          <cell r="D38">
            <v>37726</v>
          </cell>
          <cell r="E38">
            <v>37726</v>
          </cell>
          <cell r="F38">
            <v>0.34027777777777773</v>
          </cell>
          <cell r="G38" t="str">
            <v>Linha de Pintura 8,5m</v>
          </cell>
          <cell r="H38" t="str">
            <v>Máquina não liga</v>
          </cell>
          <cell r="I38" t="str">
            <v>Corretiva</v>
          </cell>
          <cell r="J38" t="str">
            <v>Sim</v>
          </cell>
          <cell r="K38" t="str">
            <v>Elétrica</v>
          </cell>
          <cell r="L38" t="str">
            <v>Substituição do(s) Componente(s)</v>
          </cell>
          <cell r="M38" t="str">
            <v>Sobrecarga</v>
          </cell>
          <cell r="N38">
            <v>37726</v>
          </cell>
          <cell r="O38">
            <v>0.34027777777777773</v>
          </cell>
          <cell r="P38">
            <v>37726</v>
          </cell>
          <cell r="Q38">
            <v>0.34027777777777773</v>
          </cell>
          <cell r="T38">
            <v>37726</v>
          </cell>
          <cell r="U38">
            <v>0.4375</v>
          </cell>
          <cell r="V38">
            <v>37726</v>
          </cell>
          <cell r="W38">
            <v>0.4375</v>
          </cell>
          <cell r="X38">
            <v>9.7222222222222265E-2</v>
          </cell>
          <cell r="Y38">
            <v>9.7222222222222265E-2</v>
          </cell>
          <cell r="AB38">
            <v>4</v>
          </cell>
          <cell r="AC38">
            <v>4</v>
          </cell>
          <cell r="AD38" t="str">
            <v>S</v>
          </cell>
          <cell r="BF38">
            <v>0</v>
          </cell>
          <cell r="BG38">
            <v>0</v>
          </cell>
          <cell r="BH38">
            <v>0</v>
          </cell>
          <cell r="BI38">
            <v>0</v>
          </cell>
          <cell r="BJ38">
            <v>0</v>
          </cell>
          <cell r="BK38">
            <v>0</v>
          </cell>
          <cell r="BL38">
            <v>0</v>
          </cell>
          <cell r="BM38">
            <v>0</v>
          </cell>
          <cell r="BN38">
            <v>0</v>
          </cell>
          <cell r="BO38">
            <v>0</v>
          </cell>
          <cell r="BP38">
            <v>4</v>
          </cell>
          <cell r="BQ38">
            <v>0</v>
          </cell>
          <cell r="BR38">
            <v>0</v>
          </cell>
          <cell r="BS38">
            <v>0</v>
          </cell>
          <cell r="BT38">
            <v>0</v>
          </cell>
          <cell r="BU38">
            <v>0</v>
          </cell>
          <cell r="BV38">
            <v>0</v>
          </cell>
          <cell r="BW38">
            <v>0</v>
          </cell>
          <cell r="BX38">
            <v>0</v>
          </cell>
          <cell r="BY38">
            <v>0</v>
          </cell>
          <cell r="BZ38">
            <v>0</v>
          </cell>
          <cell r="CA38">
            <v>0</v>
          </cell>
          <cell r="CB38">
            <v>0</v>
          </cell>
          <cell r="CC38">
            <v>0</v>
          </cell>
          <cell r="CD38">
            <v>0</v>
          </cell>
        </row>
        <row r="39">
          <cell r="C39">
            <v>37718</v>
          </cell>
          <cell r="D39">
            <v>37736</v>
          </cell>
          <cell r="E39">
            <v>37735</v>
          </cell>
          <cell r="F39">
            <v>0.75</v>
          </cell>
          <cell r="G39" t="str">
            <v>Linha de Pintura 8,5m</v>
          </cell>
          <cell r="H39" t="str">
            <v>Transportador Catalunha (linha mais rápida) não funciona</v>
          </cell>
          <cell r="I39" t="str">
            <v>Corretiva</v>
          </cell>
          <cell r="J39" t="str">
            <v>Sim</v>
          </cell>
          <cell r="K39" t="str">
            <v>Mecânica</v>
          </cell>
          <cell r="L39" t="str">
            <v>Substituição do(s) Componente(s)</v>
          </cell>
          <cell r="M39" t="str">
            <v>Desgaste / Fadiga</v>
          </cell>
          <cell r="N39">
            <v>37735</v>
          </cell>
          <cell r="O39">
            <v>0.75</v>
          </cell>
          <cell r="P39">
            <v>37735</v>
          </cell>
          <cell r="Q39">
            <v>0.75</v>
          </cell>
          <cell r="T39">
            <v>37735</v>
          </cell>
          <cell r="U39">
            <v>0.8125</v>
          </cell>
          <cell r="V39">
            <v>37735</v>
          </cell>
          <cell r="W39">
            <v>0.8125</v>
          </cell>
          <cell r="X39">
            <v>6.25E-2</v>
          </cell>
          <cell r="Y39">
            <v>6.25E-2</v>
          </cell>
          <cell r="AB39">
            <v>4</v>
          </cell>
          <cell r="AC39">
            <v>4</v>
          </cell>
          <cell r="AD39" t="str">
            <v>S</v>
          </cell>
          <cell r="BF39">
            <v>0</v>
          </cell>
          <cell r="BG39">
            <v>0</v>
          </cell>
          <cell r="BH39">
            <v>0</v>
          </cell>
          <cell r="BI39">
            <v>0</v>
          </cell>
          <cell r="BJ39">
            <v>0</v>
          </cell>
          <cell r="BK39">
            <v>0</v>
          </cell>
          <cell r="BL39">
            <v>0</v>
          </cell>
          <cell r="BM39">
            <v>0</v>
          </cell>
          <cell r="BN39">
            <v>0</v>
          </cell>
          <cell r="BO39">
            <v>0</v>
          </cell>
          <cell r="BP39">
            <v>4</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row>
        <row r="40">
          <cell r="C40">
            <v>37718</v>
          </cell>
          <cell r="D40">
            <v>37753</v>
          </cell>
          <cell r="E40">
            <v>37753</v>
          </cell>
          <cell r="F40">
            <v>0.52083333333333337</v>
          </cell>
          <cell r="G40" t="str">
            <v>Linha de Pintura 8,5m</v>
          </cell>
          <cell r="H40" t="str">
            <v>A porca que segura o pistão de entrada do secador está solta</v>
          </cell>
          <cell r="I40" t="str">
            <v>Corretiva</v>
          </cell>
          <cell r="J40" t="str">
            <v>Sim</v>
          </cell>
          <cell r="K40" t="str">
            <v>Mecânica</v>
          </cell>
          <cell r="L40" t="str">
            <v>Reparo</v>
          </cell>
          <cell r="M40" t="str">
            <v>Vibração</v>
          </cell>
          <cell r="N40">
            <v>37753</v>
          </cell>
          <cell r="O40">
            <v>0.52083333333333337</v>
          </cell>
          <cell r="P40">
            <v>37753</v>
          </cell>
          <cell r="Q40">
            <v>0.52083333333333337</v>
          </cell>
          <cell r="T40">
            <v>37753</v>
          </cell>
          <cell r="U40">
            <v>0.53125</v>
          </cell>
          <cell r="V40">
            <v>37753</v>
          </cell>
          <cell r="W40">
            <v>0.53125</v>
          </cell>
          <cell r="X40">
            <v>1.041666666666663E-2</v>
          </cell>
          <cell r="Y40">
            <v>1.041666666666663E-2</v>
          </cell>
          <cell r="AB40">
            <v>5</v>
          </cell>
          <cell r="AC40">
            <v>4</v>
          </cell>
          <cell r="AD40">
            <v>0</v>
          </cell>
          <cell r="BF40">
            <v>0</v>
          </cell>
          <cell r="BG40">
            <v>0</v>
          </cell>
          <cell r="BH40">
            <v>0</v>
          </cell>
          <cell r="BI40">
            <v>0</v>
          </cell>
          <cell r="BJ40">
            <v>0</v>
          </cell>
          <cell r="BK40">
            <v>0</v>
          </cell>
          <cell r="BL40">
            <v>0</v>
          </cell>
          <cell r="BM40">
            <v>0</v>
          </cell>
          <cell r="BN40">
            <v>0</v>
          </cell>
          <cell r="BO40">
            <v>0</v>
          </cell>
          <cell r="BP40">
            <v>5</v>
          </cell>
          <cell r="BQ40">
            <v>0</v>
          </cell>
          <cell r="BR40">
            <v>0</v>
          </cell>
          <cell r="BS40">
            <v>0</v>
          </cell>
          <cell r="BT40">
            <v>0</v>
          </cell>
          <cell r="BU40">
            <v>0</v>
          </cell>
          <cell r="BV40">
            <v>0</v>
          </cell>
          <cell r="BW40">
            <v>0</v>
          </cell>
          <cell r="BX40">
            <v>0</v>
          </cell>
          <cell r="BY40">
            <v>0</v>
          </cell>
          <cell r="BZ40">
            <v>0</v>
          </cell>
          <cell r="CA40">
            <v>0</v>
          </cell>
          <cell r="CB40">
            <v>0</v>
          </cell>
          <cell r="CC40">
            <v>0</v>
          </cell>
          <cell r="CD40">
            <v>0</v>
          </cell>
        </row>
        <row r="41">
          <cell r="C41">
            <v>37718</v>
          </cell>
          <cell r="D41">
            <v>37746</v>
          </cell>
          <cell r="E41">
            <v>37741</v>
          </cell>
          <cell r="F41">
            <v>0.70833333333333337</v>
          </cell>
          <cell r="G41" t="str">
            <v>Linha de Pintura 8,5m</v>
          </cell>
          <cell r="H41" t="str">
            <v>Parô com o pino quebrado</v>
          </cell>
          <cell r="I41" t="str">
            <v>Corretiva</v>
          </cell>
          <cell r="J41" t="str">
            <v>Não</v>
          </cell>
          <cell r="K41" t="str">
            <v>Mecânica</v>
          </cell>
          <cell r="L41" t="str">
            <v>Ajuste / Regulagem</v>
          </cell>
          <cell r="M41" t="str">
            <v>Falha de Regulagem / Configuração / Dimensionamento</v>
          </cell>
          <cell r="N41">
            <v>37747</v>
          </cell>
          <cell r="O41">
            <v>0.53125</v>
          </cell>
          <cell r="P41">
            <v>37747</v>
          </cell>
          <cell r="Q41">
            <v>0.53125</v>
          </cell>
          <cell r="T41">
            <v>37747</v>
          </cell>
          <cell r="U41">
            <v>0.57291666666666663</v>
          </cell>
          <cell r="V41">
            <v>37747</v>
          </cell>
          <cell r="W41">
            <v>0.57291666666666663</v>
          </cell>
          <cell r="X41">
            <v>4.1666666664241347E-2</v>
          </cell>
          <cell r="Y41">
            <v>4.1666666664241347E-2</v>
          </cell>
          <cell r="AB41">
            <v>5</v>
          </cell>
          <cell r="AC41">
            <v>4</v>
          </cell>
          <cell r="AD41">
            <v>0</v>
          </cell>
          <cell r="BF41">
            <v>0</v>
          </cell>
          <cell r="BG41">
            <v>0</v>
          </cell>
          <cell r="BH41">
            <v>0</v>
          </cell>
          <cell r="BI41">
            <v>0</v>
          </cell>
          <cell r="BJ41">
            <v>0</v>
          </cell>
          <cell r="BK41">
            <v>0</v>
          </cell>
          <cell r="BL41">
            <v>0</v>
          </cell>
          <cell r="BM41">
            <v>0</v>
          </cell>
          <cell r="BN41">
            <v>0</v>
          </cell>
          <cell r="BO41">
            <v>0</v>
          </cell>
          <cell r="BP41">
            <v>5</v>
          </cell>
          <cell r="BQ41">
            <v>0</v>
          </cell>
          <cell r="BR41">
            <v>0</v>
          </cell>
          <cell r="BS41">
            <v>0</v>
          </cell>
          <cell r="BT41">
            <v>0</v>
          </cell>
          <cell r="BU41">
            <v>0</v>
          </cell>
          <cell r="BV41">
            <v>0</v>
          </cell>
          <cell r="BW41">
            <v>0</v>
          </cell>
          <cell r="BX41">
            <v>0</v>
          </cell>
          <cell r="BY41">
            <v>0</v>
          </cell>
          <cell r="BZ41">
            <v>0</v>
          </cell>
          <cell r="CA41">
            <v>0</v>
          </cell>
          <cell r="CB41">
            <v>0</v>
          </cell>
          <cell r="CC41">
            <v>0</v>
          </cell>
          <cell r="CD41">
            <v>0</v>
          </cell>
        </row>
        <row r="42">
          <cell r="C42">
            <v>37718</v>
          </cell>
          <cell r="D42">
            <v>37740</v>
          </cell>
          <cell r="E42">
            <v>37739</v>
          </cell>
          <cell r="F42">
            <v>37739</v>
          </cell>
          <cell r="G42" t="str">
            <v>Linha de Pintura 8,5m</v>
          </cell>
          <cell r="H42" t="str">
            <v>Cabine de Pintura 8,5m</v>
          </cell>
          <cell r="I42" t="str">
            <v>EI32205801</v>
          </cell>
          <cell r="J42" t="str">
            <v>Sim</v>
          </cell>
          <cell r="K42" t="str">
            <v>Corretiva</v>
          </cell>
          <cell r="L42" t="str">
            <v>Sim</v>
          </cell>
          <cell r="M42" t="str">
            <v>Elétrica</v>
          </cell>
          <cell r="N42">
            <v>0</v>
          </cell>
          <cell r="P42">
            <v>0</v>
          </cell>
          <cell r="T42">
            <v>0</v>
          </cell>
          <cell r="V42">
            <v>0</v>
          </cell>
          <cell r="W42">
            <v>0</v>
          </cell>
          <cell r="X42">
            <v>0</v>
          </cell>
          <cell r="Y42">
            <v>0</v>
          </cell>
          <cell r="AB42">
            <v>0</v>
          </cell>
          <cell r="AC42">
            <v>4</v>
          </cell>
          <cell r="AD42">
            <v>0</v>
          </cell>
          <cell r="BF42">
            <v>0</v>
          </cell>
          <cell r="BG42">
            <v>0</v>
          </cell>
          <cell r="BH42">
            <v>0</v>
          </cell>
          <cell r="BI42">
            <v>0</v>
          </cell>
          <cell r="BJ42">
            <v>0</v>
          </cell>
          <cell r="BK42">
            <v>0</v>
          </cell>
          <cell r="BL42">
            <v>0</v>
          </cell>
          <cell r="BM42">
            <v>0</v>
          </cell>
          <cell r="BN42">
            <v>0</v>
          </cell>
          <cell r="BO42">
            <v>0</v>
          </cell>
          <cell r="BP42">
            <v>1</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row>
        <row r="43">
          <cell r="C43">
            <v>37718</v>
          </cell>
          <cell r="D43">
            <v>37736</v>
          </cell>
          <cell r="E43">
            <v>37734</v>
          </cell>
          <cell r="F43">
            <v>0.33333333333333331</v>
          </cell>
          <cell r="G43" t="str">
            <v>Equipamentos diversos</v>
          </cell>
          <cell r="H43" t="str">
            <v>Máquina não traciona a fita</v>
          </cell>
          <cell r="I43" t="str">
            <v>Corretiva</v>
          </cell>
          <cell r="J43" t="str">
            <v>Sim</v>
          </cell>
          <cell r="K43" t="str">
            <v>Mecânica</v>
          </cell>
          <cell r="L43" t="str">
            <v>Ajuste / Regulagem</v>
          </cell>
          <cell r="M43" t="str">
            <v>Causa não especificada</v>
          </cell>
          <cell r="N43">
            <v>37734</v>
          </cell>
          <cell r="O43">
            <v>0.33333333333333331</v>
          </cell>
          <cell r="P43">
            <v>37734</v>
          </cell>
          <cell r="Q43">
            <v>0.33333333333333331</v>
          </cell>
          <cell r="T43">
            <v>37734</v>
          </cell>
          <cell r="U43">
            <v>0.45833333333333331</v>
          </cell>
          <cell r="V43">
            <v>37734</v>
          </cell>
          <cell r="W43">
            <v>0.45833333333333331</v>
          </cell>
          <cell r="X43">
            <v>0.125</v>
          </cell>
          <cell r="Y43">
            <v>0.12500000000242534</v>
          </cell>
          <cell r="AB43">
            <v>4</v>
          </cell>
          <cell r="AC43">
            <v>4</v>
          </cell>
          <cell r="AD43" t="str">
            <v>S</v>
          </cell>
          <cell r="BF43">
            <v>0</v>
          </cell>
          <cell r="BG43">
            <v>0</v>
          </cell>
          <cell r="BH43">
            <v>0</v>
          </cell>
          <cell r="BI43">
            <v>0</v>
          </cell>
          <cell r="BJ43">
            <v>4</v>
          </cell>
          <cell r="BK43">
            <v>0</v>
          </cell>
          <cell r="BL43">
            <v>0</v>
          </cell>
          <cell r="BM43">
            <v>0</v>
          </cell>
          <cell r="BN43">
            <v>0</v>
          </cell>
          <cell r="BO43">
            <v>0</v>
          </cell>
          <cell r="BP43">
            <v>0</v>
          </cell>
          <cell r="BQ43">
            <v>0</v>
          </cell>
          <cell r="BR43">
            <v>0</v>
          </cell>
          <cell r="BS43">
            <v>0</v>
          </cell>
          <cell r="BT43">
            <v>0</v>
          </cell>
          <cell r="BU43">
            <v>0</v>
          </cell>
          <cell r="BV43">
            <v>0</v>
          </cell>
          <cell r="BW43">
            <v>0</v>
          </cell>
          <cell r="BX43">
            <v>0</v>
          </cell>
          <cell r="BY43">
            <v>0</v>
          </cell>
          <cell r="BZ43">
            <v>0</v>
          </cell>
          <cell r="CA43">
            <v>0</v>
          </cell>
          <cell r="CB43">
            <v>0</v>
          </cell>
          <cell r="CC43">
            <v>0</v>
          </cell>
          <cell r="CD43">
            <v>0</v>
          </cell>
        </row>
        <row r="44">
          <cell r="C44">
            <v>37718</v>
          </cell>
          <cell r="D44">
            <v>37733</v>
          </cell>
          <cell r="E44">
            <v>37728</v>
          </cell>
          <cell r="F44">
            <v>0.70833333333333337</v>
          </cell>
          <cell r="G44" t="str">
            <v>Linha de Pintura 8,5m</v>
          </cell>
          <cell r="H44" t="str">
            <v>Verificar o sistema de recuperação de pó</v>
          </cell>
          <cell r="I44" t="str">
            <v>Melhoria</v>
          </cell>
          <cell r="J44" t="str">
            <v>Não</v>
          </cell>
          <cell r="K44" t="str">
            <v>Mecânica</v>
          </cell>
          <cell r="L44" t="str">
            <v>Ajuste / Regulagem</v>
          </cell>
          <cell r="M44" t="str">
            <v>Melhoria Técnica</v>
          </cell>
          <cell r="N44">
            <v>37733</v>
          </cell>
          <cell r="O44">
            <v>0.45833333333333331</v>
          </cell>
          <cell r="P44">
            <v>37733</v>
          </cell>
          <cell r="Q44">
            <v>0.45833333333333331</v>
          </cell>
          <cell r="T44">
            <v>37733</v>
          </cell>
          <cell r="U44">
            <v>0.5</v>
          </cell>
          <cell r="V44">
            <v>37733</v>
          </cell>
          <cell r="W44">
            <v>0.5</v>
          </cell>
          <cell r="X44">
            <v>4.1666666666666685E-2</v>
          </cell>
          <cell r="Y44">
            <v>4.1666666666666685E-2</v>
          </cell>
          <cell r="AB44">
            <v>4</v>
          </cell>
          <cell r="AC44">
            <v>4</v>
          </cell>
          <cell r="AD44" t="str">
            <v>N</v>
          </cell>
          <cell r="BF44">
            <v>0</v>
          </cell>
          <cell r="BG44">
            <v>0</v>
          </cell>
          <cell r="BH44">
            <v>0</v>
          </cell>
          <cell r="BI44">
            <v>0</v>
          </cell>
          <cell r="BJ44">
            <v>0</v>
          </cell>
          <cell r="BK44">
            <v>0</v>
          </cell>
          <cell r="BL44">
            <v>0</v>
          </cell>
          <cell r="BM44">
            <v>0</v>
          </cell>
          <cell r="BN44">
            <v>0</v>
          </cell>
          <cell r="BO44">
            <v>0</v>
          </cell>
          <cell r="BP44">
            <v>4</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row>
        <row r="45">
          <cell r="C45">
            <v>37718</v>
          </cell>
          <cell r="D45">
            <v>37722</v>
          </cell>
          <cell r="E45">
            <v>37722</v>
          </cell>
          <cell r="F45">
            <v>0.47916666666666669</v>
          </cell>
          <cell r="G45" t="str">
            <v>Linha de Pintura 8,5m</v>
          </cell>
          <cell r="H45" t="str">
            <v>Mau funcionamento no Painel de Controle de Pistola no. 05</v>
          </cell>
          <cell r="I45" t="str">
            <v>Corretiva</v>
          </cell>
          <cell r="J45" t="str">
            <v>Sim</v>
          </cell>
          <cell r="K45" t="str">
            <v>Elétrica</v>
          </cell>
          <cell r="L45" t="str">
            <v>Verificação dos terminais e soldas, e correção das falhas</v>
          </cell>
          <cell r="M45" t="str">
            <v>Mau contato</v>
          </cell>
          <cell r="N45">
            <v>37722</v>
          </cell>
          <cell r="O45">
            <v>0.47916666666666669</v>
          </cell>
          <cell r="P45">
            <v>37722</v>
          </cell>
          <cell r="Q45">
            <v>0.47916666666666669</v>
          </cell>
          <cell r="T45">
            <v>37722</v>
          </cell>
          <cell r="U45">
            <v>0.625</v>
          </cell>
          <cell r="V45">
            <v>37722</v>
          </cell>
          <cell r="W45">
            <v>0.625</v>
          </cell>
          <cell r="X45">
            <v>0.14583333333333331</v>
          </cell>
          <cell r="Y45">
            <v>0.14583333333333331</v>
          </cell>
          <cell r="AB45">
            <v>4</v>
          </cell>
          <cell r="AC45">
            <v>4</v>
          </cell>
          <cell r="AD45" t="str">
            <v>S</v>
          </cell>
          <cell r="BF45">
            <v>0</v>
          </cell>
          <cell r="BG45">
            <v>0</v>
          </cell>
          <cell r="BH45">
            <v>0</v>
          </cell>
          <cell r="BI45">
            <v>0</v>
          </cell>
          <cell r="BJ45">
            <v>0</v>
          </cell>
          <cell r="BK45">
            <v>0</v>
          </cell>
          <cell r="BL45">
            <v>0</v>
          </cell>
          <cell r="BM45">
            <v>0</v>
          </cell>
          <cell r="BN45">
            <v>0</v>
          </cell>
          <cell r="BO45">
            <v>0</v>
          </cell>
          <cell r="BP45">
            <v>4</v>
          </cell>
          <cell r="BQ45">
            <v>0</v>
          </cell>
          <cell r="BR45">
            <v>0</v>
          </cell>
          <cell r="BS45">
            <v>0</v>
          </cell>
          <cell r="BT45">
            <v>0</v>
          </cell>
          <cell r="BU45">
            <v>0</v>
          </cell>
          <cell r="BV45">
            <v>0</v>
          </cell>
          <cell r="BW45">
            <v>0</v>
          </cell>
          <cell r="BX45">
            <v>0</v>
          </cell>
          <cell r="BY45">
            <v>0</v>
          </cell>
          <cell r="BZ45">
            <v>0</v>
          </cell>
          <cell r="CA45">
            <v>0</v>
          </cell>
          <cell r="CB45">
            <v>0</v>
          </cell>
          <cell r="CC45">
            <v>0</v>
          </cell>
          <cell r="CD45">
            <v>0</v>
          </cell>
        </row>
        <row r="46">
          <cell r="C46">
            <v>37718</v>
          </cell>
          <cell r="D46">
            <v>37721</v>
          </cell>
          <cell r="E46">
            <v>37720</v>
          </cell>
          <cell r="F46">
            <v>0.375</v>
          </cell>
          <cell r="G46" t="str">
            <v>Linha de Pintura 8,5m</v>
          </cell>
          <cell r="H46" t="str">
            <v>Elevador de Pintura no. 04 - Fusível Queimado</v>
          </cell>
          <cell r="I46" t="str">
            <v>Corretiva</v>
          </cell>
          <cell r="J46" t="str">
            <v>Sim</v>
          </cell>
          <cell r="K46" t="str">
            <v>Elétrica</v>
          </cell>
          <cell r="L46" t="str">
            <v>Substituição do(s) Componente(s)</v>
          </cell>
          <cell r="M46" t="str">
            <v>Travamento de Componente</v>
          </cell>
          <cell r="N46">
            <v>37720</v>
          </cell>
          <cell r="O46">
            <v>0.375</v>
          </cell>
          <cell r="P46">
            <v>37720</v>
          </cell>
          <cell r="Q46">
            <v>0.375</v>
          </cell>
          <cell r="T46">
            <v>37720</v>
          </cell>
          <cell r="U46">
            <v>0.38194444444444442</v>
          </cell>
          <cell r="V46">
            <v>37720</v>
          </cell>
          <cell r="W46">
            <v>0.38194444444444442</v>
          </cell>
          <cell r="X46">
            <v>6.9444444444444198E-3</v>
          </cell>
          <cell r="Y46">
            <v>6.9444444452528842E-3</v>
          </cell>
          <cell r="AB46">
            <v>4</v>
          </cell>
          <cell r="AC46">
            <v>4</v>
          </cell>
          <cell r="AD46" t="str">
            <v>S</v>
          </cell>
          <cell r="BF46">
            <v>0</v>
          </cell>
          <cell r="BG46">
            <v>0</v>
          </cell>
          <cell r="BH46">
            <v>0</v>
          </cell>
          <cell r="BI46">
            <v>0</v>
          </cell>
          <cell r="BJ46">
            <v>0</v>
          </cell>
          <cell r="BK46">
            <v>0</v>
          </cell>
          <cell r="BL46">
            <v>0</v>
          </cell>
          <cell r="BM46">
            <v>0</v>
          </cell>
          <cell r="BN46">
            <v>0</v>
          </cell>
          <cell r="BO46">
            <v>0</v>
          </cell>
          <cell r="BP46">
            <v>4</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row>
        <row r="47">
          <cell r="C47">
            <v>37718</v>
          </cell>
          <cell r="D47">
            <v>37719</v>
          </cell>
          <cell r="E47">
            <v>37719</v>
          </cell>
          <cell r="F47">
            <v>0.625</v>
          </cell>
          <cell r="G47" t="str">
            <v>Perfiladora Gasparini</v>
          </cell>
          <cell r="H47" t="str">
            <v>Alarme</v>
          </cell>
          <cell r="I47" t="str">
            <v>Corretiva</v>
          </cell>
          <cell r="J47" t="str">
            <v>Sim</v>
          </cell>
          <cell r="K47" t="str">
            <v>Elétrica</v>
          </cell>
          <cell r="L47" t="str">
            <v>Verificação dos Relés e disjuntores de alimentação de comando</v>
          </cell>
          <cell r="M47" t="str">
            <v>Falha Operacional</v>
          </cell>
          <cell r="N47">
            <v>37719</v>
          </cell>
          <cell r="O47">
            <v>0.625</v>
          </cell>
          <cell r="P47">
            <v>37719</v>
          </cell>
          <cell r="Q47">
            <v>0.625</v>
          </cell>
          <cell r="T47">
            <v>37719</v>
          </cell>
          <cell r="U47">
            <v>0.69444444444444453</v>
          </cell>
          <cell r="V47">
            <v>37719</v>
          </cell>
          <cell r="W47">
            <v>0.69444444444444453</v>
          </cell>
          <cell r="X47">
            <v>6.9444444444444531E-2</v>
          </cell>
          <cell r="Y47">
            <v>6.9444444445252884E-2</v>
          </cell>
          <cell r="AB47">
            <v>4</v>
          </cell>
          <cell r="AC47">
            <v>4</v>
          </cell>
          <cell r="AD47" t="str">
            <v>S</v>
          </cell>
          <cell r="BF47">
            <v>0</v>
          </cell>
          <cell r="BG47">
            <v>0</v>
          </cell>
          <cell r="BH47">
            <v>0</v>
          </cell>
          <cell r="BI47">
            <v>0</v>
          </cell>
          <cell r="BJ47">
            <v>0</v>
          </cell>
          <cell r="BK47">
            <v>0</v>
          </cell>
          <cell r="BL47">
            <v>0</v>
          </cell>
          <cell r="BM47">
            <v>0</v>
          </cell>
          <cell r="BN47">
            <v>0</v>
          </cell>
          <cell r="BO47">
            <v>0</v>
          </cell>
          <cell r="BP47">
            <v>0</v>
          </cell>
          <cell r="BQ47">
            <v>0</v>
          </cell>
          <cell r="BR47">
            <v>0</v>
          </cell>
          <cell r="BS47">
            <v>0</v>
          </cell>
          <cell r="BT47">
            <v>0</v>
          </cell>
          <cell r="BU47">
            <v>0</v>
          </cell>
          <cell r="BV47">
            <v>4</v>
          </cell>
          <cell r="BW47">
            <v>0</v>
          </cell>
          <cell r="BX47">
            <v>0</v>
          </cell>
          <cell r="BY47">
            <v>0</v>
          </cell>
          <cell r="BZ47">
            <v>0</v>
          </cell>
          <cell r="CA47">
            <v>0</v>
          </cell>
          <cell r="CB47">
            <v>0</v>
          </cell>
          <cell r="CC47">
            <v>0</v>
          </cell>
          <cell r="CD47">
            <v>0</v>
          </cell>
        </row>
        <row r="48">
          <cell r="C48">
            <v>37718</v>
          </cell>
          <cell r="D48">
            <v>37722</v>
          </cell>
          <cell r="E48">
            <v>37722</v>
          </cell>
          <cell r="F48">
            <v>0.58333333333333337</v>
          </cell>
          <cell r="G48" t="str">
            <v>Perfiladora Gasparini</v>
          </cell>
          <cell r="H48" t="str">
            <v>Reparar Cerâmica - Máquina de Solda</v>
          </cell>
          <cell r="I48" t="str">
            <v>Corretiva</v>
          </cell>
          <cell r="J48" t="str">
            <v>Não</v>
          </cell>
          <cell r="K48" t="str">
            <v>Mecânica</v>
          </cell>
          <cell r="L48" t="str">
            <v>Substituição do(s) Componente(s)</v>
          </cell>
          <cell r="M48" t="str">
            <v>Falha Operacional</v>
          </cell>
          <cell r="N48">
            <v>37720</v>
          </cell>
          <cell r="O48">
            <v>0.58333333333333337</v>
          </cell>
          <cell r="P48">
            <v>37720</v>
          </cell>
          <cell r="Q48">
            <v>0.58333333333333337</v>
          </cell>
          <cell r="R48">
            <v>37725</v>
          </cell>
          <cell r="S48">
            <v>0.625</v>
          </cell>
          <cell r="T48">
            <v>37725</v>
          </cell>
          <cell r="U48">
            <v>0.63888888888888895</v>
          </cell>
          <cell r="V48">
            <v>0</v>
          </cell>
          <cell r="W48">
            <v>1.3888888888888951E-2</v>
          </cell>
          <cell r="X48">
            <v>1.3888888888888951E-2</v>
          </cell>
          <cell r="Y48">
            <v>1.3888888888888951E-2</v>
          </cell>
          <cell r="AB48">
            <v>4</v>
          </cell>
          <cell r="AC48">
            <v>4</v>
          </cell>
          <cell r="AD48" t="str">
            <v>N</v>
          </cell>
          <cell r="BF48">
            <v>0</v>
          </cell>
          <cell r="BG48">
            <v>0</v>
          </cell>
          <cell r="BH48">
            <v>0</v>
          </cell>
          <cell r="BI48">
            <v>0</v>
          </cell>
          <cell r="BJ48">
            <v>0</v>
          </cell>
          <cell r="BK48">
            <v>0</v>
          </cell>
          <cell r="BL48">
            <v>0</v>
          </cell>
          <cell r="BM48">
            <v>0</v>
          </cell>
          <cell r="BN48">
            <v>0</v>
          </cell>
          <cell r="BO48">
            <v>0</v>
          </cell>
          <cell r="BP48">
            <v>0</v>
          </cell>
          <cell r="BQ48">
            <v>0</v>
          </cell>
          <cell r="BR48">
            <v>0</v>
          </cell>
          <cell r="BS48">
            <v>0</v>
          </cell>
          <cell r="BT48">
            <v>0</v>
          </cell>
          <cell r="BU48">
            <v>0</v>
          </cell>
          <cell r="BV48">
            <v>4</v>
          </cell>
          <cell r="BW48">
            <v>0</v>
          </cell>
          <cell r="BX48">
            <v>0</v>
          </cell>
          <cell r="BY48">
            <v>0</v>
          </cell>
          <cell r="BZ48">
            <v>0</v>
          </cell>
          <cell r="CA48">
            <v>0</v>
          </cell>
          <cell r="CB48">
            <v>0</v>
          </cell>
          <cell r="CC48">
            <v>0</v>
          </cell>
          <cell r="CD48">
            <v>0</v>
          </cell>
        </row>
        <row r="49">
          <cell r="C49">
            <v>37718</v>
          </cell>
          <cell r="D49">
            <v>37775</v>
          </cell>
          <cell r="E49">
            <v>37770</v>
          </cell>
          <cell r="F49">
            <v>0.45833333333333331</v>
          </cell>
          <cell r="G49" t="str">
            <v>Perfiladora Gasparini</v>
          </cell>
          <cell r="H49" t="str">
            <v>Reparar mesa de coleta do perfil</v>
          </cell>
          <cell r="I49" t="str">
            <v>Corretiva</v>
          </cell>
          <cell r="J49" t="str">
            <v>Sim</v>
          </cell>
          <cell r="K49" t="str">
            <v>Mecânica</v>
          </cell>
          <cell r="L49" t="str">
            <v>Ajuste / Regulagem</v>
          </cell>
          <cell r="M49" t="str">
            <v>Desgaste / Fadiga</v>
          </cell>
          <cell r="N49">
            <v>37770</v>
          </cell>
          <cell r="O49">
            <v>0.45833333333333331</v>
          </cell>
          <cell r="P49">
            <v>37770</v>
          </cell>
          <cell r="Q49">
            <v>0.45833333333333331</v>
          </cell>
          <cell r="T49">
            <v>37770</v>
          </cell>
          <cell r="U49">
            <v>0.47916666666666669</v>
          </cell>
          <cell r="V49">
            <v>37770</v>
          </cell>
          <cell r="W49">
            <v>0.47916666666666669</v>
          </cell>
          <cell r="X49">
            <v>2.083333333333337E-2</v>
          </cell>
          <cell r="Y49">
            <v>2.0833333330908033E-2</v>
          </cell>
          <cell r="AB49">
            <v>5</v>
          </cell>
          <cell r="AC49">
            <v>4</v>
          </cell>
          <cell r="AD49">
            <v>0</v>
          </cell>
          <cell r="BF49">
            <v>0</v>
          </cell>
          <cell r="BG49">
            <v>0</v>
          </cell>
          <cell r="BH49">
            <v>0</v>
          </cell>
          <cell r="BI49">
            <v>0</v>
          </cell>
          <cell r="BJ49">
            <v>0</v>
          </cell>
          <cell r="BK49">
            <v>0</v>
          </cell>
          <cell r="BL49">
            <v>0</v>
          </cell>
          <cell r="BM49">
            <v>0</v>
          </cell>
          <cell r="BN49">
            <v>0</v>
          </cell>
          <cell r="BO49">
            <v>0</v>
          </cell>
          <cell r="BP49">
            <v>0</v>
          </cell>
          <cell r="BQ49">
            <v>0</v>
          </cell>
          <cell r="BR49">
            <v>0</v>
          </cell>
          <cell r="BS49">
            <v>0</v>
          </cell>
          <cell r="BT49">
            <v>0</v>
          </cell>
          <cell r="BU49">
            <v>0</v>
          </cell>
          <cell r="BV49">
            <v>5</v>
          </cell>
          <cell r="BW49">
            <v>0</v>
          </cell>
          <cell r="BX49">
            <v>0</v>
          </cell>
          <cell r="BY49">
            <v>0</v>
          </cell>
          <cell r="BZ49">
            <v>0</v>
          </cell>
          <cell r="CA49">
            <v>0</v>
          </cell>
          <cell r="CB49">
            <v>0</v>
          </cell>
          <cell r="CC49">
            <v>0</v>
          </cell>
          <cell r="CD49">
            <v>0</v>
          </cell>
        </row>
        <row r="50">
          <cell r="C50">
            <v>37718</v>
          </cell>
          <cell r="D50">
            <v>37775</v>
          </cell>
          <cell r="E50">
            <v>37770</v>
          </cell>
          <cell r="F50">
            <v>0.39583333333333331</v>
          </cell>
          <cell r="G50" t="str">
            <v>Perfiladora Gasparini</v>
          </cell>
          <cell r="H50" t="str">
            <v>Vazamento de óleo da prensa</v>
          </cell>
          <cell r="I50" t="str">
            <v>Corretiva</v>
          </cell>
          <cell r="J50" t="str">
            <v>Sim</v>
          </cell>
          <cell r="K50" t="str">
            <v>Mecânica</v>
          </cell>
          <cell r="L50" t="str">
            <v>Contenção do vazamento</v>
          </cell>
          <cell r="M50" t="str">
            <v>Defeito de Fabricação</v>
          </cell>
          <cell r="N50">
            <v>37770</v>
          </cell>
          <cell r="O50">
            <v>0.39583333333333331</v>
          </cell>
          <cell r="P50">
            <v>37770</v>
          </cell>
          <cell r="Q50">
            <v>0.39583333333333331</v>
          </cell>
          <cell r="T50">
            <v>37770</v>
          </cell>
          <cell r="U50">
            <v>0.57986111111111105</v>
          </cell>
          <cell r="V50">
            <v>37770</v>
          </cell>
          <cell r="W50">
            <v>0.57986111111111105</v>
          </cell>
          <cell r="X50">
            <v>0.18402777777777773</v>
          </cell>
          <cell r="Y50">
            <v>0.18402777777616092</v>
          </cell>
          <cell r="AB50">
            <v>5</v>
          </cell>
          <cell r="AC50">
            <v>4</v>
          </cell>
          <cell r="AD50">
            <v>0</v>
          </cell>
          <cell r="BF50">
            <v>0</v>
          </cell>
          <cell r="BG50">
            <v>0</v>
          </cell>
          <cell r="BH50">
            <v>0</v>
          </cell>
          <cell r="BI50">
            <v>0</v>
          </cell>
          <cell r="BJ50">
            <v>0</v>
          </cell>
          <cell r="BK50">
            <v>0</v>
          </cell>
          <cell r="BL50">
            <v>0</v>
          </cell>
          <cell r="BM50">
            <v>0</v>
          </cell>
          <cell r="BN50">
            <v>0</v>
          </cell>
          <cell r="BO50">
            <v>0</v>
          </cell>
          <cell r="BP50">
            <v>0</v>
          </cell>
          <cell r="BQ50">
            <v>0</v>
          </cell>
          <cell r="BR50">
            <v>0</v>
          </cell>
          <cell r="BS50">
            <v>0</v>
          </cell>
          <cell r="BT50">
            <v>0</v>
          </cell>
          <cell r="BU50">
            <v>0</v>
          </cell>
          <cell r="BV50">
            <v>5</v>
          </cell>
          <cell r="BW50">
            <v>0</v>
          </cell>
          <cell r="BX50">
            <v>0</v>
          </cell>
          <cell r="BY50">
            <v>0</v>
          </cell>
          <cell r="BZ50">
            <v>0</v>
          </cell>
          <cell r="CA50">
            <v>0</v>
          </cell>
          <cell r="CB50">
            <v>0</v>
          </cell>
          <cell r="CC50">
            <v>0</v>
          </cell>
          <cell r="CD50">
            <v>0</v>
          </cell>
        </row>
        <row r="51">
          <cell r="C51">
            <v>37718</v>
          </cell>
          <cell r="D51">
            <v>37775</v>
          </cell>
          <cell r="E51">
            <v>37769</v>
          </cell>
          <cell r="F51">
            <v>0.61458333333333337</v>
          </cell>
          <cell r="G51" t="str">
            <v>Perfiladora Gasparini</v>
          </cell>
          <cell r="H51" t="str">
            <v>Substituir cerâmica da Máquina de Solda</v>
          </cell>
          <cell r="I51" t="str">
            <v>Corretiva</v>
          </cell>
          <cell r="J51" t="str">
            <v>Sim</v>
          </cell>
          <cell r="K51" t="str">
            <v>Mecânica</v>
          </cell>
          <cell r="L51" t="str">
            <v>Substituição do(s) Componente(s)</v>
          </cell>
          <cell r="M51" t="str">
            <v>Causa não especificada</v>
          </cell>
          <cell r="N51">
            <v>37769</v>
          </cell>
          <cell r="O51">
            <v>0.61458333333333337</v>
          </cell>
          <cell r="P51">
            <v>37769</v>
          </cell>
          <cell r="Q51">
            <v>0.61458333333333337</v>
          </cell>
          <cell r="T51">
            <v>37769</v>
          </cell>
          <cell r="U51">
            <v>0.625</v>
          </cell>
          <cell r="V51">
            <v>37769</v>
          </cell>
          <cell r="W51">
            <v>0.625</v>
          </cell>
          <cell r="X51">
            <v>1.041666666666663E-2</v>
          </cell>
          <cell r="Y51">
            <v>1.041666666666663E-2</v>
          </cell>
          <cell r="AB51">
            <v>5</v>
          </cell>
          <cell r="AC51">
            <v>4</v>
          </cell>
          <cell r="AD51">
            <v>0</v>
          </cell>
          <cell r="BF51">
            <v>0</v>
          </cell>
          <cell r="BG51">
            <v>0</v>
          </cell>
          <cell r="BH51">
            <v>0</v>
          </cell>
          <cell r="BI51">
            <v>0</v>
          </cell>
          <cell r="BJ51">
            <v>0</v>
          </cell>
          <cell r="BK51">
            <v>0</v>
          </cell>
          <cell r="BL51">
            <v>0</v>
          </cell>
          <cell r="BM51">
            <v>0</v>
          </cell>
          <cell r="BN51">
            <v>0</v>
          </cell>
          <cell r="BO51">
            <v>0</v>
          </cell>
          <cell r="BP51">
            <v>0</v>
          </cell>
          <cell r="BQ51">
            <v>0</v>
          </cell>
          <cell r="BR51">
            <v>0</v>
          </cell>
          <cell r="BS51">
            <v>0</v>
          </cell>
          <cell r="BT51">
            <v>0</v>
          </cell>
          <cell r="BU51">
            <v>0</v>
          </cell>
          <cell r="BV51">
            <v>5</v>
          </cell>
          <cell r="BW51">
            <v>0</v>
          </cell>
          <cell r="BX51">
            <v>0</v>
          </cell>
          <cell r="BY51">
            <v>0</v>
          </cell>
          <cell r="BZ51">
            <v>0</v>
          </cell>
          <cell r="CA51">
            <v>0</v>
          </cell>
          <cell r="CB51">
            <v>0</v>
          </cell>
          <cell r="CC51">
            <v>0</v>
          </cell>
          <cell r="CD51">
            <v>0</v>
          </cell>
        </row>
        <row r="52">
          <cell r="C52">
            <v>37718</v>
          </cell>
          <cell r="D52">
            <v>37831</v>
          </cell>
          <cell r="E52" t="str">
            <v>Márcio</v>
          </cell>
          <cell r="I52">
            <v>0</v>
          </cell>
          <cell r="M52" t="str">
            <v>OS Cancelada</v>
          </cell>
          <cell r="N52">
            <v>0</v>
          </cell>
          <cell r="O52" t="str">
            <v>OS Cancelada</v>
          </cell>
          <cell r="P52">
            <v>0</v>
          </cell>
          <cell r="T52">
            <v>37831</v>
          </cell>
          <cell r="V52">
            <v>0</v>
          </cell>
          <cell r="W52">
            <v>0</v>
          </cell>
          <cell r="X52">
            <v>0</v>
          </cell>
          <cell r="Y52">
            <v>0</v>
          </cell>
          <cell r="AB52">
            <v>7</v>
          </cell>
          <cell r="AC52">
            <v>4</v>
          </cell>
          <cell r="AD52">
            <v>0</v>
          </cell>
          <cell r="BF52">
            <v>0</v>
          </cell>
          <cell r="BG52">
            <v>0</v>
          </cell>
          <cell r="BH52">
            <v>0</v>
          </cell>
          <cell r="BI52">
            <v>0</v>
          </cell>
          <cell r="BJ52">
            <v>0</v>
          </cell>
          <cell r="BK52">
            <v>0</v>
          </cell>
          <cell r="BL52">
            <v>0</v>
          </cell>
          <cell r="BM52">
            <v>0</v>
          </cell>
          <cell r="BN52">
            <v>0</v>
          </cell>
          <cell r="BO52">
            <v>0</v>
          </cell>
          <cell r="BP52">
            <v>0</v>
          </cell>
          <cell r="BQ52">
            <v>0</v>
          </cell>
          <cell r="BR52">
            <v>0</v>
          </cell>
          <cell r="BS52">
            <v>0</v>
          </cell>
          <cell r="BT52">
            <v>0</v>
          </cell>
          <cell r="BU52">
            <v>0</v>
          </cell>
          <cell r="BV52">
            <v>0</v>
          </cell>
          <cell r="BW52">
            <v>0</v>
          </cell>
          <cell r="BX52">
            <v>0</v>
          </cell>
          <cell r="BY52">
            <v>0</v>
          </cell>
          <cell r="BZ52">
            <v>0</v>
          </cell>
          <cell r="CA52">
            <v>0</v>
          </cell>
          <cell r="CB52">
            <v>0</v>
          </cell>
          <cell r="CC52">
            <v>0</v>
          </cell>
          <cell r="CD52">
            <v>0</v>
          </cell>
        </row>
        <row r="53">
          <cell r="C53">
            <v>37718</v>
          </cell>
          <cell r="D53">
            <v>37831</v>
          </cell>
          <cell r="E53" t="str">
            <v>Márcio</v>
          </cell>
          <cell r="I53">
            <v>0</v>
          </cell>
          <cell r="M53" t="str">
            <v>OS Cancelada</v>
          </cell>
          <cell r="N53">
            <v>0</v>
          </cell>
          <cell r="O53" t="str">
            <v>OS Cancelada</v>
          </cell>
          <cell r="P53">
            <v>0</v>
          </cell>
          <cell r="T53">
            <v>37831</v>
          </cell>
          <cell r="V53">
            <v>0</v>
          </cell>
          <cell r="W53">
            <v>0</v>
          </cell>
          <cell r="X53">
            <v>0</v>
          </cell>
          <cell r="Y53">
            <v>0</v>
          </cell>
          <cell r="AB53">
            <v>7</v>
          </cell>
          <cell r="AC53">
            <v>4</v>
          </cell>
          <cell r="AD53">
            <v>0</v>
          </cell>
          <cell r="BF53">
            <v>0</v>
          </cell>
          <cell r="BG53">
            <v>0</v>
          </cell>
          <cell r="BH53">
            <v>0</v>
          </cell>
          <cell r="BI53">
            <v>0</v>
          </cell>
          <cell r="BJ53">
            <v>0</v>
          </cell>
          <cell r="BK53">
            <v>0</v>
          </cell>
          <cell r="BL53">
            <v>0</v>
          </cell>
          <cell r="BM53">
            <v>0</v>
          </cell>
          <cell r="BN53">
            <v>0</v>
          </cell>
          <cell r="BO53">
            <v>0</v>
          </cell>
          <cell r="BP53">
            <v>0</v>
          </cell>
          <cell r="BQ53">
            <v>0</v>
          </cell>
          <cell r="BR53">
            <v>0</v>
          </cell>
          <cell r="BS53">
            <v>0</v>
          </cell>
          <cell r="BT53">
            <v>0</v>
          </cell>
          <cell r="BU53">
            <v>0</v>
          </cell>
          <cell r="BV53">
            <v>0</v>
          </cell>
          <cell r="BW53">
            <v>0</v>
          </cell>
          <cell r="BX53">
            <v>0</v>
          </cell>
          <cell r="BY53">
            <v>0</v>
          </cell>
          <cell r="BZ53">
            <v>0</v>
          </cell>
          <cell r="CA53">
            <v>0</v>
          </cell>
          <cell r="CB53">
            <v>0</v>
          </cell>
          <cell r="CC53">
            <v>0</v>
          </cell>
          <cell r="CD53">
            <v>0</v>
          </cell>
        </row>
        <row r="54">
          <cell r="C54">
            <v>37718</v>
          </cell>
          <cell r="D54">
            <v>37831</v>
          </cell>
          <cell r="E54" t="str">
            <v>Márcio</v>
          </cell>
          <cell r="I54">
            <v>0</v>
          </cell>
          <cell r="M54" t="str">
            <v>OS Cancelada</v>
          </cell>
          <cell r="N54">
            <v>0</v>
          </cell>
          <cell r="O54" t="str">
            <v>OS Cancelada</v>
          </cell>
          <cell r="P54">
            <v>0</v>
          </cell>
          <cell r="T54">
            <v>37831</v>
          </cell>
          <cell r="V54">
            <v>0</v>
          </cell>
          <cell r="W54">
            <v>0</v>
          </cell>
          <cell r="X54">
            <v>0</v>
          </cell>
          <cell r="Y54">
            <v>0</v>
          </cell>
          <cell r="AB54">
            <v>7</v>
          </cell>
          <cell r="AC54">
            <v>4</v>
          </cell>
          <cell r="AD54">
            <v>0</v>
          </cell>
          <cell r="BF54">
            <v>0</v>
          </cell>
          <cell r="BG54">
            <v>0</v>
          </cell>
          <cell r="BH54">
            <v>0</v>
          </cell>
          <cell r="BI54">
            <v>0</v>
          </cell>
          <cell r="BJ54">
            <v>0</v>
          </cell>
          <cell r="BK54">
            <v>0</v>
          </cell>
          <cell r="BL54">
            <v>0</v>
          </cell>
          <cell r="BM54">
            <v>0</v>
          </cell>
          <cell r="BN54">
            <v>0</v>
          </cell>
          <cell r="BO54">
            <v>0</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row>
        <row r="55">
          <cell r="C55">
            <v>37718</v>
          </cell>
          <cell r="D55">
            <v>37785</v>
          </cell>
          <cell r="E55">
            <v>37774</v>
          </cell>
          <cell r="F55">
            <v>0.375</v>
          </cell>
          <cell r="G55" t="str">
            <v>Perfiladora Gasparini</v>
          </cell>
          <cell r="H55" t="str">
            <v>Esteira não funciona (evacuação Viruta)</v>
          </cell>
          <cell r="I55" t="str">
            <v>Corretiva</v>
          </cell>
          <cell r="J55" t="str">
            <v>Sim</v>
          </cell>
          <cell r="K55" t="str">
            <v>Mecânica</v>
          </cell>
          <cell r="L55" t="str">
            <v>Limpeza do Equipamento / Componente</v>
          </cell>
          <cell r="M55" t="str">
            <v>Sujeira em excesso</v>
          </cell>
          <cell r="N55">
            <v>37774</v>
          </cell>
          <cell r="O55">
            <v>0.375</v>
          </cell>
          <cell r="P55">
            <v>37774</v>
          </cell>
          <cell r="Q55">
            <v>0.375</v>
          </cell>
          <cell r="T55">
            <v>37774</v>
          </cell>
          <cell r="U55">
            <v>0.39930555555555558</v>
          </cell>
          <cell r="V55">
            <v>37774</v>
          </cell>
          <cell r="W55">
            <v>0.39930555555555558</v>
          </cell>
          <cell r="X55">
            <v>2.430555555555558E-2</v>
          </cell>
          <cell r="Y55">
            <v>2.4305555554747116E-2</v>
          </cell>
          <cell r="AB55">
            <v>6</v>
          </cell>
          <cell r="AC55">
            <v>4</v>
          </cell>
          <cell r="AD55">
            <v>0</v>
          </cell>
          <cell r="BF55">
            <v>0</v>
          </cell>
          <cell r="BG55">
            <v>0</v>
          </cell>
          <cell r="BH55">
            <v>0</v>
          </cell>
          <cell r="BI55">
            <v>0</v>
          </cell>
          <cell r="BJ55">
            <v>0</v>
          </cell>
          <cell r="BK55">
            <v>0</v>
          </cell>
          <cell r="BL55">
            <v>0</v>
          </cell>
          <cell r="BM55">
            <v>0</v>
          </cell>
          <cell r="BN55">
            <v>0</v>
          </cell>
          <cell r="BO55">
            <v>0</v>
          </cell>
          <cell r="BP55">
            <v>0</v>
          </cell>
          <cell r="BQ55">
            <v>0</v>
          </cell>
          <cell r="BR55">
            <v>0</v>
          </cell>
          <cell r="BS55">
            <v>0</v>
          </cell>
          <cell r="BT55">
            <v>0</v>
          </cell>
          <cell r="BU55">
            <v>0</v>
          </cell>
          <cell r="BV55">
            <v>6</v>
          </cell>
          <cell r="BW55">
            <v>0</v>
          </cell>
          <cell r="BX55">
            <v>0</v>
          </cell>
          <cell r="BY55">
            <v>0</v>
          </cell>
          <cell r="BZ55">
            <v>0</v>
          </cell>
          <cell r="CA55">
            <v>0</v>
          </cell>
          <cell r="CB55">
            <v>0</v>
          </cell>
          <cell r="CC55">
            <v>0</v>
          </cell>
          <cell r="CD55">
            <v>0</v>
          </cell>
        </row>
        <row r="56">
          <cell r="C56">
            <v>37718</v>
          </cell>
          <cell r="D56">
            <v>37785</v>
          </cell>
          <cell r="E56">
            <v>37774</v>
          </cell>
          <cell r="F56">
            <v>0.6875</v>
          </cell>
          <cell r="G56" t="str">
            <v>Perfiladora Gasparini</v>
          </cell>
          <cell r="H56" t="str">
            <v>Esteira danificada (evacuação Viruta)</v>
          </cell>
          <cell r="I56" t="str">
            <v>Corretiva</v>
          </cell>
          <cell r="J56" t="str">
            <v>Sim</v>
          </cell>
          <cell r="K56" t="str">
            <v>Elétrica</v>
          </cell>
          <cell r="L56" t="str">
            <v>Regulagem do comando da máquina</v>
          </cell>
          <cell r="M56" t="str">
            <v>Falha de Comando / Sistema</v>
          </cell>
          <cell r="N56">
            <v>37774</v>
          </cell>
          <cell r="O56">
            <v>0.6875</v>
          </cell>
          <cell r="P56">
            <v>37774</v>
          </cell>
          <cell r="Q56">
            <v>0.6875</v>
          </cell>
          <cell r="T56">
            <v>37774</v>
          </cell>
          <cell r="U56">
            <v>0.74305555555555547</v>
          </cell>
          <cell r="V56">
            <v>37774</v>
          </cell>
          <cell r="W56">
            <v>0.74305555555555547</v>
          </cell>
          <cell r="X56">
            <v>5.5555555555555469E-2</v>
          </cell>
          <cell r="Y56">
            <v>5.5555555554747116E-2</v>
          </cell>
          <cell r="AB56">
            <v>6</v>
          </cell>
          <cell r="AC56">
            <v>4</v>
          </cell>
          <cell r="AD56">
            <v>0</v>
          </cell>
          <cell r="BF56">
            <v>0</v>
          </cell>
          <cell r="BG56">
            <v>0</v>
          </cell>
          <cell r="BH56">
            <v>0</v>
          </cell>
          <cell r="BI56">
            <v>0</v>
          </cell>
          <cell r="BJ56">
            <v>0</v>
          </cell>
          <cell r="BK56">
            <v>0</v>
          </cell>
          <cell r="BL56">
            <v>0</v>
          </cell>
          <cell r="BM56">
            <v>0</v>
          </cell>
          <cell r="BN56">
            <v>0</v>
          </cell>
          <cell r="BO56">
            <v>0</v>
          </cell>
          <cell r="BP56">
            <v>0</v>
          </cell>
          <cell r="BQ56">
            <v>0</v>
          </cell>
          <cell r="BR56">
            <v>0</v>
          </cell>
          <cell r="BS56">
            <v>0</v>
          </cell>
          <cell r="BT56">
            <v>0</v>
          </cell>
          <cell r="BU56">
            <v>0</v>
          </cell>
          <cell r="BV56">
            <v>6</v>
          </cell>
          <cell r="BW56">
            <v>0</v>
          </cell>
          <cell r="BX56">
            <v>0</v>
          </cell>
          <cell r="BY56">
            <v>0</v>
          </cell>
          <cell r="BZ56">
            <v>0</v>
          </cell>
          <cell r="CA56">
            <v>0</v>
          </cell>
          <cell r="CB56">
            <v>0</v>
          </cell>
          <cell r="CC56">
            <v>0</v>
          </cell>
          <cell r="CD56">
            <v>0</v>
          </cell>
        </row>
        <row r="57">
          <cell r="C57">
            <v>37718</v>
          </cell>
          <cell r="D57">
            <v>37727</v>
          </cell>
          <cell r="E57">
            <v>37725</v>
          </cell>
          <cell r="F57">
            <v>0.66666666666666663</v>
          </cell>
          <cell r="G57" t="str">
            <v>Linha de Pintura 3,2m</v>
          </cell>
          <cell r="H57" t="str">
            <v>Necessidade de melhoria quanto à regulagem de ar para a máquina de embalar e para o Revólver</v>
          </cell>
          <cell r="I57" t="str">
            <v>Melhoria</v>
          </cell>
          <cell r="J57" t="str">
            <v>Não</v>
          </cell>
          <cell r="K57" t="str">
            <v>Mecânica</v>
          </cell>
          <cell r="L57" t="str">
            <v>Foi instalada uma conexão tipo "T", de forma que apenas o revólver possua regulagem</v>
          </cell>
          <cell r="M57" t="str">
            <v>Melhoria Técnica</v>
          </cell>
          <cell r="N57">
            <v>37726</v>
          </cell>
          <cell r="O57">
            <v>0.53472222222222221</v>
          </cell>
          <cell r="P57">
            <v>37726</v>
          </cell>
          <cell r="Q57">
            <v>0.53472222222222221</v>
          </cell>
          <cell r="T57">
            <v>37726</v>
          </cell>
          <cell r="U57">
            <v>0.55555555555555558</v>
          </cell>
          <cell r="V57">
            <v>37726</v>
          </cell>
          <cell r="W57">
            <v>0.55555555555555558</v>
          </cell>
          <cell r="X57">
            <v>2.0833333332524906E-2</v>
          </cell>
          <cell r="Y57">
            <v>2.0833333332524906E-2</v>
          </cell>
          <cell r="AB57">
            <v>4</v>
          </cell>
          <cell r="AC57">
            <v>4</v>
          </cell>
          <cell r="AD57" t="str">
            <v>N</v>
          </cell>
          <cell r="BF57">
            <v>0</v>
          </cell>
          <cell r="BG57">
            <v>0</v>
          </cell>
          <cell r="BH57">
            <v>0</v>
          </cell>
          <cell r="BI57">
            <v>0</v>
          </cell>
          <cell r="BJ57">
            <v>0</v>
          </cell>
          <cell r="BK57">
            <v>0</v>
          </cell>
          <cell r="BL57">
            <v>0</v>
          </cell>
          <cell r="BM57">
            <v>0</v>
          </cell>
          <cell r="BN57">
            <v>0</v>
          </cell>
          <cell r="BO57">
            <v>4</v>
          </cell>
          <cell r="BP57">
            <v>0</v>
          </cell>
          <cell r="BQ57">
            <v>0</v>
          </cell>
          <cell r="BR57">
            <v>0</v>
          </cell>
          <cell r="BS57">
            <v>0</v>
          </cell>
          <cell r="BT57">
            <v>0</v>
          </cell>
          <cell r="BU57">
            <v>0</v>
          </cell>
          <cell r="BV57">
            <v>0</v>
          </cell>
          <cell r="BW57">
            <v>0</v>
          </cell>
          <cell r="BX57">
            <v>0</v>
          </cell>
          <cell r="BY57">
            <v>0</v>
          </cell>
          <cell r="BZ57">
            <v>0</v>
          </cell>
          <cell r="CA57">
            <v>0</v>
          </cell>
          <cell r="CB57">
            <v>0</v>
          </cell>
          <cell r="CC57">
            <v>0</v>
          </cell>
          <cell r="CD57">
            <v>0</v>
          </cell>
        </row>
        <row r="58">
          <cell r="C58">
            <v>37718</v>
          </cell>
          <cell r="I58">
            <v>0</v>
          </cell>
          <cell r="N58">
            <v>0</v>
          </cell>
          <cell r="P58">
            <v>0</v>
          </cell>
          <cell r="T58">
            <v>0</v>
          </cell>
          <cell r="V58">
            <v>0</v>
          </cell>
          <cell r="W58">
            <v>0</v>
          </cell>
          <cell r="X58">
            <v>0</v>
          </cell>
          <cell r="Y58">
            <v>0</v>
          </cell>
          <cell r="AB58">
            <v>0</v>
          </cell>
          <cell r="AC58">
            <v>4</v>
          </cell>
          <cell r="AD58">
            <v>0</v>
          </cell>
          <cell r="BF58">
            <v>0</v>
          </cell>
          <cell r="BG58">
            <v>0</v>
          </cell>
          <cell r="BH58">
            <v>0</v>
          </cell>
          <cell r="BI58">
            <v>0</v>
          </cell>
          <cell r="BJ58">
            <v>0</v>
          </cell>
          <cell r="BK58">
            <v>0</v>
          </cell>
          <cell r="BL58">
            <v>0</v>
          </cell>
          <cell r="BM58">
            <v>0</v>
          </cell>
          <cell r="BN58">
            <v>0</v>
          </cell>
          <cell r="BO58">
            <v>0</v>
          </cell>
          <cell r="BP58">
            <v>0</v>
          </cell>
          <cell r="BQ58">
            <v>0</v>
          </cell>
          <cell r="BR58">
            <v>0</v>
          </cell>
          <cell r="BS58">
            <v>0</v>
          </cell>
          <cell r="BT58">
            <v>0</v>
          </cell>
          <cell r="BU58">
            <v>0</v>
          </cell>
          <cell r="BV58">
            <v>0</v>
          </cell>
          <cell r="BW58">
            <v>0</v>
          </cell>
          <cell r="BX58">
            <v>0</v>
          </cell>
          <cell r="BY58">
            <v>0</v>
          </cell>
          <cell r="BZ58">
            <v>0</v>
          </cell>
          <cell r="CA58">
            <v>0</v>
          </cell>
          <cell r="CB58">
            <v>0</v>
          </cell>
          <cell r="CC58">
            <v>0</v>
          </cell>
          <cell r="CD58">
            <v>0</v>
          </cell>
        </row>
        <row r="59">
          <cell r="C59">
            <v>37718</v>
          </cell>
          <cell r="D59">
            <v>37746</v>
          </cell>
          <cell r="E59">
            <v>37741</v>
          </cell>
          <cell r="F59">
            <v>0.71527777777777779</v>
          </cell>
          <cell r="G59" t="str">
            <v>Linha de Pintura 3,2m</v>
          </cell>
          <cell r="H59" t="str">
            <v>Mau posicionamento das pistolas da cabine 02. Necessidade de mudança de posicionamento</v>
          </cell>
          <cell r="I59" t="str">
            <v>Melhoria</v>
          </cell>
          <cell r="J59" t="str">
            <v>Não</v>
          </cell>
          <cell r="K59" t="str">
            <v>Mecânica</v>
          </cell>
          <cell r="L59" t="str">
            <v>Mudança e fixação das pistolas e suporte do lado oposto da cabine</v>
          </cell>
          <cell r="M59" t="str">
            <v>Melhoria Técnica</v>
          </cell>
          <cell r="N59">
            <v>37743</v>
          </cell>
          <cell r="O59">
            <v>0.33333333333333331</v>
          </cell>
          <cell r="P59">
            <v>37743</v>
          </cell>
          <cell r="Q59">
            <v>0.33333333333333331</v>
          </cell>
          <cell r="T59">
            <v>37743</v>
          </cell>
          <cell r="U59">
            <v>0.70833333333333337</v>
          </cell>
          <cell r="V59">
            <v>37743</v>
          </cell>
          <cell r="W59">
            <v>0.70833333333333337</v>
          </cell>
          <cell r="X59">
            <v>0.37500000000242534</v>
          </cell>
          <cell r="Y59">
            <v>0.37500000000242534</v>
          </cell>
          <cell r="AB59">
            <v>5</v>
          </cell>
          <cell r="AC59">
            <v>4</v>
          </cell>
          <cell r="AD59">
            <v>0</v>
          </cell>
          <cell r="BF59">
            <v>0</v>
          </cell>
          <cell r="BG59">
            <v>0</v>
          </cell>
          <cell r="BH59">
            <v>0</v>
          </cell>
          <cell r="BI59">
            <v>0</v>
          </cell>
          <cell r="BJ59">
            <v>0</v>
          </cell>
          <cell r="BK59">
            <v>0</v>
          </cell>
          <cell r="BL59">
            <v>0</v>
          </cell>
          <cell r="BM59">
            <v>0</v>
          </cell>
          <cell r="BN59">
            <v>0</v>
          </cell>
          <cell r="BO59">
            <v>5</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row>
        <row r="60">
          <cell r="C60">
            <v>37718</v>
          </cell>
          <cell r="D60">
            <v>37756</v>
          </cell>
          <cell r="E60">
            <v>37746</v>
          </cell>
          <cell r="F60">
            <v>0.52083333333333337</v>
          </cell>
          <cell r="G60" t="str">
            <v>Linha de Pintura 15m</v>
          </cell>
          <cell r="H60" t="str">
            <v>Anomalias no elevador 02 e na pistola 10</v>
          </cell>
          <cell r="I60" t="str">
            <v>Corretiva</v>
          </cell>
          <cell r="J60" t="str">
            <v>Sim</v>
          </cell>
          <cell r="K60" t="str">
            <v>Elétrica</v>
          </cell>
          <cell r="L60" t="str">
            <v>Substituição do(s) Componente(s)</v>
          </cell>
          <cell r="M60" t="str">
            <v>Falha de Comando / Sistema</v>
          </cell>
          <cell r="N60">
            <v>37747</v>
          </cell>
          <cell r="O60">
            <v>0.58333333333333337</v>
          </cell>
          <cell r="P60">
            <v>37747</v>
          </cell>
          <cell r="Q60">
            <v>0.58333333333333337</v>
          </cell>
          <cell r="T60">
            <v>37747</v>
          </cell>
          <cell r="U60">
            <v>0.67708333333333337</v>
          </cell>
          <cell r="V60">
            <v>37747</v>
          </cell>
          <cell r="W60">
            <v>0.67708333333333337</v>
          </cell>
          <cell r="X60">
            <v>9.375E-2</v>
          </cell>
          <cell r="Y60">
            <v>9.3750000002425282E-2</v>
          </cell>
          <cell r="AB60">
            <v>5</v>
          </cell>
          <cell r="AC60">
            <v>4</v>
          </cell>
          <cell r="AD60">
            <v>0</v>
          </cell>
          <cell r="BF60">
            <v>0</v>
          </cell>
          <cell r="BG60">
            <v>0</v>
          </cell>
          <cell r="BH60">
            <v>0</v>
          </cell>
          <cell r="BI60">
            <v>0</v>
          </cell>
          <cell r="BJ60">
            <v>0</v>
          </cell>
          <cell r="BK60">
            <v>0</v>
          </cell>
          <cell r="BL60">
            <v>0</v>
          </cell>
          <cell r="BM60">
            <v>0</v>
          </cell>
          <cell r="BN60">
            <v>5</v>
          </cell>
          <cell r="BO60">
            <v>0</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row>
        <row r="61">
          <cell r="C61">
            <v>37718</v>
          </cell>
          <cell r="D61">
            <v>37747</v>
          </cell>
          <cell r="E61">
            <v>37747</v>
          </cell>
          <cell r="F61">
            <v>0.4375</v>
          </cell>
          <cell r="G61" t="str">
            <v>Linha de Pintura 3,2m</v>
          </cell>
          <cell r="H61" t="str">
            <v>A alça da tampa do tanque de fosfato quebrou-se</v>
          </cell>
          <cell r="I61" t="str">
            <v>Corretiva</v>
          </cell>
          <cell r="J61" t="str">
            <v>Não</v>
          </cell>
          <cell r="K61" t="str">
            <v>Mecânica</v>
          </cell>
          <cell r="L61" t="str">
            <v>Refeita nova alça de metal, mais resistente ao calor que a anterior</v>
          </cell>
          <cell r="M61" t="str">
            <v>Defeito de Fabricação</v>
          </cell>
          <cell r="N61">
            <v>37747</v>
          </cell>
          <cell r="O61">
            <v>0.4375</v>
          </cell>
          <cell r="P61">
            <v>37747</v>
          </cell>
          <cell r="Q61">
            <v>0.4375</v>
          </cell>
          <cell r="R61">
            <v>37763</v>
          </cell>
          <cell r="S61">
            <v>0.60416666666666663</v>
          </cell>
          <cell r="T61">
            <v>37763</v>
          </cell>
          <cell r="U61">
            <v>0.66666666666666663</v>
          </cell>
          <cell r="V61">
            <v>0</v>
          </cell>
          <cell r="W61">
            <v>6.25E-2</v>
          </cell>
          <cell r="X61">
            <v>6.25E-2</v>
          </cell>
          <cell r="Y61">
            <v>6.25E-2</v>
          </cell>
          <cell r="AB61">
            <v>5</v>
          </cell>
          <cell r="AC61">
            <v>4</v>
          </cell>
          <cell r="AD61">
            <v>0</v>
          </cell>
          <cell r="BF61">
            <v>0</v>
          </cell>
          <cell r="BG61">
            <v>0</v>
          </cell>
          <cell r="BH61">
            <v>0</v>
          </cell>
          <cell r="BI61">
            <v>0</v>
          </cell>
          <cell r="BJ61">
            <v>0</v>
          </cell>
          <cell r="BK61">
            <v>0</v>
          </cell>
          <cell r="BL61">
            <v>0</v>
          </cell>
          <cell r="BM61">
            <v>0</v>
          </cell>
          <cell r="BN61">
            <v>0</v>
          </cell>
          <cell r="BO61">
            <v>5</v>
          </cell>
          <cell r="BP61">
            <v>0</v>
          </cell>
          <cell r="BQ61">
            <v>0</v>
          </cell>
          <cell r="BR61">
            <v>0</v>
          </cell>
          <cell r="BS61">
            <v>0</v>
          </cell>
          <cell r="BT61">
            <v>0</v>
          </cell>
          <cell r="BU61">
            <v>0</v>
          </cell>
          <cell r="BV61">
            <v>0</v>
          </cell>
          <cell r="BW61">
            <v>0</v>
          </cell>
          <cell r="BX61">
            <v>0</v>
          </cell>
          <cell r="BY61">
            <v>0</v>
          </cell>
          <cell r="BZ61">
            <v>0</v>
          </cell>
          <cell r="CA61">
            <v>0</v>
          </cell>
          <cell r="CB61">
            <v>0</v>
          </cell>
          <cell r="CC61">
            <v>0</v>
          </cell>
          <cell r="CD61">
            <v>0</v>
          </cell>
        </row>
        <row r="62">
          <cell r="C62">
            <v>37718</v>
          </cell>
          <cell r="D62">
            <v>37900</v>
          </cell>
          <cell r="E62">
            <v>37875</v>
          </cell>
          <cell r="F62">
            <v>0.5</v>
          </cell>
          <cell r="G62" t="str">
            <v>Linha de Pintura 3,2m</v>
          </cell>
          <cell r="H62" t="str">
            <v>Revólver de Retoque (Líquido) entupido</v>
          </cell>
          <cell r="I62" t="str">
            <v>Corretiva</v>
          </cell>
          <cell r="J62" t="str">
            <v>Não</v>
          </cell>
          <cell r="K62" t="str">
            <v>Mecânica</v>
          </cell>
          <cell r="L62" t="str">
            <v>Limpeza e troca do Kit de Reparo</v>
          </cell>
          <cell r="M62" t="str">
            <v>Desgaste / Fadiga</v>
          </cell>
          <cell r="N62">
            <v>37887</v>
          </cell>
          <cell r="O62">
            <v>0.375</v>
          </cell>
          <cell r="P62">
            <v>37887</v>
          </cell>
          <cell r="Q62">
            <v>0.375</v>
          </cell>
          <cell r="T62">
            <v>37887</v>
          </cell>
          <cell r="U62">
            <v>0.625</v>
          </cell>
          <cell r="V62">
            <v>37887</v>
          </cell>
          <cell r="W62">
            <v>0.625</v>
          </cell>
          <cell r="X62">
            <v>0.25</v>
          </cell>
          <cell r="Y62">
            <v>0.25</v>
          </cell>
          <cell r="AB62">
            <v>9</v>
          </cell>
          <cell r="AC62">
            <v>4</v>
          </cell>
          <cell r="AD62">
            <v>0</v>
          </cell>
          <cell r="BF62">
            <v>0</v>
          </cell>
          <cell r="BG62">
            <v>0</v>
          </cell>
          <cell r="BH62">
            <v>0</v>
          </cell>
          <cell r="BI62">
            <v>0</v>
          </cell>
          <cell r="BJ62">
            <v>0</v>
          </cell>
          <cell r="BK62">
            <v>0</v>
          </cell>
          <cell r="BL62">
            <v>0</v>
          </cell>
          <cell r="BM62">
            <v>0</v>
          </cell>
          <cell r="BN62">
            <v>0</v>
          </cell>
          <cell r="BO62">
            <v>9</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row>
        <row r="63">
          <cell r="C63">
            <v>37718</v>
          </cell>
          <cell r="D63">
            <v>37902</v>
          </cell>
          <cell r="E63">
            <v>37890</v>
          </cell>
          <cell r="F63">
            <v>0.41666666666666669</v>
          </cell>
          <cell r="G63" t="str">
            <v>Linha de Pintura 3,2m</v>
          </cell>
          <cell r="H63" t="str">
            <v>A alça da tampa do tanque de enxague quebrou-se</v>
          </cell>
          <cell r="I63" t="str">
            <v>Corretiva</v>
          </cell>
          <cell r="J63" t="str">
            <v>Não</v>
          </cell>
          <cell r="K63" t="str">
            <v>Mecânica</v>
          </cell>
          <cell r="L63" t="str">
            <v>Substituição do(s) Componente(s)</v>
          </cell>
          <cell r="M63" t="str">
            <v>Falha de Projeto</v>
          </cell>
          <cell r="N63">
            <v>37897</v>
          </cell>
          <cell r="O63">
            <v>0.47916666666666669</v>
          </cell>
          <cell r="P63">
            <v>37897</v>
          </cell>
          <cell r="Q63">
            <v>0.47916666666666669</v>
          </cell>
          <cell r="T63">
            <v>37897</v>
          </cell>
          <cell r="U63">
            <v>0.625</v>
          </cell>
          <cell r="V63">
            <v>37897</v>
          </cell>
          <cell r="W63">
            <v>0.625</v>
          </cell>
          <cell r="X63">
            <v>0.14583333333333331</v>
          </cell>
          <cell r="Y63">
            <v>0.14583333333333331</v>
          </cell>
          <cell r="AB63">
            <v>10</v>
          </cell>
          <cell r="AC63">
            <v>4</v>
          </cell>
          <cell r="AD63">
            <v>0</v>
          </cell>
          <cell r="BF63">
            <v>0</v>
          </cell>
          <cell r="BG63">
            <v>0</v>
          </cell>
          <cell r="BH63">
            <v>0</v>
          </cell>
          <cell r="BI63">
            <v>0</v>
          </cell>
          <cell r="BJ63">
            <v>0</v>
          </cell>
          <cell r="BK63">
            <v>0</v>
          </cell>
          <cell r="BL63">
            <v>0</v>
          </cell>
          <cell r="BM63">
            <v>0</v>
          </cell>
          <cell r="BN63">
            <v>0</v>
          </cell>
          <cell r="BO63">
            <v>10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row>
        <row r="64">
          <cell r="C64">
            <v>37718</v>
          </cell>
          <cell r="D64">
            <v>37902</v>
          </cell>
          <cell r="E64">
            <v>37890</v>
          </cell>
          <cell r="F64">
            <v>0.27083333333333331</v>
          </cell>
          <cell r="G64" t="str">
            <v>Linha de Pintura 3,2m</v>
          </cell>
          <cell r="H64" t="str">
            <v>Queimador do tanque de fosfato não funciona</v>
          </cell>
          <cell r="I64" t="str">
            <v>Corretiva</v>
          </cell>
          <cell r="J64" t="str">
            <v>Sim</v>
          </cell>
          <cell r="K64" t="str">
            <v>Elétrica</v>
          </cell>
          <cell r="L64" t="str">
            <v>Reparo</v>
          </cell>
          <cell r="M64" t="str">
            <v>Desgaste / Fadiga</v>
          </cell>
          <cell r="N64">
            <v>37890</v>
          </cell>
          <cell r="O64">
            <v>0.33333333333333331</v>
          </cell>
          <cell r="P64">
            <v>37890</v>
          </cell>
          <cell r="Q64">
            <v>0.33333333333333331</v>
          </cell>
          <cell r="T64">
            <v>37890</v>
          </cell>
          <cell r="U64">
            <v>0.52777777777777779</v>
          </cell>
          <cell r="V64">
            <v>37890</v>
          </cell>
          <cell r="W64">
            <v>0.52777777777777779</v>
          </cell>
          <cell r="X64">
            <v>0.19444444444444448</v>
          </cell>
          <cell r="Y64">
            <v>0.19444444444767822</v>
          </cell>
          <cell r="AB64">
            <v>9</v>
          </cell>
          <cell r="AC64">
            <v>4</v>
          </cell>
          <cell r="AD64">
            <v>0</v>
          </cell>
          <cell r="BF64">
            <v>0</v>
          </cell>
          <cell r="BG64">
            <v>0</v>
          </cell>
          <cell r="BH64">
            <v>0</v>
          </cell>
          <cell r="BI64">
            <v>0</v>
          </cell>
          <cell r="BJ64">
            <v>0</v>
          </cell>
          <cell r="BK64">
            <v>0</v>
          </cell>
          <cell r="BL64">
            <v>0</v>
          </cell>
          <cell r="BM64">
            <v>0</v>
          </cell>
          <cell r="BN64">
            <v>0</v>
          </cell>
          <cell r="BO64">
            <v>9</v>
          </cell>
          <cell r="BP64">
            <v>0</v>
          </cell>
          <cell r="BQ64">
            <v>0</v>
          </cell>
          <cell r="BR64">
            <v>0</v>
          </cell>
          <cell r="BS64">
            <v>0</v>
          </cell>
          <cell r="BT64">
            <v>0</v>
          </cell>
          <cell r="BU64">
            <v>0</v>
          </cell>
          <cell r="BV64">
            <v>0</v>
          </cell>
          <cell r="BW64">
            <v>0</v>
          </cell>
          <cell r="BX64">
            <v>0</v>
          </cell>
          <cell r="BY64">
            <v>0</v>
          </cell>
          <cell r="BZ64">
            <v>0</v>
          </cell>
          <cell r="CA64">
            <v>0</v>
          </cell>
          <cell r="CB64">
            <v>0</v>
          </cell>
          <cell r="CC64">
            <v>0</v>
          </cell>
          <cell r="CD64">
            <v>0</v>
          </cell>
        </row>
        <row r="65">
          <cell r="C65">
            <v>37718</v>
          </cell>
          <cell r="D65">
            <v>37902</v>
          </cell>
          <cell r="E65">
            <v>37894</v>
          </cell>
          <cell r="F65">
            <v>0.41666666666666669</v>
          </cell>
          <cell r="G65" t="str">
            <v>Linha de Pintura 3,2m</v>
          </cell>
          <cell r="H65" t="str">
            <v>Vazamento no solenóide do fosfato</v>
          </cell>
          <cell r="I65" t="str">
            <v>Corretiva</v>
          </cell>
          <cell r="J65" t="str">
            <v>Não</v>
          </cell>
          <cell r="K65" t="str">
            <v>Elétrica</v>
          </cell>
          <cell r="L65" t="str">
            <v>Contenção do vazamento</v>
          </cell>
          <cell r="M65" t="str">
            <v>Falha de Montagem / Preparação</v>
          </cell>
          <cell r="N65">
            <v>37897</v>
          </cell>
          <cell r="O65">
            <v>0.375</v>
          </cell>
          <cell r="P65">
            <v>37897</v>
          </cell>
          <cell r="Q65">
            <v>0.375</v>
          </cell>
          <cell r="T65">
            <v>37897</v>
          </cell>
          <cell r="U65">
            <v>0.47916666666666669</v>
          </cell>
          <cell r="V65">
            <v>37897</v>
          </cell>
          <cell r="W65">
            <v>0.47916666666666669</v>
          </cell>
          <cell r="X65">
            <v>0.10416666666424135</v>
          </cell>
          <cell r="Y65">
            <v>0.10416666666424135</v>
          </cell>
          <cell r="AB65">
            <v>10</v>
          </cell>
          <cell r="AC65">
            <v>4</v>
          </cell>
          <cell r="AD65">
            <v>0</v>
          </cell>
          <cell r="BF65">
            <v>0</v>
          </cell>
          <cell r="BG65">
            <v>0</v>
          </cell>
          <cell r="BH65">
            <v>0</v>
          </cell>
          <cell r="BI65">
            <v>0</v>
          </cell>
          <cell r="BJ65">
            <v>0</v>
          </cell>
          <cell r="BK65">
            <v>0</v>
          </cell>
          <cell r="BL65">
            <v>0</v>
          </cell>
          <cell r="BM65">
            <v>0</v>
          </cell>
          <cell r="BN65">
            <v>0</v>
          </cell>
          <cell r="BO65">
            <v>10</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row>
        <row r="66">
          <cell r="C66">
            <v>37718</v>
          </cell>
          <cell r="D66">
            <v>37970</v>
          </cell>
          <cell r="E66">
            <v>37923</v>
          </cell>
          <cell r="F66">
            <v>37923</v>
          </cell>
          <cell r="G66">
            <v>0.65625</v>
          </cell>
          <cell r="H66" t="str">
            <v>Braço do Robô está com problemas de movimentação</v>
          </cell>
          <cell r="I66" t="str">
            <v>Corretiva</v>
          </cell>
          <cell r="J66" t="str">
            <v>Sim</v>
          </cell>
          <cell r="K66" t="str">
            <v>Elétrica</v>
          </cell>
          <cell r="L66" t="str">
            <v>Sim</v>
          </cell>
          <cell r="M66" t="str">
            <v>Mau contato</v>
          </cell>
          <cell r="N66">
            <v>37923</v>
          </cell>
          <cell r="O66">
            <v>0.65625</v>
          </cell>
          <cell r="P66">
            <v>37923</v>
          </cell>
          <cell r="Q66">
            <v>0.65625</v>
          </cell>
          <cell r="T66">
            <v>37923</v>
          </cell>
          <cell r="U66">
            <v>0.66666666666666663</v>
          </cell>
          <cell r="V66">
            <v>37923</v>
          </cell>
          <cell r="W66">
            <v>0.66666666666666663</v>
          </cell>
          <cell r="X66">
            <v>1.041666666666663E-2</v>
          </cell>
          <cell r="Y66">
            <v>1.0416666664241347E-2</v>
          </cell>
          <cell r="AB66">
            <v>10</v>
          </cell>
          <cell r="AC66">
            <v>4</v>
          </cell>
          <cell r="AD66">
            <v>0</v>
          </cell>
          <cell r="BF66">
            <v>0</v>
          </cell>
          <cell r="BG66">
            <v>0</v>
          </cell>
          <cell r="BH66">
            <v>0</v>
          </cell>
          <cell r="BI66">
            <v>0</v>
          </cell>
          <cell r="BJ66">
            <v>0</v>
          </cell>
          <cell r="BK66">
            <v>0</v>
          </cell>
          <cell r="BL66">
            <v>0</v>
          </cell>
          <cell r="BM66">
            <v>0</v>
          </cell>
          <cell r="BN66">
            <v>0</v>
          </cell>
          <cell r="BO66">
            <v>10</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row>
        <row r="67">
          <cell r="C67">
            <v>37718</v>
          </cell>
          <cell r="D67">
            <v>37756</v>
          </cell>
          <cell r="E67">
            <v>37754</v>
          </cell>
          <cell r="F67">
            <v>0.625</v>
          </cell>
          <cell r="G67" t="str">
            <v>Linha de Pintura 8,5m</v>
          </cell>
          <cell r="H67" t="str">
            <v>Pistola de Pintura eletrostática não está funcionando</v>
          </cell>
          <cell r="I67" t="str">
            <v>Corretiva</v>
          </cell>
          <cell r="J67" t="str">
            <v>Sim</v>
          </cell>
          <cell r="K67" t="str">
            <v>Elétrica</v>
          </cell>
          <cell r="L67" t="str">
            <v>Soldagem da fiação interna da pistola e limpeza interna da mesma</v>
          </cell>
          <cell r="M67" t="str">
            <v>Sujeira em excesso</v>
          </cell>
          <cell r="N67">
            <v>37754</v>
          </cell>
          <cell r="O67">
            <v>0.625</v>
          </cell>
          <cell r="P67">
            <v>37754</v>
          </cell>
          <cell r="Q67">
            <v>0.625</v>
          </cell>
          <cell r="T67">
            <v>37754</v>
          </cell>
          <cell r="U67">
            <v>0.66666666666666663</v>
          </cell>
          <cell r="V67">
            <v>37754</v>
          </cell>
          <cell r="W67">
            <v>0.66666666666666663</v>
          </cell>
          <cell r="X67">
            <v>4.166666666666663E-2</v>
          </cell>
          <cell r="Y67">
            <v>4.1666666664241347E-2</v>
          </cell>
          <cell r="AB67">
            <v>5</v>
          </cell>
          <cell r="AC67">
            <v>4</v>
          </cell>
          <cell r="AD67">
            <v>0</v>
          </cell>
          <cell r="BF67">
            <v>0</v>
          </cell>
          <cell r="BG67">
            <v>0</v>
          </cell>
          <cell r="BH67">
            <v>0</v>
          </cell>
          <cell r="BI67">
            <v>0</v>
          </cell>
          <cell r="BJ67">
            <v>0</v>
          </cell>
          <cell r="BK67">
            <v>0</v>
          </cell>
          <cell r="BL67">
            <v>0</v>
          </cell>
          <cell r="BM67">
            <v>0</v>
          </cell>
          <cell r="BN67">
            <v>0</v>
          </cell>
          <cell r="BO67">
            <v>0</v>
          </cell>
          <cell r="BP67">
            <v>5</v>
          </cell>
          <cell r="BQ67">
            <v>0</v>
          </cell>
          <cell r="BR67">
            <v>0</v>
          </cell>
          <cell r="BS67">
            <v>0</v>
          </cell>
          <cell r="BT67">
            <v>0</v>
          </cell>
          <cell r="BU67">
            <v>0</v>
          </cell>
          <cell r="BV67">
            <v>0</v>
          </cell>
          <cell r="BW67">
            <v>0</v>
          </cell>
          <cell r="BX67">
            <v>0</v>
          </cell>
          <cell r="BY67">
            <v>0</v>
          </cell>
          <cell r="BZ67">
            <v>0</v>
          </cell>
          <cell r="CA67">
            <v>0</v>
          </cell>
          <cell r="CB67">
            <v>0</v>
          </cell>
          <cell r="CC67">
            <v>0</v>
          </cell>
          <cell r="CD67">
            <v>0</v>
          </cell>
        </row>
        <row r="68">
          <cell r="C68">
            <v>37718</v>
          </cell>
          <cell r="I68">
            <v>0</v>
          </cell>
          <cell r="N68">
            <v>0</v>
          </cell>
          <cell r="P68">
            <v>0</v>
          </cell>
          <cell r="T68">
            <v>0</v>
          </cell>
          <cell r="V68">
            <v>0</v>
          </cell>
          <cell r="W68">
            <v>0</v>
          </cell>
          <cell r="X68">
            <v>0</v>
          </cell>
          <cell r="Y68">
            <v>0</v>
          </cell>
          <cell r="AB68">
            <v>0</v>
          </cell>
          <cell r="AC68">
            <v>4</v>
          </cell>
          <cell r="AD68">
            <v>0</v>
          </cell>
          <cell r="BF68">
            <v>0</v>
          </cell>
          <cell r="BG68">
            <v>0</v>
          </cell>
          <cell r="BH68">
            <v>0</v>
          </cell>
          <cell r="BI68">
            <v>0</v>
          </cell>
          <cell r="BJ68">
            <v>0</v>
          </cell>
          <cell r="BK68">
            <v>0</v>
          </cell>
          <cell r="BL68">
            <v>0</v>
          </cell>
          <cell r="BM68">
            <v>0</v>
          </cell>
          <cell r="BN68">
            <v>0</v>
          </cell>
          <cell r="BO68">
            <v>0</v>
          </cell>
          <cell r="BP68">
            <v>0</v>
          </cell>
          <cell r="BQ68">
            <v>0</v>
          </cell>
          <cell r="BR68">
            <v>0</v>
          </cell>
          <cell r="BS68">
            <v>0</v>
          </cell>
          <cell r="BT68">
            <v>0</v>
          </cell>
          <cell r="BU68">
            <v>0</v>
          </cell>
          <cell r="BV68">
            <v>0</v>
          </cell>
          <cell r="BW68">
            <v>0</v>
          </cell>
          <cell r="BX68">
            <v>0</v>
          </cell>
          <cell r="BY68">
            <v>0</v>
          </cell>
          <cell r="BZ68">
            <v>0</v>
          </cell>
          <cell r="CA68">
            <v>0</v>
          </cell>
          <cell r="CB68">
            <v>0</v>
          </cell>
          <cell r="CC68">
            <v>0</v>
          </cell>
          <cell r="CD68">
            <v>0</v>
          </cell>
        </row>
        <row r="69">
          <cell r="C69">
            <v>37718</v>
          </cell>
          <cell r="I69">
            <v>0</v>
          </cell>
          <cell r="N69">
            <v>0</v>
          </cell>
          <cell r="P69">
            <v>0</v>
          </cell>
          <cell r="T69">
            <v>0</v>
          </cell>
          <cell r="V69">
            <v>0</v>
          </cell>
          <cell r="W69">
            <v>0</v>
          </cell>
          <cell r="X69">
            <v>0</v>
          </cell>
          <cell r="Y69">
            <v>0</v>
          </cell>
          <cell r="AB69">
            <v>0</v>
          </cell>
          <cell r="AC69">
            <v>4</v>
          </cell>
          <cell r="AD69">
            <v>0</v>
          </cell>
          <cell r="BF69">
            <v>0</v>
          </cell>
          <cell r="BG69">
            <v>0</v>
          </cell>
          <cell r="BH69">
            <v>0</v>
          </cell>
          <cell r="BI69">
            <v>0</v>
          </cell>
          <cell r="BJ69">
            <v>0</v>
          </cell>
          <cell r="BK69">
            <v>0</v>
          </cell>
          <cell r="BL69">
            <v>0</v>
          </cell>
          <cell r="BM69">
            <v>0</v>
          </cell>
          <cell r="BN69">
            <v>0</v>
          </cell>
          <cell r="BO69">
            <v>0</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row>
        <row r="70">
          <cell r="C70">
            <v>37718</v>
          </cell>
          <cell r="I70">
            <v>0</v>
          </cell>
          <cell r="N70">
            <v>0</v>
          </cell>
          <cell r="P70">
            <v>0</v>
          </cell>
          <cell r="T70">
            <v>0</v>
          </cell>
          <cell r="V70">
            <v>0</v>
          </cell>
          <cell r="W70">
            <v>0</v>
          </cell>
          <cell r="X70">
            <v>0</v>
          </cell>
          <cell r="Y70">
            <v>0</v>
          </cell>
          <cell r="AB70">
            <v>0</v>
          </cell>
          <cell r="AC70">
            <v>4</v>
          </cell>
          <cell r="AD70">
            <v>0</v>
          </cell>
          <cell r="BF70">
            <v>0</v>
          </cell>
          <cell r="BG70">
            <v>0</v>
          </cell>
          <cell r="BH70">
            <v>0</v>
          </cell>
          <cell r="BI70">
            <v>0</v>
          </cell>
          <cell r="BJ70">
            <v>0</v>
          </cell>
          <cell r="BK70">
            <v>0</v>
          </cell>
          <cell r="BL70">
            <v>0</v>
          </cell>
          <cell r="BM70">
            <v>0</v>
          </cell>
          <cell r="BN70">
            <v>0</v>
          </cell>
          <cell r="BO70">
            <v>0</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row>
        <row r="71">
          <cell r="C71">
            <v>37718</v>
          </cell>
          <cell r="D71">
            <v>37722</v>
          </cell>
          <cell r="E71">
            <v>37722</v>
          </cell>
          <cell r="F71">
            <v>0.33333333333333331</v>
          </cell>
          <cell r="G71" t="str">
            <v>Sala dos Compressores</v>
          </cell>
          <cell r="H71" t="str">
            <v>Luminária não acende</v>
          </cell>
          <cell r="I71" t="str">
            <v>Corretiva</v>
          </cell>
          <cell r="J71" t="str">
            <v>Não</v>
          </cell>
          <cell r="K71" t="str">
            <v>Elétrica</v>
          </cell>
          <cell r="L71" t="str">
            <v>Correção de mau contato</v>
          </cell>
          <cell r="M71" t="str">
            <v>Sujeira em excesso</v>
          </cell>
          <cell r="N71">
            <v>37726</v>
          </cell>
          <cell r="O71">
            <v>0.41666666666666669</v>
          </cell>
          <cell r="P71">
            <v>37726</v>
          </cell>
          <cell r="Q71">
            <v>0.41666666666666669</v>
          </cell>
          <cell r="T71">
            <v>37726</v>
          </cell>
          <cell r="U71">
            <v>0.43055555555555558</v>
          </cell>
          <cell r="V71">
            <v>37726</v>
          </cell>
          <cell r="W71">
            <v>0.43055555555555558</v>
          </cell>
          <cell r="X71">
            <v>1.3888888888080431E-2</v>
          </cell>
          <cell r="Y71">
            <v>1.3888888888080431E-2</v>
          </cell>
          <cell r="AB71">
            <v>4</v>
          </cell>
          <cell r="AC71">
            <v>4</v>
          </cell>
          <cell r="AD71" t="str">
            <v>N</v>
          </cell>
          <cell r="BF71">
            <v>0</v>
          </cell>
          <cell r="BG71">
            <v>0</v>
          </cell>
          <cell r="BH71">
            <v>0</v>
          </cell>
          <cell r="BI71">
            <v>0</v>
          </cell>
          <cell r="BJ71">
            <v>0</v>
          </cell>
          <cell r="BK71">
            <v>0</v>
          </cell>
          <cell r="BL71">
            <v>0</v>
          </cell>
          <cell r="BM71">
            <v>0</v>
          </cell>
          <cell r="BN71">
            <v>0</v>
          </cell>
          <cell r="BO71">
            <v>0</v>
          </cell>
          <cell r="BP71">
            <v>0</v>
          </cell>
          <cell r="BQ71">
            <v>0</v>
          </cell>
          <cell r="BR71">
            <v>0</v>
          </cell>
          <cell r="BS71">
            <v>0</v>
          </cell>
          <cell r="BT71">
            <v>0</v>
          </cell>
          <cell r="BU71">
            <v>0</v>
          </cell>
          <cell r="BV71">
            <v>0</v>
          </cell>
          <cell r="BW71">
            <v>0</v>
          </cell>
          <cell r="BX71">
            <v>0</v>
          </cell>
          <cell r="BY71">
            <v>0</v>
          </cell>
          <cell r="BZ71">
            <v>0</v>
          </cell>
          <cell r="CA71">
            <v>0</v>
          </cell>
          <cell r="CB71">
            <v>4</v>
          </cell>
          <cell r="CC71">
            <v>0</v>
          </cell>
          <cell r="CD71">
            <v>0</v>
          </cell>
        </row>
        <row r="72">
          <cell r="C72">
            <v>37718</v>
          </cell>
          <cell r="D72">
            <v>37727</v>
          </cell>
          <cell r="E72">
            <v>37722</v>
          </cell>
          <cell r="F72">
            <v>0.6875</v>
          </cell>
          <cell r="G72" t="str">
            <v>Prensa Jundiaí</v>
          </cell>
          <cell r="H72" t="str">
            <v>Vazamento de Óleo na tampa lateral da Máquina</v>
          </cell>
          <cell r="I72" t="str">
            <v>Corretiva</v>
          </cell>
          <cell r="J72" t="str">
            <v>Não</v>
          </cell>
          <cell r="K72" t="str">
            <v>Mecânica</v>
          </cell>
          <cell r="L72" t="str">
            <v>Reparo</v>
          </cell>
          <cell r="M72" t="str">
            <v>Vibração</v>
          </cell>
          <cell r="N72">
            <v>37723</v>
          </cell>
          <cell r="O72">
            <v>0.41666666666666669</v>
          </cell>
          <cell r="P72">
            <v>37723</v>
          </cell>
          <cell r="Q72">
            <v>0.41666666666666669</v>
          </cell>
          <cell r="T72">
            <v>37723</v>
          </cell>
          <cell r="U72">
            <v>0.4375</v>
          </cell>
          <cell r="V72">
            <v>37723</v>
          </cell>
          <cell r="W72">
            <v>0.4375</v>
          </cell>
          <cell r="X72">
            <v>2.0833333333333315E-2</v>
          </cell>
          <cell r="Y72">
            <v>2.0833333333333315E-2</v>
          </cell>
          <cell r="AB72">
            <v>4</v>
          </cell>
          <cell r="AC72">
            <v>4</v>
          </cell>
          <cell r="AD72" t="str">
            <v>N</v>
          </cell>
          <cell r="BF72">
            <v>0</v>
          </cell>
          <cell r="BG72">
            <v>0</v>
          </cell>
          <cell r="BH72">
            <v>0</v>
          </cell>
          <cell r="BI72">
            <v>0</v>
          </cell>
          <cell r="BJ72">
            <v>0</v>
          </cell>
          <cell r="BK72">
            <v>0</v>
          </cell>
          <cell r="BL72">
            <v>0</v>
          </cell>
          <cell r="BM72">
            <v>0</v>
          </cell>
          <cell r="BN72">
            <v>0</v>
          </cell>
          <cell r="BO72">
            <v>0</v>
          </cell>
          <cell r="BP72">
            <v>0</v>
          </cell>
          <cell r="BQ72">
            <v>0</v>
          </cell>
          <cell r="BR72">
            <v>0</v>
          </cell>
          <cell r="BS72">
            <v>0</v>
          </cell>
          <cell r="BT72">
            <v>0</v>
          </cell>
          <cell r="BU72">
            <v>0</v>
          </cell>
          <cell r="BV72">
            <v>0</v>
          </cell>
          <cell r="BW72">
            <v>0</v>
          </cell>
          <cell r="BX72">
            <v>0</v>
          </cell>
          <cell r="BY72">
            <v>4</v>
          </cell>
          <cell r="BZ72">
            <v>0</v>
          </cell>
          <cell r="CA72">
            <v>0</v>
          </cell>
          <cell r="CB72">
            <v>0</v>
          </cell>
          <cell r="CC72">
            <v>0</v>
          </cell>
          <cell r="CD72">
            <v>0</v>
          </cell>
        </row>
        <row r="73">
          <cell r="C73">
            <v>37718</v>
          </cell>
          <cell r="D73">
            <v>37727</v>
          </cell>
          <cell r="E73">
            <v>37722</v>
          </cell>
          <cell r="F73">
            <v>0.6875</v>
          </cell>
          <cell r="G73" t="str">
            <v>Perfiladora Fagor Largueros</v>
          </cell>
          <cell r="H73" t="str">
            <v>Acoplamento do Servomotor encontra-se com 03 dos 06 parafusos quebrados</v>
          </cell>
          <cell r="I73" t="str">
            <v>Corretiva</v>
          </cell>
          <cell r="J73" t="str">
            <v>Não</v>
          </cell>
          <cell r="K73" t="str">
            <v>Mecânica</v>
          </cell>
          <cell r="L73" t="str">
            <v>Reparo</v>
          </cell>
          <cell r="M73" t="str">
            <v>Falha de Regulagem / Configuração / Dimensionamento</v>
          </cell>
          <cell r="N73">
            <v>37723</v>
          </cell>
          <cell r="O73">
            <v>0.4375</v>
          </cell>
          <cell r="P73">
            <v>37723</v>
          </cell>
          <cell r="Q73">
            <v>0.4375</v>
          </cell>
          <cell r="T73">
            <v>37723</v>
          </cell>
          <cell r="U73">
            <v>0.47916666666666669</v>
          </cell>
          <cell r="V73">
            <v>37723</v>
          </cell>
          <cell r="W73">
            <v>0.47916666666666669</v>
          </cell>
          <cell r="X73">
            <v>4.1666666664241347E-2</v>
          </cell>
          <cell r="Y73">
            <v>4.1666666664241347E-2</v>
          </cell>
          <cell r="AB73">
            <v>4</v>
          </cell>
          <cell r="AC73">
            <v>4</v>
          </cell>
          <cell r="AD73" t="str">
            <v>N</v>
          </cell>
          <cell r="BF73">
            <v>0</v>
          </cell>
          <cell r="BG73">
            <v>0</v>
          </cell>
          <cell r="BH73">
            <v>0</v>
          </cell>
          <cell r="BI73">
            <v>0</v>
          </cell>
          <cell r="BJ73">
            <v>0</v>
          </cell>
          <cell r="BK73">
            <v>0</v>
          </cell>
          <cell r="BL73">
            <v>0</v>
          </cell>
          <cell r="BM73">
            <v>0</v>
          </cell>
          <cell r="BN73">
            <v>0</v>
          </cell>
          <cell r="BO73">
            <v>0</v>
          </cell>
          <cell r="BP73">
            <v>0</v>
          </cell>
          <cell r="BQ73">
            <v>0</v>
          </cell>
          <cell r="BR73">
            <v>0</v>
          </cell>
          <cell r="BS73">
            <v>0</v>
          </cell>
          <cell r="BT73">
            <v>4</v>
          </cell>
          <cell r="BU73">
            <v>0</v>
          </cell>
          <cell r="BV73">
            <v>0</v>
          </cell>
          <cell r="BW73">
            <v>0</v>
          </cell>
          <cell r="BX73">
            <v>0</v>
          </cell>
          <cell r="BY73">
            <v>0</v>
          </cell>
          <cell r="BZ73">
            <v>0</v>
          </cell>
          <cell r="CA73">
            <v>0</v>
          </cell>
          <cell r="CB73">
            <v>0</v>
          </cell>
          <cell r="CC73">
            <v>0</v>
          </cell>
          <cell r="CD73">
            <v>0</v>
          </cell>
        </row>
        <row r="74">
          <cell r="C74">
            <v>37718</v>
          </cell>
          <cell r="D74">
            <v>37746</v>
          </cell>
          <cell r="E74">
            <v>37744</v>
          </cell>
          <cell r="F74">
            <v>0.33333333333333331</v>
          </cell>
          <cell r="G74" t="str">
            <v>Linha de Pintura 15m</v>
          </cell>
          <cell r="H74" t="str">
            <v>Fazer instalação de ar comprimido dos 02 lados para a cabine ser usada nas linhas de 8,5 e 15m</v>
          </cell>
          <cell r="I74" t="str">
            <v>Melhoria</v>
          </cell>
          <cell r="J74" t="str">
            <v>Não</v>
          </cell>
          <cell r="K74" t="str">
            <v>Mecânica</v>
          </cell>
          <cell r="L74" t="str">
            <v>Montagem / Instalação</v>
          </cell>
          <cell r="M74" t="str">
            <v>Melhoria Técnica</v>
          </cell>
          <cell r="N74">
            <v>37744</v>
          </cell>
          <cell r="O74">
            <v>0.34930555555555554</v>
          </cell>
          <cell r="P74">
            <v>37744</v>
          </cell>
          <cell r="Q74">
            <v>0.34930555555555554</v>
          </cell>
          <cell r="T74">
            <v>37744</v>
          </cell>
          <cell r="U74">
            <v>0.68263888888888891</v>
          </cell>
          <cell r="V74">
            <v>37744</v>
          </cell>
          <cell r="W74">
            <v>0.68263888888888891</v>
          </cell>
          <cell r="X74">
            <v>0.33333333333203985</v>
          </cell>
          <cell r="Y74">
            <v>0.33333333333203985</v>
          </cell>
          <cell r="AB74">
            <v>5</v>
          </cell>
          <cell r="AC74">
            <v>4</v>
          </cell>
          <cell r="AD74">
            <v>0</v>
          </cell>
          <cell r="BF74">
            <v>0</v>
          </cell>
          <cell r="BG74">
            <v>0</v>
          </cell>
          <cell r="BH74">
            <v>0</v>
          </cell>
          <cell r="BI74">
            <v>0</v>
          </cell>
          <cell r="BJ74">
            <v>0</v>
          </cell>
          <cell r="BK74">
            <v>0</v>
          </cell>
          <cell r="BL74">
            <v>0</v>
          </cell>
          <cell r="BM74">
            <v>0</v>
          </cell>
          <cell r="BN74">
            <v>5</v>
          </cell>
          <cell r="BO74">
            <v>0</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row>
        <row r="75">
          <cell r="C75">
            <v>37718</v>
          </cell>
          <cell r="D75">
            <v>37746</v>
          </cell>
          <cell r="E75">
            <v>37746</v>
          </cell>
          <cell r="F75">
            <v>0.33333333333333331</v>
          </cell>
          <cell r="G75" t="str">
            <v>Linha de Pintura 3,2m</v>
          </cell>
          <cell r="H75" t="str">
            <v>Instalar parte elétrica das pistolas já instaladas conforme OS 068/03</v>
          </cell>
          <cell r="I75" t="str">
            <v>Melhoria</v>
          </cell>
          <cell r="J75" t="str">
            <v>Não</v>
          </cell>
          <cell r="K75" t="str">
            <v>Elétrica</v>
          </cell>
          <cell r="L75" t="str">
            <v>Montagem / Instalação</v>
          </cell>
          <cell r="M75" t="str">
            <v>Melhoria Técnica</v>
          </cell>
          <cell r="N75">
            <v>37746</v>
          </cell>
          <cell r="O75">
            <v>0.33333333333333331</v>
          </cell>
          <cell r="P75">
            <v>37746</v>
          </cell>
          <cell r="Q75">
            <v>0.33333333333333331</v>
          </cell>
          <cell r="R75">
            <v>37792</v>
          </cell>
          <cell r="S75">
            <v>0.66666666666666663</v>
          </cell>
          <cell r="T75">
            <v>37792</v>
          </cell>
          <cell r="U75">
            <v>0.6875</v>
          </cell>
          <cell r="V75">
            <v>0</v>
          </cell>
          <cell r="W75">
            <v>2.083333333333337E-2</v>
          </cell>
          <cell r="X75">
            <v>2.083333333333337E-2</v>
          </cell>
          <cell r="Y75">
            <v>2.083333333333337E-2</v>
          </cell>
          <cell r="AB75">
            <v>6</v>
          </cell>
          <cell r="AC75">
            <v>4</v>
          </cell>
          <cell r="AD75">
            <v>0</v>
          </cell>
          <cell r="BF75">
            <v>0</v>
          </cell>
          <cell r="BG75">
            <v>0</v>
          </cell>
          <cell r="BH75">
            <v>0</v>
          </cell>
          <cell r="BI75">
            <v>0</v>
          </cell>
          <cell r="BJ75">
            <v>0</v>
          </cell>
          <cell r="BK75">
            <v>0</v>
          </cell>
          <cell r="BL75">
            <v>0</v>
          </cell>
          <cell r="BM75">
            <v>0</v>
          </cell>
          <cell r="BN75">
            <v>0</v>
          </cell>
          <cell r="BO75">
            <v>6</v>
          </cell>
          <cell r="BP75">
            <v>0</v>
          </cell>
          <cell r="BQ75">
            <v>0</v>
          </cell>
          <cell r="BR75">
            <v>0</v>
          </cell>
          <cell r="BS75">
            <v>0</v>
          </cell>
          <cell r="BT75">
            <v>0</v>
          </cell>
          <cell r="BU75">
            <v>0</v>
          </cell>
          <cell r="BV75">
            <v>0</v>
          </cell>
          <cell r="BW75">
            <v>0</v>
          </cell>
          <cell r="BX75">
            <v>0</v>
          </cell>
          <cell r="BY75">
            <v>0</v>
          </cell>
          <cell r="BZ75">
            <v>0</v>
          </cell>
          <cell r="CA75">
            <v>0</v>
          </cell>
          <cell r="CB75">
            <v>0</v>
          </cell>
          <cell r="CC75">
            <v>0</v>
          </cell>
          <cell r="CD75">
            <v>0</v>
          </cell>
        </row>
        <row r="76">
          <cell r="C76">
            <v>37718</v>
          </cell>
          <cell r="D76">
            <v>37748</v>
          </cell>
          <cell r="E76">
            <v>37747</v>
          </cell>
          <cell r="F76">
            <v>0.33333333333333331</v>
          </cell>
          <cell r="G76" t="str">
            <v>Células de Solda Automática</v>
          </cell>
          <cell r="H76" t="str">
            <v>Eixo do Pistão de stop final da esteira está torto</v>
          </cell>
          <cell r="I76" t="str">
            <v>Melhoria</v>
          </cell>
          <cell r="J76" t="str">
            <v>Não</v>
          </cell>
          <cell r="K76" t="str">
            <v>Mecânica</v>
          </cell>
          <cell r="L76" t="str">
            <v>O Pistão foi substituído por uma chapa</v>
          </cell>
          <cell r="M76" t="str">
            <v>Melhoria Técnica</v>
          </cell>
          <cell r="N76">
            <v>37747</v>
          </cell>
          <cell r="O76">
            <v>0.41666666666666669</v>
          </cell>
          <cell r="P76">
            <v>37747</v>
          </cell>
          <cell r="Q76">
            <v>0.41666666666666669</v>
          </cell>
          <cell r="T76">
            <v>37747</v>
          </cell>
          <cell r="U76">
            <v>0.53125</v>
          </cell>
          <cell r="V76">
            <v>37747</v>
          </cell>
          <cell r="W76">
            <v>0.53125</v>
          </cell>
          <cell r="X76">
            <v>0.11458333333333331</v>
          </cell>
          <cell r="Y76">
            <v>0.11458333333333331</v>
          </cell>
          <cell r="AB76">
            <v>5</v>
          </cell>
          <cell r="AC76">
            <v>4</v>
          </cell>
          <cell r="AD76">
            <v>0</v>
          </cell>
          <cell r="BF76">
            <v>5</v>
          </cell>
          <cell r="BG76">
            <v>0</v>
          </cell>
          <cell r="BH76">
            <v>0</v>
          </cell>
          <cell r="BI76">
            <v>0</v>
          </cell>
          <cell r="BJ76">
            <v>0</v>
          </cell>
          <cell r="BK76">
            <v>0</v>
          </cell>
          <cell r="BL76">
            <v>0</v>
          </cell>
          <cell r="BM76">
            <v>0</v>
          </cell>
          <cell r="BN76">
            <v>0</v>
          </cell>
          <cell r="BO76">
            <v>0</v>
          </cell>
          <cell r="BP76">
            <v>0</v>
          </cell>
          <cell r="BQ76">
            <v>0</v>
          </cell>
          <cell r="BR76">
            <v>0</v>
          </cell>
          <cell r="BS76">
            <v>0</v>
          </cell>
          <cell r="BT76">
            <v>0</v>
          </cell>
          <cell r="BU76">
            <v>0</v>
          </cell>
          <cell r="BV76">
            <v>0</v>
          </cell>
          <cell r="BW76">
            <v>0</v>
          </cell>
          <cell r="BX76">
            <v>0</v>
          </cell>
          <cell r="BY76">
            <v>0</v>
          </cell>
          <cell r="BZ76">
            <v>0</v>
          </cell>
          <cell r="CA76">
            <v>0</v>
          </cell>
          <cell r="CB76">
            <v>0</v>
          </cell>
          <cell r="CC76">
            <v>0</v>
          </cell>
          <cell r="CD76">
            <v>0</v>
          </cell>
        </row>
        <row r="77">
          <cell r="C77">
            <v>37718</v>
          </cell>
          <cell r="D77">
            <v>37727</v>
          </cell>
          <cell r="E77">
            <v>37726</v>
          </cell>
          <cell r="F77">
            <v>0.625</v>
          </cell>
          <cell r="G77" t="str">
            <v>Linha de Pintura 15m</v>
          </cell>
          <cell r="H77" t="str">
            <v>Mau contato no cabo da Pistola</v>
          </cell>
          <cell r="I77" t="str">
            <v>Corretiva</v>
          </cell>
          <cell r="J77" t="str">
            <v>Não</v>
          </cell>
          <cell r="K77" t="str">
            <v>Elétrica</v>
          </cell>
          <cell r="L77" t="str">
            <v>Substituição do(s) Componente(s)</v>
          </cell>
          <cell r="M77" t="str">
            <v>Defeito de Fabricação</v>
          </cell>
          <cell r="N77">
            <v>37726</v>
          </cell>
          <cell r="O77">
            <v>0.65625</v>
          </cell>
          <cell r="P77">
            <v>37726</v>
          </cell>
          <cell r="Q77">
            <v>0.65625</v>
          </cell>
          <cell r="T77">
            <v>37726</v>
          </cell>
          <cell r="U77">
            <v>0.6875</v>
          </cell>
          <cell r="V77">
            <v>37726</v>
          </cell>
          <cell r="W77">
            <v>0.6875</v>
          </cell>
          <cell r="X77">
            <v>3.125E-2</v>
          </cell>
          <cell r="Y77">
            <v>3.125E-2</v>
          </cell>
          <cell r="AB77">
            <v>4</v>
          </cell>
          <cell r="AC77">
            <v>4</v>
          </cell>
          <cell r="AD77" t="str">
            <v>N</v>
          </cell>
          <cell r="BF77">
            <v>0</v>
          </cell>
          <cell r="BG77">
            <v>0</v>
          </cell>
          <cell r="BH77">
            <v>0</v>
          </cell>
          <cell r="BI77">
            <v>0</v>
          </cell>
          <cell r="BJ77">
            <v>0</v>
          </cell>
          <cell r="BK77">
            <v>0</v>
          </cell>
          <cell r="BL77">
            <v>0</v>
          </cell>
          <cell r="BM77">
            <v>0</v>
          </cell>
          <cell r="BN77">
            <v>4</v>
          </cell>
          <cell r="BO77">
            <v>0</v>
          </cell>
          <cell r="BP77">
            <v>0</v>
          </cell>
          <cell r="BQ77">
            <v>0</v>
          </cell>
          <cell r="BR77">
            <v>0</v>
          </cell>
          <cell r="BS77">
            <v>0</v>
          </cell>
          <cell r="BT77">
            <v>0</v>
          </cell>
          <cell r="BU77">
            <v>0</v>
          </cell>
          <cell r="BV77">
            <v>0</v>
          </cell>
          <cell r="BW77">
            <v>0</v>
          </cell>
          <cell r="BX77">
            <v>0</v>
          </cell>
          <cell r="BY77">
            <v>0</v>
          </cell>
          <cell r="BZ77">
            <v>0</v>
          </cell>
          <cell r="CA77">
            <v>0</v>
          </cell>
          <cell r="CB77">
            <v>0</v>
          </cell>
          <cell r="CC77">
            <v>0</v>
          </cell>
          <cell r="CD77">
            <v>0</v>
          </cell>
        </row>
        <row r="78">
          <cell r="C78">
            <v>37718</v>
          </cell>
          <cell r="D78">
            <v>37727</v>
          </cell>
          <cell r="E78">
            <v>37727</v>
          </cell>
          <cell r="F78">
            <v>0.375</v>
          </cell>
          <cell r="G78" t="str">
            <v>Linha de Pintura 15m</v>
          </cell>
          <cell r="H78" t="str">
            <v>Furo no Pulmão</v>
          </cell>
          <cell r="I78" t="str">
            <v>Corretiva</v>
          </cell>
          <cell r="J78" t="str">
            <v>Sim</v>
          </cell>
          <cell r="K78" t="str">
            <v>Mecânica</v>
          </cell>
          <cell r="L78" t="str">
            <v>Soldagem da Caixa do Pulmão</v>
          </cell>
          <cell r="M78" t="str">
            <v>Defeito de Fabricação</v>
          </cell>
          <cell r="N78">
            <v>37727</v>
          </cell>
          <cell r="O78">
            <v>0.375</v>
          </cell>
          <cell r="P78">
            <v>37727</v>
          </cell>
          <cell r="Q78">
            <v>0.375</v>
          </cell>
          <cell r="T78">
            <v>37727</v>
          </cell>
          <cell r="U78">
            <v>0.40277777777777773</v>
          </cell>
          <cell r="V78">
            <v>37727</v>
          </cell>
          <cell r="W78">
            <v>0.40277777777777773</v>
          </cell>
          <cell r="X78">
            <v>2.7777777777777735E-2</v>
          </cell>
          <cell r="Y78">
            <v>2.7777777781011537E-2</v>
          </cell>
          <cell r="AB78">
            <v>4</v>
          </cell>
          <cell r="AC78">
            <v>4</v>
          </cell>
          <cell r="AD78" t="str">
            <v>S</v>
          </cell>
          <cell r="BF78">
            <v>0</v>
          </cell>
          <cell r="BG78">
            <v>0</v>
          </cell>
          <cell r="BH78">
            <v>0</v>
          </cell>
          <cell r="BI78">
            <v>0</v>
          </cell>
          <cell r="BJ78">
            <v>0</v>
          </cell>
          <cell r="BK78">
            <v>0</v>
          </cell>
          <cell r="BL78">
            <v>0</v>
          </cell>
          <cell r="BM78">
            <v>0</v>
          </cell>
          <cell r="BN78">
            <v>4</v>
          </cell>
          <cell r="BO78">
            <v>0</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row>
        <row r="79">
          <cell r="C79">
            <v>37718</v>
          </cell>
          <cell r="I79">
            <v>0</v>
          </cell>
          <cell r="N79">
            <v>0</v>
          </cell>
          <cell r="P79">
            <v>0</v>
          </cell>
          <cell r="T79">
            <v>0</v>
          </cell>
          <cell r="V79">
            <v>0</v>
          </cell>
          <cell r="W79">
            <v>0</v>
          </cell>
          <cell r="X79">
            <v>0</v>
          </cell>
          <cell r="Y79">
            <v>0</v>
          </cell>
          <cell r="AB79">
            <v>0</v>
          </cell>
          <cell r="AC79">
            <v>4</v>
          </cell>
          <cell r="AD79">
            <v>0</v>
          </cell>
          <cell r="BF79">
            <v>0</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0</v>
          </cell>
          <cell r="CA79">
            <v>0</v>
          </cell>
          <cell r="CB79">
            <v>0</v>
          </cell>
          <cell r="CC79">
            <v>0</v>
          </cell>
          <cell r="CD79">
            <v>0</v>
          </cell>
        </row>
        <row r="80">
          <cell r="C80">
            <v>37718</v>
          </cell>
          <cell r="D80">
            <v>37733</v>
          </cell>
          <cell r="E80">
            <v>37728</v>
          </cell>
          <cell r="F80">
            <v>0.33333333333333331</v>
          </cell>
          <cell r="G80" t="str">
            <v>Linha de Pintura 15m</v>
          </cell>
          <cell r="H80" t="str">
            <v>Parada constante no bastidor da entrada da secagem</v>
          </cell>
          <cell r="I80" t="str">
            <v>Corretiva</v>
          </cell>
          <cell r="J80" t="str">
            <v>Não</v>
          </cell>
          <cell r="K80" t="str">
            <v>Mecânica</v>
          </cell>
          <cell r="L80" t="str">
            <v>Ajuste / Regulagem</v>
          </cell>
          <cell r="M80" t="str">
            <v>Falha de Montagem / Preparação</v>
          </cell>
          <cell r="N80">
            <v>37728</v>
          </cell>
          <cell r="O80">
            <v>0.33333333333333331</v>
          </cell>
          <cell r="P80">
            <v>37728</v>
          </cell>
          <cell r="Q80">
            <v>0.33333333333333331</v>
          </cell>
          <cell r="T80">
            <v>37728</v>
          </cell>
          <cell r="U80">
            <v>0.375</v>
          </cell>
          <cell r="V80">
            <v>37728</v>
          </cell>
          <cell r="W80">
            <v>0.375</v>
          </cell>
          <cell r="X80">
            <v>4.1666666666666685E-2</v>
          </cell>
          <cell r="Y80">
            <v>4.1666666666666685E-2</v>
          </cell>
          <cell r="AB80">
            <v>4</v>
          </cell>
          <cell r="AC80">
            <v>4</v>
          </cell>
          <cell r="AD80" t="str">
            <v>N</v>
          </cell>
          <cell r="BF80">
            <v>0</v>
          </cell>
          <cell r="BG80">
            <v>0</v>
          </cell>
          <cell r="BH80">
            <v>0</v>
          </cell>
          <cell r="BI80">
            <v>0</v>
          </cell>
          <cell r="BJ80">
            <v>0</v>
          </cell>
          <cell r="BK80">
            <v>0</v>
          </cell>
          <cell r="BL80">
            <v>0</v>
          </cell>
          <cell r="BM80">
            <v>0</v>
          </cell>
          <cell r="BN80">
            <v>4</v>
          </cell>
          <cell r="BO80">
            <v>0</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row>
        <row r="81">
          <cell r="C81">
            <v>37718</v>
          </cell>
          <cell r="D81">
            <v>37733</v>
          </cell>
          <cell r="E81">
            <v>37733</v>
          </cell>
          <cell r="F81">
            <v>0.375</v>
          </cell>
          <cell r="G81" t="str">
            <v>Linha de Pintura 15m</v>
          </cell>
          <cell r="H81" t="str">
            <v>Vazamento de ar no pulmão</v>
          </cell>
          <cell r="I81" t="str">
            <v>Corretiva</v>
          </cell>
          <cell r="J81" t="str">
            <v>Não</v>
          </cell>
          <cell r="K81" t="str">
            <v>Mecânica</v>
          </cell>
          <cell r="L81" t="str">
            <v>Reparo</v>
          </cell>
          <cell r="M81" t="str">
            <v>Defeito de Fabricação</v>
          </cell>
          <cell r="N81">
            <v>37733</v>
          </cell>
          <cell r="O81">
            <v>0.53125</v>
          </cell>
          <cell r="P81">
            <v>37733</v>
          </cell>
          <cell r="Q81">
            <v>0.53125</v>
          </cell>
          <cell r="T81">
            <v>37733</v>
          </cell>
          <cell r="U81">
            <v>0.57291666666666663</v>
          </cell>
          <cell r="V81">
            <v>37733</v>
          </cell>
          <cell r="W81">
            <v>0.57291666666666663</v>
          </cell>
          <cell r="X81">
            <v>4.1666666664241347E-2</v>
          </cell>
          <cell r="Y81">
            <v>4.1666666664241347E-2</v>
          </cell>
          <cell r="AB81">
            <v>4</v>
          </cell>
          <cell r="AC81">
            <v>4</v>
          </cell>
          <cell r="AD81" t="str">
            <v>N</v>
          </cell>
          <cell r="BF81">
            <v>0</v>
          </cell>
          <cell r="BG81">
            <v>0</v>
          </cell>
          <cell r="BH81">
            <v>0</v>
          </cell>
          <cell r="BI81">
            <v>0</v>
          </cell>
          <cell r="BJ81">
            <v>0</v>
          </cell>
          <cell r="BK81">
            <v>0</v>
          </cell>
          <cell r="BL81">
            <v>0</v>
          </cell>
          <cell r="BM81">
            <v>0</v>
          </cell>
          <cell r="BN81">
            <v>4</v>
          </cell>
          <cell r="BO81">
            <v>0</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row>
        <row r="82">
          <cell r="C82">
            <v>37718</v>
          </cell>
          <cell r="D82">
            <v>37734</v>
          </cell>
          <cell r="E82">
            <v>37733</v>
          </cell>
          <cell r="F82">
            <v>0.58333333333333337</v>
          </cell>
          <cell r="G82" t="str">
            <v>Linha de Pintura 15m</v>
          </cell>
          <cell r="H82" t="str">
            <v>Parafusos da estrutura dos bastidores estão soltos e mancal do bastidor torcido</v>
          </cell>
          <cell r="I82" t="str">
            <v>Corretiva</v>
          </cell>
          <cell r="J82" t="str">
            <v>Sim</v>
          </cell>
          <cell r="K82" t="str">
            <v>Mecânica</v>
          </cell>
          <cell r="L82" t="str">
            <v>Identificados os bastidores com eixo torto e programada nova data (sábado) para Manutenção dos mesmos</v>
          </cell>
          <cell r="M82" t="str">
            <v>Falha Operacional</v>
          </cell>
          <cell r="N82">
            <v>37733</v>
          </cell>
          <cell r="O82">
            <v>0.58333333333333337</v>
          </cell>
          <cell r="P82">
            <v>37733</v>
          </cell>
          <cell r="Q82">
            <v>0.60416666666666663</v>
          </cell>
          <cell r="R82">
            <v>37737</v>
          </cell>
          <cell r="S82">
            <v>0.54166666666666663</v>
          </cell>
          <cell r="T82">
            <v>37737</v>
          </cell>
          <cell r="U82">
            <v>0.70833333333333337</v>
          </cell>
          <cell r="V82">
            <v>0</v>
          </cell>
          <cell r="W82">
            <v>0.1875</v>
          </cell>
          <cell r="X82">
            <v>0.1875</v>
          </cell>
          <cell r="Y82">
            <v>0.1875</v>
          </cell>
          <cell r="AB82">
            <v>4</v>
          </cell>
          <cell r="AC82">
            <v>4</v>
          </cell>
          <cell r="AD82" t="str">
            <v>S</v>
          </cell>
          <cell r="BF82">
            <v>0</v>
          </cell>
          <cell r="BG82">
            <v>0</v>
          </cell>
          <cell r="BH82">
            <v>0</v>
          </cell>
          <cell r="BI82">
            <v>0</v>
          </cell>
          <cell r="BJ82">
            <v>0</v>
          </cell>
          <cell r="BK82">
            <v>0</v>
          </cell>
          <cell r="BL82">
            <v>0</v>
          </cell>
          <cell r="BM82">
            <v>0</v>
          </cell>
          <cell r="BN82">
            <v>4</v>
          </cell>
          <cell r="BO82">
            <v>0</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row>
        <row r="83">
          <cell r="C83">
            <v>37718</v>
          </cell>
          <cell r="D83">
            <v>37735</v>
          </cell>
          <cell r="E83">
            <v>37734</v>
          </cell>
          <cell r="F83">
            <v>0.52777777777777779</v>
          </cell>
          <cell r="G83" t="str">
            <v>Linha de Pintura 15m</v>
          </cell>
          <cell r="H83" t="str">
            <v>Vazamento na lateral do túnel de entrada de fosfatado</v>
          </cell>
          <cell r="I83" t="str">
            <v>Corretiva</v>
          </cell>
          <cell r="J83" t="str">
            <v>Não</v>
          </cell>
          <cell r="K83" t="str">
            <v>Mecânica</v>
          </cell>
          <cell r="L83" t="str">
            <v>Contenção do vazamento</v>
          </cell>
          <cell r="M83" t="str">
            <v>Falha de Montagem / Preparação</v>
          </cell>
          <cell r="N83">
            <v>37764</v>
          </cell>
          <cell r="O83">
            <v>0.33333333333333331</v>
          </cell>
          <cell r="P83">
            <v>37764</v>
          </cell>
          <cell r="Q83">
            <v>0.35416666666666669</v>
          </cell>
          <cell r="R83">
            <v>37768</v>
          </cell>
          <cell r="S83">
            <v>0.41666666666666669</v>
          </cell>
          <cell r="T83">
            <v>37768</v>
          </cell>
          <cell r="U83">
            <v>0.47916666666666669</v>
          </cell>
          <cell r="V83">
            <v>0</v>
          </cell>
          <cell r="W83">
            <v>8.333333333333337E-2</v>
          </cell>
          <cell r="X83">
            <v>8.333333333333337E-2</v>
          </cell>
          <cell r="Y83">
            <v>8.333333333333337E-2</v>
          </cell>
          <cell r="AB83">
            <v>5</v>
          </cell>
          <cell r="AC83">
            <v>4</v>
          </cell>
          <cell r="AD83">
            <v>0</v>
          </cell>
          <cell r="BF83">
            <v>0</v>
          </cell>
          <cell r="BG83">
            <v>0</v>
          </cell>
          <cell r="BH83">
            <v>0</v>
          </cell>
          <cell r="BI83">
            <v>0</v>
          </cell>
          <cell r="BJ83">
            <v>0</v>
          </cell>
          <cell r="BK83">
            <v>0</v>
          </cell>
          <cell r="BL83">
            <v>0</v>
          </cell>
          <cell r="BM83">
            <v>0</v>
          </cell>
          <cell r="BN83">
            <v>5</v>
          </cell>
          <cell r="BO83">
            <v>0</v>
          </cell>
          <cell r="BP83">
            <v>0</v>
          </cell>
          <cell r="BQ83">
            <v>0</v>
          </cell>
          <cell r="BR83">
            <v>0</v>
          </cell>
          <cell r="BS83">
            <v>0</v>
          </cell>
          <cell r="BT83">
            <v>0</v>
          </cell>
          <cell r="BU83">
            <v>0</v>
          </cell>
          <cell r="BV83">
            <v>0</v>
          </cell>
          <cell r="BW83">
            <v>0</v>
          </cell>
          <cell r="BX83">
            <v>0</v>
          </cell>
          <cell r="BY83">
            <v>0</v>
          </cell>
          <cell r="BZ83">
            <v>0</v>
          </cell>
          <cell r="CA83">
            <v>0</v>
          </cell>
          <cell r="CB83">
            <v>0</v>
          </cell>
          <cell r="CC83">
            <v>0</v>
          </cell>
          <cell r="CD83">
            <v>0</v>
          </cell>
        </row>
        <row r="84">
          <cell r="C84">
            <v>37718</v>
          </cell>
          <cell r="D84">
            <v>37735</v>
          </cell>
          <cell r="E84">
            <v>37735</v>
          </cell>
          <cell r="F84">
            <v>0.4375</v>
          </cell>
          <cell r="G84" t="str">
            <v>Linha de Pintura 15m</v>
          </cell>
          <cell r="H84" t="str">
            <v>Parada constante no bastidor da entrada da secagem</v>
          </cell>
          <cell r="I84" t="str">
            <v>Corretiva</v>
          </cell>
          <cell r="J84" t="str">
            <v>Sim</v>
          </cell>
          <cell r="K84" t="str">
            <v>Mecânica</v>
          </cell>
          <cell r="L84" t="str">
            <v>Ajuste / Regulagem</v>
          </cell>
          <cell r="M84" t="str">
            <v>Falha de Regulagem / Configuração / Dimensionamento</v>
          </cell>
          <cell r="N84">
            <v>37735</v>
          </cell>
          <cell r="O84">
            <v>0.4375</v>
          </cell>
          <cell r="P84">
            <v>37735</v>
          </cell>
          <cell r="Q84">
            <v>0.4375</v>
          </cell>
          <cell r="T84">
            <v>37735</v>
          </cell>
          <cell r="U84">
            <v>0.47916666666666669</v>
          </cell>
          <cell r="V84">
            <v>37735</v>
          </cell>
          <cell r="W84">
            <v>0.47916666666666669</v>
          </cell>
          <cell r="X84">
            <v>4.1666666666666685E-2</v>
          </cell>
          <cell r="Y84">
            <v>4.1666666664241347E-2</v>
          </cell>
          <cell r="AB84">
            <v>4</v>
          </cell>
          <cell r="AC84">
            <v>4</v>
          </cell>
          <cell r="AD84" t="str">
            <v>S</v>
          </cell>
          <cell r="BF84">
            <v>0</v>
          </cell>
          <cell r="BG84">
            <v>0</v>
          </cell>
          <cell r="BH84">
            <v>0</v>
          </cell>
          <cell r="BI84">
            <v>0</v>
          </cell>
          <cell r="BJ84">
            <v>0</v>
          </cell>
          <cell r="BK84">
            <v>0</v>
          </cell>
          <cell r="BL84">
            <v>0</v>
          </cell>
          <cell r="BM84">
            <v>0</v>
          </cell>
          <cell r="BN84">
            <v>4</v>
          </cell>
          <cell r="BO84">
            <v>0</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row>
        <row r="85">
          <cell r="C85">
            <v>37718</v>
          </cell>
          <cell r="D85">
            <v>37746</v>
          </cell>
          <cell r="E85">
            <v>37740</v>
          </cell>
          <cell r="F85">
            <v>0.47916666666666669</v>
          </cell>
          <cell r="G85" t="str">
            <v>Linha de Pintura 15m</v>
          </cell>
          <cell r="H85" t="str">
            <v>Pistola manual apresenta mau contato no cabo</v>
          </cell>
          <cell r="I85" t="str">
            <v>Corretiva</v>
          </cell>
          <cell r="J85" t="str">
            <v>Não</v>
          </cell>
          <cell r="K85" t="str">
            <v>Elétrica</v>
          </cell>
          <cell r="L85" t="str">
            <v>Melhoria no Sistema de Fixação</v>
          </cell>
          <cell r="M85" t="str">
            <v>Mau contato</v>
          </cell>
          <cell r="N85">
            <v>37740</v>
          </cell>
          <cell r="O85">
            <v>0.47222222222222227</v>
          </cell>
          <cell r="P85">
            <v>37740</v>
          </cell>
          <cell r="Q85">
            <v>0.47222222222222227</v>
          </cell>
          <cell r="T85">
            <v>37740</v>
          </cell>
          <cell r="U85">
            <v>0.4861111111111111</v>
          </cell>
          <cell r="V85">
            <v>37740</v>
          </cell>
          <cell r="W85">
            <v>0.4861111111111111</v>
          </cell>
          <cell r="X85">
            <v>1.3888888887271966E-2</v>
          </cell>
          <cell r="Y85">
            <v>1.3888888887271966E-2</v>
          </cell>
          <cell r="AB85">
            <v>4</v>
          </cell>
          <cell r="AC85">
            <v>4</v>
          </cell>
          <cell r="AD85" t="str">
            <v>N</v>
          </cell>
          <cell r="BF85">
            <v>0</v>
          </cell>
          <cell r="BG85">
            <v>0</v>
          </cell>
          <cell r="BH85">
            <v>0</v>
          </cell>
          <cell r="BI85">
            <v>0</v>
          </cell>
          <cell r="BJ85">
            <v>0</v>
          </cell>
          <cell r="BK85">
            <v>0</v>
          </cell>
          <cell r="BL85">
            <v>0</v>
          </cell>
          <cell r="BM85">
            <v>0</v>
          </cell>
          <cell r="BN85">
            <v>4</v>
          </cell>
          <cell r="BO85">
            <v>0</v>
          </cell>
          <cell r="BP85">
            <v>0</v>
          </cell>
          <cell r="BQ85">
            <v>0</v>
          </cell>
          <cell r="BR85">
            <v>0</v>
          </cell>
          <cell r="BS85">
            <v>0</v>
          </cell>
          <cell r="BT85">
            <v>0</v>
          </cell>
          <cell r="BU85">
            <v>0</v>
          </cell>
          <cell r="BV85">
            <v>0</v>
          </cell>
          <cell r="BW85">
            <v>0</v>
          </cell>
          <cell r="BX85">
            <v>0</v>
          </cell>
          <cell r="BY85">
            <v>0</v>
          </cell>
          <cell r="BZ85">
            <v>0</v>
          </cell>
          <cell r="CA85">
            <v>0</v>
          </cell>
          <cell r="CB85">
            <v>0</v>
          </cell>
          <cell r="CC85">
            <v>0</v>
          </cell>
          <cell r="CD85">
            <v>0</v>
          </cell>
        </row>
        <row r="86">
          <cell r="C86">
            <v>37718</v>
          </cell>
          <cell r="D86">
            <v>37746</v>
          </cell>
          <cell r="E86">
            <v>37741</v>
          </cell>
          <cell r="F86">
            <v>0.45833333333333331</v>
          </cell>
          <cell r="G86" t="str">
            <v>Linha de Pintura 15m</v>
          </cell>
          <cell r="H86" t="str">
            <v>Bomba do transportador de pó danificada</v>
          </cell>
          <cell r="I86" t="str">
            <v>Corretiva</v>
          </cell>
          <cell r="J86" t="str">
            <v>Não</v>
          </cell>
          <cell r="K86" t="str">
            <v>Mecânica</v>
          </cell>
          <cell r="L86" t="str">
            <v>Substituição do(s) Componente(s)</v>
          </cell>
          <cell r="M86" t="str">
            <v>Defeito de Fabricação</v>
          </cell>
          <cell r="N86">
            <v>37741</v>
          </cell>
          <cell r="O86">
            <v>0.45833333333333331</v>
          </cell>
          <cell r="P86">
            <v>37741</v>
          </cell>
          <cell r="Q86">
            <v>0.45833333333333331</v>
          </cell>
          <cell r="T86">
            <v>37741</v>
          </cell>
          <cell r="U86">
            <v>0.47916666666666669</v>
          </cell>
          <cell r="V86">
            <v>37741</v>
          </cell>
          <cell r="W86">
            <v>0.47916666666666669</v>
          </cell>
          <cell r="X86">
            <v>2.0833333330908033E-2</v>
          </cell>
          <cell r="Y86">
            <v>2.0833333330908033E-2</v>
          </cell>
          <cell r="AB86">
            <v>4</v>
          </cell>
          <cell r="AC86">
            <v>4</v>
          </cell>
          <cell r="AD86" t="str">
            <v>N</v>
          </cell>
          <cell r="BF86">
            <v>0</v>
          </cell>
          <cell r="BG86">
            <v>0</v>
          </cell>
          <cell r="BH86">
            <v>0</v>
          </cell>
          <cell r="BI86">
            <v>0</v>
          </cell>
          <cell r="BJ86">
            <v>0</v>
          </cell>
          <cell r="BK86">
            <v>0</v>
          </cell>
          <cell r="BL86">
            <v>0</v>
          </cell>
          <cell r="BM86">
            <v>0</v>
          </cell>
          <cell r="BN86">
            <v>4</v>
          </cell>
          <cell r="BO86">
            <v>0</v>
          </cell>
          <cell r="BP86">
            <v>0</v>
          </cell>
          <cell r="BQ86">
            <v>0</v>
          </cell>
          <cell r="BR86">
            <v>0</v>
          </cell>
          <cell r="BS86">
            <v>0</v>
          </cell>
          <cell r="BT86">
            <v>0</v>
          </cell>
          <cell r="BU86">
            <v>0</v>
          </cell>
          <cell r="BV86">
            <v>0</v>
          </cell>
          <cell r="BW86">
            <v>0</v>
          </cell>
          <cell r="BX86">
            <v>0</v>
          </cell>
          <cell r="BY86">
            <v>0</v>
          </cell>
          <cell r="BZ86">
            <v>0</v>
          </cell>
          <cell r="CA86">
            <v>0</v>
          </cell>
          <cell r="CB86">
            <v>0</v>
          </cell>
          <cell r="CC86">
            <v>0</v>
          </cell>
          <cell r="CD86">
            <v>0</v>
          </cell>
        </row>
        <row r="87">
          <cell r="C87">
            <v>37718</v>
          </cell>
          <cell r="D87">
            <v>37721</v>
          </cell>
          <cell r="E87">
            <v>37721</v>
          </cell>
          <cell r="F87">
            <v>0.4375</v>
          </cell>
          <cell r="G87" t="str">
            <v>Máquina de Solda MIG</v>
          </cell>
          <cell r="H87" t="str">
            <v>Plug incompatível com a tomada da linha da Solda Manual</v>
          </cell>
          <cell r="I87" t="str">
            <v>Corretiva</v>
          </cell>
          <cell r="J87" t="str">
            <v>Sim</v>
          </cell>
          <cell r="K87" t="str">
            <v>Elétrica</v>
          </cell>
          <cell r="L87" t="str">
            <v>Substituição do(s) Componente(s)</v>
          </cell>
          <cell r="M87" t="str">
            <v>Alteração na Localização da Máquina</v>
          </cell>
          <cell r="N87">
            <v>37721</v>
          </cell>
          <cell r="O87">
            <v>0.4375</v>
          </cell>
          <cell r="P87">
            <v>37721</v>
          </cell>
          <cell r="Q87">
            <v>0.4375</v>
          </cell>
          <cell r="T87">
            <v>37721</v>
          </cell>
          <cell r="U87">
            <v>0.44791666666666669</v>
          </cell>
          <cell r="V87">
            <v>37721</v>
          </cell>
          <cell r="W87">
            <v>0.44791666666666669</v>
          </cell>
          <cell r="X87">
            <v>1.0416666666666685E-2</v>
          </cell>
          <cell r="Y87">
            <v>1.0416666664241347E-2</v>
          </cell>
          <cell r="AB87">
            <v>4</v>
          </cell>
          <cell r="AC87">
            <v>4</v>
          </cell>
          <cell r="AD87" t="str">
            <v>S</v>
          </cell>
          <cell r="BF87">
            <v>0</v>
          </cell>
          <cell r="BG87">
            <v>0</v>
          </cell>
          <cell r="BH87">
            <v>0</v>
          </cell>
          <cell r="BI87">
            <v>0</v>
          </cell>
          <cell r="BJ87">
            <v>0</v>
          </cell>
          <cell r="BK87">
            <v>0</v>
          </cell>
          <cell r="BL87">
            <v>0</v>
          </cell>
          <cell r="BM87">
            <v>0</v>
          </cell>
          <cell r="BN87">
            <v>0</v>
          </cell>
          <cell r="BO87">
            <v>0</v>
          </cell>
          <cell r="BP87">
            <v>0</v>
          </cell>
          <cell r="BQ87">
            <v>0</v>
          </cell>
          <cell r="BR87">
            <v>4</v>
          </cell>
          <cell r="BS87">
            <v>0</v>
          </cell>
          <cell r="BT87">
            <v>0</v>
          </cell>
          <cell r="BU87">
            <v>0</v>
          </cell>
          <cell r="BV87">
            <v>0</v>
          </cell>
          <cell r="BW87">
            <v>0</v>
          </cell>
          <cell r="BX87">
            <v>0</v>
          </cell>
          <cell r="BY87">
            <v>0</v>
          </cell>
          <cell r="BZ87">
            <v>0</v>
          </cell>
          <cell r="CA87">
            <v>0</v>
          </cell>
          <cell r="CB87">
            <v>0</v>
          </cell>
          <cell r="CC87">
            <v>0</v>
          </cell>
          <cell r="CD87">
            <v>0</v>
          </cell>
        </row>
        <row r="88">
          <cell r="C88">
            <v>37718</v>
          </cell>
          <cell r="D88">
            <v>37734</v>
          </cell>
          <cell r="E88">
            <v>37733</v>
          </cell>
          <cell r="F88">
            <v>0.40972222222222227</v>
          </cell>
          <cell r="G88" t="str">
            <v>Máquina de Solda MIG</v>
          </cell>
          <cell r="H88" t="str">
            <v>Plug incompatível com a tomada da linha da Solda Manual</v>
          </cell>
          <cell r="I88" t="str">
            <v>Corretiva</v>
          </cell>
          <cell r="J88" t="str">
            <v>Sim</v>
          </cell>
          <cell r="K88" t="str">
            <v>Elétrica</v>
          </cell>
          <cell r="L88" t="str">
            <v>Substituição do(s) Componente(s)</v>
          </cell>
          <cell r="M88" t="str">
            <v>Alteração na Localização da Máquina</v>
          </cell>
          <cell r="N88">
            <v>37733</v>
          </cell>
          <cell r="O88">
            <v>0.41666666666666669</v>
          </cell>
          <cell r="P88">
            <v>37733</v>
          </cell>
          <cell r="Q88">
            <v>0.41666666666666669</v>
          </cell>
          <cell r="T88">
            <v>37733</v>
          </cell>
          <cell r="U88">
            <v>0.42708333333333331</v>
          </cell>
          <cell r="V88">
            <v>37733</v>
          </cell>
          <cell r="W88">
            <v>0.42708333333333331</v>
          </cell>
          <cell r="X88">
            <v>1.041666666666663E-2</v>
          </cell>
          <cell r="Y88">
            <v>1.0416666669091967E-2</v>
          </cell>
          <cell r="AB88">
            <v>4</v>
          </cell>
          <cell r="AC88">
            <v>4</v>
          </cell>
          <cell r="AD88" t="str">
            <v>S</v>
          </cell>
          <cell r="BF88">
            <v>0</v>
          </cell>
          <cell r="BG88">
            <v>0</v>
          </cell>
          <cell r="BH88">
            <v>0</v>
          </cell>
          <cell r="BI88">
            <v>0</v>
          </cell>
          <cell r="BJ88">
            <v>0</v>
          </cell>
          <cell r="BK88">
            <v>0</v>
          </cell>
          <cell r="BL88">
            <v>0</v>
          </cell>
          <cell r="BM88">
            <v>0</v>
          </cell>
          <cell r="BN88">
            <v>0</v>
          </cell>
          <cell r="BO88">
            <v>0</v>
          </cell>
          <cell r="BP88">
            <v>0</v>
          </cell>
          <cell r="BQ88">
            <v>0</v>
          </cell>
          <cell r="BR88">
            <v>4</v>
          </cell>
          <cell r="BS88">
            <v>0</v>
          </cell>
          <cell r="BT88">
            <v>0</v>
          </cell>
          <cell r="BU88">
            <v>0</v>
          </cell>
          <cell r="BV88">
            <v>0</v>
          </cell>
          <cell r="BW88">
            <v>0</v>
          </cell>
          <cell r="BX88">
            <v>0</v>
          </cell>
          <cell r="BY88">
            <v>0</v>
          </cell>
          <cell r="BZ88">
            <v>0</v>
          </cell>
          <cell r="CA88">
            <v>0</v>
          </cell>
          <cell r="CB88">
            <v>0</v>
          </cell>
          <cell r="CC88">
            <v>0</v>
          </cell>
          <cell r="CD88">
            <v>0</v>
          </cell>
        </row>
        <row r="89">
          <cell r="C89">
            <v>37718</v>
          </cell>
          <cell r="D89">
            <v>37767</v>
          </cell>
          <cell r="E89">
            <v>37764</v>
          </cell>
          <cell r="F89">
            <v>0.35069444444444442</v>
          </cell>
          <cell r="G89" t="str">
            <v>Células de Solda Automática</v>
          </cell>
          <cell r="H89" t="str">
            <v>Mangueira de ar do dispositivo da mesa está furada</v>
          </cell>
          <cell r="I89" t="str">
            <v>Corretiva</v>
          </cell>
          <cell r="J89" t="str">
            <v>Sim</v>
          </cell>
          <cell r="K89" t="str">
            <v>Mecânica</v>
          </cell>
          <cell r="L89" t="str">
            <v>Substituição do(s) Componente(s)</v>
          </cell>
          <cell r="M89" t="str">
            <v>Falha de Projeto</v>
          </cell>
          <cell r="N89">
            <v>37764</v>
          </cell>
          <cell r="O89">
            <v>0.35416666666666669</v>
          </cell>
          <cell r="P89">
            <v>37764</v>
          </cell>
          <cell r="Q89">
            <v>0.35416666666666669</v>
          </cell>
          <cell r="T89">
            <v>37764</v>
          </cell>
          <cell r="U89">
            <v>0.3888888888888889</v>
          </cell>
          <cell r="V89">
            <v>37764</v>
          </cell>
          <cell r="W89">
            <v>0.3888888888888889</v>
          </cell>
          <cell r="X89">
            <v>3.472222222222221E-2</v>
          </cell>
          <cell r="Y89">
            <v>3.4722222223839083E-2</v>
          </cell>
          <cell r="AB89">
            <v>5</v>
          </cell>
          <cell r="AC89">
            <v>4</v>
          </cell>
          <cell r="AD89">
            <v>0</v>
          </cell>
          <cell r="BF89">
            <v>5</v>
          </cell>
          <cell r="BG89">
            <v>0</v>
          </cell>
          <cell r="BH89">
            <v>0</v>
          </cell>
          <cell r="BI89">
            <v>0</v>
          </cell>
          <cell r="BJ89">
            <v>0</v>
          </cell>
          <cell r="BK89">
            <v>0</v>
          </cell>
          <cell r="BL89">
            <v>0</v>
          </cell>
          <cell r="BM89">
            <v>0</v>
          </cell>
          <cell r="BN89">
            <v>0</v>
          </cell>
          <cell r="BO89">
            <v>0</v>
          </cell>
          <cell r="BP89">
            <v>0</v>
          </cell>
          <cell r="BQ89">
            <v>0</v>
          </cell>
          <cell r="BR89">
            <v>0</v>
          </cell>
          <cell r="BS89">
            <v>0</v>
          </cell>
          <cell r="BT89">
            <v>0</v>
          </cell>
          <cell r="BU89">
            <v>0</v>
          </cell>
          <cell r="BV89">
            <v>0</v>
          </cell>
          <cell r="BW89">
            <v>0</v>
          </cell>
          <cell r="BX89">
            <v>0</v>
          </cell>
          <cell r="BY89">
            <v>0</v>
          </cell>
          <cell r="BZ89">
            <v>0</v>
          </cell>
          <cell r="CA89">
            <v>0</v>
          </cell>
          <cell r="CB89">
            <v>0</v>
          </cell>
          <cell r="CC89">
            <v>0</v>
          </cell>
          <cell r="CD89">
            <v>0</v>
          </cell>
        </row>
        <row r="90">
          <cell r="C90">
            <v>37718</v>
          </cell>
          <cell r="D90">
            <v>37769</v>
          </cell>
          <cell r="E90">
            <v>37767</v>
          </cell>
          <cell r="F90">
            <v>0.70833333333333337</v>
          </cell>
          <cell r="G90" t="str">
            <v>Células de Solda Automática</v>
          </cell>
          <cell r="H90" t="str">
            <v>Vazamento na mangueira de ar</v>
          </cell>
          <cell r="I90" t="str">
            <v>Corretiva</v>
          </cell>
          <cell r="J90" t="str">
            <v>Sim</v>
          </cell>
          <cell r="K90" t="str">
            <v>Mecânica</v>
          </cell>
          <cell r="L90" t="str">
            <v>Substituição do(s) Componente(s)</v>
          </cell>
          <cell r="M90" t="str">
            <v>Falha de Projeto</v>
          </cell>
          <cell r="N90">
            <v>37767</v>
          </cell>
          <cell r="O90">
            <v>0.70833333333333337</v>
          </cell>
          <cell r="P90">
            <v>37767</v>
          </cell>
          <cell r="Q90">
            <v>0.70833333333333337</v>
          </cell>
          <cell r="T90">
            <v>37767</v>
          </cell>
          <cell r="U90">
            <v>0.72916666666666663</v>
          </cell>
          <cell r="V90">
            <v>37767</v>
          </cell>
          <cell r="W90">
            <v>0.72916666666666663</v>
          </cell>
          <cell r="X90">
            <v>2.0833333333333259E-2</v>
          </cell>
          <cell r="Y90">
            <v>2.0833333330907977E-2</v>
          </cell>
          <cell r="AB90">
            <v>5</v>
          </cell>
          <cell r="AC90">
            <v>4</v>
          </cell>
          <cell r="AD90">
            <v>0</v>
          </cell>
          <cell r="BF90">
            <v>5</v>
          </cell>
          <cell r="BG90">
            <v>0</v>
          </cell>
          <cell r="BH90">
            <v>0</v>
          </cell>
          <cell r="BI90">
            <v>0</v>
          </cell>
          <cell r="BJ90">
            <v>0</v>
          </cell>
          <cell r="BK90">
            <v>0</v>
          </cell>
          <cell r="BL90">
            <v>0</v>
          </cell>
          <cell r="BM90">
            <v>0</v>
          </cell>
          <cell r="BN90">
            <v>0</v>
          </cell>
          <cell r="BO90">
            <v>0</v>
          </cell>
          <cell r="BP90">
            <v>0</v>
          </cell>
          <cell r="BQ90">
            <v>0</v>
          </cell>
          <cell r="BR90">
            <v>0</v>
          </cell>
          <cell r="BS90">
            <v>0</v>
          </cell>
          <cell r="BT90">
            <v>0</v>
          </cell>
          <cell r="BU90">
            <v>0</v>
          </cell>
          <cell r="BV90">
            <v>0</v>
          </cell>
          <cell r="BW90">
            <v>0</v>
          </cell>
          <cell r="BX90">
            <v>0</v>
          </cell>
          <cell r="BY90">
            <v>0</v>
          </cell>
          <cell r="BZ90">
            <v>0</v>
          </cell>
          <cell r="CA90">
            <v>0</v>
          </cell>
          <cell r="CB90">
            <v>0</v>
          </cell>
          <cell r="CC90">
            <v>0</v>
          </cell>
          <cell r="CD90">
            <v>0</v>
          </cell>
        </row>
        <row r="91">
          <cell r="C91">
            <v>37718</v>
          </cell>
          <cell r="D91">
            <v>37776</v>
          </cell>
          <cell r="E91">
            <v>37770</v>
          </cell>
          <cell r="F91">
            <v>0.33333333333333331</v>
          </cell>
          <cell r="G91" t="str">
            <v>Células de Solda Automática</v>
          </cell>
          <cell r="H91" t="str">
            <v>Mangueira de ar do dispositivo da mesa está furada</v>
          </cell>
          <cell r="I91" t="str">
            <v>Corretiva</v>
          </cell>
          <cell r="J91" t="str">
            <v>Sim</v>
          </cell>
          <cell r="K91" t="str">
            <v>Mecânica</v>
          </cell>
          <cell r="L91" t="str">
            <v>Substituição do(s) Componente(s)</v>
          </cell>
          <cell r="M91" t="str">
            <v>Falha de Projeto</v>
          </cell>
          <cell r="N91">
            <v>37770</v>
          </cell>
          <cell r="O91">
            <v>0.33333333333333331</v>
          </cell>
          <cell r="P91">
            <v>37770</v>
          </cell>
          <cell r="Q91">
            <v>0.33333333333333331</v>
          </cell>
          <cell r="T91">
            <v>37770</v>
          </cell>
          <cell r="U91">
            <v>0.3611111111111111</v>
          </cell>
          <cell r="V91">
            <v>37770</v>
          </cell>
          <cell r="W91">
            <v>0.3611111111111111</v>
          </cell>
          <cell r="X91">
            <v>2.777777777777779E-2</v>
          </cell>
          <cell r="Y91">
            <v>2.7777777776160917E-2</v>
          </cell>
          <cell r="AB91">
            <v>5</v>
          </cell>
          <cell r="AC91">
            <v>4</v>
          </cell>
          <cell r="AD91">
            <v>0</v>
          </cell>
          <cell r="BF91">
            <v>5</v>
          </cell>
          <cell r="BG91">
            <v>0</v>
          </cell>
          <cell r="BH91">
            <v>0</v>
          </cell>
          <cell r="BI91">
            <v>0</v>
          </cell>
          <cell r="BJ91">
            <v>0</v>
          </cell>
          <cell r="BK91">
            <v>0</v>
          </cell>
          <cell r="BL91">
            <v>0</v>
          </cell>
          <cell r="BM91">
            <v>0</v>
          </cell>
          <cell r="BN91">
            <v>0</v>
          </cell>
          <cell r="BO91">
            <v>0</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row>
        <row r="92">
          <cell r="C92">
            <v>37718</v>
          </cell>
          <cell r="D92">
            <v>37803</v>
          </cell>
          <cell r="E92">
            <v>37775</v>
          </cell>
          <cell r="F92">
            <v>0.68194444444444446</v>
          </cell>
          <cell r="G92" t="str">
            <v>Máquina de Solda MIG</v>
          </cell>
          <cell r="H92" t="str">
            <v>Tomada em más condições de uso</v>
          </cell>
          <cell r="I92" t="str">
            <v>Corretiva</v>
          </cell>
          <cell r="J92" t="str">
            <v>Sim</v>
          </cell>
          <cell r="K92" t="str">
            <v>Elétrica</v>
          </cell>
          <cell r="L92" t="str">
            <v>Substituição do(s) Componente(s)</v>
          </cell>
          <cell r="M92" t="str">
            <v>Desgaste / Fadiga</v>
          </cell>
          <cell r="N92">
            <v>37775</v>
          </cell>
          <cell r="O92">
            <v>0.6875</v>
          </cell>
          <cell r="P92">
            <v>37775</v>
          </cell>
          <cell r="Q92">
            <v>0.6875</v>
          </cell>
          <cell r="T92">
            <v>37775</v>
          </cell>
          <cell r="U92">
            <v>0.69791666666666663</v>
          </cell>
          <cell r="V92">
            <v>37775</v>
          </cell>
          <cell r="W92">
            <v>0.69791666666666663</v>
          </cell>
          <cell r="X92">
            <v>1.041666666666663E-2</v>
          </cell>
          <cell r="Y92">
            <v>1.0416666664241347E-2</v>
          </cell>
          <cell r="AB92">
            <v>6</v>
          </cell>
          <cell r="AC92">
            <v>4</v>
          </cell>
          <cell r="AD92">
            <v>0</v>
          </cell>
          <cell r="BF92">
            <v>0</v>
          </cell>
          <cell r="BG92">
            <v>0</v>
          </cell>
          <cell r="BH92">
            <v>0</v>
          </cell>
          <cell r="BI92">
            <v>0</v>
          </cell>
          <cell r="BJ92">
            <v>0</v>
          </cell>
          <cell r="BK92">
            <v>0</v>
          </cell>
          <cell r="BL92">
            <v>0</v>
          </cell>
          <cell r="BM92">
            <v>0</v>
          </cell>
          <cell r="BN92">
            <v>0</v>
          </cell>
          <cell r="BO92">
            <v>0</v>
          </cell>
          <cell r="BP92">
            <v>0</v>
          </cell>
          <cell r="BQ92">
            <v>0</v>
          </cell>
          <cell r="BR92">
            <v>6</v>
          </cell>
          <cell r="BS92">
            <v>0</v>
          </cell>
          <cell r="BT92">
            <v>0</v>
          </cell>
          <cell r="BU92">
            <v>0</v>
          </cell>
          <cell r="BV92">
            <v>0</v>
          </cell>
          <cell r="BW92">
            <v>0</v>
          </cell>
          <cell r="BX92">
            <v>0</v>
          </cell>
          <cell r="BY92">
            <v>0</v>
          </cell>
          <cell r="BZ92">
            <v>0</v>
          </cell>
          <cell r="CA92">
            <v>0</v>
          </cell>
          <cell r="CB92">
            <v>0</v>
          </cell>
          <cell r="CC92">
            <v>0</v>
          </cell>
          <cell r="CD92">
            <v>0</v>
          </cell>
        </row>
        <row r="93">
          <cell r="C93">
            <v>37718</v>
          </cell>
          <cell r="D93">
            <v>37790</v>
          </cell>
          <cell r="E93">
            <v>37789</v>
          </cell>
          <cell r="F93">
            <v>0.4375</v>
          </cell>
          <cell r="G93" t="str">
            <v>Células de Solda Automática</v>
          </cell>
          <cell r="H93" t="str">
            <v>Flexível entupido</v>
          </cell>
          <cell r="I93" t="str">
            <v>Corretiva</v>
          </cell>
          <cell r="J93" t="str">
            <v>Sim</v>
          </cell>
          <cell r="K93" t="str">
            <v>Mecânica</v>
          </cell>
          <cell r="L93" t="str">
            <v>Substituição do(s) Componente(s)</v>
          </cell>
          <cell r="M93" t="str">
            <v>Desgaste / Fadiga</v>
          </cell>
          <cell r="N93">
            <v>37789</v>
          </cell>
          <cell r="O93">
            <v>0.4375</v>
          </cell>
          <cell r="P93">
            <v>37789</v>
          </cell>
          <cell r="Q93">
            <v>0.4375</v>
          </cell>
          <cell r="T93">
            <v>37789</v>
          </cell>
          <cell r="U93">
            <v>0.53125</v>
          </cell>
          <cell r="V93">
            <v>37789</v>
          </cell>
          <cell r="W93">
            <v>0.53125</v>
          </cell>
          <cell r="X93">
            <v>9.375E-2</v>
          </cell>
          <cell r="Y93">
            <v>9.375E-2</v>
          </cell>
          <cell r="AB93">
            <v>6</v>
          </cell>
          <cell r="AC93">
            <v>4</v>
          </cell>
          <cell r="AD93">
            <v>0</v>
          </cell>
          <cell r="BF93">
            <v>6</v>
          </cell>
          <cell r="BG93">
            <v>0</v>
          </cell>
          <cell r="BH93">
            <v>0</v>
          </cell>
          <cell r="BI93">
            <v>0</v>
          </cell>
          <cell r="BJ93">
            <v>0</v>
          </cell>
          <cell r="BK93">
            <v>0</v>
          </cell>
          <cell r="BL93">
            <v>0</v>
          </cell>
          <cell r="BM93">
            <v>0</v>
          </cell>
          <cell r="BN93">
            <v>0</v>
          </cell>
          <cell r="BO93">
            <v>0</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row>
        <row r="94">
          <cell r="C94">
            <v>37718</v>
          </cell>
          <cell r="D94">
            <v>37795</v>
          </cell>
          <cell r="E94">
            <v>37790</v>
          </cell>
          <cell r="F94">
            <v>0.34027777777777773</v>
          </cell>
          <cell r="G94" t="str">
            <v>Células de Solda Automática</v>
          </cell>
          <cell r="H94" t="str">
            <v>Pistão da Esteira quebrado</v>
          </cell>
          <cell r="I94" t="str">
            <v>Corretiva</v>
          </cell>
          <cell r="J94" t="str">
            <v>Sim</v>
          </cell>
          <cell r="K94" t="str">
            <v>Mecânica</v>
          </cell>
          <cell r="L94" t="str">
            <v>Substituição do(s) Componente(s)</v>
          </cell>
          <cell r="M94" t="str">
            <v>Falha de Comando / Sistema</v>
          </cell>
          <cell r="N94">
            <v>37790</v>
          </cell>
          <cell r="O94">
            <v>0.34027777777777773</v>
          </cell>
          <cell r="P94">
            <v>37790</v>
          </cell>
          <cell r="Q94">
            <v>0.34027777777777773</v>
          </cell>
          <cell r="T94">
            <v>37790</v>
          </cell>
          <cell r="U94">
            <v>0.4375</v>
          </cell>
          <cell r="V94">
            <v>37790</v>
          </cell>
          <cell r="W94">
            <v>0.4375</v>
          </cell>
          <cell r="X94">
            <v>9.7222222222222265E-2</v>
          </cell>
          <cell r="Y94">
            <v>9.7222222222222265E-2</v>
          </cell>
          <cell r="AB94">
            <v>6</v>
          </cell>
          <cell r="AC94">
            <v>4</v>
          </cell>
          <cell r="AD94">
            <v>0</v>
          </cell>
          <cell r="BF94">
            <v>6</v>
          </cell>
          <cell r="BG94">
            <v>0</v>
          </cell>
          <cell r="BH94">
            <v>0</v>
          </cell>
          <cell r="BI94">
            <v>0</v>
          </cell>
          <cell r="BJ94">
            <v>0</v>
          </cell>
          <cell r="BK94">
            <v>0</v>
          </cell>
          <cell r="BL94">
            <v>0</v>
          </cell>
          <cell r="BM94">
            <v>0</v>
          </cell>
          <cell r="BN94">
            <v>0</v>
          </cell>
          <cell r="BO94">
            <v>0</v>
          </cell>
          <cell r="BP94">
            <v>0</v>
          </cell>
          <cell r="BQ94">
            <v>0</v>
          </cell>
          <cell r="BR94">
            <v>0</v>
          </cell>
          <cell r="BS94">
            <v>0</v>
          </cell>
          <cell r="BT94">
            <v>0</v>
          </cell>
          <cell r="BU94">
            <v>0</v>
          </cell>
          <cell r="BV94">
            <v>0</v>
          </cell>
          <cell r="BW94">
            <v>0</v>
          </cell>
          <cell r="BX94">
            <v>0</v>
          </cell>
          <cell r="BY94">
            <v>0</v>
          </cell>
          <cell r="BZ94">
            <v>0</v>
          </cell>
          <cell r="CA94">
            <v>0</v>
          </cell>
          <cell r="CB94">
            <v>0</v>
          </cell>
          <cell r="CC94">
            <v>0</v>
          </cell>
          <cell r="CD94">
            <v>0</v>
          </cell>
        </row>
        <row r="95">
          <cell r="C95">
            <v>37718</v>
          </cell>
          <cell r="D95">
            <v>37795</v>
          </cell>
          <cell r="E95">
            <v>37790</v>
          </cell>
          <cell r="F95">
            <v>0.4375</v>
          </cell>
          <cell r="G95" t="str">
            <v>Células de Solda Automática</v>
          </cell>
          <cell r="H95" t="str">
            <v>Chapa dobrada no meio do rolo, guias quebradas e suporte torto</v>
          </cell>
          <cell r="I95" t="str">
            <v>Corretiva</v>
          </cell>
          <cell r="J95" t="str">
            <v>Sim</v>
          </cell>
          <cell r="K95" t="str">
            <v>Mecânica</v>
          </cell>
          <cell r="L95" t="str">
            <v>Reparo</v>
          </cell>
          <cell r="M95" t="str">
            <v>Falha Operacional</v>
          </cell>
          <cell r="N95">
            <v>37790</v>
          </cell>
          <cell r="O95">
            <v>0.4375</v>
          </cell>
          <cell r="P95">
            <v>37790</v>
          </cell>
          <cell r="Q95">
            <v>0.4375</v>
          </cell>
          <cell r="T95">
            <v>37790</v>
          </cell>
          <cell r="U95">
            <v>0.53125</v>
          </cell>
          <cell r="V95">
            <v>37790</v>
          </cell>
          <cell r="W95">
            <v>0.53125</v>
          </cell>
          <cell r="X95">
            <v>9.375E-2</v>
          </cell>
          <cell r="Y95">
            <v>9.375E-2</v>
          </cell>
          <cell r="AB95">
            <v>6</v>
          </cell>
          <cell r="AC95">
            <v>4</v>
          </cell>
          <cell r="AD95">
            <v>0</v>
          </cell>
          <cell r="BF95">
            <v>6</v>
          </cell>
          <cell r="BG95">
            <v>0</v>
          </cell>
          <cell r="BH95">
            <v>0</v>
          </cell>
          <cell r="BI95">
            <v>0</v>
          </cell>
          <cell r="BJ95">
            <v>0</v>
          </cell>
          <cell r="BK95">
            <v>0</v>
          </cell>
          <cell r="BL95">
            <v>0</v>
          </cell>
          <cell r="BM95">
            <v>0</v>
          </cell>
          <cell r="BN95">
            <v>0</v>
          </cell>
          <cell r="BO95">
            <v>0</v>
          </cell>
          <cell r="BP95">
            <v>0</v>
          </cell>
          <cell r="BQ95">
            <v>0</v>
          </cell>
          <cell r="BR95">
            <v>0</v>
          </cell>
          <cell r="BS95">
            <v>0</v>
          </cell>
          <cell r="BT95">
            <v>0</v>
          </cell>
          <cell r="BU95">
            <v>0</v>
          </cell>
          <cell r="BV95">
            <v>0</v>
          </cell>
          <cell r="BW95">
            <v>0</v>
          </cell>
          <cell r="BX95">
            <v>0</v>
          </cell>
          <cell r="BY95">
            <v>0</v>
          </cell>
          <cell r="BZ95">
            <v>0</v>
          </cell>
          <cell r="CA95">
            <v>0</v>
          </cell>
          <cell r="CB95">
            <v>0</v>
          </cell>
          <cell r="CC95">
            <v>0</v>
          </cell>
          <cell r="CD95">
            <v>0</v>
          </cell>
        </row>
        <row r="96">
          <cell r="C96">
            <v>37718</v>
          </cell>
          <cell r="D96">
            <v>37803</v>
          </cell>
          <cell r="E96">
            <v>37788</v>
          </cell>
          <cell r="F96">
            <v>0.60972222222222217</v>
          </cell>
          <cell r="G96" t="str">
            <v>Máquina de Solda MIG</v>
          </cell>
          <cell r="H96" t="str">
            <v>Tomada em más condições de uso</v>
          </cell>
          <cell r="I96" t="str">
            <v>Corretiva</v>
          </cell>
          <cell r="J96" t="str">
            <v>Sim</v>
          </cell>
          <cell r="K96" t="str">
            <v>Elétrica</v>
          </cell>
          <cell r="L96" t="str">
            <v>Substituição do(s) Componente(s)</v>
          </cell>
          <cell r="M96" t="str">
            <v>Desgaste / Fadiga</v>
          </cell>
          <cell r="N96">
            <v>37788</v>
          </cell>
          <cell r="O96">
            <v>0.625</v>
          </cell>
          <cell r="P96">
            <v>37788</v>
          </cell>
          <cell r="Q96">
            <v>0.625</v>
          </cell>
          <cell r="T96">
            <v>37788</v>
          </cell>
          <cell r="U96">
            <v>0.63541666666666663</v>
          </cell>
          <cell r="V96">
            <v>37788</v>
          </cell>
          <cell r="W96">
            <v>0.63541666666666663</v>
          </cell>
          <cell r="X96">
            <v>1.041666666666663E-2</v>
          </cell>
          <cell r="Y96">
            <v>1.0416666664241347E-2</v>
          </cell>
          <cell r="AB96">
            <v>6</v>
          </cell>
          <cell r="AC96">
            <v>4</v>
          </cell>
          <cell r="AD96">
            <v>0</v>
          </cell>
          <cell r="BF96">
            <v>0</v>
          </cell>
          <cell r="BG96">
            <v>0</v>
          </cell>
          <cell r="BH96">
            <v>0</v>
          </cell>
          <cell r="BI96">
            <v>0</v>
          </cell>
          <cell r="BJ96">
            <v>0</v>
          </cell>
          <cell r="BK96">
            <v>0</v>
          </cell>
          <cell r="BL96">
            <v>0</v>
          </cell>
          <cell r="BM96">
            <v>0</v>
          </cell>
          <cell r="BN96">
            <v>0</v>
          </cell>
          <cell r="BO96">
            <v>0</v>
          </cell>
          <cell r="BP96">
            <v>0</v>
          </cell>
          <cell r="BQ96">
            <v>0</v>
          </cell>
          <cell r="BR96">
            <v>6</v>
          </cell>
          <cell r="BS96">
            <v>0</v>
          </cell>
          <cell r="BT96">
            <v>0</v>
          </cell>
          <cell r="BU96">
            <v>0</v>
          </cell>
          <cell r="BV96">
            <v>0</v>
          </cell>
          <cell r="BW96">
            <v>0</v>
          </cell>
          <cell r="BX96">
            <v>0</v>
          </cell>
          <cell r="BY96">
            <v>0</v>
          </cell>
          <cell r="BZ96">
            <v>0</v>
          </cell>
          <cell r="CA96">
            <v>0</v>
          </cell>
          <cell r="CB96">
            <v>0</v>
          </cell>
          <cell r="CC96">
            <v>0</v>
          </cell>
          <cell r="CD96">
            <v>0</v>
          </cell>
        </row>
        <row r="97">
          <cell r="C97">
            <v>37718</v>
          </cell>
          <cell r="D97">
            <v>37722</v>
          </cell>
          <cell r="E97">
            <v>37722</v>
          </cell>
          <cell r="F97">
            <v>0.63194444444444442</v>
          </cell>
          <cell r="G97" t="str">
            <v>Perfiladora Fagor Montantes</v>
          </cell>
          <cell r="H97" t="str">
            <v>Dispositivo de Corte Travado</v>
          </cell>
          <cell r="I97" t="str">
            <v>Corretiva</v>
          </cell>
          <cell r="J97" t="str">
            <v>Sim</v>
          </cell>
          <cell r="K97" t="str">
            <v>Mecânica</v>
          </cell>
          <cell r="L97" t="str">
            <v>Ajuste / Regulagem</v>
          </cell>
          <cell r="M97" t="str">
            <v>Falha de Montagem / Preparação</v>
          </cell>
          <cell r="N97">
            <v>37722</v>
          </cell>
          <cell r="O97">
            <v>0.63194444444444442</v>
          </cell>
          <cell r="P97">
            <v>37722</v>
          </cell>
          <cell r="Q97">
            <v>0.63194444444444442</v>
          </cell>
          <cell r="T97">
            <v>37722</v>
          </cell>
          <cell r="U97">
            <v>0.66666666666666663</v>
          </cell>
          <cell r="V97">
            <v>37722</v>
          </cell>
          <cell r="W97">
            <v>0.66666666666666663</v>
          </cell>
          <cell r="X97">
            <v>3.472222222222221E-2</v>
          </cell>
          <cell r="Y97">
            <v>3.4722222219796928E-2</v>
          </cell>
          <cell r="AB97">
            <v>4</v>
          </cell>
          <cell r="AC97">
            <v>4</v>
          </cell>
          <cell r="AD97" t="str">
            <v>S</v>
          </cell>
          <cell r="BF97">
            <v>0</v>
          </cell>
          <cell r="BG97">
            <v>0</v>
          </cell>
          <cell r="BH97">
            <v>0</v>
          </cell>
          <cell r="BI97">
            <v>0</v>
          </cell>
          <cell r="BJ97">
            <v>0</v>
          </cell>
          <cell r="BK97">
            <v>0</v>
          </cell>
          <cell r="BL97">
            <v>0</v>
          </cell>
          <cell r="BM97">
            <v>0</v>
          </cell>
          <cell r="BN97">
            <v>0</v>
          </cell>
          <cell r="BO97">
            <v>0</v>
          </cell>
          <cell r="BP97">
            <v>0</v>
          </cell>
          <cell r="BQ97">
            <v>0</v>
          </cell>
          <cell r="BR97">
            <v>0</v>
          </cell>
          <cell r="BS97">
            <v>0</v>
          </cell>
          <cell r="BT97">
            <v>0</v>
          </cell>
          <cell r="BU97">
            <v>4</v>
          </cell>
          <cell r="BV97">
            <v>0</v>
          </cell>
          <cell r="BW97">
            <v>0</v>
          </cell>
          <cell r="BX97">
            <v>0</v>
          </cell>
          <cell r="BY97">
            <v>0</v>
          </cell>
          <cell r="BZ97">
            <v>0</v>
          </cell>
          <cell r="CA97">
            <v>0</v>
          </cell>
          <cell r="CB97">
            <v>0</v>
          </cell>
          <cell r="CC97">
            <v>0</v>
          </cell>
          <cell r="CD97">
            <v>0</v>
          </cell>
        </row>
        <row r="98">
          <cell r="C98">
            <v>37718</v>
          </cell>
          <cell r="D98">
            <v>37722</v>
          </cell>
          <cell r="E98">
            <v>37721</v>
          </cell>
          <cell r="F98">
            <v>0.41666666666666669</v>
          </cell>
          <cell r="G98" t="str">
            <v>Perfiladora Fagor Largueros</v>
          </cell>
          <cell r="H98" t="str">
            <v>Ruído no Eixo do Desbobinador 01 e Vazamento no Redutor do motor da Trefila 02</v>
          </cell>
          <cell r="I98" t="str">
            <v>Corretiva</v>
          </cell>
          <cell r="J98" t="str">
            <v>Não</v>
          </cell>
          <cell r="K98" t="str">
            <v>Mecânica</v>
          </cell>
          <cell r="L98" t="str">
            <v>Substituição do(s) Componente(s)</v>
          </cell>
          <cell r="M98" t="str">
            <v>Falha de Montagem / Preparação</v>
          </cell>
          <cell r="N98">
            <v>37721</v>
          </cell>
          <cell r="O98">
            <v>0.41666666666666669</v>
          </cell>
          <cell r="P98">
            <v>37721</v>
          </cell>
          <cell r="Q98">
            <v>0.4375</v>
          </cell>
          <cell r="R98">
            <v>37832</v>
          </cell>
          <cell r="S98">
            <v>0.33333333333333331</v>
          </cell>
          <cell r="T98">
            <v>37832</v>
          </cell>
          <cell r="U98">
            <v>0.58333333333333337</v>
          </cell>
          <cell r="V98">
            <v>0</v>
          </cell>
          <cell r="W98">
            <v>0.27083333333333337</v>
          </cell>
          <cell r="X98">
            <v>0.27083333333333337</v>
          </cell>
          <cell r="Y98" t="str">
            <v>Máquina em Garantia</v>
          </cell>
          <cell r="AB98">
            <v>7</v>
          </cell>
          <cell r="AC98">
            <v>4</v>
          </cell>
          <cell r="AD98">
            <v>0</v>
          </cell>
          <cell r="BF98">
            <v>0</v>
          </cell>
          <cell r="BG98">
            <v>0</v>
          </cell>
          <cell r="BH98">
            <v>0</v>
          </cell>
          <cell r="BI98">
            <v>0</v>
          </cell>
          <cell r="BJ98">
            <v>0</v>
          </cell>
          <cell r="BK98">
            <v>0</v>
          </cell>
          <cell r="BL98">
            <v>0</v>
          </cell>
          <cell r="BM98">
            <v>0</v>
          </cell>
          <cell r="BN98">
            <v>0</v>
          </cell>
          <cell r="BO98">
            <v>0</v>
          </cell>
          <cell r="BP98">
            <v>0</v>
          </cell>
          <cell r="BQ98">
            <v>0</v>
          </cell>
          <cell r="BR98">
            <v>0</v>
          </cell>
          <cell r="BS98">
            <v>0</v>
          </cell>
          <cell r="BT98">
            <v>7</v>
          </cell>
          <cell r="BU98">
            <v>0</v>
          </cell>
          <cell r="BV98">
            <v>0</v>
          </cell>
          <cell r="BW98">
            <v>0</v>
          </cell>
          <cell r="BX98">
            <v>0</v>
          </cell>
          <cell r="BY98">
            <v>0</v>
          </cell>
          <cell r="BZ98">
            <v>0</v>
          </cell>
          <cell r="CA98">
            <v>0</v>
          </cell>
          <cell r="CB98">
            <v>0</v>
          </cell>
          <cell r="CC98">
            <v>0</v>
          </cell>
          <cell r="CD98">
            <v>0</v>
          </cell>
        </row>
        <row r="99">
          <cell r="C99">
            <v>37718</v>
          </cell>
          <cell r="D99">
            <v>37769</v>
          </cell>
          <cell r="E99">
            <v>37764</v>
          </cell>
          <cell r="F99">
            <v>0.60416666666666663</v>
          </cell>
          <cell r="G99" t="str">
            <v>Perfiladora Fagor Largueros</v>
          </cell>
          <cell r="H99" t="str">
            <v>Verificar Flexível da calha do carrinho da cortadora</v>
          </cell>
          <cell r="I99" t="str">
            <v>Corretiva</v>
          </cell>
          <cell r="J99" t="str">
            <v>Não</v>
          </cell>
          <cell r="K99" t="str">
            <v>Elétrica</v>
          </cell>
          <cell r="L99" t="str">
            <v>Os conectores foram colados</v>
          </cell>
          <cell r="M99" t="str">
            <v>Defeito de Fabricação</v>
          </cell>
          <cell r="N99">
            <v>37764</v>
          </cell>
          <cell r="O99">
            <v>0.60416666666666663</v>
          </cell>
          <cell r="P99">
            <v>37764</v>
          </cell>
          <cell r="Q99">
            <v>0.60416666666666663</v>
          </cell>
          <cell r="T99">
            <v>37764</v>
          </cell>
          <cell r="U99">
            <v>0.625</v>
          </cell>
          <cell r="V99">
            <v>37764</v>
          </cell>
          <cell r="W99">
            <v>0.625</v>
          </cell>
          <cell r="X99">
            <v>2.083333333333337E-2</v>
          </cell>
          <cell r="Y99">
            <v>2.083333333333337E-2</v>
          </cell>
          <cell r="AB99">
            <v>5</v>
          </cell>
          <cell r="AC99">
            <v>4</v>
          </cell>
          <cell r="AD99">
            <v>0</v>
          </cell>
          <cell r="BF99">
            <v>0</v>
          </cell>
          <cell r="BG99">
            <v>0</v>
          </cell>
          <cell r="BH99">
            <v>0</v>
          </cell>
          <cell r="BI99">
            <v>0</v>
          </cell>
          <cell r="BJ99">
            <v>0</v>
          </cell>
          <cell r="BK99">
            <v>0</v>
          </cell>
          <cell r="BL99">
            <v>0</v>
          </cell>
          <cell r="BM99">
            <v>0</v>
          </cell>
          <cell r="BN99">
            <v>0</v>
          </cell>
          <cell r="BO99">
            <v>0</v>
          </cell>
          <cell r="BP99">
            <v>0</v>
          </cell>
          <cell r="BQ99">
            <v>0</v>
          </cell>
          <cell r="BR99">
            <v>0</v>
          </cell>
          <cell r="BS99">
            <v>0</v>
          </cell>
          <cell r="BT99">
            <v>5</v>
          </cell>
          <cell r="BU99">
            <v>0</v>
          </cell>
          <cell r="BV99">
            <v>0</v>
          </cell>
          <cell r="BW99">
            <v>0</v>
          </cell>
          <cell r="BX99">
            <v>0</v>
          </cell>
          <cell r="BY99">
            <v>0</v>
          </cell>
          <cell r="BZ99">
            <v>0</v>
          </cell>
          <cell r="CA99">
            <v>0</v>
          </cell>
          <cell r="CB99">
            <v>0</v>
          </cell>
          <cell r="CC99">
            <v>0</v>
          </cell>
          <cell r="CD99">
            <v>0</v>
          </cell>
        </row>
        <row r="100">
          <cell r="C100">
            <v>37718</v>
          </cell>
          <cell r="D100">
            <v>37767</v>
          </cell>
          <cell r="E100">
            <v>37766</v>
          </cell>
          <cell r="F100">
            <v>0.58333333333333337</v>
          </cell>
          <cell r="G100" t="str">
            <v>Perfiladora Fagor Largueros</v>
          </cell>
          <cell r="H100" t="str">
            <v>Há a necessidade de montagem da proteção do eixo do desbobinador No. 01</v>
          </cell>
          <cell r="I100" t="str">
            <v>Corretiva</v>
          </cell>
          <cell r="J100" t="str">
            <v>Não</v>
          </cell>
          <cell r="K100" t="str">
            <v>Mecânica</v>
          </cell>
          <cell r="L100" t="str">
            <v>Montagem / Instalação</v>
          </cell>
          <cell r="M100" t="str">
            <v>Falha Operacional</v>
          </cell>
          <cell r="N100">
            <v>37765</v>
          </cell>
          <cell r="O100">
            <v>0.58333333333333337</v>
          </cell>
          <cell r="P100">
            <v>37765</v>
          </cell>
          <cell r="Q100">
            <v>0.58333333333333337</v>
          </cell>
          <cell r="T100">
            <v>37765</v>
          </cell>
          <cell r="U100">
            <v>0.61458333333333337</v>
          </cell>
          <cell r="V100">
            <v>37765</v>
          </cell>
          <cell r="W100">
            <v>0.61458333333333337</v>
          </cell>
          <cell r="X100">
            <v>3.1250000002425282E-2</v>
          </cell>
          <cell r="Y100">
            <v>3.1250000002425282E-2</v>
          </cell>
          <cell r="AB100">
            <v>5</v>
          </cell>
          <cell r="AC100">
            <v>4</v>
          </cell>
          <cell r="AD100">
            <v>0</v>
          </cell>
          <cell r="BF100">
            <v>0</v>
          </cell>
          <cell r="BG100">
            <v>0</v>
          </cell>
          <cell r="BH100">
            <v>0</v>
          </cell>
          <cell r="BI100">
            <v>0</v>
          </cell>
          <cell r="BJ100">
            <v>0</v>
          </cell>
          <cell r="BK100">
            <v>0</v>
          </cell>
          <cell r="BL100">
            <v>0</v>
          </cell>
          <cell r="BM100">
            <v>0</v>
          </cell>
          <cell r="BN100">
            <v>0</v>
          </cell>
          <cell r="BO100">
            <v>0</v>
          </cell>
          <cell r="BP100">
            <v>0</v>
          </cell>
          <cell r="BQ100">
            <v>0</v>
          </cell>
          <cell r="BR100">
            <v>0</v>
          </cell>
          <cell r="BS100">
            <v>0</v>
          </cell>
          <cell r="BT100">
            <v>5</v>
          </cell>
          <cell r="BU100">
            <v>0</v>
          </cell>
          <cell r="BV100">
            <v>0</v>
          </cell>
          <cell r="BW100">
            <v>0</v>
          </cell>
          <cell r="BX100">
            <v>0</v>
          </cell>
          <cell r="BY100">
            <v>0</v>
          </cell>
          <cell r="BZ100">
            <v>0</v>
          </cell>
          <cell r="CA100">
            <v>0</v>
          </cell>
          <cell r="CB100">
            <v>0</v>
          </cell>
          <cell r="CC100">
            <v>0</v>
          </cell>
          <cell r="CD100">
            <v>0</v>
          </cell>
        </row>
        <row r="101">
          <cell r="C101">
            <v>37718</v>
          </cell>
          <cell r="D101">
            <v>37767</v>
          </cell>
          <cell r="E101">
            <v>37764</v>
          </cell>
          <cell r="F101">
            <v>0.53125</v>
          </cell>
          <cell r="G101" t="str">
            <v>Perfiladora Fagor Largueros</v>
          </cell>
          <cell r="H101" t="str">
            <v>Vazamento no motoredutor do motor da esteira</v>
          </cell>
          <cell r="I101" t="str">
            <v>Corretiva</v>
          </cell>
          <cell r="J101" t="str">
            <v>Sim</v>
          </cell>
          <cell r="K101" t="str">
            <v>Mecânica</v>
          </cell>
          <cell r="L101" t="str">
            <v>Substituição do(s) Componente(s)</v>
          </cell>
          <cell r="M101" t="str">
            <v>Desgaste / Fadiga</v>
          </cell>
          <cell r="N101">
            <v>37764</v>
          </cell>
          <cell r="O101">
            <v>0.53125</v>
          </cell>
          <cell r="P101">
            <v>37764</v>
          </cell>
          <cell r="Q101">
            <v>0.54166666666666663</v>
          </cell>
          <cell r="R101">
            <v>37765</v>
          </cell>
          <cell r="S101">
            <v>0.375</v>
          </cell>
          <cell r="T101">
            <v>37765</v>
          </cell>
          <cell r="U101">
            <v>0.58333333333333337</v>
          </cell>
          <cell r="V101">
            <v>0</v>
          </cell>
          <cell r="W101">
            <v>0.21875</v>
          </cell>
          <cell r="X101">
            <v>0.21875</v>
          </cell>
          <cell r="Y101" t="str">
            <v>Desmontagem do motoredutor e substituição dos retentores</v>
          </cell>
          <cell r="AB101">
            <v>5</v>
          </cell>
          <cell r="AC101">
            <v>4</v>
          </cell>
          <cell r="AD101">
            <v>0</v>
          </cell>
          <cell r="BF101">
            <v>0</v>
          </cell>
          <cell r="BG101">
            <v>0</v>
          </cell>
          <cell r="BH101">
            <v>0</v>
          </cell>
          <cell r="BI101">
            <v>0</v>
          </cell>
          <cell r="BJ101">
            <v>0</v>
          </cell>
          <cell r="BK101">
            <v>0</v>
          </cell>
          <cell r="BL101">
            <v>0</v>
          </cell>
          <cell r="BM101">
            <v>0</v>
          </cell>
          <cell r="BN101">
            <v>0</v>
          </cell>
          <cell r="BO101">
            <v>0</v>
          </cell>
          <cell r="BP101">
            <v>0</v>
          </cell>
          <cell r="BQ101">
            <v>0</v>
          </cell>
          <cell r="BR101">
            <v>0</v>
          </cell>
          <cell r="BS101">
            <v>0</v>
          </cell>
          <cell r="BT101">
            <v>5</v>
          </cell>
          <cell r="BU101">
            <v>0</v>
          </cell>
          <cell r="BV101">
            <v>0</v>
          </cell>
          <cell r="BW101">
            <v>0</v>
          </cell>
          <cell r="BX101">
            <v>0</v>
          </cell>
          <cell r="BY101">
            <v>0</v>
          </cell>
          <cell r="BZ101">
            <v>0</v>
          </cell>
          <cell r="CA101">
            <v>0</v>
          </cell>
          <cell r="CB101">
            <v>0</v>
          </cell>
          <cell r="CC101">
            <v>0</v>
          </cell>
          <cell r="CD101">
            <v>0</v>
          </cell>
        </row>
        <row r="102">
          <cell r="C102">
            <v>37718</v>
          </cell>
          <cell r="D102">
            <v>37776</v>
          </cell>
          <cell r="E102">
            <v>37776</v>
          </cell>
          <cell r="F102">
            <v>0.375</v>
          </cell>
          <cell r="G102" t="str">
            <v>Perfiladora Fagor Largueros</v>
          </cell>
          <cell r="H102" t="str">
            <v>Chapa enroscou nos rolos</v>
          </cell>
          <cell r="I102" t="str">
            <v>Corretiva</v>
          </cell>
          <cell r="J102" t="str">
            <v>Sim</v>
          </cell>
          <cell r="K102" t="str">
            <v>Mecânica</v>
          </cell>
          <cell r="L102" t="str">
            <v>Foi retirada a chapa</v>
          </cell>
          <cell r="M102" t="str">
            <v>Falha de Comando / Sistema</v>
          </cell>
          <cell r="N102">
            <v>37776</v>
          </cell>
          <cell r="O102">
            <v>0.375</v>
          </cell>
          <cell r="P102">
            <v>37776</v>
          </cell>
          <cell r="Q102">
            <v>0.375</v>
          </cell>
          <cell r="T102">
            <v>37776</v>
          </cell>
          <cell r="U102">
            <v>0.41666666666666669</v>
          </cell>
          <cell r="V102">
            <v>37776</v>
          </cell>
          <cell r="W102">
            <v>0.41666666666666669</v>
          </cell>
          <cell r="X102">
            <v>4.1666666666666685E-2</v>
          </cell>
          <cell r="Y102">
            <v>4.1666666664241347E-2</v>
          </cell>
          <cell r="AB102">
            <v>6</v>
          </cell>
          <cell r="AC102">
            <v>4</v>
          </cell>
          <cell r="AD102">
            <v>0</v>
          </cell>
          <cell r="BF102">
            <v>0</v>
          </cell>
          <cell r="BG102">
            <v>0</v>
          </cell>
          <cell r="BH102">
            <v>0</v>
          </cell>
          <cell r="BI102">
            <v>0</v>
          </cell>
          <cell r="BJ102">
            <v>0</v>
          </cell>
          <cell r="BK102">
            <v>0</v>
          </cell>
          <cell r="BL102">
            <v>0</v>
          </cell>
          <cell r="BM102">
            <v>0</v>
          </cell>
          <cell r="BN102">
            <v>0</v>
          </cell>
          <cell r="BO102">
            <v>0</v>
          </cell>
          <cell r="BP102">
            <v>0</v>
          </cell>
          <cell r="BQ102">
            <v>0</v>
          </cell>
          <cell r="BR102">
            <v>0</v>
          </cell>
          <cell r="BS102">
            <v>0</v>
          </cell>
          <cell r="BT102">
            <v>6</v>
          </cell>
          <cell r="BU102">
            <v>0</v>
          </cell>
          <cell r="BV102">
            <v>0</v>
          </cell>
          <cell r="BW102">
            <v>0</v>
          </cell>
          <cell r="BX102">
            <v>0</v>
          </cell>
          <cell r="BY102">
            <v>0</v>
          </cell>
          <cell r="BZ102">
            <v>0</v>
          </cell>
          <cell r="CA102">
            <v>0</v>
          </cell>
          <cell r="CB102">
            <v>0</v>
          </cell>
          <cell r="CC102">
            <v>0</v>
          </cell>
          <cell r="CD102">
            <v>0</v>
          </cell>
        </row>
        <row r="103">
          <cell r="C103">
            <v>37718</v>
          </cell>
          <cell r="D103">
            <v>37783</v>
          </cell>
          <cell r="E103">
            <v>37778</v>
          </cell>
          <cell r="F103">
            <v>0.35416666666666669</v>
          </cell>
          <cell r="G103" t="str">
            <v>Perfiladora Fagor Largueros</v>
          </cell>
          <cell r="H103" t="str">
            <v>Guias quebradas</v>
          </cell>
          <cell r="I103" t="str">
            <v>Corretiva</v>
          </cell>
          <cell r="J103" t="str">
            <v>Sim</v>
          </cell>
          <cell r="K103" t="str">
            <v>Mecânica</v>
          </cell>
          <cell r="L103" t="str">
            <v>Substituição do(s) Componente(s)</v>
          </cell>
          <cell r="M103" t="str">
            <v>Falha Operacional</v>
          </cell>
          <cell r="N103">
            <v>37778</v>
          </cell>
          <cell r="O103">
            <v>0.35416666666666669</v>
          </cell>
          <cell r="P103">
            <v>37778</v>
          </cell>
          <cell r="Q103">
            <v>0.35416666666666669</v>
          </cell>
          <cell r="T103">
            <v>37778</v>
          </cell>
          <cell r="U103">
            <v>0.39583333333333331</v>
          </cell>
          <cell r="V103">
            <v>37778</v>
          </cell>
          <cell r="W103">
            <v>0.39583333333333331</v>
          </cell>
          <cell r="X103">
            <v>4.166666666666663E-2</v>
          </cell>
          <cell r="Y103">
            <v>4.1666666669091967E-2</v>
          </cell>
          <cell r="AB103">
            <v>6</v>
          </cell>
          <cell r="AC103">
            <v>4</v>
          </cell>
          <cell r="AD103">
            <v>0</v>
          </cell>
          <cell r="BF103">
            <v>0</v>
          </cell>
          <cell r="BG103">
            <v>0</v>
          </cell>
          <cell r="BH103">
            <v>0</v>
          </cell>
          <cell r="BI103">
            <v>0</v>
          </cell>
          <cell r="BJ103">
            <v>0</v>
          </cell>
          <cell r="BK103">
            <v>0</v>
          </cell>
          <cell r="BL103">
            <v>0</v>
          </cell>
          <cell r="BM103">
            <v>0</v>
          </cell>
          <cell r="BN103">
            <v>0</v>
          </cell>
          <cell r="BO103">
            <v>0</v>
          </cell>
          <cell r="BP103">
            <v>0</v>
          </cell>
          <cell r="BQ103">
            <v>0</v>
          </cell>
          <cell r="BR103">
            <v>0</v>
          </cell>
          <cell r="BS103">
            <v>0</v>
          </cell>
          <cell r="BT103">
            <v>6</v>
          </cell>
          <cell r="BU103">
            <v>0</v>
          </cell>
          <cell r="BV103">
            <v>0</v>
          </cell>
          <cell r="BW103">
            <v>0</v>
          </cell>
          <cell r="BX103">
            <v>0</v>
          </cell>
          <cell r="BY103">
            <v>0</v>
          </cell>
          <cell r="BZ103">
            <v>0</v>
          </cell>
          <cell r="CA103">
            <v>0</v>
          </cell>
          <cell r="CB103">
            <v>0</v>
          </cell>
          <cell r="CC103">
            <v>0</v>
          </cell>
          <cell r="CD103">
            <v>0</v>
          </cell>
        </row>
        <row r="104">
          <cell r="C104">
            <v>37718</v>
          </cell>
          <cell r="D104">
            <v>37783</v>
          </cell>
          <cell r="E104">
            <v>37782</v>
          </cell>
          <cell r="F104">
            <v>0.41666666666666669</v>
          </cell>
          <cell r="G104" t="str">
            <v>Perfiladora Fagor Largueros</v>
          </cell>
          <cell r="H104" t="str">
            <v>Esteira da mesa 01 está travada</v>
          </cell>
          <cell r="I104" t="str">
            <v>Corretiva</v>
          </cell>
          <cell r="J104" t="str">
            <v>Sim</v>
          </cell>
          <cell r="K104" t="str">
            <v>Mecânica</v>
          </cell>
          <cell r="L104" t="str">
            <v>Limpeza do Equipamento / Componente</v>
          </cell>
          <cell r="M104" t="str">
            <v>Sujeira em excesso</v>
          </cell>
          <cell r="N104">
            <v>37782</v>
          </cell>
          <cell r="O104">
            <v>0.41666666666666669</v>
          </cell>
          <cell r="P104">
            <v>37782</v>
          </cell>
          <cell r="Q104">
            <v>0.41666666666666669</v>
          </cell>
          <cell r="T104">
            <v>37782</v>
          </cell>
          <cell r="U104">
            <v>0.4375</v>
          </cell>
          <cell r="V104">
            <v>37782</v>
          </cell>
          <cell r="W104">
            <v>0.4375</v>
          </cell>
          <cell r="X104">
            <v>2.0833333333333315E-2</v>
          </cell>
          <cell r="Y104">
            <v>2.0833333333333315E-2</v>
          </cell>
          <cell r="AB104">
            <v>6</v>
          </cell>
          <cell r="AC104">
            <v>4</v>
          </cell>
          <cell r="AD104">
            <v>0</v>
          </cell>
          <cell r="BF104">
            <v>0</v>
          </cell>
          <cell r="BG104">
            <v>0</v>
          </cell>
          <cell r="BH104">
            <v>0</v>
          </cell>
          <cell r="BI104">
            <v>0</v>
          </cell>
          <cell r="BJ104">
            <v>0</v>
          </cell>
          <cell r="BK104">
            <v>0</v>
          </cell>
          <cell r="BL104">
            <v>0</v>
          </cell>
          <cell r="BM104">
            <v>0</v>
          </cell>
          <cell r="BN104">
            <v>0</v>
          </cell>
          <cell r="BO104">
            <v>0</v>
          </cell>
          <cell r="BP104">
            <v>0</v>
          </cell>
          <cell r="BQ104">
            <v>0</v>
          </cell>
          <cell r="BR104">
            <v>0</v>
          </cell>
          <cell r="BS104">
            <v>0</v>
          </cell>
          <cell r="BT104">
            <v>6</v>
          </cell>
          <cell r="BU104">
            <v>0</v>
          </cell>
          <cell r="BV104">
            <v>0</v>
          </cell>
          <cell r="BW104">
            <v>0</v>
          </cell>
          <cell r="BX104">
            <v>0</v>
          </cell>
          <cell r="BY104">
            <v>0</v>
          </cell>
          <cell r="BZ104">
            <v>0</v>
          </cell>
          <cell r="CA104">
            <v>0</v>
          </cell>
          <cell r="CB104">
            <v>0</v>
          </cell>
          <cell r="CC104">
            <v>0</v>
          </cell>
          <cell r="CD104">
            <v>0</v>
          </cell>
        </row>
        <row r="105">
          <cell r="C105">
            <v>37718</v>
          </cell>
          <cell r="D105">
            <v>37847</v>
          </cell>
          <cell r="E105">
            <v>37846</v>
          </cell>
          <cell r="F105">
            <v>0.3611111111111111</v>
          </cell>
          <cell r="G105" t="str">
            <v>Perfiladora Fagor Largueros</v>
          </cell>
          <cell r="H105" t="str">
            <v>Carro de Corte não avança, e produz ruído em excesso</v>
          </cell>
          <cell r="I105" t="str">
            <v>Corretiva</v>
          </cell>
          <cell r="J105" t="str">
            <v>Sim</v>
          </cell>
          <cell r="K105" t="str">
            <v>Mecânica</v>
          </cell>
          <cell r="L105" t="str">
            <v>Reinicialização do Equipamento / Componente</v>
          </cell>
          <cell r="M105" t="str">
            <v>Falha Operacional</v>
          </cell>
          <cell r="N105">
            <v>37846</v>
          </cell>
          <cell r="O105">
            <v>0.375</v>
          </cell>
          <cell r="P105">
            <v>37846</v>
          </cell>
          <cell r="Q105">
            <v>0.375</v>
          </cell>
          <cell r="T105">
            <v>37846</v>
          </cell>
          <cell r="U105">
            <v>0.38541666666666669</v>
          </cell>
          <cell r="V105">
            <v>37846</v>
          </cell>
          <cell r="W105">
            <v>0.38541666666666669</v>
          </cell>
          <cell r="X105">
            <v>1.0416666666666685E-2</v>
          </cell>
          <cell r="Y105">
            <v>1.0416666664241347E-2</v>
          </cell>
          <cell r="AB105">
            <v>8</v>
          </cell>
          <cell r="AC105">
            <v>4</v>
          </cell>
          <cell r="AD105">
            <v>0</v>
          </cell>
          <cell r="BF105">
            <v>0</v>
          </cell>
          <cell r="BG105">
            <v>0</v>
          </cell>
          <cell r="BH105">
            <v>0</v>
          </cell>
          <cell r="BI105">
            <v>0</v>
          </cell>
          <cell r="BJ105">
            <v>0</v>
          </cell>
          <cell r="BK105">
            <v>0</v>
          </cell>
          <cell r="BL105">
            <v>0</v>
          </cell>
          <cell r="BM105">
            <v>0</v>
          </cell>
          <cell r="BN105">
            <v>0</v>
          </cell>
          <cell r="BO105">
            <v>0</v>
          </cell>
          <cell r="BP105">
            <v>0</v>
          </cell>
          <cell r="BQ105">
            <v>0</v>
          </cell>
          <cell r="BR105">
            <v>0</v>
          </cell>
          <cell r="BS105">
            <v>0</v>
          </cell>
          <cell r="BT105">
            <v>8</v>
          </cell>
          <cell r="BU105">
            <v>0</v>
          </cell>
          <cell r="BV105">
            <v>0</v>
          </cell>
          <cell r="BW105">
            <v>0</v>
          </cell>
          <cell r="BX105">
            <v>0</v>
          </cell>
          <cell r="BY105">
            <v>0</v>
          </cell>
          <cell r="BZ105">
            <v>0</v>
          </cell>
          <cell r="CA105">
            <v>0</v>
          </cell>
          <cell r="CB105">
            <v>0</v>
          </cell>
          <cell r="CC105">
            <v>0</v>
          </cell>
          <cell r="CD105">
            <v>0</v>
          </cell>
        </row>
        <row r="106">
          <cell r="C106">
            <v>37718</v>
          </cell>
          <cell r="D106">
            <v>37865</v>
          </cell>
          <cell r="E106">
            <v>37860</v>
          </cell>
          <cell r="F106">
            <v>0.29166666666666669</v>
          </cell>
          <cell r="G106" t="str">
            <v>Perfiladora Fagor Largueros</v>
          </cell>
          <cell r="H106" t="str">
            <v>Desarme constante do disjuntor</v>
          </cell>
          <cell r="I106" t="str">
            <v>Corretiva</v>
          </cell>
          <cell r="J106" t="str">
            <v>Sim</v>
          </cell>
          <cell r="K106" t="str">
            <v>Elétrica</v>
          </cell>
          <cell r="L106" t="str">
            <v>Ajuste / Regulagem</v>
          </cell>
          <cell r="M106" t="str">
            <v>Saturação do Filtro</v>
          </cell>
          <cell r="N106">
            <v>37860</v>
          </cell>
          <cell r="O106">
            <v>0.29166666666666669</v>
          </cell>
          <cell r="P106">
            <v>37860</v>
          </cell>
          <cell r="Q106">
            <v>0.29166666666666669</v>
          </cell>
          <cell r="T106">
            <v>37860</v>
          </cell>
          <cell r="U106">
            <v>0.3125</v>
          </cell>
          <cell r="V106">
            <v>37860</v>
          </cell>
          <cell r="W106">
            <v>0.3125</v>
          </cell>
          <cell r="X106">
            <v>2.0833333333333315E-2</v>
          </cell>
          <cell r="Y106">
            <v>2.0833333333333315E-2</v>
          </cell>
          <cell r="AB106">
            <v>8</v>
          </cell>
          <cell r="AC106">
            <v>4</v>
          </cell>
          <cell r="AD106">
            <v>0</v>
          </cell>
          <cell r="BF106">
            <v>0</v>
          </cell>
          <cell r="BG106">
            <v>0</v>
          </cell>
          <cell r="BH106">
            <v>0</v>
          </cell>
          <cell r="BI106">
            <v>0</v>
          </cell>
          <cell r="BJ106">
            <v>0</v>
          </cell>
          <cell r="BK106">
            <v>0</v>
          </cell>
          <cell r="BL106">
            <v>0</v>
          </cell>
          <cell r="BM106">
            <v>0</v>
          </cell>
          <cell r="BN106">
            <v>0</v>
          </cell>
          <cell r="BO106">
            <v>0</v>
          </cell>
          <cell r="BP106">
            <v>0</v>
          </cell>
          <cell r="BQ106">
            <v>0</v>
          </cell>
          <cell r="BR106">
            <v>0</v>
          </cell>
          <cell r="BS106">
            <v>0</v>
          </cell>
          <cell r="BT106">
            <v>8</v>
          </cell>
          <cell r="BU106">
            <v>0</v>
          </cell>
          <cell r="BV106">
            <v>0</v>
          </cell>
          <cell r="BW106">
            <v>0</v>
          </cell>
          <cell r="BX106">
            <v>0</v>
          </cell>
          <cell r="BY106">
            <v>0</v>
          </cell>
          <cell r="BZ106">
            <v>0</v>
          </cell>
          <cell r="CA106">
            <v>0</v>
          </cell>
          <cell r="CB106">
            <v>0</v>
          </cell>
          <cell r="CC106">
            <v>0</v>
          </cell>
          <cell r="CD106">
            <v>0</v>
          </cell>
        </row>
        <row r="107">
          <cell r="C107">
            <v>37718</v>
          </cell>
          <cell r="D107">
            <v>37721</v>
          </cell>
          <cell r="E107">
            <v>37721</v>
          </cell>
          <cell r="F107">
            <v>0.375</v>
          </cell>
          <cell r="G107" t="str">
            <v>Máquina de Solda MIG</v>
          </cell>
          <cell r="H107" t="str">
            <v>Reparo nas tochas Solmig 320 - AirLiquide MIG 3105</v>
          </cell>
          <cell r="I107" t="str">
            <v>Corretiva</v>
          </cell>
          <cell r="J107" t="str">
            <v>Sim</v>
          </cell>
          <cell r="K107" t="str">
            <v>Mecânica</v>
          </cell>
          <cell r="L107" t="str">
            <v>Substituição do(s) Componente(s)</v>
          </cell>
          <cell r="M107" t="str">
            <v>Desgaste / Fadiga</v>
          </cell>
          <cell r="N107">
            <v>37721</v>
          </cell>
          <cell r="O107">
            <v>0.375</v>
          </cell>
          <cell r="P107">
            <v>37721</v>
          </cell>
          <cell r="Q107">
            <v>0.375</v>
          </cell>
          <cell r="R107">
            <v>37749</v>
          </cell>
          <cell r="S107">
            <v>0.66666666666666663</v>
          </cell>
          <cell r="T107">
            <v>37749</v>
          </cell>
          <cell r="U107">
            <v>0.83333333333333337</v>
          </cell>
          <cell r="V107">
            <v>0</v>
          </cell>
          <cell r="W107">
            <v>0.16666666666666674</v>
          </cell>
          <cell r="X107">
            <v>0.16666666666666674</v>
          </cell>
          <cell r="Y107">
            <v>0.16666666666666674</v>
          </cell>
          <cell r="AB107">
            <v>5</v>
          </cell>
          <cell r="AC107">
            <v>4</v>
          </cell>
          <cell r="AD107">
            <v>0</v>
          </cell>
          <cell r="BF107">
            <v>0</v>
          </cell>
          <cell r="BG107">
            <v>0</v>
          </cell>
          <cell r="BH107">
            <v>0</v>
          </cell>
          <cell r="BI107">
            <v>0</v>
          </cell>
          <cell r="BJ107">
            <v>0</v>
          </cell>
          <cell r="BK107">
            <v>0</v>
          </cell>
          <cell r="BL107">
            <v>0</v>
          </cell>
          <cell r="BM107">
            <v>0</v>
          </cell>
          <cell r="BN107">
            <v>0</v>
          </cell>
          <cell r="BO107">
            <v>0</v>
          </cell>
          <cell r="BP107">
            <v>0</v>
          </cell>
          <cell r="BQ107">
            <v>0</v>
          </cell>
          <cell r="BR107">
            <v>5</v>
          </cell>
          <cell r="BS107">
            <v>0</v>
          </cell>
          <cell r="BT107">
            <v>0</v>
          </cell>
          <cell r="BU107">
            <v>0</v>
          </cell>
          <cell r="BV107">
            <v>0</v>
          </cell>
          <cell r="BW107">
            <v>0</v>
          </cell>
          <cell r="BX107">
            <v>0</v>
          </cell>
          <cell r="BY107">
            <v>0</v>
          </cell>
          <cell r="BZ107">
            <v>0</v>
          </cell>
          <cell r="CA107">
            <v>0</v>
          </cell>
          <cell r="CB107">
            <v>0</v>
          </cell>
          <cell r="CC107">
            <v>0</v>
          </cell>
          <cell r="CD107">
            <v>0</v>
          </cell>
        </row>
        <row r="108">
          <cell r="C108">
            <v>37718</v>
          </cell>
          <cell r="D108">
            <v>37748</v>
          </cell>
          <cell r="E108">
            <v>37748</v>
          </cell>
          <cell r="F108">
            <v>0.375</v>
          </cell>
          <cell r="G108" t="str">
            <v>Serra de Fita</v>
          </cell>
          <cell r="H108" t="str">
            <v>Cortes saem fora de esquadro</v>
          </cell>
          <cell r="I108" t="str">
            <v>Corretiva</v>
          </cell>
          <cell r="J108" t="str">
            <v>Não</v>
          </cell>
          <cell r="K108" t="str">
            <v>Mecânica</v>
          </cell>
          <cell r="L108" t="str">
            <v>Reparo</v>
          </cell>
          <cell r="M108" t="str">
            <v>Defeito de Fabricação</v>
          </cell>
          <cell r="N108">
            <v>37748</v>
          </cell>
          <cell r="O108">
            <v>0.375</v>
          </cell>
          <cell r="P108">
            <v>37748</v>
          </cell>
          <cell r="Q108">
            <v>0.375</v>
          </cell>
          <cell r="T108">
            <v>37748</v>
          </cell>
          <cell r="U108">
            <v>0.625</v>
          </cell>
          <cell r="V108">
            <v>37748</v>
          </cell>
          <cell r="W108">
            <v>0.625</v>
          </cell>
          <cell r="X108">
            <v>0.25</v>
          </cell>
          <cell r="Y108">
            <v>0.25</v>
          </cell>
          <cell r="AB108">
            <v>5</v>
          </cell>
          <cell r="AC108">
            <v>4</v>
          </cell>
          <cell r="AD108">
            <v>0</v>
          </cell>
          <cell r="BF108">
            <v>0</v>
          </cell>
          <cell r="BG108">
            <v>0</v>
          </cell>
          <cell r="BH108">
            <v>0</v>
          </cell>
          <cell r="BI108">
            <v>0</v>
          </cell>
          <cell r="BJ108">
            <v>0</v>
          </cell>
          <cell r="BK108">
            <v>0</v>
          </cell>
          <cell r="BL108">
            <v>0</v>
          </cell>
          <cell r="BM108">
            <v>0</v>
          </cell>
          <cell r="BN108">
            <v>0</v>
          </cell>
          <cell r="BO108">
            <v>0</v>
          </cell>
          <cell r="BP108">
            <v>0</v>
          </cell>
          <cell r="BQ108">
            <v>0</v>
          </cell>
          <cell r="BR108">
            <v>0</v>
          </cell>
          <cell r="BS108">
            <v>0</v>
          </cell>
          <cell r="BT108">
            <v>0</v>
          </cell>
          <cell r="BU108">
            <v>0</v>
          </cell>
          <cell r="BV108">
            <v>0</v>
          </cell>
          <cell r="BW108">
            <v>0</v>
          </cell>
          <cell r="BX108">
            <v>0</v>
          </cell>
          <cell r="BY108">
            <v>0</v>
          </cell>
          <cell r="BZ108">
            <v>0</v>
          </cell>
          <cell r="CA108">
            <v>0</v>
          </cell>
          <cell r="CB108">
            <v>0</v>
          </cell>
          <cell r="CC108">
            <v>5</v>
          </cell>
          <cell r="CD108">
            <v>0</v>
          </cell>
        </row>
        <row r="109">
          <cell r="C109">
            <v>37718</v>
          </cell>
          <cell r="D109">
            <v>37858</v>
          </cell>
          <cell r="E109">
            <v>37834</v>
          </cell>
          <cell r="F109">
            <v>0.4375</v>
          </cell>
          <cell r="G109" t="str">
            <v>Serra de Fita</v>
          </cell>
          <cell r="H109" t="str">
            <v>Serra não se movimenta</v>
          </cell>
          <cell r="I109" t="str">
            <v>Corretiva</v>
          </cell>
          <cell r="J109" t="str">
            <v>Sim</v>
          </cell>
          <cell r="K109" t="str">
            <v>Elétrica</v>
          </cell>
          <cell r="L109" t="str">
            <v>Correção de mau contato</v>
          </cell>
          <cell r="M109" t="str">
            <v>Sujeira em excesso</v>
          </cell>
          <cell r="N109">
            <v>37834</v>
          </cell>
          <cell r="O109">
            <v>0.4375</v>
          </cell>
          <cell r="P109">
            <v>37834</v>
          </cell>
          <cell r="Q109">
            <v>0.4375</v>
          </cell>
          <cell r="T109">
            <v>37834</v>
          </cell>
          <cell r="U109">
            <v>0.5</v>
          </cell>
          <cell r="V109">
            <v>37834</v>
          </cell>
          <cell r="W109">
            <v>0.5</v>
          </cell>
          <cell r="X109">
            <v>6.25E-2</v>
          </cell>
          <cell r="Y109">
            <v>6.25E-2</v>
          </cell>
          <cell r="AB109">
            <v>8</v>
          </cell>
          <cell r="AC109">
            <v>4</v>
          </cell>
          <cell r="AD109">
            <v>0</v>
          </cell>
          <cell r="BF109">
            <v>0</v>
          </cell>
          <cell r="BG109">
            <v>0</v>
          </cell>
          <cell r="BH109">
            <v>0</v>
          </cell>
          <cell r="BI109">
            <v>0</v>
          </cell>
          <cell r="BJ109">
            <v>0</v>
          </cell>
          <cell r="BK109">
            <v>0</v>
          </cell>
          <cell r="BL109">
            <v>0</v>
          </cell>
          <cell r="BM109">
            <v>0</v>
          </cell>
          <cell r="BN109">
            <v>0</v>
          </cell>
          <cell r="BO109">
            <v>0</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8</v>
          </cell>
          <cell r="CD109">
            <v>0</v>
          </cell>
        </row>
        <row r="110">
          <cell r="C110">
            <v>37718</v>
          </cell>
          <cell r="D110">
            <v>37762</v>
          </cell>
          <cell r="E110">
            <v>37761</v>
          </cell>
          <cell r="F110">
            <v>0.67361111111111116</v>
          </cell>
          <cell r="G110" t="str">
            <v>Serra de Fita</v>
          </cell>
          <cell r="H110" t="str">
            <v>Morsa quebrada</v>
          </cell>
          <cell r="I110" t="str">
            <v>Corretiva</v>
          </cell>
          <cell r="J110" t="str">
            <v>Não</v>
          </cell>
          <cell r="K110" t="str">
            <v>Mecânica</v>
          </cell>
          <cell r="L110" t="str">
            <v>Substituição do(s) Componente(s)</v>
          </cell>
          <cell r="M110" t="str">
            <v>Defeito de Fabricação</v>
          </cell>
          <cell r="N110">
            <v>37762</v>
          </cell>
          <cell r="O110">
            <v>0.4375</v>
          </cell>
          <cell r="P110">
            <v>37762</v>
          </cell>
          <cell r="Q110">
            <v>0.52083333333333337</v>
          </cell>
          <cell r="R110">
            <v>37774</v>
          </cell>
          <cell r="S110">
            <v>0.33333333333333331</v>
          </cell>
          <cell r="T110">
            <v>37774</v>
          </cell>
          <cell r="U110">
            <v>0.35416666666666669</v>
          </cell>
          <cell r="V110">
            <v>0</v>
          </cell>
          <cell r="W110">
            <v>0.10416666666666674</v>
          </cell>
          <cell r="X110">
            <v>0.10416666666666674</v>
          </cell>
          <cell r="Y110">
            <v>0.10416666666666674</v>
          </cell>
          <cell r="AB110">
            <v>6</v>
          </cell>
          <cell r="AC110">
            <v>4</v>
          </cell>
          <cell r="AD110">
            <v>0</v>
          </cell>
          <cell r="BF110">
            <v>0</v>
          </cell>
          <cell r="BG110">
            <v>0</v>
          </cell>
          <cell r="BH110">
            <v>0</v>
          </cell>
          <cell r="BI110">
            <v>0</v>
          </cell>
          <cell r="BJ110">
            <v>0</v>
          </cell>
          <cell r="BK110">
            <v>0</v>
          </cell>
          <cell r="BL110">
            <v>0</v>
          </cell>
          <cell r="BM110">
            <v>0</v>
          </cell>
          <cell r="BN110">
            <v>0</v>
          </cell>
          <cell r="BO110">
            <v>0</v>
          </cell>
          <cell r="BP110">
            <v>0</v>
          </cell>
          <cell r="BQ110">
            <v>0</v>
          </cell>
          <cell r="BR110">
            <v>0</v>
          </cell>
          <cell r="BS110">
            <v>0</v>
          </cell>
          <cell r="BT110">
            <v>0</v>
          </cell>
          <cell r="BU110">
            <v>0</v>
          </cell>
          <cell r="BV110">
            <v>0</v>
          </cell>
          <cell r="BW110">
            <v>0</v>
          </cell>
          <cell r="BX110">
            <v>0</v>
          </cell>
          <cell r="BY110">
            <v>0</v>
          </cell>
          <cell r="BZ110">
            <v>0</v>
          </cell>
          <cell r="CA110">
            <v>0</v>
          </cell>
          <cell r="CB110">
            <v>0</v>
          </cell>
          <cell r="CC110">
            <v>6</v>
          </cell>
          <cell r="CD110">
            <v>0</v>
          </cell>
        </row>
        <row r="111">
          <cell r="C111">
            <v>37718</v>
          </cell>
          <cell r="D111">
            <v>37915</v>
          </cell>
          <cell r="E111">
            <v>37862</v>
          </cell>
          <cell r="F111">
            <v>0.35416666666666669</v>
          </cell>
          <cell r="G111" t="str">
            <v>Máquina de Solda MIG</v>
          </cell>
          <cell r="H111" t="str">
            <v>Há a necessidade de aquisição de extensão com tomadas Steck</v>
          </cell>
          <cell r="I111" t="str">
            <v>Melhoria</v>
          </cell>
          <cell r="J111" t="str">
            <v>Não</v>
          </cell>
          <cell r="K111" t="str">
            <v>Elétrica</v>
          </cell>
          <cell r="L111" t="str">
            <v>Substituição do(s) Componente(s)</v>
          </cell>
          <cell r="M111" t="str">
            <v>Melhoria Técnica</v>
          </cell>
          <cell r="N111">
            <v>37866</v>
          </cell>
          <cell r="O111">
            <v>0.33333333333333331</v>
          </cell>
          <cell r="P111">
            <v>37866</v>
          </cell>
          <cell r="Q111">
            <v>0.33333333333333331</v>
          </cell>
          <cell r="T111">
            <v>37866</v>
          </cell>
          <cell r="U111">
            <v>0.375</v>
          </cell>
          <cell r="V111">
            <v>37866</v>
          </cell>
          <cell r="W111">
            <v>0.375</v>
          </cell>
          <cell r="X111">
            <v>4.1666666666666685E-2</v>
          </cell>
          <cell r="Y111">
            <v>4.1666666666666685E-2</v>
          </cell>
          <cell r="AB111">
            <v>9</v>
          </cell>
          <cell r="AC111">
            <v>4</v>
          </cell>
          <cell r="AD111">
            <v>0</v>
          </cell>
          <cell r="BF111">
            <v>0</v>
          </cell>
          <cell r="BG111">
            <v>0</v>
          </cell>
          <cell r="BH111">
            <v>0</v>
          </cell>
          <cell r="BI111">
            <v>0</v>
          </cell>
          <cell r="BJ111">
            <v>0</v>
          </cell>
          <cell r="BK111">
            <v>0</v>
          </cell>
          <cell r="BL111">
            <v>0</v>
          </cell>
          <cell r="BM111">
            <v>0</v>
          </cell>
          <cell r="BN111">
            <v>0</v>
          </cell>
          <cell r="BO111">
            <v>0</v>
          </cell>
          <cell r="BP111">
            <v>0</v>
          </cell>
          <cell r="BQ111">
            <v>0</v>
          </cell>
          <cell r="BR111">
            <v>9</v>
          </cell>
          <cell r="BS111">
            <v>0</v>
          </cell>
          <cell r="BT111">
            <v>0</v>
          </cell>
          <cell r="BU111">
            <v>0</v>
          </cell>
          <cell r="BV111">
            <v>0</v>
          </cell>
          <cell r="BW111">
            <v>0</v>
          </cell>
          <cell r="BX111">
            <v>0</v>
          </cell>
          <cell r="BY111">
            <v>0</v>
          </cell>
          <cell r="BZ111">
            <v>0</v>
          </cell>
          <cell r="CA111">
            <v>0</v>
          </cell>
          <cell r="CB111">
            <v>0</v>
          </cell>
          <cell r="CC111">
            <v>0</v>
          </cell>
          <cell r="CD111">
            <v>0</v>
          </cell>
        </row>
        <row r="112">
          <cell r="C112">
            <v>37718</v>
          </cell>
          <cell r="D112">
            <v>37868</v>
          </cell>
          <cell r="E112">
            <v>37866</v>
          </cell>
          <cell r="F112">
            <v>0.25</v>
          </cell>
          <cell r="G112" t="str">
            <v>Máquina de Solda MIG</v>
          </cell>
          <cell r="H112" t="str">
            <v>Bocal e Isolador danificados</v>
          </cell>
          <cell r="I112" t="str">
            <v>Corretiva</v>
          </cell>
          <cell r="J112" t="str">
            <v>Não</v>
          </cell>
          <cell r="K112" t="str">
            <v>Mecânica</v>
          </cell>
          <cell r="L112" t="str">
            <v>Substituição do(s) Componente(s)</v>
          </cell>
          <cell r="M112" t="str">
            <v>Desgaste / Fadiga</v>
          </cell>
          <cell r="N112">
            <v>37866</v>
          </cell>
          <cell r="O112">
            <v>0.25</v>
          </cell>
          <cell r="P112">
            <v>37866</v>
          </cell>
          <cell r="Q112">
            <v>0.25</v>
          </cell>
          <cell r="T112">
            <v>37866</v>
          </cell>
          <cell r="U112">
            <v>0.29166666666666669</v>
          </cell>
          <cell r="V112">
            <v>37866</v>
          </cell>
          <cell r="W112">
            <v>0.29166666666666669</v>
          </cell>
          <cell r="X112">
            <v>4.1666666664241347E-2</v>
          </cell>
          <cell r="Y112">
            <v>4.1666666664241347E-2</v>
          </cell>
          <cell r="AB112">
            <v>9</v>
          </cell>
          <cell r="AC112">
            <v>4</v>
          </cell>
          <cell r="AD112">
            <v>0</v>
          </cell>
          <cell r="BF112">
            <v>0</v>
          </cell>
          <cell r="BG112">
            <v>0</v>
          </cell>
          <cell r="BH112">
            <v>0</v>
          </cell>
          <cell r="BI112">
            <v>0</v>
          </cell>
          <cell r="BJ112">
            <v>0</v>
          </cell>
          <cell r="BK112">
            <v>0</v>
          </cell>
          <cell r="BL112">
            <v>0</v>
          </cell>
          <cell r="BM112">
            <v>0</v>
          </cell>
          <cell r="BN112">
            <v>0</v>
          </cell>
          <cell r="BO112">
            <v>0</v>
          </cell>
          <cell r="BP112">
            <v>0</v>
          </cell>
          <cell r="BQ112">
            <v>0</v>
          </cell>
          <cell r="BR112">
            <v>9</v>
          </cell>
          <cell r="BS112">
            <v>0</v>
          </cell>
          <cell r="BT112">
            <v>0</v>
          </cell>
          <cell r="BU112">
            <v>0</v>
          </cell>
          <cell r="BV112">
            <v>0</v>
          </cell>
          <cell r="BW112">
            <v>0</v>
          </cell>
          <cell r="BX112">
            <v>0</v>
          </cell>
          <cell r="BY112">
            <v>0</v>
          </cell>
          <cell r="BZ112">
            <v>0</v>
          </cell>
          <cell r="CA112">
            <v>0</v>
          </cell>
          <cell r="CB112">
            <v>0</v>
          </cell>
          <cell r="CC112">
            <v>0</v>
          </cell>
          <cell r="CD112">
            <v>0</v>
          </cell>
        </row>
        <row r="113">
          <cell r="C113">
            <v>37718</v>
          </cell>
          <cell r="D113">
            <v>37874</v>
          </cell>
          <cell r="E113">
            <v>37869</v>
          </cell>
          <cell r="F113">
            <v>0.25</v>
          </cell>
          <cell r="G113" t="str">
            <v>Máquina de Solda MIG</v>
          </cell>
          <cell r="H113" t="str">
            <v>Isolador e Porta-bico Danificados</v>
          </cell>
          <cell r="I113" t="str">
            <v>Corretiva</v>
          </cell>
          <cell r="J113" t="str">
            <v>Não</v>
          </cell>
          <cell r="K113" t="str">
            <v>Mecânica</v>
          </cell>
          <cell r="L113" t="str">
            <v>Substituição do(s) Componente(s)</v>
          </cell>
          <cell r="M113" t="str">
            <v>Desgaste / Fadiga</v>
          </cell>
          <cell r="N113">
            <v>37869</v>
          </cell>
          <cell r="O113">
            <v>0.25</v>
          </cell>
          <cell r="P113">
            <v>37869</v>
          </cell>
          <cell r="Q113">
            <v>0.25</v>
          </cell>
          <cell r="T113">
            <v>37869</v>
          </cell>
          <cell r="U113">
            <v>0.28472222222222221</v>
          </cell>
          <cell r="V113">
            <v>37869</v>
          </cell>
          <cell r="W113">
            <v>0.28472222222222221</v>
          </cell>
          <cell r="X113">
            <v>3.4722222218988463E-2</v>
          </cell>
          <cell r="Y113">
            <v>3.4722222218988463E-2</v>
          </cell>
          <cell r="AB113">
            <v>9</v>
          </cell>
          <cell r="AC113">
            <v>4</v>
          </cell>
          <cell r="AD113">
            <v>0</v>
          </cell>
          <cell r="BF113">
            <v>0</v>
          </cell>
          <cell r="BG113">
            <v>0</v>
          </cell>
          <cell r="BH113">
            <v>0</v>
          </cell>
          <cell r="BI113">
            <v>0</v>
          </cell>
          <cell r="BJ113">
            <v>0</v>
          </cell>
          <cell r="BK113">
            <v>0</v>
          </cell>
          <cell r="BL113">
            <v>0</v>
          </cell>
          <cell r="BM113">
            <v>0</v>
          </cell>
          <cell r="BN113">
            <v>0</v>
          </cell>
          <cell r="BO113">
            <v>0</v>
          </cell>
          <cell r="BP113">
            <v>0</v>
          </cell>
          <cell r="BQ113">
            <v>0</v>
          </cell>
          <cell r="BR113">
            <v>9</v>
          </cell>
          <cell r="BS113">
            <v>0</v>
          </cell>
          <cell r="BT113">
            <v>0</v>
          </cell>
          <cell r="BU113">
            <v>0</v>
          </cell>
          <cell r="BV113">
            <v>0</v>
          </cell>
          <cell r="BW113">
            <v>0</v>
          </cell>
          <cell r="BX113">
            <v>0</v>
          </cell>
          <cell r="BY113">
            <v>0</v>
          </cell>
          <cell r="BZ113">
            <v>0</v>
          </cell>
          <cell r="CA113">
            <v>0</v>
          </cell>
          <cell r="CB113">
            <v>0</v>
          </cell>
          <cell r="CC113">
            <v>0</v>
          </cell>
          <cell r="CD113">
            <v>0</v>
          </cell>
        </row>
        <row r="114">
          <cell r="C114">
            <v>37718</v>
          </cell>
          <cell r="I114">
            <v>0</v>
          </cell>
          <cell r="N114">
            <v>0</v>
          </cell>
          <cell r="P114">
            <v>0</v>
          </cell>
          <cell r="T114">
            <v>0</v>
          </cell>
          <cell r="V114">
            <v>0</v>
          </cell>
          <cell r="W114">
            <v>0</v>
          </cell>
          <cell r="X114">
            <v>0</v>
          </cell>
          <cell r="Y114">
            <v>0</v>
          </cell>
          <cell r="AB114">
            <v>0</v>
          </cell>
          <cell r="AC114">
            <v>4</v>
          </cell>
          <cell r="AD114">
            <v>0</v>
          </cell>
          <cell r="BF114">
            <v>0</v>
          </cell>
          <cell r="BG114">
            <v>0</v>
          </cell>
          <cell r="BH114">
            <v>0</v>
          </cell>
          <cell r="BI114">
            <v>0</v>
          </cell>
          <cell r="BJ114">
            <v>0</v>
          </cell>
          <cell r="BK114">
            <v>0</v>
          </cell>
          <cell r="BL114">
            <v>0</v>
          </cell>
          <cell r="BM114">
            <v>0</v>
          </cell>
          <cell r="BN114">
            <v>0</v>
          </cell>
          <cell r="BO114">
            <v>0</v>
          </cell>
          <cell r="BP114">
            <v>0</v>
          </cell>
          <cell r="BQ114">
            <v>0</v>
          </cell>
          <cell r="BR114">
            <v>0</v>
          </cell>
          <cell r="BS114">
            <v>0</v>
          </cell>
          <cell r="BT114">
            <v>0</v>
          </cell>
          <cell r="BU114">
            <v>0</v>
          </cell>
          <cell r="BV114">
            <v>0</v>
          </cell>
          <cell r="BW114">
            <v>0</v>
          </cell>
          <cell r="BX114">
            <v>0</v>
          </cell>
          <cell r="BY114">
            <v>0</v>
          </cell>
          <cell r="BZ114">
            <v>0</v>
          </cell>
          <cell r="CA114">
            <v>0</v>
          </cell>
          <cell r="CB114">
            <v>0</v>
          </cell>
          <cell r="CC114">
            <v>0</v>
          </cell>
          <cell r="CD114">
            <v>0</v>
          </cell>
        </row>
        <row r="115">
          <cell r="C115">
            <v>37718</v>
          </cell>
          <cell r="D115">
            <v>37865</v>
          </cell>
          <cell r="E115">
            <v>37855</v>
          </cell>
          <cell r="F115">
            <v>0.41666666666666669</v>
          </cell>
          <cell r="G115" t="str">
            <v>Serra de Fita</v>
          </cell>
          <cell r="H115" t="str">
            <v>Máquina não funciona</v>
          </cell>
          <cell r="I115" t="str">
            <v>Corretiva</v>
          </cell>
          <cell r="J115" t="str">
            <v>Sim</v>
          </cell>
          <cell r="K115" t="str">
            <v>Elétrica</v>
          </cell>
          <cell r="L115" t="str">
            <v>Correção de mau contato</v>
          </cell>
          <cell r="M115" t="str">
            <v>Sobrecarga</v>
          </cell>
          <cell r="N115">
            <v>37855</v>
          </cell>
          <cell r="O115">
            <v>0.42708333333333331</v>
          </cell>
          <cell r="P115">
            <v>37855</v>
          </cell>
          <cell r="Q115">
            <v>0.42708333333333331</v>
          </cell>
          <cell r="T115">
            <v>37855</v>
          </cell>
          <cell r="U115">
            <v>0.45833333333333331</v>
          </cell>
          <cell r="V115">
            <v>37855</v>
          </cell>
          <cell r="W115">
            <v>0.45833333333333331</v>
          </cell>
          <cell r="X115">
            <v>3.125E-2</v>
          </cell>
          <cell r="Y115">
            <v>3.1250000002425338E-2</v>
          </cell>
          <cell r="AB115">
            <v>8</v>
          </cell>
          <cell r="AC115">
            <v>4</v>
          </cell>
          <cell r="AD115">
            <v>0</v>
          </cell>
          <cell r="BF115">
            <v>0</v>
          </cell>
          <cell r="BG115">
            <v>0</v>
          </cell>
          <cell r="BH115">
            <v>0</v>
          </cell>
          <cell r="BI115">
            <v>0</v>
          </cell>
          <cell r="BJ115">
            <v>0</v>
          </cell>
          <cell r="BK115">
            <v>0</v>
          </cell>
          <cell r="BL115">
            <v>0</v>
          </cell>
          <cell r="BM115">
            <v>0</v>
          </cell>
          <cell r="BN115">
            <v>0</v>
          </cell>
          <cell r="BO115">
            <v>0</v>
          </cell>
          <cell r="BP115">
            <v>0</v>
          </cell>
          <cell r="BQ115">
            <v>0</v>
          </cell>
          <cell r="BR115">
            <v>0</v>
          </cell>
          <cell r="BS115">
            <v>0</v>
          </cell>
          <cell r="BT115">
            <v>0</v>
          </cell>
          <cell r="BU115">
            <v>0</v>
          </cell>
          <cell r="BV115">
            <v>0</v>
          </cell>
          <cell r="BW115">
            <v>0</v>
          </cell>
          <cell r="BX115">
            <v>0</v>
          </cell>
          <cell r="BY115">
            <v>0</v>
          </cell>
          <cell r="BZ115">
            <v>0</v>
          </cell>
          <cell r="CA115">
            <v>0</v>
          </cell>
          <cell r="CB115">
            <v>0</v>
          </cell>
          <cell r="CC115">
            <v>8</v>
          </cell>
          <cell r="CD115">
            <v>0</v>
          </cell>
        </row>
        <row r="116">
          <cell r="C116">
            <v>37718</v>
          </cell>
          <cell r="D116">
            <v>37858</v>
          </cell>
          <cell r="E116">
            <v>37841</v>
          </cell>
          <cell r="F116">
            <v>0.34375</v>
          </cell>
          <cell r="G116" t="str">
            <v>Serra Elétrica Circular</v>
          </cell>
          <cell r="H116" t="str">
            <v>Caixa de Comando quebrada</v>
          </cell>
          <cell r="I116" t="str">
            <v>Corretiva</v>
          </cell>
          <cell r="J116" t="str">
            <v>Não</v>
          </cell>
          <cell r="K116" t="str">
            <v>Elétrica</v>
          </cell>
          <cell r="L116" t="str">
            <v>Reparo</v>
          </cell>
          <cell r="M116" t="str">
            <v>Vibração</v>
          </cell>
          <cell r="N116">
            <v>37841</v>
          </cell>
          <cell r="O116">
            <v>0.35416666666666669</v>
          </cell>
          <cell r="P116">
            <v>37841</v>
          </cell>
          <cell r="Q116">
            <v>0.35416666666666669</v>
          </cell>
          <cell r="T116">
            <v>37841</v>
          </cell>
          <cell r="U116">
            <v>0.3888888888888889</v>
          </cell>
          <cell r="V116">
            <v>37841</v>
          </cell>
          <cell r="W116">
            <v>0.3888888888888889</v>
          </cell>
          <cell r="X116">
            <v>3.4722222223839083E-2</v>
          </cell>
          <cell r="Y116">
            <v>3.4722222223839083E-2</v>
          </cell>
          <cell r="AB116">
            <v>8</v>
          </cell>
          <cell r="AC116">
            <v>4</v>
          </cell>
          <cell r="AD116">
            <v>0</v>
          </cell>
          <cell r="BF116">
            <v>0</v>
          </cell>
          <cell r="BG116">
            <v>0</v>
          </cell>
          <cell r="BH116">
            <v>0</v>
          </cell>
          <cell r="BI116">
            <v>0</v>
          </cell>
          <cell r="BJ116">
            <v>0</v>
          </cell>
          <cell r="BK116">
            <v>0</v>
          </cell>
          <cell r="BL116">
            <v>0</v>
          </cell>
          <cell r="BM116">
            <v>0</v>
          </cell>
          <cell r="BN116">
            <v>0</v>
          </cell>
          <cell r="BO116">
            <v>0</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8</v>
          </cell>
        </row>
        <row r="117">
          <cell r="C117">
            <v>37718</v>
          </cell>
          <cell r="D117">
            <v>37721</v>
          </cell>
          <cell r="E117">
            <v>37721</v>
          </cell>
          <cell r="F117">
            <v>0.33333333333333331</v>
          </cell>
          <cell r="G117" t="str">
            <v>Torno Mecânico</v>
          </cell>
          <cell r="H117" t="str">
            <v>Ao desligar a Máquina, não há destravamento do Freio</v>
          </cell>
          <cell r="I117" t="str">
            <v>Corretiva</v>
          </cell>
          <cell r="J117" t="str">
            <v>Não</v>
          </cell>
          <cell r="K117" t="str">
            <v>Mecânica</v>
          </cell>
          <cell r="L117" t="str">
            <v>Ajuste / Regulagem</v>
          </cell>
          <cell r="M117" t="str">
            <v>Falha de Regulagem / Configuração / Dimensionamento</v>
          </cell>
          <cell r="N117">
            <v>37721</v>
          </cell>
          <cell r="O117">
            <v>0.4375</v>
          </cell>
          <cell r="P117">
            <v>37721</v>
          </cell>
          <cell r="Q117">
            <v>0.4375</v>
          </cell>
          <cell r="T117">
            <v>37721</v>
          </cell>
          <cell r="U117">
            <v>0.59027777777777779</v>
          </cell>
          <cell r="V117">
            <v>37721</v>
          </cell>
          <cell r="W117">
            <v>0.59027777777777779</v>
          </cell>
          <cell r="X117">
            <v>0.15277777778101154</v>
          </cell>
          <cell r="Y117">
            <v>0.15277777778101154</v>
          </cell>
          <cell r="AB117">
            <v>4</v>
          </cell>
          <cell r="AC117">
            <v>4</v>
          </cell>
          <cell r="AD117" t="str">
            <v>N</v>
          </cell>
          <cell r="BF117">
            <v>0</v>
          </cell>
          <cell r="BG117">
            <v>0</v>
          </cell>
          <cell r="BH117">
            <v>0</v>
          </cell>
          <cell r="BI117">
            <v>0</v>
          </cell>
          <cell r="BJ117">
            <v>0</v>
          </cell>
          <cell r="BK117">
            <v>0</v>
          </cell>
          <cell r="BL117">
            <v>0</v>
          </cell>
          <cell r="BM117">
            <v>0</v>
          </cell>
          <cell r="BN117">
            <v>0</v>
          </cell>
          <cell r="BO117">
            <v>0</v>
          </cell>
          <cell r="BP117">
            <v>0</v>
          </cell>
          <cell r="BQ117">
            <v>0</v>
          </cell>
          <cell r="BR117">
            <v>0</v>
          </cell>
          <cell r="BS117">
            <v>0</v>
          </cell>
          <cell r="BT117">
            <v>0</v>
          </cell>
          <cell r="BU117">
            <v>0</v>
          </cell>
          <cell r="BV117">
            <v>0</v>
          </cell>
          <cell r="BW117">
            <v>0</v>
          </cell>
          <cell r="BX117">
            <v>0</v>
          </cell>
          <cell r="BY117">
            <v>0</v>
          </cell>
          <cell r="BZ117">
            <v>0</v>
          </cell>
          <cell r="CA117">
            <v>0</v>
          </cell>
          <cell r="CB117">
            <v>0</v>
          </cell>
          <cell r="CC117">
            <v>0</v>
          </cell>
          <cell r="CD117">
            <v>0</v>
          </cell>
        </row>
        <row r="118">
          <cell r="C118">
            <v>37718</v>
          </cell>
          <cell r="D118">
            <v>37734</v>
          </cell>
          <cell r="E118">
            <v>37733</v>
          </cell>
          <cell r="F118">
            <v>0.625</v>
          </cell>
          <cell r="G118" t="str">
            <v>Torno Mecânico</v>
          </cell>
          <cell r="H118" t="str">
            <v>Prisioneiro do carro superior com porca espanada</v>
          </cell>
          <cell r="I118" t="str">
            <v>Corretiva</v>
          </cell>
          <cell r="J118" t="str">
            <v>Não</v>
          </cell>
          <cell r="K118" t="str">
            <v>Mecânica</v>
          </cell>
          <cell r="L118" t="str">
            <v>Substituição do(s) Componente(s)</v>
          </cell>
          <cell r="M118" t="str">
            <v>Defeito de Fabricação</v>
          </cell>
          <cell r="N118">
            <v>37733</v>
          </cell>
          <cell r="O118">
            <v>0.66666666666666663</v>
          </cell>
          <cell r="P118">
            <v>37733</v>
          </cell>
          <cell r="Q118">
            <v>0.75</v>
          </cell>
          <cell r="R118">
            <v>37737</v>
          </cell>
          <cell r="S118">
            <v>0.33333333333333331</v>
          </cell>
          <cell r="T118">
            <v>37737</v>
          </cell>
          <cell r="U118">
            <v>0.41666666666666669</v>
          </cell>
          <cell r="V118">
            <v>0</v>
          </cell>
          <cell r="W118">
            <v>0.16666666666666674</v>
          </cell>
          <cell r="X118">
            <v>0.16666666666666674</v>
          </cell>
          <cell r="Y118" t="str">
            <v>Desmontagem do carro transversal, retirada das peças danificadas e aquisição de novo material, de melhor qualidade</v>
          </cell>
          <cell r="AB118">
            <v>4</v>
          </cell>
          <cell r="AC118">
            <v>4</v>
          </cell>
          <cell r="AD118" t="str">
            <v>N</v>
          </cell>
          <cell r="BF118">
            <v>0</v>
          </cell>
          <cell r="BG118">
            <v>0</v>
          </cell>
          <cell r="BH118">
            <v>0</v>
          </cell>
          <cell r="BI118">
            <v>0</v>
          </cell>
          <cell r="BJ118">
            <v>0</v>
          </cell>
          <cell r="BK118">
            <v>0</v>
          </cell>
          <cell r="BL118">
            <v>0</v>
          </cell>
          <cell r="BM118">
            <v>0</v>
          </cell>
          <cell r="BN118">
            <v>0</v>
          </cell>
          <cell r="BO118">
            <v>0</v>
          </cell>
          <cell r="BP118">
            <v>0</v>
          </cell>
          <cell r="BQ118">
            <v>0</v>
          </cell>
          <cell r="BR118">
            <v>0</v>
          </cell>
          <cell r="BS118">
            <v>0</v>
          </cell>
          <cell r="BT118">
            <v>0</v>
          </cell>
          <cell r="BU118">
            <v>0</v>
          </cell>
          <cell r="BV118">
            <v>0</v>
          </cell>
          <cell r="BW118">
            <v>0</v>
          </cell>
          <cell r="BX118">
            <v>0</v>
          </cell>
          <cell r="BY118">
            <v>0</v>
          </cell>
          <cell r="BZ118">
            <v>0</v>
          </cell>
          <cell r="CA118">
            <v>0</v>
          </cell>
          <cell r="CB118">
            <v>0</v>
          </cell>
          <cell r="CC118">
            <v>0</v>
          </cell>
          <cell r="CD118">
            <v>0</v>
          </cell>
        </row>
        <row r="119">
          <cell r="C119">
            <v>37718</v>
          </cell>
          <cell r="D119">
            <v>37810</v>
          </cell>
          <cell r="E119">
            <v>37806</v>
          </cell>
          <cell r="F119">
            <v>0.375</v>
          </cell>
          <cell r="G119" t="str">
            <v>Torno Mecânico</v>
          </cell>
          <cell r="H119" t="str">
            <v>Folga no carro superior</v>
          </cell>
          <cell r="I119" t="str">
            <v>Corretiva</v>
          </cell>
          <cell r="J119" t="str">
            <v>Sim</v>
          </cell>
          <cell r="K119" t="str">
            <v>Mecânica</v>
          </cell>
          <cell r="L119" t="str">
            <v>Ajuste / Regulagem</v>
          </cell>
          <cell r="M119" t="str">
            <v>Desgaste / Fadiga</v>
          </cell>
          <cell r="N119">
            <v>37806</v>
          </cell>
          <cell r="O119">
            <v>0.54166666666666663</v>
          </cell>
          <cell r="P119">
            <v>37806</v>
          </cell>
          <cell r="Q119">
            <v>0.54166666666666663</v>
          </cell>
          <cell r="T119">
            <v>37806</v>
          </cell>
          <cell r="U119">
            <v>0.57291666666666663</v>
          </cell>
          <cell r="V119">
            <v>37806</v>
          </cell>
          <cell r="W119">
            <v>0.57291666666666663</v>
          </cell>
          <cell r="X119">
            <v>3.125E-2</v>
          </cell>
          <cell r="Y119">
            <v>3.1249999997574718E-2</v>
          </cell>
          <cell r="AB119">
            <v>7</v>
          </cell>
          <cell r="AC119">
            <v>4</v>
          </cell>
          <cell r="AD119">
            <v>0</v>
          </cell>
          <cell r="BF119">
            <v>0</v>
          </cell>
          <cell r="BG119">
            <v>0</v>
          </cell>
          <cell r="BH119">
            <v>0</v>
          </cell>
          <cell r="BI119">
            <v>0</v>
          </cell>
          <cell r="BJ119">
            <v>0</v>
          </cell>
          <cell r="BK119">
            <v>0</v>
          </cell>
          <cell r="BL119">
            <v>0</v>
          </cell>
          <cell r="BM119">
            <v>0</v>
          </cell>
          <cell r="BN119">
            <v>0</v>
          </cell>
          <cell r="BO119">
            <v>0</v>
          </cell>
          <cell r="BP119">
            <v>0</v>
          </cell>
          <cell r="BQ119">
            <v>0</v>
          </cell>
          <cell r="BR119">
            <v>0</v>
          </cell>
          <cell r="BS119">
            <v>0</v>
          </cell>
          <cell r="BT119">
            <v>0</v>
          </cell>
          <cell r="BU119">
            <v>0</v>
          </cell>
          <cell r="BV119">
            <v>0</v>
          </cell>
          <cell r="BW119">
            <v>0</v>
          </cell>
          <cell r="BX119">
            <v>0</v>
          </cell>
          <cell r="BY119">
            <v>0</v>
          </cell>
          <cell r="BZ119">
            <v>0</v>
          </cell>
          <cell r="CA119">
            <v>0</v>
          </cell>
          <cell r="CB119">
            <v>0</v>
          </cell>
          <cell r="CC119">
            <v>0</v>
          </cell>
          <cell r="CD119">
            <v>0</v>
          </cell>
        </row>
        <row r="120">
          <cell r="C120">
            <v>37718</v>
          </cell>
          <cell r="D120">
            <v>37970</v>
          </cell>
          <cell r="E120">
            <v>37848</v>
          </cell>
          <cell r="F120">
            <v>0.33333333333333331</v>
          </cell>
          <cell r="G120" t="str">
            <v>Torno Mecânico</v>
          </cell>
          <cell r="H120" t="str">
            <v>Freio não aciona</v>
          </cell>
          <cell r="I120">
            <v>0</v>
          </cell>
          <cell r="J120" t="str">
            <v>Não</v>
          </cell>
          <cell r="K120" t="str">
            <v>Elétrica</v>
          </cell>
          <cell r="L120" t="str">
            <v>Reaperto dos componentes</v>
          </cell>
          <cell r="M120" t="str">
            <v>Desgaste / Fadiga</v>
          </cell>
          <cell r="N120">
            <v>37858</v>
          </cell>
          <cell r="O120">
            <v>0.66666666666666663</v>
          </cell>
          <cell r="P120">
            <v>0</v>
          </cell>
          <cell r="T120">
            <v>37858</v>
          </cell>
          <cell r="U120">
            <v>0.76388888888888884</v>
          </cell>
          <cell r="V120">
            <v>0</v>
          </cell>
          <cell r="W120">
            <v>9.7222222223839139E-2</v>
          </cell>
          <cell r="X120">
            <v>0</v>
          </cell>
          <cell r="Y120">
            <v>0</v>
          </cell>
          <cell r="AB120">
            <v>8</v>
          </cell>
          <cell r="AC120">
            <v>4</v>
          </cell>
          <cell r="AD120">
            <v>0</v>
          </cell>
          <cell r="BF120">
            <v>0</v>
          </cell>
          <cell r="BG120">
            <v>0</v>
          </cell>
          <cell r="BH120">
            <v>0</v>
          </cell>
          <cell r="BI120">
            <v>0</v>
          </cell>
          <cell r="BJ120">
            <v>0</v>
          </cell>
          <cell r="BK120">
            <v>0</v>
          </cell>
          <cell r="BL120">
            <v>0</v>
          </cell>
          <cell r="BM120">
            <v>0</v>
          </cell>
          <cell r="BN120">
            <v>0</v>
          </cell>
          <cell r="BO120">
            <v>0</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row>
        <row r="121">
          <cell r="C121">
            <v>37718</v>
          </cell>
          <cell r="D121">
            <v>37915</v>
          </cell>
          <cell r="E121">
            <v>37903</v>
          </cell>
          <cell r="F121">
            <v>0.5</v>
          </cell>
          <cell r="G121" t="str">
            <v>Torno Mecânico</v>
          </cell>
          <cell r="H121" t="str">
            <v>Parafuso de fixação do carro superior quebrado</v>
          </cell>
          <cell r="I121" t="str">
            <v>Corretiva</v>
          </cell>
          <cell r="J121" t="str">
            <v>Não</v>
          </cell>
          <cell r="K121" t="str">
            <v>Mecânica</v>
          </cell>
          <cell r="L121" t="str">
            <v>Reparo</v>
          </cell>
          <cell r="M121" t="str">
            <v>Desgaste / Fadiga</v>
          </cell>
          <cell r="N121">
            <v>37903</v>
          </cell>
          <cell r="O121">
            <v>0.85416666666666663</v>
          </cell>
          <cell r="P121">
            <v>37903</v>
          </cell>
          <cell r="Q121">
            <v>0.85416666666666663</v>
          </cell>
          <cell r="T121">
            <v>37903</v>
          </cell>
          <cell r="U121">
            <v>0.97916666666666663</v>
          </cell>
          <cell r="V121">
            <v>37903</v>
          </cell>
          <cell r="W121">
            <v>0.97916666666666663</v>
          </cell>
          <cell r="X121">
            <v>0.12499999999757472</v>
          </cell>
          <cell r="Y121">
            <v>0.12499999999757472</v>
          </cell>
          <cell r="AB121">
            <v>10</v>
          </cell>
          <cell r="AC121">
            <v>4</v>
          </cell>
          <cell r="AD121">
            <v>0</v>
          </cell>
          <cell r="BF121">
            <v>0</v>
          </cell>
          <cell r="BG121">
            <v>0</v>
          </cell>
          <cell r="BH121">
            <v>0</v>
          </cell>
          <cell r="BI121">
            <v>0</v>
          </cell>
          <cell r="BJ121">
            <v>0</v>
          </cell>
          <cell r="BK121">
            <v>0</v>
          </cell>
          <cell r="BL121">
            <v>0</v>
          </cell>
          <cell r="BM121">
            <v>0</v>
          </cell>
          <cell r="BN121">
            <v>0</v>
          </cell>
          <cell r="BO121">
            <v>0</v>
          </cell>
          <cell r="BP121">
            <v>0</v>
          </cell>
          <cell r="BQ121">
            <v>0</v>
          </cell>
          <cell r="BR121">
            <v>0</v>
          </cell>
          <cell r="BS121">
            <v>0</v>
          </cell>
          <cell r="BT121">
            <v>0</v>
          </cell>
          <cell r="BU121">
            <v>0</v>
          </cell>
          <cell r="BV121">
            <v>0</v>
          </cell>
          <cell r="BW121">
            <v>0</v>
          </cell>
          <cell r="BX121">
            <v>0</v>
          </cell>
          <cell r="BY121">
            <v>0</v>
          </cell>
          <cell r="BZ121">
            <v>0</v>
          </cell>
          <cell r="CA121">
            <v>0</v>
          </cell>
          <cell r="CB121">
            <v>0</v>
          </cell>
          <cell r="CC121">
            <v>0</v>
          </cell>
          <cell r="CD121">
            <v>0</v>
          </cell>
        </row>
        <row r="122">
          <cell r="C122">
            <v>37718</v>
          </cell>
          <cell r="D122">
            <v>37970</v>
          </cell>
          <cell r="E122">
            <v>37929</v>
          </cell>
          <cell r="F122">
            <v>0.6875</v>
          </cell>
          <cell r="G122" t="str">
            <v>Equipamentos diversos</v>
          </cell>
          <cell r="H122" t="str">
            <v>Não funciona</v>
          </cell>
          <cell r="I122">
            <v>0</v>
          </cell>
          <cell r="J122" t="str">
            <v>Não</v>
          </cell>
          <cell r="K122" t="str">
            <v>Elétrica</v>
          </cell>
          <cell r="L122" t="str">
            <v>Substituição do(s) Componente(s)</v>
          </cell>
          <cell r="M122" t="str">
            <v>Desgaste / Fadiga</v>
          </cell>
          <cell r="N122">
            <v>37949</v>
          </cell>
          <cell r="O122">
            <v>0.35416666666666669</v>
          </cell>
          <cell r="P122">
            <v>0</v>
          </cell>
          <cell r="T122">
            <v>37949</v>
          </cell>
          <cell r="U122">
            <v>0.37083333333333335</v>
          </cell>
          <cell r="V122">
            <v>0</v>
          </cell>
          <cell r="W122">
            <v>1.6666666667636776E-2</v>
          </cell>
          <cell r="X122">
            <v>0</v>
          </cell>
          <cell r="Y122">
            <v>0</v>
          </cell>
          <cell r="AB122">
            <v>11</v>
          </cell>
          <cell r="AC122">
            <v>4</v>
          </cell>
          <cell r="AD122">
            <v>0</v>
          </cell>
          <cell r="BF122">
            <v>0</v>
          </cell>
          <cell r="BG122">
            <v>0</v>
          </cell>
          <cell r="BH122">
            <v>0</v>
          </cell>
          <cell r="BI122">
            <v>0</v>
          </cell>
          <cell r="BJ122">
            <v>11</v>
          </cell>
          <cell r="BK122">
            <v>0</v>
          </cell>
          <cell r="BL122">
            <v>0</v>
          </cell>
          <cell r="BM122">
            <v>0</v>
          </cell>
          <cell r="BN122">
            <v>0</v>
          </cell>
          <cell r="BO122">
            <v>0</v>
          </cell>
          <cell r="BP122">
            <v>0</v>
          </cell>
          <cell r="BQ122">
            <v>0</v>
          </cell>
          <cell r="BR122">
            <v>0</v>
          </cell>
          <cell r="BS122">
            <v>0</v>
          </cell>
          <cell r="BT122">
            <v>0</v>
          </cell>
          <cell r="BU122">
            <v>0</v>
          </cell>
          <cell r="BV122">
            <v>0</v>
          </cell>
          <cell r="BW122">
            <v>0</v>
          </cell>
          <cell r="BX122">
            <v>0</v>
          </cell>
          <cell r="BY122">
            <v>0</v>
          </cell>
          <cell r="BZ122">
            <v>0</v>
          </cell>
          <cell r="CA122">
            <v>0</v>
          </cell>
          <cell r="CB122">
            <v>0</v>
          </cell>
          <cell r="CC122">
            <v>0</v>
          </cell>
          <cell r="CD122">
            <v>0</v>
          </cell>
        </row>
        <row r="123">
          <cell r="C123">
            <v>37718</v>
          </cell>
          <cell r="D123">
            <v>37972</v>
          </cell>
          <cell r="E123">
            <v>37966</v>
          </cell>
          <cell r="F123">
            <v>0.4055555555555555</v>
          </cell>
          <cell r="G123" t="str">
            <v>Equipamentos diversos</v>
          </cell>
          <cell r="H123" t="str">
            <v>Vazamento na saída da bomba</v>
          </cell>
          <cell r="I123">
            <v>0</v>
          </cell>
          <cell r="J123" t="str">
            <v>Não</v>
          </cell>
          <cell r="K123" t="str">
            <v>Mecânica</v>
          </cell>
          <cell r="L123" t="str">
            <v>Contenção do vazamento</v>
          </cell>
          <cell r="M123" t="str">
            <v>Falha de Montagem / Preparação</v>
          </cell>
          <cell r="N123">
            <v>37967</v>
          </cell>
          <cell r="O123">
            <v>0.35416666666666669</v>
          </cell>
          <cell r="P123">
            <v>0</v>
          </cell>
          <cell r="T123">
            <v>37967</v>
          </cell>
          <cell r="U123">
            <v>0.41666666666666669</v>
          </cell>
          <cell r="V123">
            <v>0</v>
          </cell>
          <cell r="W123">
            <v>6.2499999997574662E-2</v>
          </cell>
          <cell r="X123">
            <v>0</v>
          </cell>
          <cell r="Y123">
            <v>0</v>
          </cell>
          <cell r="AB123">
            <v>12</v>
          </cell>
          <cell r="AC123">
            <v>4</v>
          </cell>
          <cell r="AD123">
            <v>0</v>
          </cell>
          <cell r="BF123">
            <v>0</v>
          </cell>
          <cell r="BG123">
            <v>0</v>
          </cell>
          <cell r="BH123">
            <v>0</v>
          </cell>
          <cell r="BI123">
            <v>0</v>
          </cell>
          <cell r="BJ123">
            <v>12</v>
          </cell>
          <cell r="BK123">
            <v>0</v>
          </cell>
          <cell r="BL123">
            <v>0</v>
          </cell>
          <cell r="BM123">
            <v>0</v>
          </cell>
          <cell r="BN123">
            <v>0</v>
          </cell>
          <cell r="BO123">
            <v>0</v>
          </cell>
          <cell r="BP123">
            <v>0</v>
          </cell>
          <cell r="BQ123">
            <v>0</v>
          </cell>
          <cell r="BR123">
            <v>0</v>
          </cell>
          <cell r="BS123">
            <v>0</v>
          </cell>
          <cell r="BT123">
            <v>0</v>
          </cell>
          <cell r="BU123">
            <v>0</v>
          </cell>
          <cell r="BV123">
            <v>0</v>
          </cell>
          <cell r="BW123">
            <v>0</v>
          </cell>
          <cell r="BX123">
            <v>0</v>
          </cell>
          <cell r="BY123">
            <v>0</v>
          </cell>
          <cell r="BZ123">
            <v>0</v>
          </cell>
          <cell r="CA123">
            <v>0</v>
          </cell>
          <cell r="CB123">
            <v>0</v>
          </cell>
          <cell r="CC123">
            <v>0</v>
          </cell>
          <cell r="CD123">
            <v>0</v>
          </cell>
        </row>
        <row r="124">
          <cell r="C124">
            <v>37718</v>
          </cell>
          <cell r="I124">
            <v>0</v>
          </cell>
          <cell r="N124">
            <v>0</v>
          </cell>
          <cell r="P124">
            <v>0</v>
          </cell>
          <cell r="T124">
            <v>0</v>
          </cell>
          <cell r="V124">
            <v>0</v>
          </cell>
          <cell r="W124">
            <v>0</v>
          </cell>
          <cell r="X124">
            <v>0</v>
          </cell>
          <cell r="Y124">
            <v>0</v>
          </cell>
          <cell r="AB124">
            <v>0</v>
          </cell>
          <cell r="AC124">
            <v>4</v>
          </cell>
          <cell r="AD124">
            <v>0</v>
          </cell>
          <cell r="BF124">
            <v>0</v>
          </cell>
          <cell r="BG124">
            <v>0</v>
          </cell>
          <cell r="BH124">
            <v>0</v>
          </cell>
          <cell r="BI124">
            <v>0</v>
          </cell>
          <cell r="BJ124">
            <v>0</v>
          </cell>
          <cell r="BK124">
            <v>0</v>
          </cell>
          <cell r="BL124">
            <v>0</v>
          </cell>
          <cell r="BM124">
            <v>0</v>
          </cell>
          <cell r="BN124">
            <v>0</v>
          </cell>
          <cell r="BO124">
            <v>0</v>
          </cell>
          <cell r="BP124">
            <v>0</v>
          </cell>
          <cell r="BQ124">
            <v>0</v>
          </cell>
          <cell r="BR124">
            <v>0</v>
          </cell>
          <cell r="BS124">
            <v>0</v>
          </cell>
          <cell r="BT124">
            <v>0</v>
          </cell>
          <cell r="BU124">
            <v>0</v>
          </cell>
          <cell r="BV124">
            <v>0</v>
          </cell>
          <cell r="BW124">
            <v>0</v>
          </cell>
          <cell r="BX124">
            <v>0</v>
          </cell>
          <cell r="BY124">
            <v>0</v>
          </cell>
          <cell r="BZ124">
            <v>0</v>
          </cell>
          <cell r="CA124">
            <v>0</v>
          </cell>
          <cell r="CB124">
            <v>0</v>
          </cell>
          <cell r="CC124">
            <v>0</v>
          </cell>
          <cell r="CD124">
            <v>0</v>
          </cell>
        </row>
        <row r="125">
          <cell r="C125">
            <v>37718</v>
          </cell>
          <cell r="I125">
            <v>0</v>
          </cell>
          <cell r="N125">
            <v>0</v>
          </cell>
          <cell r="P125">
            <v>0</v>
          </cell>
          <cell r="T125">
            <v>0</v>
          </cell>
          <cell r="V125">
            <v>0</v>
          </cell>
          <cell r="W125">
            <v>0</v>
          </cell>
          <cell r="X125">
            <v>0</v>
          </cell>
          <cell r="Y125">
            <v>0</v>
          </cell>
          <cell r="AB125">
            <v>0</v>
          </cell>
          <cell r="AC125">
            <v>4</v>
          </cell>
          <cell r="AD125">
            <v>0</v>
          </cell>
          <cell r="BF125">
            <v>0</v>
          </cell>
          <cell r="BG125">
            <v>0</v>
          </cell>
          <cell r="BH125">
            <v>0</v>
          </cell>
          <cell r="BI125">
            <v>0</v>
          </cell>
          <cell r="BJ125">
            <v>0</v>
          </cell>
          <cell r="BK125">
            <v>0</v>
          </cell>
          <cell r="BL125">
            <v>0</v>
          </cell>
          <cell r="BM125">
            <v>0</v>
          </cell>
          <cell r="BN125">
            <v>0</v>
          </cell>
          <cell r="BO125">
            <v>0</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row>
        <row r="126">
          <cell r="C126">
            <v>37718</v>
          </cell>
          <cell r="I126">
            <v>0</v>
          </cell>
          <cell r="N126">
            <v>0</v>
          </cell>
          <cell r="P126">
            <v>0</v>
          </cell>
          <cell r="T126">
            <v>0</v>
          </cell>
          <cell r="V126">
            <v>0</v>
          </cell>
          <cell r="W126">
            <v>0</v>
          </cell>
          <cell r="X126">
            <v>0</v>
          </cell>
          <cell r="Y126">
            <v>0</v>
          </cell>
          <cell r="AB126">
            <v>0</v>
          </cell>
          <cell r="AC126">
            <v>4</v>
          </cell>
          <cell r="AD126">
            <v>0</v>
          </cell>
          <cell r="BF126">
            <v>0</v>
          </cell>
          <cell r="BG126">
            <v>0</v>
          </cell>
          <cell r="BH126">
            <v>0</v>
          </cell>
          <cell r="BI126">
            <v>0</v>
          </cell>
          <cell r="BJ126">
            <v>0</v>
          </cell>
          <cell r="BK126">
            <v>0</v>
          </cell>
          <cell r="BL126">
            <v>0</v>
          </cell>
          <cell r="BM126">
            <v>0</v>
          </cell>
          <cell r="BN126">
            <v>0</v>
          </cell>
          <cell r="BO126">
            <v>0</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row>
        <row r="127">
          <cell r="C127">
            <v>37718</v>
          </cell>
          <cell r="D127">
            <v>37719</v>
          </cell>
          <cell r="E127">
            <v>37719</v>
          </cell>
          <cell r="F127">
            <v>0.45833333333333331</v>
          </cell>
          <cell r="G127" t="str">
            <v>Perfiladora Fagor Montantes</v>
          </cell>
          <cell r="H127" t="str">
            <v>Verificar Sensor Mesa Saída</v>
          </cell>
          <cell r="I127" t="str">
            <v>Corretiva</v>
          </cell>
          <cell r="J127" t="str">
            <v>Sim</v>
          </cell>
          <cell r="K127" t="str">
            <v>Elétrica</v>
          </cell>
          <cell r="L127" t="str">
            <v>Verificação dos sensores do êmbolo pneumático e limpeza do sensor do poço</v>
          </cell>
          <cell r="M127" t="str">
            <v>Sujeira em excesso</v>
          </cell>
          <cell r="N127">
            <v>37719</v>
          </cell>
          <cell r="O127">
            <v>0.45833333333333331</v>
          </cell>
          <cell r="P127">
            <v>37719</v>
          </cell>
          <cell r="Q127">
            <v>0.45833333333333331</v>
          </cell>
          <cell r="T127">
            <v>37719</v>
          </cell>
          <cell r="U127">
            <v>0.5</v>
          </cell>
          <cell r="V127">
            <v>37719</v>
          </cell>
          <cell r="W127">
            <v>0.5</v>
          </cell>
          <cell r="X127">
            <v>4.1666666666666685E-2</v>
          </cell>
          <cell r="Y127">
            <v>4.1666666666666685E-2</v>
          </cell>
          <cell r="AB127">
            <v>4</v>
          </cell>
          <cell r="AC127">
            <v>4</v>
          </cell>
          <cell r="AD127" t="str">
            <v>S</v>
          </cell>
          <cell r="BF127">
            <v>0</v>
          </cell>
          <cell r="BG127">
            <v>0</v>
          </cell>
          <cell r="BH127">
            <v>0</v>
          </cell>
          <cell r="BI127">
            <v>0</v>
          </cell>
          <cell r="BJ127">
            <v>0</v>
          </cell>
          <cell r="BK127">
            <v>0</v>
          </cell>
          <cell r="BL127">
            <v>0</v>
          </cell>
          <cell r="BM127">
            <v>0</v>
          </cell>
          <cell r="BN127">
            <v>0</v>
          </cell>
          <cell r="BO127">
            <v>0</v>
          </cell>
          <cell r="BP127">
            <v>0</v>
          </cell>
          <cell r="BQ127">
            <v>0</v>
          </cell>
          <cell r="BR127">
            <v>0</v>
          </cell>
          <cell r="BS127">
            <v>0</v>
          </cell>
          <cell r="BT127">
            <v>0</v>
          </cell>
          <cell r="BU127">
            <v>4</v>
          </cell>
          <cell r="BV127">
            <v>0</v>
          </cell>
          <cell r="BW127">
            <v>0</v>
          </cell>
          <cell r="BX127">
            <v>0</v>
          </cell>
          <cell r="BY127">
            <v>0</v>
          </cell>
          <cell r="BZ127">
            <v>0</v>
          </cell>
          <cell r="CA127">
            <v>0</v>
          </cell>
          <cell r="CB127">
            <v>0</v>
          </cell>
          <cell r="CC127">
            <v>0</v>
          </cell>
          <cell r="CD127">
            <v>0</v>
          </cell>
        </row>
        <row r="128">
          <cell r="C128">
            <v>37718</v>
          </cell>
          <cell r="D128">
            <v>37727</v>
          </cell>
          <cell r="E128">
            <v>37726</v>
          </cell>
          <cell r="F128">
            <v>0.51388888888888895</v>
          </cell>
          <cell r="G128" t="str">
            <v>Perfiladora Fagor Montantes</v>
          </cell>
          <cell r="H128" t="str">
            <v>Painel acusa falha no Filtro Hidráulico da Cortadeira</v>
          </cell>
          <cell r="I128" t="str">
            <v>Corretiva</v>
          </cell>
          <cell r="J128" t="str">
            <v>Sim</v>
          </cell>
          <cell r="K128" t="str">
            <v>Mecânica</v>
          </cell>
          <cell r="L128" t="str">
            <v>Substituição do(s) Componente(s)</v>
          </cell>
          <cell r="M128" t="str">
            <v>Desgaste / Fadiga</v>
          </cell>
          <cell r="N128">
            <v>37726</v>
          </cell>
          <cell r="O128">
            <v>0.51388888888888895</v>
          </cell>
          <cell r="P128">
            <v>37726</v>
          </cell>
          <cell r="Q128">
            <v>0.51388888888888895</v>
          </cell>
          <cell r="T128">
            <v>37726</v>
          </cell>
          <cell r="U128">
            <v>0.52777777777777779</v>
          </cell>
          <cell r="V128">
            <v>37726</v>
          </cell>
          <cell r="W128">
            <v>0.52777777777777779</v>
          </cell>
          <cell r="X128">
            <v>1.388888888888884E-2</v>
          </cell>
          <cell r="Y128">
            <v>1.3888888892122586E-2</v>
          </cell>
          <cell r="AB128">
            <v>4</v>
          </cell>
          <cell r="AC128">
            <v>4</v>
          </cell>
          <cell r="AD128" t="str">
            <v>S</v>
          </cell>
          <cell r="BF128">
            <v>0</v>
          </cell>
          <cell r="BG128">
            <v>0</v>
          </cell>
          <cell r="BH128">
            <v>0</v>
          </cell>
          <cell r="BI128">
            <v>0</v>
          </cell>
          <cell r="BJ128">
            <v>0</v>
          </cell>
          <cell r="BK128">
            <v>0</v>
          </cell>
          <cell r="BL128">
            <v>0</v>
          </cell>
          <cell r="BM128">
            <v>0</v>
          </cell>
          <cell r="BN128">
            <v>0</v>
          </cell>
          <cell r="BO128">
            <v>0</v>
          </cell>
          <cell r="BP128">
            <v>0</v>
          </cell>
          <cell r="BQ128">
            <v>0</v>
          </cell>
          <cell r="BR128">
            <v>0</v>
          </cell>
          <cell r="BS128">
            <v>0</v>
          </cell>
          <cell r="BT128">
            <v>0</v>
          </cell>
          <cell r="BU128">
            <v>4</v>
          </cell>
          <cell r="BV128">
            <v>0</v>
          </cell>
          <cell r="BW128">
            <v>0</v>
          </cell>
          <cell r="BX128">
            <v>0</v>
          </cell>
          <cell r="BY128">
            <v>0</v>
          </cell>
          <cell r="BZ128">
            <v>0</v>
          </cell>
          <cell r="CA128">
            <v>0</v>
          </cell>
          <cell r="CB128">
            <v>0</v>
          </cell>
          <cell r="CC128">
            <v>0</v>
          </cell>
          <cell r="CD128">
            <v>0</v>
          </cell>
        </row>
        <row r="129">
          <cell r="C129">
            <v>37718</v>
          </cell>
          <cell r="D129">
            <v>37735</v>
          </cell>
          <cell r="E129">
            <v>37734</v>
          </cell>
          <cell r="F129">
            <v>0.375</v>
          </cell>
          <cell r="G129" t="str">
            <v>Perfiladora Fagor Montantes</v>
          </cell>
          <cell r="H129" t="str">
            <v>Guia de chapa torto</v>
          </cell>
          <cell r="I129" t="str">
            <v>Corretiva</v>
          </cell>
          <cell r="J129" t="str">
            <v>Não</v>
          </cell>
          <cell r="K129" t="str">
            <v>Mecânica</v>
          </cell>
          <cell r="L129" t="str">
            <v>Substituição do(s) Componente(s)</v>
          </cell>
          <cell r="M129" t="str">
            <v>Falha Operacional</v>
          </cell>
          <cell r="N129">
            <v>37734</v>
          </cell>
          <cell r="O129">
            <v>0.375</v>
          </cell>
          <cell r="P129">
            <v>37734</v>
          </cell>
          <cell r="Q129">
            <v>0.375</v>
          </cell>
          <cell r="T129">
            <v>37734</v>
          </cell>
          <cell r="U129">
            <v>0.47916666666666669</v>
          </cell>
          <cell r="V129">
            <v>37734</v>
          </cell>
          <cell r="W129">
            <v>0.47916666666666669</v>
          </cell>
          <cell r="X129">
            <v>0.10416666666424135</v>
          </cell>
          <cell r="Y129">
            <v>0.10416666666424135</v>
          </cell>
          <cell r="AB129">
            <v>4</v>
          </cell>
          <cell r="AC129">
            <v>4</v>
          </cell>
          <cell r="AD129" t="str">
            <v>N</v>
          </cell>
          <cell r="BF129">
            <v>0</v>
          </cell>
          <cell r="BG129">
            <v>0</v>
          </cell>
          <cell r="BH129">
            <v>0</v>
          </cell>
          <cell r="BI129">
            <v>0</v>
          </cell>
          <cell r="BJ129">
            <v>0</v>
          </cell>
          <cell r="BK129">
            <v>0</v>
          </cell>
          <cell r="BL129">
            <v>0</v>
          </cell>
          <cell r="BM129">
            <v>0</v>
          </cell>
          <cell r="BN129">
            <v>0</v>
          </cell>
          <cell r="BO129">
            <v>0</v>
          </cell>
          <cell r="BP129">
            <v>0</v>
          </cell>
          <cell r="BQ129">
            <v>0</v>
          </cell>
          <cell r="BR129">
            <v>0</v>
          </cell>
          <cell r="BS129">
            <v>0</v>
          </cell>
          <cell r="BT129">
            <v>0</v>
          </cell>
          <cell r="BU129">
            <v>4</v>
          </cell>
          <cell r="BV129">
            <v>0</v>
          </cell>
          <cell r="BW129">
            <v>0</v>
          </cell>
          <cell r="BX129">
            <v>0</v>
          </cell>
          <cell r="BY129">
            <v>0</v>
          </cell>
          <cell r="BZ129">
            <v>0</v>
          </cell>
          <cell r="CA129">
            <v>0</v>
          </cell>
          <cell r="CB129">
            <v>0</v>
          </cell>
          <cell r="CC129">
            <v>0</v>
          </cell>
          <cell r="CD129">
            <v>0</v>
          </cell>
        </row>
        <row r="130">
          <cell r="C130">
            <v>37718</v>
          </cell>
          <cell r="D130">
            <v>37775</v>
          </cell>
          <cell r="E130">
            <v>37771</v>
          </cell>
          <cell r="F130">
            <v>0.41666666666666669</v>
          </cell>
          <cell r="G130" t="str">
            <v>Perfiladora Fagor Montantes</v>
          </cell>
          <cell r="H130" t="str">
            <v>Trocar rolamento do rolo</v>
          </cell>
          <cell r="I130" t="str">
            <v>Corretiva</v>
          </cell>
          <cell r="J130" t="str">
            <v>Não</v>
          </cell>
          <cell r="K130" t="str">
            <v>Mecânica</v>
          </cell>
          <cell r="L130" t="str">
            <v>Substituição do(s) Componente(s)</v>
          </cell>
          <cell r="M130" t="str">
            <v>Desgaste / Fadiga</v>
          </cell>
          <cell r="N130">
            <v>37771</v>
          </cell>
          <cell r="O130">
            <v>0.5</v>
          </cell>
          <cell r="P130">
            <v>37771</v>
          </cell>
          <cell r="Q130">
            <v>0.57291666666666663</v>
          </cell>
          <cell r="R130">
            <v>37774</v>
          </cell>
          <cell r="S130">
            <v>0.35416666666666669</v>
          </cell>
          <cell r="T130">
            <v>37774</v>
          </cell>
          <cell r="U130">
            <v>0.375</v>
          </cell>
          <cell r="V130">
            <v>0</v>
          </cell>
          <cell r="W130">
            <v>9.3749999999999944E-2</v>
          </cell>
          <cell r="X130">
            <v>9.3749999999999944E-2</v>
          </cell>
          <cell r="Y130" t="str">
            <v>Foi desmontado o rolo, retirado o rolamento, e confeccionada nova peça.</v>
          </cell>
          <cell r="AB130">
            <v>6</v>
          </cell>
          <cell r="AC130">
            <v>4</v>
          </cell>
          <cell r="AD130">
            <v>0</v>
          </cell>
          <cell r="BF130">
            <v>0</v>
          </cell>
          <cell r="BG130">
            <v>0</v>
          </cell>
          <cell r="BH130">
            <v>0</v>
          </cell>
          <cell r="BI130">
            <v>0</v>
          </cell>
          <cell r="BJ130">
            <v>0</v>
          </cell>
          <cell r="BK130">
            <v>0</v>
          </cell>
          <cell r="BL130">
            <v>0</v>
          </cell>
          <cell r="BM130">
            <v>0</v>
          </cell>
          <cell r="BN130">
            <v>0</v>
          </cell>
          <cell r="BO130">
            <v>0</v>
          </cell>
          <cell r="BP130">
            <v>0</v>
          </cell>
          <cell r="BQ130">
            <v>0</v>
          </cell>
          <cell r="BR130">
            <v>0</v>
          </cell>
          <cell r="BS130">
            <v>0</v>
          </cell>
          <cell r="BT130">
            <v>0</v>
          </cell>
          <cell r="BU130">
            <v>6</v>
          </cell>
          <cell r="BV130">
            <v>0</v>
          </cell>
          <cell r="BW130">
            <v>0</v>
          </cell>
          <cell r="BX130">
            <v>0</v>
          </cell>
          <cell r="BY130">
            <v>0</v>
          </cell>
          <cell r="BZ130">
            <v>0</v>
          </cell>
          <cell r="CA130">
            <v>0</v>
          </cell>
          <cell r="CB130">
            <v>0</v>
          </cell>
          <cell r="CC130">
            <v>0</v>
          </cell>
          <cell r="CD130">
            <v>0</v>
          </cell>
        </row>
        <row r="131">
          <cell r="C131">
            <v>37718</v>
          </cell>
          <cell r="D131">
            <v>37803</v>
          </cell>
          <cell r="E131">
            <v>37777</v>
          </cell>
          <cell r="F131">
            <v>0.33333333333333331</v>
          </cell>
          <cell r="G131" t="str">
            <v>Perfiladora Fagor Montantes</v>
          </cell>
          <cell r="H131" t="str">
            <v>Falha no CNC de corte</v>
          </cell>
          <cell r="I131" t="str">
            <v>Corretiva</v>
          </cell>
          <cell r="J131" t="str">
            <v>Sim</v>
          </cell>
          <cell r="K131" t="str">
            <v>Elétrica</v>
          </cell>
          <cell r="L131" t="str">
            <v>Substituição do(s) Componente(s)</v>
          </cell>
          <cell r="M131" t="str">
            <v>Desgaste / Fadiga</v>
          </cell>
          <cell r="N131">
            <v>37777</v>
          </cell>
          <cell r="O131">
            <v>0.33333333333333331</v>
          </cell>
          <cell r="P131">
            <v>37777</v>
          </cell>
          <cell r="Q131">
            <v>0.33333333333333331</v>
          </cell>
          <cell r="T131">
            <v>37777</v>
          </cell>
          <cell r="U131">
            <v>0.72916666666666663</v>
          </cell>
          <cell r="V131">
            <v>37777</v>
          </cell>
          <cell r="W131">
            <v>0.72916666666666663</v>
          </cell>
          <cell r="X131">
            <v>0.35416666666666663</v>
          </cell>
          <cell r="Y131">
            <v>0.35416666666424135</v>
          </cell>
          <cell r="AB131">
            <v>6</v>
          </cell>
          <cell r="AC131">
            <v>4</v>
          </cell>
          <cell r="AD131">
            <v>0</v>
          </cell>
          <cell r="BF131">
            <v>0</v>
          </cell>
          <cell r="BG131">
            <v>0</v>
          </cell>
          <cell r="BH131">
            <v>0</v>
          </cell>
          <cell r="BI131">
            <v>0</v>
          </cell>
          <cell r="BJ131">
            <v>0</v>
          </cell>
          <cell r="BK131">
            <v>0</v>
          </cell>
          <cell r="BL131">
            <v>0</v>
          </cell>
          <cell r="BM131">
            <v>0</v>
          </cell>
          <cell r="BN131">
            <v>0</v>
          </cell>
          <cell r="BO131">
            <v>0</v>
          </cell>
          <cell r="BP131">
            <v>0</v>
          </cell>
          <cell r="BQ131">
            <v>0</v>
          </cell>
          <cell r="BR131">
            <v>0</v>
          </cell>
          <cell r="BS131">
            <v>0</v>
          </cell>
          <cell r="BT131">
            <v>0</v>
          </cell>
          <cell r="BU131">
            <v>6</v>
          </cell>
          <cell r="BV131">
            <v>0</v>
          </cell>
          <cell r="BW131">
            <v>0</v>
          </cell>
          <cell r="BX131">
            <v>0</v>
          </cell>
          <cell r="BY131">
            <v>0</v>
          </cell>
          <cell r="BZ131">
            <v>0</v>
          </cell>
          <cell r="CA131">
            <v>0</v>
          </cell>
          <cell r="CB131">
            <v>0</v>
          </cell>
          <cell r="CC131">
            <v>0</v>
          </cell>
          <cell r="CD131">
            <v>0</v>
          </cell>
        </row>
        <row r="132">
          <cell r="C132">
            <v>37718</v>
          </cell>
          <cell r="D132">
            <v>37785</v>
          </cell>
          <cell r="E132">
            <v>37784</v>
          </cell>
          <cell r="F132">
            <v>0.58333333333333337</v>
          </cell>
          <cell r="G132" t="str">
            <v>Perfiladora Fagor Montantes</v>
          </cell>
          <cell r="H132" t="str">
            <v>Falha no CNC de corte</v>
          </cell>
          <cell r="I132" t="str">
            <v>Corretiva</v>
          </cell>
          <cell r="J132" t="str">
            <v>Sim</v>
          </cell>
          <cell r="K132" t="str">
            <v>Elétrica</v>
          </cell>
          <cell r="L132" t="str">
            <v>Regulagem do sensor e regulagem mecânica da máquina</v>
          </cell>
          <cell r="M132" t="str">
            <v>Falha de Montagem / Preparação</v>
          </cell>
          <cell r="N132">
            <v>37784</v>
          </cell>
          <cell r="O132">
            <v>0.58333333333333337</v>
          </cell>
          <cell r="P132">
            <v>37784</v>
          </cell>
          <cell r="Q132">
            <v>0.58333333333333337</v>
          </cell>
          <cell r="T132">
            <v>37784</v>
          </cell>
          <cell r="U132">
            <v>0.65277777777777779</v>
          </cell>
          <cell r="V132">
            <v>37784</v>
          </cell>
          <cell r="W132">
            <v>0.65277777777777779</v>
          </cell>
          <cell r="X132">
            <v>6.944444444444442E-2</v>
          </cell>
          <cell r="Y132">
            <v>6.9444444447678166E-2</v>
          </cell>
          <cell r="AB132">
            <v>6</v>
          </cell>
          <cell r="AC132">
            <v>4</v>
          </cell>
          <cell r="AD132">
            <v>0</v>
          </cell>
          <cell r="BF132">
            <v>0</v>
          </cell>
          <cell r="BG132">
            <v>0</v>
          </cell>
          <cell r="BH132">
            <v>0</v>
          </cell>
          <cell r="BI132">
            <v>0</v>
          </cell>
          <cell r="BJ132">
            <v>0</v>
          </cell>
          <cell r="BK132">
            <v>0</v>
          </cell>
          <cell r="BL132">
            <v>0</v>
          </cell>
          <cell r="BM132">
            <v>0</v>
          </cell>
          <cell r="BN132">
            <v>0</v>
          </cell>
          <cell r="BO132">
            <v>0</v>
          </cell>
          <cell r="BP132">
            <v>0</v>
          </cell>
          <cell r="BQ132">
            <v>0</v>
          </cell>
          <cell r="BR132">
            <v>0</v>
          </cell>
          <cell r="BS132">
            <v>0</v>
          </cell>
          <cell r="BT132">
            <v>0</v>
          </cell>
          <cell r="BU132">
            <v>6</v>
          </cell>
          <cell r="BV132">
            <v>0</v>
          </cell>
          <cell r="BW132">
            <v>0</v>
          </cell>
          <cell r="BX132">
            <v>0</v>
          </cell>
          <cell r="BY132">
            <v>0</v>
          </cell>
          <cell r="BZ132">
            <v>0</v>
          </cell>
          <cell r="CA132">
            <v>0</v>
          </cell>
          <cell r="CB132">
            <v>0</v>
          </cell>
          <cell r="CC132">
            <v>0</v>
          </cell>
          <cell r="CD132">
            <v>0</v>
          </cell>
        </row>
        <row r="133">
          <cell r="C133">
            <v>37718</v>
          </cell>
          <cell r="D133">
            <v>37803</v>
          </cell>
          <cell r="E133">
            <v>37798</v>
          </cell>
          <cell r="F133">
            <v>0.36805555555555558</v>
          </cell>
          <cell r="G133" t="str">
            <v>Perfiladora Fagor Montantes</v>
          </cell>
          <cell r="H133" t="str">
            <v>Excentricidade da chapa durante o processo</v>
          </cell>
          <cell r="I133" t="str">
            <v>Corretiva</v>
          </cell>
          <cell r="J133" t="str">
            <v>Sim</v>
          </cell>
          <cell r="K133" t="str">
            <v>Mecânica</v>
          </cell>
          <cell r="L133" t="str">
            <v>Regulagem das guias da chapa</v>
          </cell>
          <cell r="M133" t="str">
            <v>Falha de Regulagem / Configuração / Dimensionamento</v>
          </cell>
          <cell r="N133">
            <v>37798</v>
          </cell>
          <cell r="O133">
            <v>0.375</v>
          </cell>
          <cell r="P133">
            <v>37798</v>
          </cell>
          <cell r="Q133">
            <v>0.375</v>
          </cell>
          <cell r="T133">
            <v>37798</v>
          </cell>
          <cell r="U133">
            <v>0.40972222222222227</v>
          </cell>
          <cell r="V133">
            <v>37798</v>
          </cell>
          <cell r="W133">
            <v>0.40972222222222227</v>
          </cell>
          <cell r="X133">
            <v>3.4722222222222265E-2</v>
          </cell>
          <cell r="Y133">
            <v>3.4722222218988463E-2</v>
          </cell>
          <cell r="AB133">
            <v>6</v>
          </cell>
          <cell r="AC133">
            <v>4</v>
          </cell>
          <cell r="AD133">
            <v>0</v>
          </cell>
          <cell r="BF133">
            <v>0</v>
          </cell>
          <cell r="BG133">
            <v>0</v>
          </cell>
          <cell r="BH133">
            <v>0</v>
          </cell>
          <cell r="BI133">
            <v>0</v>
          </cell>
          <cell r="BJ133">
            <v>0</v>
          </cell>
          <cell r="BK133">
            <v>0</v>
          </cell>
          <cell r="BL133">
            <v>0</v>
          </cell>
          <cell r="BM133">
            <v>0</v>
          </cell>
          <cell r="BN133">
            <v>0</v>
          </cell>
          <cell r="BO133">
            <v>0</v>
          </cell>
          <cell r="BP133">
            <v>0</v>
          </cell>
          <cell r="BQ133">
            <v>0</v>
          </cell>
          <cell r="BR133">
            <v>0</v>
          </cell>
          <cell r="BS133">
            <v>0</v>
          </cell>
          <cell r="BT133">
            <v>0</v>
          </cell>
          <cell r="BU133">
            <v>6</v>
          </cell>
          <cell r="BV133">
            <v>0</v>
          </cell>
          <cell r="BW133">
            <v>0</v>
          </cell>
          <cell r="BX133">
            <v>0</v>
          </cell>
          <cell r="BY133">
            <v>0</v>
          </cell>
          <cell r="BZ133">
            <v>0</v>
          </cell>
          <cell r="CA133">
            <v>0</v>
          </cell>
          <cell r="CB133">
            <v>0</v>
          </cell>
          <cell r="CC133">
            <v>0</v>
          </cell>
          <cell r="CD133">
            <v>0</v>
          </cell>
        </row>
        <row r="134">
          <cell r="C134">
            <v>37718</v>
          </cell>
          <cell r="D134">
            <v>37858</v>
          </cell>
          <cell r="E134">
            <v>37819</v>
          </cell>
          <cell r="F134">
            <v>0.35416666666666669</v>
          </cell>
          <cell r="G134" t="str">
            <v>Perfiladora Fagor Montantes</v>
          </cell>
          <cell r="H134" t="str">
            <v>Falha no Encoder</v>
          </cell>
          <cell r="I134" t="str">
            <v>Corretiva</v>
          </cell>
          <cell r="J134" t="str">
            <v>Sim</v>
          </cell>
          <cell r="K134" t="str">
            <v>Elétrica</v>
          </cell>
          <cell r="L134" t="str">
            <v>Substituição do(s) Componente(s)</v>
          </cell>
          <cell r="M134" t="str">
            <v>Falha de Comando / Sistema</v>
          </cell>
          <cell r="N134">
            <v>37819</v>
          </cell>
          <cell r="O134">
            <v>0.35416666666666669</v>
          </cell>
          <cell r="P134">
            <v>37819</v>
          </cell>
          <cell r="Q134">
            <v>0.35416666666666669</v>
          </cell>
          <cell r="T134">
            <v>37819</v>
          </cell>
          <cell r="U134">
            <v>0.39583333333333331</v>
          </cell>
          <cell r="V134">
            <v>37819</v>
          </cell>
          <cell r="W134">
            <v>0.39583333333333331</v>
          </cell>
          <cell r="X134">
            <v>4.166666666666663E-2</v>
          </cell>
          <cell r="Y134">
            <v>4.1666666669091967E-2</v>
          </cell>
          <cell r="AB134">
            <v>7</v>
          </cell>
          <cell r="AC134">
            <v>4</v>
          </cell>
          <cell r="AD134">
            <v>0</v>
          </cell>
          <cell r="BF134">
            <v>0</v>
          </cell>
          <cell r="BG134">
            <v>0</v>
          </cell>
          <cell r="BH134">
            <v>0</v>
          </cell>
          <cell r="BI134">
            <v>0</v>
          </cell>
          <cell r="BJ134">
            <v>0</v>
          </cell>
          <cell r="BK134">
            <v>0</v>
          </cell>
          <cell r="BL134">
            <v>0</v>
          </cell>
          <cell r="BM134">
            <v>0</v>
          </cell>
          <cell r="BN134">
            <v>0</v>
          </cell>
          <cell r="BO134">
            <v>0</v>
          </cell>
          <cell r="BP134">
            <v>0</v>
          </cell>
          <cell r="BQ134">
            <v>0</v>
          </cell>
          <cell r="BR134">
            <v>0</v>
          </cell>
          <cell r="BS134">
            <v>0</v>
          </cell>
          <cell r="BT134">
            <v>0</v>
          </cell>
          <cell r="BU134">
            <v>7</v>
          </cell>
          <cell r="BV134">
            <v>0</v>
          </cell>
          <cell r="BW134">
            <v>0</v>
          </cell>
          <cell r="BX134">
            <v>0</v>
          </cell>
          <cell r="BY134">
            <v>0</v>
          </cell>
          <cell r="BZ134">
            <v>0</v>
          </cell>
          <cell r="CA134">
            <v>0</v>
          </cell>
          <cell r="CB134">
            <v>0</v>
          </cell>
          <cell r="CC134">
            <v>0</v>
          </cell>
          <cell r="CD134">
            <v>0</v>
          </cell>
        </row>
        <row r="135">
          <cell r="C135">
            <v>37718</v>
          </cell>
          <cell r="D135">
            <v>37831</v>
          </cell>
          <cell r="E135">
            <v>37819</v>
          </cell>
          <cell r="F135">
            <v>0.33333333333333331</v>
          </cell>
          <cell r="G135" t="str">
            <v>Perfiladora Fagor Montantes</v>
          </cell>
          <cell r="H135" t="str">
            <v>Rolamento do guia da prensa roldana travando</v>
          </cell>
          <cell r="I135" t="str">
            <v>Corretiva</v>
          </cell>
          <cell r="J135" t="str">
            <v>Não</v>
          </cell>
          <cell r="K135" t="str">
            <v>Mecânica</v>
          </cell>
          <cell r="L135" t="str">
            <v>Ajuste / Regulagem</v>
          </cell>
          <cell r="M135" t="str">
            <v>Falha de Regulagem / Configuração / Dimensionamento</v>
          </cell>
          <cell r="N135">
            <v>37819</v>
          </cell>
          <cell r="O135">
            <v>0.33333333333333331</v>
          </cell>
          <cell r="P135">
            <v>37819</v>
          </cell>
          <cell r="Q135">
            <v>0.33333333333333331</v>
          </cell>
          <cell r="T135">
            <v>37819</v>
          </cell>
          <cell r="U135">
            <v>0.41666666666666669</v>
          </cell>
          <cell r="V135">
            <v>37819</v>
          </cell>
          <cell r="W135">
            <v>0.41666666666666669</v>
          </cell>
          <cell r="X135">
            <v>8.3333333330908033E-2</v>
          </cell>
          <cell r="Y135">
            <v>8.3333333330908033E-2</v>
          </cell>
          <cell r="AB135">
            <v>7</v>
          </cell>
          <cell r="AC135">
            <v>4</v>
          </cell>
          <cell r="AD135">
            <v>0</v>
          </cell>
          <cell r="BF135">
            <v>0</v>
          </cell>
          <cell r="BG135">
            <v>0</v>
          </cell>
          <cell r="BH135">
            <v>0</v>
          </cell>
          <cell r="BI135">
            <v>0</v>
          </cell>
          <cell r="BJ135">
            <v>0</v>
          </cell>
          <cell r="BK135">
            <v>0</v>
          </cell>
          <cell r="BL135">
            <v>0</v>
          </cell>
          <cell r="BM135">
            <v>0</v>
          </cell>
          <cell r="BN135">
            <v>0</v>
          </cell>
          <cell r="BO135">
            <v>0</v>
          </cell>
          <cell r="BP135">
            <v>0</v>
          </cell>
          <cell r="BQ135">
            <v>0</v>
          </cell>
          <cell r="BR135">
            <v>0</v>
          </cell>
          <cell r="BS135">
            <v>0</v>
          </cell>
          <cell r="BT135">
            <v>0</v>
          </cell>
          <cell r="BU135">
            <v>7</v>
          </cell>
          <cell r="BV135">
            <v>0</v>
          </cell>
          <cell r="BW135">
            <v>0</v>
          </cell>
          <cell r="BX135">
            <v>0</v>
          </cell>
          <cell r="BY135">
            <v>0</v>
          </cell>
          <cell r="BZ135">
            <v>0</v>
          </cell>
          <cell r="CA135">
            <v>0</v>
          </cell>
          <cell r="CB135">
            <v>0</v>
          </cell>
          <cell r="CC135">
            <v>0</v>
          </cell>
          <cell r="CD135">
            <v>0</v>
          </cell>
        </row>
        <row r="136">
          <cell r="C136">
            <v>37718</v>
          </cell>
          <cell r="D136">
            <v>37902</v>
          </cell>
          <cell r="E136">
            <v>37896</v>
          </cell>
          <cell r="F136">
            <v>0.58333333333333337</v>
          </cell>
          <cell r="G136" t="str">
            <v>Perfiladora Fagor Montantes</v>
          </cell>
          <cell r="H136" t="str">
            <v>Suporte do sensor do fosso de entrada da prensa está solto</v>
          </cell>
          <cell r="I136" t="str">
            <v>Corretiva</v>
          </cell>
          <cell r="J136" t="str">
            <v>Não</v>
          </cell>
          <cell r="K136" t="str">
            <v>Mecânica</v>
          </cell>
          <cell r="L136" t="str">
            <v>Reparo</v>
          </cell>
          <cell r="M136" t="str">
            <v>Causa não especificada</v>
          </cell>
          <cell r="N136">
            <v>37896</v>
          </cell>
          <cell r="O136">
            <v>0.83333333333333337</v>
          </cell>
          <cell r="P136">
            <v>37896</v>
          </cell>
          <cell r="Q136">
            <v>0.83333333333333337</v>
          </cell>
          <cell r="T136">
            <v>37896</v>
          </cell>
          <cell r="U136">
            <v>0.9375</v>
          </cell>
          <cell r="V136">
            <v>37896</v>
          </cell>
          <cell r="W136">
            <v>0.9375</v>
          </cell>
          <cell r="X136">
            <v>0.10416666666666663</v>
          </cell>
          <cell r="Y136">
            <v>0.10416666666666663</v>
          </cell>
          <cell r="AB136">
            <v>10</v>
          </cell>
          <cell r="AC136">
            <v>4</v>
          </cell>
          <cell r="AD136">
            <v>0</v>
          </cell>
          <cell r="BF136">
            <v>0</v>
          </cell>
          <cell r="BG136">
            <v>0</v>
          </cell>
          <cell r="BH136">
            <v>0</v>
          </cell>
          <cell r="BI136">
            <v>0</v>
          </cell>
          <cell r="BJ136">
            <v>0</v>
          </cell>
          <cell r="BK136">
            <v>0</v>
          </cell>
          <cell r="BL136">
            <v>0</v>
          </cell>
          <cell r="BM136">
            <v>0</v>
          </cell>
          <cell r="BN136">
            <v>0</v>
          </cell>
          <cell r="BO136">
            <v>0</v>
          </cell>
          <cell r="BP136">
            <v>0</v>
          </cell>
          <cell r="BQ136">
            <v>0</v>
          </cell>
          <cell r="BR136">
            <v>0</v>
          </cell>
          <cell r="BS136">
            <v>0</v>
          </cell>
          <cell r="BT136">
            <v>0</v>
          </cell>
          <cell r="BU136">
            <v>10</v>
          </cell>
          <cell r="BV136">
            <v>0</v>
          </cell>
          <cell r="BW136">
            <v>0</v>
          </cell>
          <cell r="BX136">
            <v>0</v>
          </cell>
          <cell r="BY136">
            <v>0</v>
          </cell>
          <cell r="BZ136">
            <v>0</v>
          </cell>
          <cell r="CA136">
            <v>0</v>
          </cell>
          <cell r="CB136">
            <v>0</v>
          </cell>
          <cell r="CC136">
            <v>0</v>
          </cell>
          <cell r="CD136">
            <v>0</v>
          </cell>
        </row>
        <row r="137">
          <cell r="C137">
            <v>37718</v>
          </cell>
          <cell r="D137">
            <v>37753</v>
          </cell>
          <cell r="E137">
            <v>37753</v>
          </cell>
          <cell r="F137">
            <v>0.375</v>
          </cell>
          <cell r="G137" t="str">
            <v>Prensa Jundiaí Conectores</v>
          </cell>
          <cell r="H137" t="str">
            <v>Fazer pino guia para chapa, pois a mesma está saindo do sensor</v>
          </cell>
          <cell r="I137" t="str">
            <v>Melhoria</v>
          </cell>
          <cell r="J137" t="str">
            <v>Não</v>
          </cell>
          <cell r="K137" t="str">
            <v>Mecânica</v>
          </cell>
          <cell r="L137" t="str">
            <v>Foram confeccionadas 02 chapas para guiar a chapa da bobina</v>
          </cell>
          <cell r="M137" t="str">
            <v>Melhoria Técnica</v>
          </cell>
          <cell r="N137">
            <v>37756</v>
          </cell>
          <cell r="O137">
            <v>0.33333333333333331</v>
          </cell>
          <cell r="P137">
            <v>37756</v>
          </cell>
          <cell r="Q137">
            <v>0.33333333333333331</v>
          </cell>
          <cell r="T137">
            <v>37756</v>
          </cell>
          <cell r="U137">
            <v>0.41666666666666669</v>
          </cell>
          <cell r="V137">
            <v>37756</v>
          </cell>
          <cell r="W137">
            <v>0.41666666666666669</v>
          </cell>
          <cell r="X137">
            <v>8.3333333330908033E-2</v>
          </cell>
          <cell r="Y137">
            <v>8.3333333330908033E-2</v>
          </cell>
          <cell r="AB137">
            <v>5</v>
          </cell>
          <cell r="AC137">
            <v>4</v>
          </cell>
          <cell r="AD137">
            <v>0</v>
          </cell>
          <cell r="BF137">
            <v>0</v>
          </cell>
          <cell r="BG137">
            <v>0</v>
          </cell>
          <cell r="BH137">
            <v>0</v>
          </cell>
          <cell r="BI137">
            <v>0</v>
          </cell>
          <cell r="BJ137">
            <v>0</v>
          </cell>
          <cell r="BK137">
            <v>0</v>
          </cell>
          <cell r="BL137">
            <v>0</v>
          </cell>
          <cell r="BM137">
            <v>0</v>
          </cell>
          <cell r="BN137">
            <v>0</v>
          </cell>
          <cell r="BO137">
            <v>0</v>
          </cell>
          <cell r="BP137">
            <v>0</v>
          </cell>
          <cell r="BQ137">
            <v>0</v>
          </cell>
          <cell r="BR137">
            <v>0</v>
          </cell>
          <cell r="BS137">
            <v>0</v>
          </cell>
          <cell r="BT137">
            <v>0</v>
          </cell>
          <cell r="BU137">
            <v>0</v>
          </cell>
          <cell r="BV137">
            <v>0</v>
          </cell>
          <cell r="BW137">
            <v>0</v>
          </cell>
          <cell r="BX137">
            <v>0</v>
          </cell>
          <cell r="BY137">
            <v>0</v>
          </cell>
          <cell r="BZ137">
            <v>5</v>
          </cell>
          <cell r="CA137">
            <v>0</v>
          </cell>
          <cell r="CB137">
            <v>0</v>
          </cell>
          <cell r="CC137">
            <v>0</v>
          </cell>
          <cell r="CD137">
            <v>0</v>
          </cell>
        </row>
        <row r="138">
          <cell r="C138">
            <v>37718</v>
          </cell>
          <cell r="D138">
            <v>37753</v>
          </cell>
          <cell r="E138">
            <v>37753</v>
          </cell>
          <cell r="F138">
            <v>0.33333333333333331</v>
          </cell>
          <cell r="G138" t="str">
            <v>Prensa Jundiaí Conectores</v>
          </cell>
          <cell r="H138" t="str">
            <v>Chaveta espanada do Rodilho da chapa</v>
          </cell>
          <cell r="I138" t="str">
            <v>Corretiva</v>
          </cell>
          <cell r="J138" t="str">
            <v>Não</v>
          </cell>
          <cell r="K138" t="str">
            <v>Mecânica</v>
          </cell>
          <cell r="L138" t="str">
            <v>Soldagem de porca para fixação por chave</v>
          </cell>
          <cell r="M138" t="str">
            <v>Defeito de Fabricação</v>
          </cell>
          <cell r="N138">
            <v>37756</v>
          </cell>
          <cell r="O138">
            <v>0.33333333333333331</v>
          </cell>
          <cell r="P138">
            <v>37756</v>
          </cell>
          <cell r="Q138">
            <v>0.33333333333333331</v>
          </cell>
          <cell r="T138">
            <v>37756</v>
          </cell>
          <cell r="U138">
            <v>0.38194444444444442</v>
          </cell>
          <cell r="V138">
            <v>37756</v>
          </cell>
          <cell r="W138">
            <v>0.38194444444444442</v>
          </cell>
          <cell r="X138">
            <v>4.8611111111919569E-2</v>
          </cell>
          <cell r="Y138">
            <v>4.8611111111919569E-2</v>
          </cell>
          <cell r="AB138">
            <v>5</v>
          </cell>
          <cell r="AC138">
            <v>4</v>
          </cell>
          <cell r="AD138">
            <v>0</v>
          </cell>
          <cell r="BF138">
            <v>0</v>
          </cell>
          <cell r="BG138">
            <v>0</v>
          </cell>
          <cell r="BH138">
            <v>0</v>
          </cell>
          <cell r="BI138">
            <v>0</v>
          </cell>
          <cell r="BJ138">
            <v>0</v>
          </cell>
          <cell r="BK138">
            <v>0</v>
          </cell>
          <cell r="BL138">
            <v>0</v>
          </cell>
          <cell r="BM138">
            <v>0</v>
          </cell>
          <cell r="BN138">
            <v>0</v>
          </cell>
          <cell r="BO138">
            <v>0</v>
          </cell>
          <cell r="BP138">
            <v>0</v>
          </cell>
          <cell r="BQ138">
            <v>0</v>
          </cell>
          <cell r="BR138">
            <v>0</v>
          </cell>
          <cell r="BS138">
            <v>0</v>
          </cell>
          <cell r="BT138">
            <v>0</v>
          </cell>
          <cell r="BU138">
            <v>0</v>
          </cell>
          <cell r="BV138">
            <v>0</v>
          </cell>
          <cell r="BW138">
            <v>0</v>
          </cell>
          <cell r="BX138">
            <v>0</v>
          </cell>
          <cell r="BY138">
            <v>0</v>
          </cell>
          <cell r="BZ138">
            <v>5</v>
          </cell>
          <cell r="CA138">
            <v>0</v>
          </cell>
          <cell r="CB138">
            <v>0</v>
          </cell>
          <cell r="CC138">
            <v>0</v>
          </cell>
          <cell r="CD138">
            <v>0</v>
          </cell>
        </row>
        <row r="139">
          <cell r="C139">
            <v>37718</v>
          </cell>
          <cell r="D139">
            <v>37762</v>
          </cell>
          <cell r="E139">
            <v>37761</v>
          </cell>
          <cell r="F139">
            <v>0.69791666666666663</v>
          </cell>
          <cell r="G139" t="str">
            <v>Prensa Jundiaí Conectores</v>
          </cell>
          <cell r="H139" t="str">
            <v>Painel elétrico não liga</v>
          </cell>
          <cell r="I139" t="str">
            <v>Corretiva</v>
          </cell>
          <cell r="J139" t="str">
            <v>Sim</v>
          </cell>
          <cell r="K139" t="str">
            <v>Elétrica</v>
          </cell>
          <cell r="L139" t="str">
            <v>Ajuste / Regulagem</v>
          </cell>
          <cell r="M139" t="str">
            <v>Mau contato</v>
          </cell>
          <cell r="N139">
            <v>37761</v>
          </cell>
          <cell r="O139">
            <v>0.69791666666666663</v>
          </cell>
          <cell r="P139">
            <v>37761</v>
          </cell>
          <cell r="Q139">
            <v>0.75</v>
          </cell>
          <cell r="R139">
            <v>37762</v>
          </cell>
          <cell r="S139">
            <v>0.33333333333333331</v>
          </cell>
          <cell r="T139">
            <v>37762</v>
          </cell>
          <cell r="U139">
            <v>0.44791666666666669</v>
          </cell>
          <cell r="V139">
            <v>0</v>
          </cell>
          <cell r="W139">
            <v>0.16666666666666674</v>
          </cell>
          <cell r="X139">
            <v>0.16666666666666674</v>
          </cell>
          <cell r="Y139">
            <v>0.16666666666666674</v>
          </cell>
          <cell r="AB139">
            <v>5</v>
          </cell>
          <cell r="AC139">
            <v>4</v>
          </cell>
          <cell r="AD139">
            <v>0</v>
          </cell>
          <cell r="BF139">
            <v>0</v>
          </cell>
          <cell r="BG139">
            <v>0</v>
          </cell>
          <cell r="BH139">
            <v>0</v>
          </cell>
          <cell r="BI139">
            <v>0</v>
          </cell>
          <cell r="BJ139">
            <v>0</v>
          </cell>
          <cell r="BK139">
            <v>0</v>
          </cell>
          <cell r="BL139">
            <v>0</v>
          </cell>
          <cell r="BM139">
            <v>0</v>
          </cell>
          <cell r="BN139">
            <v>0</v>
          </cell>
          <cell r="BO139">
            <v>0</v>
          </cell>
          <cell r="BP139">
            <v>0</v>
          </cell>
          <cell r="BQ139">
            <v>0</v>
          </cell>
          <cell r="BR139">
            <v>0</v>
          </cell>
          <cell r="BS139">
            <v>0</v>
          </cell>
          <cell r="BT139">
            <v>0</v>
          </cell>
          <cell r="BU139">
            <v>0</v>
          </cell>
          <cell r="BV139">
            <v>0</v>
          </cell>
          <cell r="BW139">
            <v>0</v>
          </cell>
          <cell r="BX139">
            <v>0</v>
          </cell>
          <cell r="BY139">
            <v>0</v>
          </cell>
          <cell r="BZ139">
            <v>5</v>
          </cell>
          <cell r="CA139">
            <v>0</v>
          </cell>
          <cell r="CB139">
            <v>0</v>
          </cell>
          <cell r="CC139">
            <v>0</v>
          </cell>
          <cell r="CD139">
            <v>0</v>
          </cell>
        </row>
        <row r="140">
          <cell r="C140">
            <v>37718</v>
          </cell>
          <cell r="D140">
            <v>37767</v>
          </cell>
          <cell r="E140">
            <v>37764</v>
          </cell>
          <cell r="F140">
            <v>0.4513888888888889</v>
          </cell>
          <cell r="G140" t="str">
            <v>Prensa Jundiaí Conectores</v>
          </cell>
          <cell r="H140" t="str">
            <v>Chave geral do painel está solta</v>
          </cell>
          <cell r="I140" t="str">
            <v>Corretiva</v>
          </cell>
          <cell r="J140" t="str">
            <v>Não</v>
          </cell>
          <cell r="K140" t="str">
            <v>Elétrica</v>
          </cell>
          <cell r="L140" t="str">
            <v>Reparo</v>
          </cell>
          <cell r="M140" t="str">
            <v>Vibração</v>
          </cell>
          <cell r="N140">
            <v>37764</v>
          </cell>
          <cell r="O140">
            <v>0.45833333333333331</v>
          </cell>
          <cell r="P140">
            <v>37764</v>
          </cell>
          <cell r="Q140">
            <v>0.45833333333333331</v>
          </cell>
          <cell r="T140">
            <v>37764</v>
          </cell>
          <cell r="U140">
            <v>0.46875</v>
          </cell>
          <cell r="V140">
            <v>37764</v>
          </cell>
          <cell r="W140">
            <v>0.46875</v>
          </cell>
          <cell r="X140">
            <v>1.0416666666666685E-2</v>
          </cell>
          <cell r="Y140">
            <v>1.0416666666666685E-2</v>
          </cell>
          <cell r="AB140">
            <v>5</v>
          </cell>
          <cell r="AC140">
            <v>4</v>
          </cell>
          <cell r="AD140">
            <v>0</v>
          </cell>
          <cell r="BF140">
            <v>0</v>
          </cell>
          <cell r="BG140">
            <v>0</v>
          </cell>
          <cell r="BH140">
            <v>0</v>
          </cell>
          <cell r="BI140">
            <v>0</v>
          </cell>
          <cell r="BJ140">
            <v>0</v>
          </cell>
          <cell r="BK140">
            <v>0</v>
          </cell>
          <cell r="BL140">
            <v>0</v>
          </cell>
          <cell r="BM140">
            <v>0</v>
          </cell>
          <cell r="BN140">
            <v>0</v>
          </cell>
          <cell r="BO140">
            <v>0</v>
          </cell>
          <cell r="BP140">
            <v>0</v>
          </cell>
          <cell r="BQ140">
            <v>0</v>
          </cell>
          <cell r="BR140">
            <v>0</v>
          </cell>
          <cell r="BS140">
            <v>0</v>
          </cell>
          <cell r="BT140">
            <v>0</v>
          </cell>
          <cell r="BU140">
            <v>0</v>
          </cell>
          <cell r="BV140">
            <v>0</v>
          </cell>
          <cell r="BW140">
            <v>0</v>
          </cell>
          <cell r="BX140">
            <v>0</v>
          </cell>
          <cell r="BY140">
            <v>0</v>
          </cell>
          <cell r="BZ140">
            <v>5</v>
          </cell>
          <cell r="CA140">
            <v>0</v>
          </cell>
          <cell r="CB140">
            <v>0</v>
          </cell>
          <cell r="CC140">
            <v>0</v>
          </cell>
          <cell r="CD140">
            <v>0</v>
          </cell>
        </row>
        <row r="141">
          <cell r="C141">
            <v>37718</v>
          </cell>
          <cell r="D141">
            <v>37769</v>
          </cell>
          <cell r="E141">
            <v>37767</v>
          </cell>
          <cell r="F141">
            <v>0.72916666666666663</v>
          </cell>
          <cell r="G141" t="str">
            <v>Prensa Jundiaí Conectores</v>
          </cell>
          <cell r="H141" t="str">
            <v>Chaveta do Rodilho quebrada</v>
          </cell>
          <cell r="I141" t="str">
            <v>Corretiva</v>
          </cell>
          <cell r="J141" t="str">
            <v>Sim</v>
          </cell>
          <cell r="K141" t="str">
            <v>Mecânica</v>
          </cell>
          <cell r="L141" t="str">
            <v>Melhoria no Sistema de Fixação</v>
          </cell>
          <cell r="M141" t="str">
            <v>Causa não especificada</v>
          </cell>
          <cell r="N141">
            <v>37767</v>
          </cell>
          <cell r="O141">
            <v>0.72916666666666663</v>
          </cell>
          <cell r="P141">
            <v>37767</v>
          </cell>
          <cell r="Q141">
            <v>0.72916666666666663</v>
          </cell>
          <cell r="T141">
            <v>37767</v>
          </cell>
          <cell r="U141">
            <v>0.75</v>
          </cell>
          <cell r="V141">
            <v>37767</v>
          </cell>
          <cell r="W141">
            <v>0.75</v>
          </cell>
          <cell r="X141">
            <v>2.083333333333337E-2</v>
          </cell>
          <cell r="Y141">
            <v>2.083333333333337E-2</v>
          </cell>
          <cell r="AB141">
            <v>5</v>
          </cell>
          <cell r="AC141">
            <v>4</v>
          </cell>
          <cell r="AD141">
            <v>0</v>
          </cell>
          <cell r="BF141">
            <v>0</v>
          </cell>
          <cell r="BG141">
            <v>0</v>
          </cell>
          <cell r="BH141">
            <v>0</v>
          </cell>
          <cell r="BI141">
            <v>0</v>
          </cell>
          <cell r="BJ141">
            <v>0</v>
          </cell>
          <cell r="BK141">
            <v>0</v>
          </cell>
          <cell r="BL141">
            <v>0</v>
          </cell>
          <cell r="BM141">
            <v>0</v>
          </cell>
          <cell r="BN141">
            <v>0</v>
          </cell>
          <cell r="BO141">
            <v>0</v>
          </cell>
          <cell r="BP141">
            <v>0</v>
          </cell>
          <cell r="BQ141">
            <v>0</v>
          </cell>
          <cell r="BR141">
            <v>0</v>
          </cell>
          <cell r="BS141">
            <v>0</v>
          </cell>
          <cell r="BT141">
            <v>0</v>
          </cell>
          <cell r="BU141">
            <v>0</v>
          </cell>
          <cell r="BV141">
            <v>0</v>
          </cell>
          <cell r="BW141">
            <v>0</v>
          </cell>
          <cell r="BX141">
            <v>0</v>
          </cell>
          <cell r="BY141">
            <v>0</v>
          </cell>
          <cell r="BZ141">
            <v>5</v>
          </cell>
          <cell r="CA141">
            <v>0</v>
          </cell>
          <cell r="CB141">
            <v>0</v>
          </cell>
          <cell r="CC141">
            <v>0</v>
          </cell>
          <cell r="CD141">
            <v>0</v>
          </cell>
        </row>
        <row r="142">
          <cell r="C142">
            <v>37718</v>
          </cell>
          <cell r="D142">
            <v>37819</v>
          </cell>
          <cell r="E142">
            <v>37768</v>
          </cell>
          <cell r="F142">
            <v>0.47916666666666669</v>
          </cell>
          <cell r="G142" t="str">
            <v>Prensa Jundiaí Conectores</v>
          </cell>
          <cell r="H142" t="str">
            <v>Motor não mantém velocidade do golpe</v>
          </cell>
          <cell r="I142" t="str">
            <v>Corretiva</v>
          </cell>
          <cell r="J142" t="str">
            <v>Sim</v>
          </cell>
          <cell r="K142" t="str">
            <v>Mecânica</v>
          </cell>
          <cell r="L142" t="str">
            <v>Reaperto dos componentes</v>
          </cell>
          <cell r="M142" t="str">
            <v>Vibração</v>
          </cell>
          <cell r="N142">
            <v>37768</v>
          </cell>
          <cell r="O142">
            <v>0.47916666666666669</v>
          </cell>
          <cell r="P142">
            <v>37768</v>
          </cell>
          <cell r="Q142">
            <v>0.47916666666666669</v>
          </cell>
          <cell r="T142">
            <v>37768</v>
          </cell>
          <cell r="U142">
            <v>0.69444444444444453</v>
          </cell>
          <cell r="V142">
            <v>37768</v>
          </cell>
          <cell r="W142">
            <v>0.69444444444444453</v>
          </cell>
          <cell r="X142">
            <v>0.21527777777777785</v>
          </cell>
          <cell r="Y142">
            <v>0.2152777777785862</v>
          </cell>
          <cell r="AB142">
            <v>5</v>
          </cell>
          <cell r="AC142">
            <v>4</v>
          </cell>
          <cell r="AD142">
            <v>0</v>
          </cell>
          <cell r="BF142">
            <v>0</v>
          </cell>
          <cell r="BG142">
            <v>0</v>
          </cell>
          <cell r="BH142">
            <v>0</v>
          </cell>
          <cell r="BI142">
            <v>0</v>
          </cell>
          <cell r="BJ142">
            <v>0</v>
          </cell>
          <cell r="BK142">
            <v>0</v>
          </cell>
          <cell r="BL142">
            <v>0</v>
          </cell>
          <cell r="BM142">
            <v>0</v>
          </cell>
          <cell r="BN142">
            <v>0</v>
          </cell>
          <cell r="BO142">
            <v>0</v>
          </cell>
          <cell r="BP142">
            <v>0</v>
          </cell>
          <cell r="BQ142">
            <v>0</v>
          </cell>
          <cell r="BR142">
            <v>0</v>
          </cell>
          <cell r="BS142">
            <v>0</v>
          </cell>
          <cell r="BT142">
            <v>0</v>
          </cell>
          <cell r="BU142">
            <v>0</v>
          </cell>
          <cell r="BV142">
            <v>0</v>
          </cell>
          <cell r="BW142">
            <v>0</v>
          </cell>
          <cell r="BX142">
            <v>0</v>
          </cell>
          <cell r="BY142">
            <v>0</v>
          </cell>
          <cell r="BZ142">
            <v>5</v>
          </cell>
          <cell r="CA142">
            <v>0</v>
          </cell>
          <cell r="CB142">
            <v>0</v>
          </cell>
          <cell r="CC142">
            <v>0</v>
          </cell>
          <cell r="CD142">
            <v>0</v>
          </cell>
        </row>
        <row r="143">
          <cell r="C143">
            <v>37718</v>
          </cell>
          <cell r="D143">
            <v>37783</v>
          </cell>
          <cell r="E143">
            <v>37778</v>
          </cell>
          <cell r="F143">
            <v>0.47916666666666669</v>
          </cell>
          <cell r="G143" t="str">
            <v>Prensa Jundiaí Conectores</v>
          </cell>
          <cell r="H143" t="str">
            <v>Ocorre ligeiro travamento da chaveta no desbobinador</v>
          </cell>
          <cell r="I143" t="str">
            <v>Corretiva</v>
          </cell>
          <cell r="J143" t="str">
            <v>Não</v>
          </cell>
          <cell r="K143" t="str">
            <v>Mecânica</v>
          </cell>
          <cell r="L143" t="str">
            <v>O componente foi lixado / ajustado</v>
          </cell>
          <cell r="M143" t="str">
            <v>Falha de Regulagem / Configuração / Dimensionamento</v>
          </cell>
          <cell r="N143">
            <v>37778</v>
          </cell>
          <cell r="O143">
            <v>0.47916666666666669</v>
          </cell>
          <cell r="P143">
            <v>37778</v>
          </cell>
          <cell r="Q143">
            <v>0.47916666666666669</v>
          </cell>
          <cell r="T143">
            <v>37778</v>
          </cell>
          <cell r="U143">
            <v>0.53472222222222221</v>
          </cell>
          <cell r="V143">
            <v>37778</v>
          </cell>
          <cell r="W143">
            <v>0.53472222222222221</v>
          </cell>
          <cell r="X143">
            <v>5.5555555552321778E-2</v>
          </cell>
          <cell r="Y143">
            <v>5.5555555552321778E-2</v>
          </cell>
          <cell r="AB143">
            <v>6</v>
          </cell>
          <cell r="AC143">
            <v>4</v>
          </cell>
          <cell r="AD143">
            <v>0</v>
          </cell>
          <cell r="BF143">
            <v>0</v>
          </cell>
          <cell r="BG143">
            <v>0</v>
          </cell>
          <cell r="BH143">
            <v>0</v>
          </cell>
          <cell r="BI143">
            <v>0</v>
          </cell>
          <cell r="BJ143">
            <v>0</v>
          </cell>
          <cell r="BK143">
            <v>0</v>
          </cell>
          <cell r="BL143">
            <v>0</v>
          </cell>
          <cell r="BM143">
            <v>0</v>
          </cell>
          <cell r="BN143">
            <v>0</v>
          </cell>
          <cell r="BO143">
            <v>0</v>
          </cell>
          <cell r="BP143">
            <v>0</v>
          </cell>
          <cell r="BQ143">
            <v>0</v>
          </cell>
          <cell r="BR143">
            <v>0</v>
          </cell>
          <cell r="BS143">
            <v>0</v>
          </cell>
          <cell r="BT143">
            <v>0</v>
          </cell>
          <cell r="BU143">
            <v>0</v>
          </cell>
          <cell r="BV143">
            <v>0</v>
          </cell>
          <cell r="BW143">
            <v>0</v>
          </cell>
          <cell r="BX143">
            <v>0</v>
          </cell>
          <cell r="BY143">
            <v>0</v>
          </cell>
          <cell r="BZ143">
            <v>6</v>
          </cell>
          <cell r="CA143">
            <v>0</v>
          </cell>
          <cell r="CB143">
            <v>0</v>
          </cell>
          <cell r="CC143">
            <v>0</v>
          </cell>
          <cell r="CD143">
            <v>0</v>
          </cell>
        </row>
        <row r="144">
          <cell r="C144">
            <v>37718</v>
          </cell>
          <cell r="D144">
            <v>37803</v>
          </cell>
          <cell r="E144">
            <v>37795</v>
          </cell>
          <cell r="F144">
            <v>0.375</v>
          </cell>
          <cell r="G144" t="str">
            <v>Prensa Jundiaí Conectores</v>
          </cell>
          <cell r="H144" t="str">
            <v>Conexão de Ar Comprimido quebrada</v>
          </cell>
          <cell r="I144" t="str">
            <v>Corretiva</v>
          </cell>
          <cell r="J144" t="str">
            <v>Não</v>
          </cell>
          <cell r="K144" t="str">
            <v>Mecânica</v>
          </cell>
          <cell r="L144" t="str">
            <v>Substituição do(s) Componente(s)</v>
          </cell>
          <cell r="M144" t="str">
            <v>Defeito de Fabricação</v>
          </cell>
          <cell r="N144">
            <v>37795</v>
          </cell>
          <cell r="O144">
            <v>0.375</v>
          </cell>
          <cell r="P144">
            <v>37795</v>
          </cell>
          <cell r="Q144">
            <v>0.375</v>
          </cell>
          <cell r="T144">
            <v>37795</v>
          </cell>
          <cell r="U144">
            <v>0.39930555555555558</v>
          </cell>
          <cell r="V144">
            <v>37795</v>
          </cell>
          <cell r="W144">
            <v>0.39930555555555558</v>
          </cell>
          <cell r="X144">
            <v>2.4305555554747116E-2</v>
          </cell>
          <cell r="Y144">
            <v>2.4305555554747116E-2</v>
          </cell>
          <cell r="AB144">
            <v>6</v>
          </cell>
          <cell r="AC144">
            <v>4</v>
          </cell>
          <cell r="AD144">
            <v>0</v>
          </cell>
          <cell r="BF144">
            <v>0</v>
          </cell>
          <cell r="BG144">
            <v>0</v>
          </cell>
          <cell r="BH144">
            <v>0</v>
          </cell>
          <cell r="BI144">
            <v>0</v>
          </cell>
          <cell r="BJ144">
            <v>0</v>
          </cell>
          <cell r="BK144">
            <v>0</v>
          </cell>
          <cell r="BL144">
            <v>0</v>
          </cell>
          <cell r="BM144">
            <v>0</v>
          </cell>
          <cell r="BN144">
            <v>0</v>
          </cell>
          <cell r="BO144">
            <v>0</v>
          </cell>
          <cell r="BP144">
            <v>0</v>
          </cell>
          <cell r="BQ144">
            <v>0</v>
          </cell>
          <cell r="BR144">
            <v>0</v>
          </cell>
          <cell r="BS144">
            <v>0</v>
          </cell>
          <cell r="BT144">
            <v>0</v>
          </cell>
          <cell r="BU144">
            <v>0</v>
          </cell>
          <cell r="BV144">
            <v>0</v>
          </cell>
          <cell r="BW144">
            <v>0</v>
          </cell>
          <cell r="BX144">
            <v>0</v>
          </cell>
          <cell r="BY144">
            <v>0</v>
          </cell>
          <cell r="BZ144">
            <v>6</v>
          </cell>
          <cell r="CA144">
            <v>0</v>
          </cell>
          <cell r="CB144">
            <v>0</v>
          </cell>
          <cell r="CC144">
            <v>0</v>
          </cell>
          <cell r="CD144">
            <v>0</v>
          </cell>
        </row>
        <row r="145">
          <cell r="C145">
            <v>37718</v>
          </cell>
          <cell r="D145">
            <v>37803</v>
          </cell>
          <cell r="E145">
            <v>37796</v>
          </cell>
          <cell r="F145">
            <v>0.45833333333333331</v>
          </cell>
          <cell r="G145" t="str">
            <v>Prensa Jundiaí Conectores</v>
          </cell>
          <cell r="H145" t="str">
            <v>Cabo de Fibra Óptica está rompido</v>
          </cell>
          <cell r="I145" t="str">
            <v>Corretiva</v>
          </cell>
          <cell r="J145" t="str">
            <v>Não</v>
          </cell>
          <cell r="K145" t="str">
            <v>Elétrica</v>
          </cell>
          <cell r="L145" t="str">
            <v>Substituição do(s) Componente(s)</v>
          </cell>
          <cell r="M145" t="str">
            <v>Causa não especificada</v>
          </cell>
          <cell r="N145">
            <v>37796</v>
          </cell>
          <cell r="O145">
            <v>0.45833333333333331</v>
          </cell>
          <cell r="P145">
            <v>37796</v>
          </cell>
          <cell r="Q145">
            <v>0.45833333333333331</v>
          </cell>
          <cell r="T145">
            <v>37796</v>
          </cell>
          <cell r="U145">
            <v>0.5</v>
          </cell>
          <cell r="V145">
            <v>37796</v>
          </cell>
          <cell r="W145">
            <v>0.5</v>
          </cell>
          <cell r="X145">
            <v>4.1666666666666685E-2</v>
          </cell>
          <cell r="Y145">
            <v>4.1666666666666685E-2</v>
          </cell>
          <cell r="AB145">
            <v>6</v>
          </cell>
          <cell r="AC145">
            <v>4</v>
          </cell>
          <cell r="AD145">
            <v>0</v>
          </cell>
          <cell r="BF145">
            <v>0</v>
          </cell>
          <cell r="BG145">
            <v>0</v>
          </cell>
          <cell r="BH145">
            <v>0</v>
          </cell>
          <cell r="BI145">
            <v>0</v>
          </cell>
          <cell r="BJ145">
            <v>0</v>
          </cell>
          <cell r="BK145">
            <v>0</v>
          </cell>
          <cell r="BL145">
            <v>0</v>
          </cell>
          <cell r="BM145">
            <v>0</v>
          </cell>
          <cell r="BN145">
            <v>0</v>
          </cell>
          <cell r="BO145">
            <v>0</v>
          </cell>
          <cell r="BP145">
            <v>0</v>
          </cell>
          <cell r="BQ145">
            <v>0</v>
          </cell>
          <cell r="BR145">
            <v>0</v>
          </cell>
          <cell r="BS145">
            <v>0</v>
          </cell>
          <cell r="BT145">
            <v>0</v>
          </cell>
          <cell r="BU145">
            <v>0</v>
          </cell>
          <cell r="BV145">
            <v>0</v>
          </cell>
          <cell r="BW145">
            <v>0</v>
          </cell>
          <cell r="BX145">
            <v>0</v>
          </cell>
          <cell r="BY145">
            <v>0</v>
          </cell>
          <cell r="BZ145">
            <v>6</v>
          </cell>
          <cell r="CA145">
            <v>0</v>
          </cell>
          <cell r="CB145">
            <v>0</v>
          </cell>
          <cell r="CC145">
            <v>0</v>
          </cell>
          <cell r="CD145">
            <v>0</v>
          </cell>
        </row>
        <row r="146">
          <cell r="C146">
            <v>37718</v>
          </cell>
          <cell r="D146">
            <v>37838</v>
          </cell>
          <cell r="E146">
            <v>37830</v>
          </cell>
          <cell r="F146">
            <v>0.55208333333333337</v>
          </cell>
          <cell r="G146" t="str">
            <v>Prensa Jundiaí Conectores</v>
          </cell>
          <cell r="H146" t="str">
            <v>Calço do motor principal quebrado</v>
          </cell>
          <cell r="I146" t="str">
            <v>Corretiva</v>
          </cell>
          <cell r="J146" t="str">
            <v>Sim</v>
          </cell>
          <cell r="K146" t="str">
            <v>Mecânica</v>
          </cell>
          <cell r="L146" t="str">
            <v>Substituição do(s) Componente(s)</v>
          </cell>
          <cell r="M146" t="str">
            <v>Vibração</v>
          </cell>
          <cell r="N146">
            <v>37830</v>
          </cell>
          <cell r="O146">
            <v>0.58333333333333337</v>
          </cell>
          <cell r="P146">
            <v>37830</v>
          </cell>
          <cell r="Q146">
            <v>0.58333333333333337</v>
          </cell>
          <cell r="T146">
            <v>37831</v>
          </cell>
          <cell r="U146">
            <v>0.66666666666666663</v>
          </cell>
          <cell r="V146">
            <v>37831</v>
          </cell>
          <cell r="W146">
            <v>0.66666666666666663</v>
          </cell>
          <cell r="X146">
            <v>0.45833333333333326</v>
          </cell>
          <cell r="Y146">
            <v>0.45833333333090787</v>
          </cell>
          <cell r="AB146">
            <v>7</v>
          </cell>
          <cell r="AC146">
            <v>4</v>
          </cell>
          <cell r="AD146">
            <v>0</v>
          </cell>
          <cell r="BF146">
            <v>0</v>
          </cell>
          <cell r="BG146">
            <v>0</v>
          </cell>
          <cell r="BH146">
            <v>0</v>
          </cell>
          <cell r="BI146">
            <v>0</v>
          </cell>
          <cell r="BJ146">
            <v>0</v>
          </cell>
          <cell r="BK146">
            <v>0</v>
          </cell>
          <cell r="BL146">
            <v>0</v>
          </cell>
          <cell r="BM146">
            <v>0</v>
          </cell>
          <cell r="BN146">
            <v>0</v>
          </cell>
          <cell r="BO146">
            <v>0</v>
          </cell>
          <cell r="BP146">
            <v>0</v>
          </cell>
          <cell r="BQ146">
            <v>0</v>
          </cell>
          <cell r="BR146">
            <v>0</v>
          </cell>
          <cell r="BS146">
            <v>0</v>
          </cell>
          <cell r="BT146">
            <v>0</v>
          </cell>
          <cell r="BU146">
            <v>0</v>
          </cell>
          <cell r="BV146">
            <v>0</v>
          </cell>
          <cell r="BW146">
            <v>0</v>
          </cell>
          <cell r="BX146">
            <v>0</v>
          </cell>
          <cell r="BY146">
            <v>0</v>
          </cell>
          <cell r="BZ146">
            <v>7</v>
          </cell>
          <cell r="CA146">
            <v>0</v>
          </cell>
          <cell r="CB146">
            <v>0</v>
          </cell>
          <cell r="CC146">
            <v>0</v>
          </cell>
          <cell r="CD146">
            <v>0</v>
          </cell>
        </row>
        <row r="147">
          <cell r="C147">
            <v>37718</v>
          </cell>
          <cell r="D147">
            <v>37756</v>
          </cell>
          <cell r="E147">
            <v>37753</v>
          </cell>
          <cell r="F147">
            <v>0.44791666666666669</v>
          </cell>
          <cell r="G147" t="str">
            <v>Serra Elétrica Circular</v>
          </cell>
          <cell r="H147" t="str">
            <v>Serra não liga</v>
          </cell>
          <cell r="I147" t="str">
            <v>Corretiva</v>
          </cell>
          <cell r="J147" t="str">
            <v>Sim</v>
          </cell>
          <cell r="K147" t="str">
            <v>Elétrica</v>
          </cell>
          <cell r="L147" t="str">
            <v>Foi realizada manutenção no motor por terceiros, pois o mesmo encontrava-se queimado</v>
          </cell>
          <cell r="M147" t="str">
            <v>Sobrecarga</v>
          </cell>
          <cell r="N147">
            <v>37753</v>
          </cell>
          <cell r="O147">
            <v>0.47916666666666669</v>
          </cell>
          <cell r="P147">
            <v>37753</v>
          </cell>
          <cell r="Q147">
            <v>0.5625</v>
          </cell>
          <cell r="R147">
            <v>37754</v>
          </cell>
          <cell r="S147">
            <v>0.40972222222222227</v>
          </cell>
          <cell r="T147">
            <v>37754</v>
          </cell>
          <cell r="U147">
            <v>0.49305555555555558</v>
          </cell>
          <cell r="V147">
            <v>3.125E-2</v>
          </cell>
          <cell r="W147">
            <v>0.19791666666666663</v>
          </cell>
          <cell r="X147">
            <v>0.16666666666666663</v>
          </cell>
          <cell r="Y147" t="str">
            <v>Sobrecarga no motor</v>
          </cell>
          <cell r="AB147">
            <v>5</v>
          </cell>
          <cell r="AC147">
            <v>4</v>
          </cell>
          <cell r="AD147">
            <v>0</v>
          </cell>
          <cell r="BF147">
            <v>0</v>
          </cell>
          <cell r="BG147">
            <v>0</v>
          </cell>
          <cell r="BH147">
            <v>0</v>
          </cell>
          <cell r="BI147">
            <v>0</v>
          </cell>
          <cell r="BJ147">
            <v>0</v>
          </cell>
          <cell r="BK147">
            <v>0</v>
          </cell>
          <cell r="BL147">
            <v>0</v>
          </cell>
          <cell r="BM147">
            <v>0</v>
          </cell>
          <cell r="BN147">
            <v>0</v>
          </cell>
          <cell r="BO147">
            <v>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5</v>
          </cell>
        </row>
        <row r="148">
          <cell r="C148">
            <v>37718</v>
          </cell>
          <cell r="D148">
            <v>37756</v>
          </cell>
          <cell r="E148">
            <v>37753</v>
          </cell>
          <cell r="F148">
            <v>0.70833333333333337</v>
          </cell>
          <cell r="G148" t="str">
            <v>Perfiladora Zikeli</v>
          </cell>
          <cell r="H148" t="str">
            <v>Desligamento na chave geral</v>
          </cell>
          <cell r="I148" t="str">
            <v>Corretiva</v>
          </cell>
          <cell r="J148" t="str">
            <v>Sim</v>
          </cell>
          <cell r="K148" t="str">
            <v>Elétrica</v>
          </cell>
          <cell r="L148" t="str">
            <v>Reparo</v>
          </cell>
          <cell r="M148" t="str">
            <v>Sobrecarga</v>
          </cell>
          <cell r="N148">
            <v>37754</v>
          </cell>
          <cell r="O148">
            <v>0.36805555555555558</v>
          </cell>
          <cell r="P148">
            <v>37754</v>
          </cell>
          <cell r="Q148">
            <v>0.36805555555555558</v>
          </cell>
          <cell r="T148">
            <v>37754</v>
          </cell>
          <cell r="U148">
            <v>0.3888888888888889</v>
          </cell>
          <cell r="V148">
            <v>37754</v>
          </cell>
          <cell r="W148">
            <v>0.3888888888888889</v>
          </cell>
          <cell r="X148">
            <v>2.0833333333333315E-2</v>
          </cell>
          <cell r="Y148">
            <v>2.0833333334950188E-2</v>
          </cell>
          <cell r="AB148">
            <v>5</v>
          </cell>
          <cell r="AC148">
            <v>4</v>
          </cell>
          <cell r="AD148">
            <v>0</v>
          </cell>
          <cell r="BF148">
            <v>0</v>
          </cell>
          <cell r="BG148">
            <v>0</v>
          </cell>
          <cell r="BH148">
            <v>0</v>
          </cell>
          <cell r="BI148">
            <v>0</v>
          </cell>
          <cell r="BJ148">
            <v>0</v>
          </cell>
          <cell r="BK148">
            <v>0</v>
          </cell>
          <cell r="BL148">
            <v>0</v>
          </cell>
          <cell r="BM148">
            <v>0</v>
          </cell>
          <cell r="BN148">
            <v>0</v>
          </cell>
          <cell r="BO148">
            <v>0</v>
          </cell>
          <cell r="BP148">
            <v>0</v>
          </cell>
          <cell r="BQ148">
            <v>0</v>
          </cell>
          <cell r="BR148">
            <v>0</v>
          </cell>
          <cell r="BS148">
            <v>0</v>
          </cell>
          <cell r="BT148">
            <v>0</v>
          </cell>
          <cell r="BU148">
            <v>0</v>
          </cell>
          <cell r="BV148">
            <v>0</v>
          </cell>
          <cell r="BW148">
            <v>5</v>
          </cell>
          <cell r="BX148">
            <v>0</v>
          </cell>
          <cell r="BY148">
            <v>0</v>
          </cell>
          <cell r="BZ148">
            <v>0</v>
          </cell>
          <cell r="CA148">
            <v>0</v>
          </cell>
          <cell r="CB148">
            <v>0</v>
          </cell>
          <cell r="CC148">
            <v>0</v>
          </cell>
          <cell r="CD148">
            <v>0</v>
          </cell>
        </row>
        <row r="149">
          <cell r="C149">
            <v>37718</v>
          </cell>
          <cell r="D149">
            <v>37762</v>
          </cell>
          <cell r="E149">
            <v>37761</v>
          </cell>
          <cell r="F149">
            <v>0.375</v>
          </cell>
          <cell r="G149" t="str">
            <v>Perfiladora Zikeli</v>
          </cell>
          <cell r="H149" t="str">
            <v>Impressora não liga</v>
          </cell>
          <cell r="I149" t="str">
            <v>Corretiva</v>
          </cell>
          <cell r="J149" t="str">
            <v>Sim</v>
          </cell>
          <cell r="K149" t="str">
            <v>Elétrica</v>
          </cell>
          <cell r="L149" t="str">
            <v>Foi verificada a tensão na tomada e religado estabilizador da impressora</v>
          </cell>
          <cell r="M149" t="str">
            <v>Sobrecarga</v>
          </cell>
          <cell r="N149">
            <v>37761</v>
          </cell>
          <cell r="O149">
            <v>0.41666666666666669</v>
          </cell>
          <cell r="P149">
            <v>37761</v>
          </cell>
          <cell r="Q149">
            <v>0.41666666666666669</v>
          </cell>
          <cell r="T149">
            <v>37761</v>
          </cell>
          <cell r="U149">
            <v>0.42708333333333331</v>
          </cell>
          <cell r="V149">
            <v>37761</v>
          </cell>
          <cell r="W149">
            <v>0.42708333333333331</v>
          </cell>
          <cell r="X149">
            <v>1.041666666666663E-2</v>
          </cell>
          <cell r="Y149">
            <v>1.0416666669091967E-2</v>
          </cell>
          <cell r="AB149">
            <v>5</v>
          </cell>
          <cell r="AC149">
            <v>4</v>
          </cell>
          <cell r="AD149">
            <v>0</v>
          </cell>
          <cell r="BF149">
            <v>0</v>
          </cell>
          <cell r="BG149">
            <v>0</v>
          </cell>
          <cell r="BH149">
            <v>0</v>
          </cell>
          <cell r="BI149">
            <v>0</v>
          </cell>
          <cell r="BJ149">
            <v>0</v>
          </cell>
          <cell r="BK149">
            <v>0</v>
          </cell>
          <cell r="BL149">
            <v>0</v>
          </cell>
          <cell r="BM149">
            <v>0</v>
          </cell>
          <cell r="BN149">
            <v>0</v>
          </cell>
          <cell r="BO149">
            <v>0</v>
          </cell>
          <cell r="BP149">
            <v>0</v>
          </cell>
          <cell r="BQ149">
            <v>0</v>
          </cell>
          <cell r="BR149">
            <v>0</v>
          </cell>
          <cell r="BS149">
            <v>0</v>
          </cell>
          <cell r="BT149">
            <v>0</v>
          </cell>
          <cell r="BU149">
            <v>0</v>
          </cell>
          <cell r="BV149">
            <v>0</v>
          </cell>
          <cell r="BW149">
            <v>5</v>
          </cell>
          <cell r="BX149">
            <v>0</v>
          </cell>
          <cell r="BY149">
            <v>0</v>
          </cell>
          <cell r="BZ149">
            <v>0</v>
          </cell>
          <cell r="CA149">
            <v>0</v>
          </cell>
          <cell r="CB149">
            <v>0</v>
          </cell>
          <cell r="CC149">
            <v>0</v>
          </cell>
          <cell r="CD149">
            <v>0</v>
          </cell>
        </row>
        <row r="150">
          <cell r="C150">
            <v>37718</v>
          </cell>
          <cell r="D150">
            <v>37762</v>
          </cell>
          <cell r="E150">
            <v>37761</v>
          </cell>
          <cell r="F150">
            <v>0.72916666666666663</v>
          </cell>
          <cell r="G150" t="str">
            <v>Perfiladora Zikeli</v>
          </cell>
          <cell r="H150" t="str">
            <v>Parafuso de aperto hidráulico do desbobinador quebrado</v>
          </cell>
          <cell r="I150" t="str">
            <v>Corretiva</v>
          </cell>
          <cell r="J150" t="str">
            <v>Não</v>
          </cell>
          <cell r="K150" t="str">
            <v>Mecânica</v>
          </cell>
          <cell r="L150" t="str">
            <v>Reparo</v>
          </cell>
          <cell r="M150" t="str">
            <v>Defeito de Fabricação</v>
          </cell>
          <cell r="N150">
            <v>37762</v>
          </cell>
          <cell r="O150">
            <v>0.33333333333333331</v>
          </cell>
          <cell r="P150">
            <v>37762</v>
          </cell>
          <cell r="Q150">
            <v>0.33333333333333331</v>
          </cell>
          <cell r="T150">
            <v>37762</v>
          </cell>
          <cell r="U150">
            <v>0.375</v>
          </cell>
          <cell r="V150">
            <v>37762</v>
          </cell>
          <cell r="W150">
            <v>0.375</v>
          </cell>
          <cell r="X150">
            <v>4.1666666666666685E-2</v>
          </cell>
          <cell r="Y150">
            <v>4.1666666666666685E-2</v>
          </cell>
          <cell r="AB150">
            <v>5</v>
          </cell>
          <cell r="AC150">
            <v>4</v>
          </cell>
          <cell r="AD150">
            <v>0</v>
          </cell>
          <cell r="BF150">
            <v>0</v>
          </cell>
          <cell r="BG150">
            <v>0</v>
          </cell>
          <cell r="BH150">
            <v>0</v>
          </cell>
          <cell r="BI150">
            <v>0</v>
          </cell>
          <cell r="BJ150">
            <v>0</v>
          </cell>
          <cell r="BK150">
            <v>0</v>
          </cell>
          <cell r="BL150">
            <v>0</v>
          </cell>
          <cell r="BM150">
            <v>0</v>
          </cell>
          <cell r="BN150">
            <v>0</v>
          </cell>
          <cell r="BO150">
            <v>0</v>
          </cell>
          <cell r="BP150">
            <v>0</v>
          </cell>
          <cell r="BQ150">
            <v>0</v>
          </cell>
          <cell r="BR150">
            <v>0</v>
          </cell>
          <cell r="BS150">
            <v>0</v>
          </cell>
          <cell r="BT150">
            <v>0</v>
          </cell>
          <cell r="BU150">
            <v>0</v>
          </cell>
          <cell r="BV150">
            <v>0</v>
          </cell>
          <cell r="BW150">
            <v>5</v>
          </cell>
          <cell r="BX150">
            <v>0</v>
          </cell>
          <cell r="BY150">
            <v>0</v>
          </cell>
          <cell r="BZ150">
            <v>0</v>
          </cell>
          <cell r="CA150">
            <v>0</v>
          </cell>
          <cell r="CB150">
            <v>0</v>
          </cell>
          <cell r="CC150">
            <v>0</v>
          </cell>
          <cell r="CD150">
            <v>0</v>
          </cell>
        </row>
        <row r="151">
          <cell r="C151">
            <v>37718</v>
          </cell>
          <cell r="D151">
            <v>37769</v>
          </cell>
          <cell r="E151">
            <v>37767</v>
          </cell>
          <cell r="F151">
            <v>0.57499999999999996</v>
          </cell>
          <cell r="G151" t="str">
            <v>Perfiladora Zikeli</v>
          </cell>
          <cell r="H151" t="str">
            <v>Máquina trabalhando em sentido inverso ao especificado. Perfiladora parada.</v>
          </cell>
          <cell r="I151" t="str">
            <v>Corretiva</v>
          </cell>
          <cell r="J151" t="str">
            <v>Sim</v>
          </cell>
          <cell r="K151" t="str">
            <v>Elétrica</v>
          </cell>
          <cell r="L151" t="str">
            <v>Ajuste / Regulagem</v>
          </cell>
          <cell r="M151" t="str">
            <v>Falha Operacional</v>
          </cell>
          <cell r="N151">
            <v>37767</v>
          </cell>
          <cell r="O151">
            <v>0.65277777777777779</v>
          </cell>
          <cell r="P151">
            <v>37767</v>
          </cell>
          <cell r="Q151">
            <v>0.65277777777777779</v>
          </cell>
          <cell r="T151">
            <v>37767</v>
          </cell>
          <cell r="U151">
            <v>0.6875</v>
          </cell>
          <cell r="V151">
            <v>37767</v>
          </cell>
          <cell r="W151">
            <v>0.6875</v>
          </cell>
          <cell r="X151">
            <v>3.472222222222221E-2</v>
          </cell>
          <cell r="Y151">
            <v>3.472222222222221E-2</v>
          </cell>
          <cell r="AB151">
            <v>5</v>
          </cell>
          <cell r="AC151">
            <v>4</v>
          </cell>
          <cell r="AD151">
            <v>0</v>
          </cell>
          <cell r="BF151">
            <v>0</v>
          </cell>
          <cell r="BG151">
            <v>0</v>
          </cell>
          <cell r="BH151">
            <v>0</v>
          </cell>
          <cell r="BI151">
            <v>0</v>
          </cell>
          <cell r="BJ151">
            <v>0</v>
          </cell>
          <cell r="BK151">
            <v>0</v>
          </cell>
          <cell r="BL151">
            <v>0</v>
          </cell>
          <cell r="BM151">
            <v>0</v>
          </cell>
          <cell r="BN151">
            <v>0</v>
          </cell>
          <cell r="BO151">
            <v>0</v>
          </cell>
          <cell r="BP151">
            <v>0</v>
          </cell>
          <cell r="BQ151">
            <v>0</v>
          </cell>
          <cell r="BR151">
            <v>0</v>
          </cell>
          <cell r="BS151">
            <v>0</v>
          </cell>
          <cell r="BT151">
            <v>0</v>
          </cell>
          <cell r="BU151">
            <v>0</v>
          </cell>
          <cell r="BV151">
            <v>0</v>
          </cell>
          <cell r="BW151">
            <v>5</v>
          </cell>
          <cell r="BX151">
            <v>0</v>
          </cell>
          <cell r="BY151">
            <v>0</v>
          </cell>
          <cell r="BZ151">
            <v>0</v>
          </cell>
          <cell r="CA151">
            <v>0</v>
          </cell>
          <cell r="CB151">
            <v>0</v>
          </cell>
          <cell r="CC151">
            <v>0</v>
          </cell>
          <cell r="CD151">
            <v>0</v>
          </cell>
        </row>
        <row r="152">
          <cell r="C152">
            <v>37718</v>
          </cell>
          <cell r="D152">
            <v>37776</v>
          </cell>
          <cell r="E152">
            <v>37770</v>
          </cell>
          <cell r="F152">
            <v>0.50069444444444444</v>
          </cell>
          <cell r="G152" t="str">
            <v>Perfiladora Zikeli</v>
          </cell>
          <cell r="H152" t="str">
            <v>Alguns parafusos de fixação do braço do desbobinador estão duros e outros espanados</v>
          </cell>
          <cell r="I152" t="str">
            <v>Corretiva</v>
          </cell>
          <cell r="J152" t="str">
            <v>Não</v>
          </cell>
          <cell r="K152" t="str">
            <v>Mecânica</v>
          </cell>
          <cell r="L152" t="str">
            <v>Reparo</v>
          </cell>
          <cell r="M152" t="str">
            <v>Desgaste / Fadiga</v>
          </cell>
          <cell r="N152">
            <v>37770</v>
          </cell>
          <cell r="O152">
            <v>0.62152777777777779</v>
          </cell>
          <cell r="P152">
            <v>37770</v>
          </cell>
          <cell r="Q152">
            <v>0.62152777777777779</v>
          </cell>
          <cell r="T152">
            <v>37770</v>
          </cell>
          <cell r="U152">
            <v>0.75</v>
          </cell>
          <cell r="V152">
            <v>37770</v>
          </cell>
          <cell r="W152">
            <v>0.75</v>
          </cell>
          <cell r="X152">
            <v>0.12847222222222221</v>
          </cell>
          <cell r="Y152">
            <v>0.12847222222222221</v>
          </cell>
          <cell r="AB152">
            <v>5</v>
          </cell>
          <cell r="AC152">
            <v>4</v>
          </cell>
          <cell r="AD152">
            <v>0</v>
          </cell>
          <cell r="BF152">
            <v>0</v>
          </cell>
          <cell r="BG152">
            <v>0</v>
          </cell>
          <cell r="BH152">
            <v>0</v>
          </cell>
          <cell r="BI152">
            <v>0</v>
          </cell>
          <cell r="BJ152">
            <v>0</v>
          </cell>
          <cell r="BK152">
            <v>0</v>
          </cell>
          <cell r="BL152">
            <v>0</v>
          </cell>
          <cell r="BM152">
            <v>0</v>
          </cell>
          <cell r="BN152">
            <v>0</v>
          </cell>
          <cell r="BO152">
            <v>0</v>
          </cell>
          <cell r="BP152">
            <v>0</v>
          </cell>
          <cell r="BQ152">
            <v>0</v>
          </cell>
          <cell r="BR152">
            <v>0</v>
          </cell>
          <cell r="BS152">
            <v>0</v>
          </cell>
          <cell r="BT152">
            <v>0</v>
          </cell>
          <cell r="BU152">
            <v>0</v>
          </cell>
          <cell r="BV152">
            <v>0</v>
          </cell>
          <cell r="BW152">
            <v>5</v>
          </cell>
          <cell r="BX152">
            <v>0</v>
          </cell>
          <cell r="BY152">
            <v>0</v>
          </cell>
          <cell r="BZ152">
            <v>0</v>
          </cell>
          <cell r="CA152">
            <v>0</v>
          </cell>
          <cell r="CB152">
            <v>0</v>
          </cell>
          <cell r="CC152">
            <v>0</v>
          </cell>
          <cell r="CD152">
            <v>0</v>
          </cell>
        </row>
        <row r="153">
          <cell r="C153">
            <v>37718</v>
          </cell>
          <cell r="D153">
            <v>37806</v>
          </cell>
          <cell r="E153">
            <v>37802</v>
          </cell>
          <cell r="F153">
            <v>0.625</v>
          </cell>
          <cell r="G153" t="str">
            <v>Perfiladora Zikeli</v>
          </cell>
          <cell r="H153" t="str">
            <v>Vazamento de Ar no Manômetro</v>
          </cell>
          <cell r="I153" t="str">
            <v>Corretiva</v>
          </cell>
          <cell r="J153" t="str">
            <v>Não</v>
          </cell>
          <cell r="K153" t="str">
            <v>Mecânica</v>
          </cell>
          <cell r="L153" t="str">
            <v>Substituição do(s) Componente(s)</v>
          </cell>
          <cell r="M153" t="str">
            <v>Falha Operacional</v>
          </cell>
          <cell r="N153">
            <v>37802</v>
          </cell>
          <cell r="O153">
            <v>0.6875</v>
          </cell>
          <cell r="P153">
            <v>37802</v>
          </cell>
          <cell r="Q153">
            <v>0.6875</v>
          </cell>
          <cell r="T153">
            <v>37802</v>
          </cell>
          <cell r="U153">
            <v>0.75</v>
          </cell>
          <cell r="V153">
            <v>37802</v>
          </cell>
          <cell r="W153">
            <v>0.75</v>
          </cell>
          <cell r="X153">
            <v>6.25E-2</v>
          </cell>
          <cell r="Y153">
            <v>6.25E-2</v>
          </cell>
          <cell r="AB153">
            <v>6</v>
          </cell>
          <cell r="AC153">
            <v>4</v>
          </cell>
          <cell r="AD153">
            <v>0</v>
          </cell>
          <cell r="BF153">
            <v>0</v>
          </cell>
          <cell r="BG153">
            <v>0</v>
          </cell>
          <cell r="BH153">
            <v>0</v>
          </cell>
          <cell r="BI153">
            <v>0</v>
          </cell>
          <cell r="BJ153">
            <v>0</v>
          </cell>
          <cell r="BK153">
            <v>0</v>
          </cell>
          <cell r="BL153">
            <v>0</v>
          </cell>
          <cell r="BM153">
            <v>0</v>
          </cell>
          <cell r="BN153">
            <v>0</v>
          </cell>
          <cell r="BO153">
            <v>0</v>
          </cell>
          <cell r="BP153">
            <v>0</v>
          </cell>
          <cell r="BQ153">
            <v>0</v>
          </cell>
          <cell r="BR153">
            <v>0</v>
          </cell>
          <cell r="BS153">
            <v>0</v>
          </cell>
          <cell r="BT153">
            <v>0</v>
          </cell>
          <cell r="BU153">
            <v>0</v>
          </cell>
          <cell r="BV153">
            <v>0</v>
          </cell>
          <cell r="BW153">
            <v>6</v>
          </cell>
          <cell r="BX153">
            <v>0</v>
          </cell>
          <cell r="BY153">
            <v>0</v>
          </cell>
          <cell r="BZ153">
            <v>0</v>
          </cell>
          <cell r="CA153">
            <v>0</v>
          </cell>
          <cell r="CB153">
            <v>0</v>
          </cell>
          <cell r="CC153">
            <v>0</v>
          </cell>
          <cell r="CD153">
            <v>0</v>
          </cell>
        </row>
        <row r="154">
          <cell r="C154">
            <v>37718</v>
          </cell>
          <cell r="D154">
            <v>37900</v>
          </cell>
          <cell r="E154">
            <v>37867</v>
          </cell>
          <cell r="F154">
            <v>0.64583333333333337</v>
          </cell>
          <cell r="G154" t="str">
            <v>Perfiladora Fagor Largueros</v>
          </cell>
          <cell r="H154" t="str">
            <v>Guia da Chapa Quebrada</v>
          </cell>
          <cell r="I154" t="str">
            <v>Corretiva</v>
          </cell>
          <cell r="J154" t="str">
            <v>Não</v>
          </cell>
          <cell r="K154" t="str">
            <v>Mecânica</v>
          </cell>
          <cell r="L154" t="str">
            <v>Reparo</v>
          </cell>
          <cell r="M154" t="str">
            <v>Falha de Comando / Sistema</v>
          </cell>
          <cell r="N154">
            <v>37867</v>
          </cell>
          <cell r="O154">
            <v>0.66666666666666663</v>
          </cell>
          <cell r="P154">
            <v>37867</v>
          </cell>
          <cell r="Q154">
            <v>0.66666666666666663</v>
          </cell>
          <cell r="T154">
            <v>37867</v>
          </cell>
          <cell r="U154">
            <v>0.97916666666666663</v>
          </cell>
          <cell r="V154">
            <v>37867</v>
          </cell>
          <cell r="W154">
            <v>0.97916666666666663</v>
          </cell>
          <cell r="X154">
            <v>0.31249999999757472</v>
          </cell>
          <cell r="Y154">
            <v>0.31249999999757472</v>
          </cell>
          <cell r="AB154">
            <v>9</v>
          </cell>
          <cell r="AC154">
            <v>4</v>
          </cell>
          <cell r="AD154">
            <v>0</v>
          </cell>
          <cell r="BF154">
            <v>0</v>
          </cell>
          <cell r="BG154">
            <v>0</v>
          </cell>
          <cell r="BH154">
            <v>0</v>
          </cell>
          <cell r="BI154">
            <v>0</v>
          </cell>
          <cell r="BJ154">
            <v>0</v>
          </cell>
          <cell r="BK154">
            <v>0</v>
          </cell>
          <cell r="BL154">
            <v>0</v>
          </cell>
          <cell r="BM154">
            <v>0</v>
          </cell>
          <cell r="BN154">
            <v>0</v>
          </cell>
          <cell r="BO154">
            <v>0</v>
          </cell>
          <cell r="BP154">
            <v>0</v>
          </cell>
          <cell r="BQ154">
            <v>0</v>
          </cell>
          <cell r="BR154">
            <v>0</v>
          </cell>
          <cell r="BS154">
            <v>0</v>
          </cell>
          <cell r="BT154">
            <v>9</v>
          </cell>
          <cell r="BU154">
            <v>0</v>
          </cell>
          <cell r="BV154">
            <v>0</v>
          </cell>
          <cell r="BW154">
            <v>0</v>
          </cell>
          <cell r="BX154">
            <v>0</v>
          </cell>
          <cell r="BY154">
            <v>0</v>
          </cell>
          <cell r="BZ154">
            <v>0</v>
          </cell>
          <cell r="CA154">
            <v>0</v>
          </cell>
          <cell r="CB154">
            <v>0</v>
          </cell>
          <cell r="CC154">
            <v>0</v>
          </cell>
          <cell r="CD154">
            <v>0</v>
          </cell>
        </row>
        <row r="155">
          <cell r="C155">
            <v>37718</v>
          </cell>
          <cell r="D155">
            <v>37900</v>
          </cell>
          <cell r="E155">
            <v>37873</v>
          </cell>
          <cell r="F155">
            <v>0.47222222222222227</v>
          </cell>
          <cell r="G155" t="str">
            <v>Perfiladora Zikeli</v>
          </cell>
          <cell r="H155" t="str">
            <v>Vibração no Encoder</v>
          </cell>
          <cell r="I155" t="str">
            <v>Corretiva</v>
          </cell>
          <cell r="J155" t="str">
            <v>Não</v>
          </cell>
          <cell r="K155" t="str">
            <v>Mecânica</v>
          </cell>
          <cell r="L155" t="str">
            <v>Reparo</v>
          </cell>
          <cell r="M155" t="str">
            <v>Defeito de Fabricação</v>
          </cell>
          <cell r="N155">
            <v>37873</v>
          </cell>
          <cell r="O155">
            <v>0.47222222222222227</v>
          </cell>
          <cell r="P155">
            <v>37873</v>
          </cell>
          <cell r="Q155">
            <v>0.4861111111111111</v>
          </cell>
          <cell r="R155">
            <v>37876</v>
          </cell>
          <cell r="S155">
            <v>0.94791666666666663</v>
          </cell>
          <cell r="T155">
            <v>37876</v>
          </cell>
          <cell r="U155">
            <v>0.98958333333333337</v>
          </cell>
          <cell r="V155">
            <v>0</v>
          </cell>
          <cell r="W155">
            <v>5.555555555555558E-2</v>
          </cell>
          <cell r="X155">
            <v>5.555555555555558E-2</v>
          </cell>
          <cell r="Y155">
            <v>5.555555555555558E-2</v>
          </cell>
          <cell r="AB155">
            <v>9</v>
          </cell>
          <cell r="AC155">
            <v>4</v>
          </cell>
          <cell r="AD155">
            <v>0</v>
          </cell>
          <cell r="BF155">
            <v>0</v>
          </cell>
          <cell r="BG155">
            <v>0</v>
          </cell>
          <cell r="BH155">
            <v>0</v>
          </cell>
          <cell r="BI155">
            <v>0</v>
          </cell>
          <cell r="BJ155">
            <v>0</v>
          </cell>
          <cell r="BK155">
            <v>0</v>
          </cell>
          <cell r="BL155">
            <v>0</v>
          </cell>
          <cell r="BM155">
            <v>0</v>
          </cell>
          <cell r="BN155">
            <v>0</v>
          </cell>
          <cell r="BO155">
            <v>0</v>
          </cell>
          <cell r="BP155">
            <v>0</v>
          </cell>
          <cell r="BQ155">
            <v>0</v>
          </cell>
          <cell r="BR155">
            <v>0</v>
          </cell>
          <cell r="BS155">
            <v>0</v>
          </cell>
          <cell r="BT155">
            <v>0</v>
          </cell>
          <cell r="BU155">
            <v>0</v>
          </cell>
          <cell r="BV155">
            <v>0</v>
          </cell>
          <cell r="BW155">
            <v>9</v>
          </cell>
          <cell r="BX155">
            <v>0</v>
          </cell>
          <cell r="BY155">
            <v>0</v>
          </cell>
          <cell r="BZ155">
            <v>0</v>
          </cell>
          <cell r="CA155">
            <v>0</v>
          </cell>
          <cell r="CB155">
            <v>0</v>
          </cell>
          <cell r="CC155">
            <v>0</v>
          </cell>
          <cell r="CD155">
            <v>0</v>
          </cell>
        </row>
        <row r="156">
          <cell r="C156">
            <v>37718</v>
          </cell>
          <cell r="D156">
            <v>37866</v>
          </cell>
          <cell r="E156">
            <v>37865</v>
          </cell>
          <cell r="F156">
            <v>0.43055555555555558</v>
          </cell>
          <cell r="G156" t="str">
            <v>Perfiladora Zikeli</v>
          </cell>
          <cell r="H156" t="str">
            <v>Falha no Desbobinador No. 01</v>
          </cell>
          <cell r="I156" t="str">
            <v>Corretiva</v>
          </cell>
          <cell r="J156" t="str">
            <v>Sim</v>
          </cell>
          <cell r="K156" t="str">
            <v>Elétrica</v>
          </cell>
          <cell r="L156" t="str">
            <v>Reinicialização do Equipamento / Componente</v>
          </cell>
          <cell r="M156" t="str">
            <v>Causa não especificada</v>
          </cell>
          <cell r="N156">
            <v>37865</v>
          </cell>
          <cell r="O156">
            <v>0.45833333333333331</v>
          </cell>
          <cell r="P156">
            <v>37865</v>
          </cell>
          <cell r="Q156">
            <v>0.45833333333333331</v>
          </cell>
          <cell r="T156">
            <v>37865</v>
          </cell>
          <cell r="U156">
            <v>0.46875</v>
          </cell>
          <cell r="V156">
            <v>37865</v>
          </cell>
          <cell r="W156">
            <v>0.46875</v>
          </cell>
          <cell r="X156">
            <v>1.0416666666666685E-2</v>
          </cell>
          <cell r="Y156">
            <v>1.0416666666666685E-2</v>
          </cell>
          <cell r="AB156">
            <v>9</v>
          </cell>
          <cell r="AC156">
            <v>4</v>
          </cell>
          <cell r="AD156">
            <v>0</v>
          </cell>
          <cell r="BF156">
            <v>0</v>
          </cell>
          <cell r="BG156">
            <v>0</v>
          </cell>
          <cell r="BH156">
            <v>0</v>
          </cell>
          <cell r="BI156">
            <v>0</v>
          </cell>
          <cell r="BJ156">
            <v>0</v>
          </cell>
          <cell r="BK156">
            <v>0</v>
          </cell>
          <cell r="BL156">
            <v>0</v>
          </cell>
          <cell r="BM156">
            <v>0</v>
          </cell>
          <cell r="BN156">
            <v>0</v>
          </cell>
          <cell r="BO156">
            <v>0</v>
          </cell>
          <cell r="BP156">
            <v>0</v>
          </cell>
          <cell r="BQ156">
            <v>0</v>
          </cell>
          <cell r="BR156">
            <v>0</v>
          </cell>
          <cell r="BS156">
            <v>0</v>
          </cell>
          <cell r="BT156">
            <v>0</v>
          </cell>
          <cell r="BU156">
            <v>0</v>
          </cell>
          <cell r="BV156">
            <v>0</v>
          </cell>
          <cell r="BW156">
            <v>9</v>
          </cell>
          <cell r="BX156">
            <v>0</v>
          </cell>
          <cell r="BY156">
            <v>0</v>
          </cell>
          <cell r="BZ156">
            <v>0</v>
          </cell>
          <cell r="CA156">
            <v>0</v>
          </cell>
          <cell r="CB156">
            <v>0</v>
          </cell>
          <cell r="CC156">
            <v>0</v>
          </cell>
          <cell r="CD156">
            <v>0</v>
          </cell>
        </row>
        <row r="157">
          <cell r="C157">
            <v>37747</v>
          </cell>
          <cell r="D157">
            <v>37756</v>
          </cell>
          <cell r="E157">
            <v>37746</v>
          </cell>
          <cell r="F157">
            <v>0.47916666666666669</v>
          </cell>
          <cell r="G157" t="str">
            <v>Linha de Pintura 15m</v>
          </cell>
          <cell r="H157" t="str">
            <v>Anomalia no elevador de descarga</v>
          </cell>
          <cell r="I157" t="str">
            <v>Corretiva</v>
          </cell>
          <cell r="J157" t="str">
            <v>Sim</v>
          </cell>
          <cell r="K157" t="str">
            <v>Elétrica</v>
          </cell>
          <cell r="L157" t="str">
            <v>Verificação do painel de comando, regulagem no micro e sensor de altura do elevador II</v>
          </cell>
          <cell r="M157" t="str">
            <v>Vibração</v>
          </cell>
          <cell r="N157">
            <v>37746</v>
          </cell>
          <cell r="O157">
            <v>0.4826388888888889</v>
          </cell>
          <cell r="P157">
            <v>37746</v>
          </cell>
          <cell r="Q157">
            <v>0.4826388888888889</v>
          </cell>
          <cell r="T157">
            <v>37746</v>
          </cell>
          <cell r="U157">
            <v>0.52430555555555558</v>
          </cell>
          <cell r="V157">
            <v>37746</v>
          </cell>
          <cell r="W157">
            <v>0.52430555555555558</v>
          </cell>
          <cell r="X157">
            <v>4.1666666666666685E-2</v>
          </cell>
          <cell r="Y157">
            <v>4.1666666665858221E-2</v>
          </cell>
          <cell r="AB157">
            <v>5</v>
          </cell>
          <cell r="AC157">
            <v>5</v>
          </cell>
          <cell r="AD157">
            <v>0</v>
          </cell>
          <cell r="BF157">
            <v>0</v>
          </cell>
          <cell r="BG157">
            <v>0</v>
          </cell>
          <cell r="BH157">
            <v>0</v>
          </cell>
          <cell r="BI157">
            <v>0</v>
          </cell>
          <cell r="BJ157">
            <v>0</v>
          </cell>
          <cell r="BK157">
            <v>0</v>
          </cell>
          <cell r="BL157">
            <v>0</v>
          </cell>
          <cell r="BM157">
            <v>0</v>
          </cell>
          <cell r="BN157">
            <v>5</v>
          </cell>
          <cell r="BO157">
            <v>0</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row>
        <row r="158">
          <cell r="C158">
            <v>37747</v>
          </cell>
          <cell r="D158">
            <v>37756</v>
          </cell>
          <cell r="E158">
            <v>37753</v>
          </cell>
          <cell r="F158">
            <v>0.72916666666666663</v>
          </cell>
          <cell r="G158" t="str">
            <v>Linha de Pintura 15m</v>
          </cell>
          <cell r="H158" t="str">
            <v>Falha no detector do elevador 03</v>
          </cell>
          <cell r="I158" t="str">
            <v>Corretiva</v>
          </cell>
          <cell r="J158" t="str">
            <v>Sim</v>
          </cell>
          <cell r="K158" t="str">
            <v>Mecânica</v>
          </cell>
          <cell r="L158" t="str">
            <v>Regulagem do sensor do elevador 03</v>
          </cell>
          <cell r="M158" t="str">
            <v>Causa não especificada</v>
          </cell>
          <cell r="N158">
            <v>37754</v>
          </cell>
          <cell r="O158">
            <v>0.33333333333333331</v>
          </cell>
          <cell r="P158">
            <v>37754</v>
          </cell>
          <cell r="Q158">
            <v>0.33333333333333331</v>
          </cell>
          <cell r="T158">
            <v>37754</v>
          </cell>
          <cell r="U158">
            <v>0.3611111111111111</v>
          </cell>
          <cell r="V158">
            <v>37754</v>
          </cell>
          <cell r="W158">
            <v>0.3611111111111111</v>
          </cell>
          <cell r="X158">
            <v>2.777777777777779E-2</v>
          </cell>
          <cell r="Y158">
            <v>2.7777777776160917E-2</v>
          </cell>
          <cell r="AB158">
            <v>5</v>
          </cell>
          <cell r="AC158">
            <v>5</v>
          </cell>
          <cell r="AD158">
            <v>0</v>
          </cell>
          <cell r="BF158">
            <v>0</v>
          </cell>
          <cell r="BG158">
            <v>0</v>
          </cell>
          <cell r="BH158">
            <v>0</v>
          </cell>
          <cell r="BI158">
            <v>0</v>
          </cell>
          <cell r="BJ158">
            <v>0</v>
          </cell>
          <cell r="BK158">
            <v>0</v>
          </cell>
          <cell r="BL158">
            <v>0</v>
          </cell>
          <cell r="BM158">
            <v>0</v>
          </cell>
          <cell r="BN158">
            <v>5</v>
          </cell>
          <cell r="BO158">
            <v>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row>
        <row r="159">
          <cell r="C159">
            <v>37747</v>
          </cell>
          <cell r="D159">
            <v>37756</v>
          </cell>
          <cell r="E159">
            <v>37754</v>
          </cell>
          <cell r="F159">
            <v>0.41666666666666669</v>
          </cell>
          <cell r="G159" t="str">
            <v>Linha de Pintura 15m</v>
          </cell>
          <cell r="H159" t="str">
            <v>Exaustor não funciona</v>
          </cell>
          <cell r="I159" t="str">
            <v>Corretiva</v>
          </cell>
          <cell r="J159" t="str">
            <v>Sim</v>
          </cell>
          <cell r="K159" t="str">
            <v>Mecânica</v>
          </cell>
          <cell r="L159" t="str">
            <v>Nova furação e substituição do pulmão completo</v>
          </cell>
          <cell r="M159" t="str">
            <v>Defeito de Fabricação</v>
          </cell>
          <cell r="N159">
            <v>37754</v>
          </cell>
          <cell r="O159">
            <v>0.41666666666666669</v>
          </cell>
          <cell r="P159">
            <v>37754</v>
          </cell>
          <cell r="Q159">
            <v>0.4375</v>
          </cell>
          <cell r="R159">
            <v>37754</v>
          </cell>
          <cell r="S159">
            <v>0.57291666666666663</v>
          </cell>
          <cell r="T159">
            <v>37754</v>
          </cell>
          <cell r="U159">
            <v>0.75</v>
          </cell>
          <cell r="V159">
            <v>0</v>
          </cell>
          <cell r="W159">
            <v>0.19791666666666669</v>
          </cell>
          <cell r="X159">
            <v>0.19791666666666669</v>
          </cell>
          <cell r="Y159">
            <v>0.19791666666666669</v>
          </cell>
          <cell r="AB159">
            <v>5</v>
          </cell>
          <cell r="AC159">
            <v>5</v>
          </cell>
          <cell r="AD159">
            <v>0</v>
          </cell>
          <cell r="BF159">
            <v>0</v>
          </cell>
          <cell r="BG159">
            <v>0</v>
          </cell>
          <cell r="BH159">
            <v>0</v>
          </cell>
          <cell r="BI159">
            <v>0</v>
          </cell>
          <cell r="BJ159">
            <v>0</v>
          </cell>
          <cell r="BK159">
            <v>0</v>
          </cell>
          <cell r="BL159">
            <v>0</v>
          </cell>
          <cell r="BM159">
            <v>0</v>
          </cell>
          <cell r="BN159">
            <v>5</v>
          </cell>
          <cell r="BO159">
            <v>0</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row>
        <row r="160">
          <cell r="C160">
            <v>37747</v>
          </cell>
          <cell r="D160">
            <v>37803</v>
          </cell>
          <cell r="E160">
            <v>37788</v>
          </cell>
          <cell r="F160">
            <v>0.5</v>
          </cell>
          <cell r="G160" t="str">
            <v>Linha de Pintura 15m</v>
          </cell>
          <cell r="H160" t="str">
            <v>Anomalia na estufa de cura: Oscilação constante na temperatura</v>
          </cell>
          <cell r="I160" t="str">
            <v>Corretiva</v>
          </cell>
          <cell r="J160" t="str">
            <v>Não</v>
          </cell>
          <cell r="K160" t="str">
            <v>Elétrica</v>
          </cell>
          <cell r="L160" t="str">
            <v>Correção de mau contato</v>
          </cell>
          <cell r="M160" t="str">
            <v>Vibração</v>
          </cell>
          <cell r="N160">
            <v>37788</v>
          </cell>
          <cell r="O160">
            <v>0.5</v>
          </cell>
          <cell r="P160">
            <v>37788</v>
          </cell>
          <cell r="Q160">
            <v>0.5</v>
          </cell>
          <cell r="T160">
            <v>37788</v>
          </cell>
          <cell r="U160">
            <v>0.58333333333333337</v>
          </cell>
          <cell r="V160">
            <v>37788</v>
          </cell>
          <cell r="W160">
            <v>0.58333333333333337</v>
          </cell>
          <cell r="X160">
            <v>8.3333333335758653E-2</v>
          </cell>
          <cell r="Y160">
            <v>8.3333333335758653E-2</v>
          </cell>
          <cell r="AB160">
            <v>6</v>
          </cell>
          <cell r="AC160">
            <v>5</v>
          </cell>
          <cell r="AD160">
            <v>0</v>
          </cell>
          <cell r="BF160">
            <v>0</v>
          </cell>
          <cell r="BG160">
            <v>0</v>
          </cell>
          <cell r="BH160">
            <v>0</v>
          </cell>
          <cell r="BI160">
            <v>0</v>
          </cell>
          <cell r="BJ160">
            <v>0</v>
          </cell>
          <cell r="BK160">
            <v>0</v>
          </cell>
          <cell r="BL160">
            <v>0</v>
          </cell>
          <cell r="BM160">
            <v>0</v>
          </cell>
          <cell r="BN160">
            <v>6</v>
          </cell>
          <cell r="BO160">
            <v>0</v>
          </cell>
          <cell r="BP160">
            <v>0</v>
          </cell>
          <cell r="BQ160">
            <v>0</v>
          </cell>
          <cell r="BR160">
            <v>0</v>
          </cell>
          <cell r="BS160">
            <v>0</v>
          </cell>
          <cell r="BT160">
            <v>0</v>
          </cell>
          <cell r="BU160">
            <v>0</v>
          </cell>
          <cell r="BV160">
            <v>0</v>
          </cell>
          <cell r="BW160">
            <v>0</v>
          </cell>
          <cell r="BX160">
            <v>0</v>
          </cell>
          <cell r="BY160">
            <v>0</v>
          </cell>
          <cell r="BZ160">
            <v>0</v>
          </cell>
          <cell r="CA160">
            <v>0</v>
          </cell>
          <cell r="CB160">
            <v>0</v>
          </cell>
          <cell r="CC160">
            <v>0</v>
          </cell>
          <cell r="CD160">
            <v>0</v>
          </cell>
        </row>
        <row r="161">
          <cell r="C161">
            <v>37747</v>
          </cell>
          <cell r="D161">
            <v>37756</v>
          </cell>
          <cell r="E161">
            <v>37755</v>
          </cell>
          <cell r="F161">
            <v>0.35416666666666669</v>
          </cell>
          <cell r="G161" t="str">
            <v>Linha de Pintura 15m</v>
          </cell>
          <cell r="H161" t="str">
            <v>Anomalia no elevador</v>
          </cell>
          <cell r="I161" t="str">
            <v>Corretiva</v>
          </cell>
          <cell r="J161" t="str">
            <v>Sim</v>
          </cell>
          <cell r="K161" t="str">
            <v>Elétrica</v>
          </cell>
          <cell r="L161" t="str">
            <v>Rearme do relé térmico, verificação da carga e alinhamento dos elevadores</v>
          </cell>
          <cell r="M161" t="str">
            <v>Sobrecarga</v>
          </cell>
          <cell r="N161">
            <v>37755</v>
          </cell>
          <cell r="O161">
            <v>0.35416666666666669</v>
          </cell>
          <cell r="P161">
            <v>37755</v>
          </cell>
          <cell r="Q161">
            <v>0.35416666666666669</v>
          </cell>
          <cell r="T161">
            <v>37755</v>
          </cell>
          <cell r="U161">
            <v>0.39583333333333331</v>
          </cell>
          <cell r="V161">
            <v>37755</v>
          </cell>
          <cell r="W161">
            <v>0.39583333333333331</v>
          </cell>
          <cell r="X161">
            <v>4.166666666666663E-2</v>
          </cell>
          <cell r="Y161">
            <v>4.1666666669091967E-2</v>
          </cell>
          <cell r="AB161">
            <v>5</v>
          </cell>
          <cell r="AC161">
            <v>5</v>
          </cell>
          <cell r="AD161">
            <v>0</v>
          </cell>
          <cell r="BF161">
            <v>0</v>
          </cell>
          <cell r="BG161">
            <v>0</v>
          </cell>
          <cell r="BH161">
            <v>0</v>
          </cell>
          <cell r="BI161">
            <v>0</v>
          </cell>
          <cell r="BJ161">
            <v>0</v>
          </cell>
          <cell r="BK161">
            <v>0</v>
          </cell>
          <cell r="BL161">
            <v>0</v>
          </cell>
          <cell r="BM161">
            <v>0</v>
          </cell>
          <cell r="BN161">
            <v>5</v>
          </cell>
          <cell r="BO161">
            <v>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row>
        <row r="162">
          <cell r="C162">
            <v>37747</v>
          </cell>
          <cell r="D162">
            <v>37763</v>
          </cell>
          <cell r="E162">
            <v>37755</v>
          </cell>
          <cell r="F162">
            <v>0.4375</v>
          </cell>
          <cell r="G162" t="str">
            <v>Equipamentos diversos</v>
          </cell>
          <cell r="H162" t="str">
            <v>Não há tração da fita</v>
          </cell>
          <cell r="I162" t="str">
            <v>Corretiva</v>
          </cell>
          <cell r="J162" t="str">
            <v>Não</v>
          </cell>
          <cell r="K162" t="str">
            <v>Mecânica</v>
          </cell>
          <cell r="L162" t="str">
            <v>Substituição do(s) Componente(s)</v>
          </cell>
          <cell r="M162" t="str">
            <v>Desgaste / Fadiga</v>
          </cell>
          <cell r="N162">
            <v>37755</v>
          </cell>
          <cell r="O162">
            <v>0.4375</v>
          </cell>
          <cell r="P162">
            <v>37755</v>
          </cell>
          <cell r="Q162">
            <v>0.75</v>
          </cell>
          <cell r="R162">
            <v>37762</v>
          </cell>
          <cell r="S162">
            <v>0.33333333333333331</v>
          </cell>
          <cell r="T162">
            <v>37762</v>
          </cell>
          <cell r="U162">
            <v>0.33333333333333331</v>
          </cell>
          <cell r="V162">
            <v>0</v>
          </cell>
          <cell r="W162">
            <v>0.3125</v>
          </cell>
          <cell r="X162">
            <v>0.3125</v>
          </cell>
          <cell r="Y162">
            <v>0.3125</v>
          </cell>
          <cell r="AB162">
            <v>5</v>
          </cell>
          <cell r="AC162">
            <v>5</v>
          </cell>
          <cell r="AD162">
            <v>0</v>
          </cell>
          <cell r="BF162">
            <v>0</v>
          </cell>
          <cell r="BG162">
            <v>0</v>
          </cell>
          <cell r="BH162">
            <v>0</v>
          </cell>
          <cell r="BI162">
            <v>0</v>
          </cell>
          <cell r="BJ162">
            <v>5</v>
          </cell>
          <cell r="BK162">
            <v>0</v>
          </cell>
          <cell r="BL162">
            <v>0</v>
          </cell>
          <cell r="BM162">
            <v>0</v>
          </cell>
          <cell r="BN162">
            <v>0</v>
          </cell>
          <cell r="BO162">
            <v>0</v>
          </cell>
          <cell r="BP162">
            <v>0</v>
          </cell>
          <cell r="BQ162">
            <v>0</v>
          </cell>
          <cell r="BR162">
            <v>0</v>
          </cell>
          <cell r="BS162">
            <v>0</v>
          </cell>
          <cell r="BT162">
            <v>0</v>
          </cell>
          <cell r="BU162">
            <v>0</v>
          </cell>
          <cell r="BV162">
            <v>0</v>
          </cell>
          <cell r="BW162">
            <v>0</v>
          </cell>
          <cell r="BX162">
            <v>0</v>
          </cell>
          <cell r="BY162">
            <v>0</v>
          </cell>
          <cell r="BZ162">
            <v>0</v>
          </cell>
          <cell r="CA162">
            <v>0</v>
          </cell>
          <cell r="CB162">
            <v>0</v>
          </cell>
          <cell r="CC162">
            <v>0</v>
          </cell>
          <cell r="CD162">
            <v>0</v>
          </cell>
        </row>
        <row r="163">
          <cell r="C163">
            <v>37747</v>
          </cell>
          <cell r="D163">
            <v>37762</v>
          </cell>
          <cell r="E163">
            <v>37757</v>
          </cell>
          <cell r="F163">
            <v>0.58333333333333337</v>
          </cell>
          <cell r="G163" t="str">
            <v>Linha de Pintura 15m</v>
          </cell>
          <cell r="H163" t="str">
            <v>Anomalia no elevador</v>
          </cell>
          <cell r="I163" t="str">
            <v>Corretiva</v>
          </cell>
          <cell r="J163" t="str">
            <v>Sim</v>
          </cell>
          <cell r="K163" t="str">
            <v>Elétrica</v>
          </cell>
          <cell r="L163" t="str">
            <v>Regulagem do micro do Elevador 03</v>
          </cell>
          <cell r="M163" t="str">
            <v>Falha de Regulagem / Configuração / Dimensionamento</v>
          </cell>
          <cell r="N163">
            <v>37757</v>
          </cell>
          <cell r="O163">
            <v>0.58333333333333337</v>
          </cell>
          <cell r="P163">
            <v>37757</v>
          </cell>
          <cell r="Q163">
            <v>0.58333333333333337</v>
          </cell>
          <cell r="T163">
            <v>37757</v>
          </cell>
          <cell r="U163">
            <v>0.61805555555555558</v>
          </cell>
          <cell r="V163">
            <v>37757</v>
          </cell>
          <cell r="W163">
            <v>0.61805555555555558</v>
          </cell>
          <cell r="X163">
            <v>3.472222222222221E-2</v>
          </cell>
          <cell r="Y163">
            <v>3.4722222221413745E-2</v>
          </cell>
          <cell r="AB163">
            <v>5</v>
          </cell>
          <cell r="AC163">
            <v>5</v>
          </cell>
          <cell r="AD163">
            <v>0</v>
          </cell>
          <cell r="BF163">
            <v>0</v>
          </cell>
          <cell r="BG163">
            <v>0</v>
          </cell>
          <cell r="BH163">
            <v>0</v>
          </cell>
          <cell r="BI163">
            <v>0</v>
          </cell>
          <cell r="BJ163">
            <v>0</v>
          </cell>
          <cell r="BK163">
            <v>0</v>
          </cell>
          <cell r="BL163">
            <v>0</v>
          </cell>
          <cell r="BM163">
            <v>0</v>
          </cell>
          <cell r="BN163">
            <v>5</v>
          </cell>
          <cell r="BO163">
            <v>0</v>
          </cell>
          <cell r="BP163">
            <v>0</v>
          </cell>
          <cell r="BQ163">
            <v>0</v>
          </cell>
          <cell r="BR163">
            <v>0</v>
          </cell>
          <cell r="BS163">
            <v>0</v>
          </cell>
          <cell r="BT163">
            <v>0</v>
          </cell>
          <cell r="BU163">
            <v>0</v>
          </cell>
          <cell r="BV163">
            <v>0</v>
          </cell>
          <cell r="BW163">
            <v>0</v>
          </cell>
          <cell r="BX163">
            <v>0</v>
          </cell>
          <cell r="BY163">
            <v>0</v>
          </cell>
          <cell r="BZ163">
            <v>0</v>
          </cell>
          <cell r="CA163">
            <v>0</v>
          </cell>
          <cell r="CB163">
            <v>0</v>
          </cell>
          <cell r="CC163">
            <v>0</v>
          </cell>
          <cell r="CD163">
            <v>0</v>
          </cell>
        </row>
        <row r="164">
          <cell r="C164">
            <v>37747</v>
          </cell>
          <cell r="D164">
            <v>37762</v>
          </cell>
          <cell r="E164">
            <v>37761</v>
          </cell>
          <cell r="F164">
            <v>0.63541666666666663</v>
          </cell>
          <cell r="G164" t="str">
            <v>Linha de Pintura 15m</v>
          </cell>
          <cell r="H164" t="str">
            <v>Anomalia no variador VI</v>
          </cell>
          <cell r="I164" t="str">
            <v>Corretiva</v>
          </cell>
          <cell r="J164" t="str">
            <v>Sim</v>
          </cell>
          <cell r="K164" t="str">
            <v>Mecânica</v>
          </cell>
          <cell r="L164" t="str">
            <v>Substituição do(s) Componente(s)</v>
          </cell>
          <cell r="M164" t="str">
            <v>Travamento de Componente</v>
          </cell>
          <cell r="N164">
            <v>37761</v>
          </cell>
          <cell r="O164">
            <v>0.63888888888888895</v>
          </cell>
          <cell r="P164">
            <v>37761</v>
          </cell>
          <cell r="Q164">
            <v>0.63888888888888895</v>
          </cell>
          <cell r="T164">
            <v>37761</v>
          </cell>
          <cell r="U164">
            <v>0.67361111111111116</v>
          </cell>
          <cell r="V164">
            <v>37761</v>
          </cell>
          <cell r="W164">
            <v>0.67361111111111116</v>
          </cell>
          <cell r="X164">
            <v>3.472222222222221E-2</v>
          </cell>
          <cell r="Y164">
            <v>3.4722222220605281E-2</v>
          </cell>
          <cell r="AB164">
            <v>5</v>
          </cell>
          <cell r="AC164">
            <v>5</v>
          </cell>
          <cell r="AD164">
            <v>0</v>
          </cell>
          <cell r="BF164">
            <v>0</v>
          </cell>
          <cell r="BG164">
            <v>0</v>
          </cell>
          <cell r="BH164">
            <v>0</v>
          </cell>
          <cell r="BI164">
            <v>0</v>
          </cell>
          <cell r="BJ164">
            <v>0</v>
          </cell>
          <cell r="BK164">
            <v>0</v>
          </cell>
          <cell r="BL164">
            <v>0</v>
          </cell>
          <cell r="BM164">
            <v>0</v>
          </cell>
          <cell r="BN164">
            <v>5</v>
          </cell>
          <cell r="BO164">
            <v>0</v>
          </cell>
          <cell r="BP164">
            <v>0</v>
          </cell>
          <cell r="BQ164">
            <v>0</v>
          </cell>
          <cell r="BR164">
            <v>0</v>
          </cell>
          <cell r="BS164">
            <v>0</v>
          </cell>
          <cell r="BT164">
            <v>0</v>
          </cell>
          <cell r="BU164">
            <v>0</v>
          </cell>
          <cell r="BV164">
            <v>0</v>
          </cell>
          <cell r="BW164">
            <v>0</v>
          </cell>
          <cell r="BX164">
            <v>0</v>
          </cell>
          <cell r="BY164">
            <v>0</v>
          </cell>
          <cell r="BZ164">
            <v>0</v>
          </cell>
          <cell r="CA164">
            <v>0</v>
          </cell>
          <cell r="CB164">
            <v>0</v>
          </cell>
          <cell r="CC164">
            <v>0</v>
          </cell>
          <cell r="CD164">
            <v>0</v>
          </cell>
        </row>
        <row r="165">
          <cell r="C165">
            <v>37747</v>
          </cell>
          <cell r="D165">
            <v>37767</v>
          </cell>
          <cell r="E165">
            <v>37763</v>
          </cell>
          <cell r="F165">
            <v>0.58333333333333337</v>
          </cell>
          <cell r="G165" t="str">
            <v>Linha de Pintura 15m</v>
          </cell>
          <cell r="H165" t="str">
            <v>Alça do tanque de fosfato quebrou-se</v>
          </cell>
          <cell r="I165" t="str">
            <v>Corretiva</v>
          </cell>
          <cell r="J165" t="str">
            <v>Não</v>
          </cell>
          <cell r="K165" t="str">
            <v>Mecânica</v>
          </cell>
          <cell r="L165" t="str">
            <v>Substituição do(s) Componente(s)</v>
          </cell>
          <cell r="M165" t="str">
            <v>Defeito de Fabricação</v>
          </cell>
          <cell r="N165">
            <v>37763</v>
          </cell>
          <cell r="O165">
            <v>0.66666666666666663</v>
          </cell>
          <cell r="P165">
            <v>37763</v>
          </cell>
          <cell r="Q165">
            <v>0.66666666666666663</v>
          </cell>
          <cell r="T165">
            <v>37763</v>
          </cell>
          <cell r="U165">
            <v>0.75</v>
          </cell>
          <cell r="V165">
            <v>37763</v>
          </cell>
          <cell r="W165">
            <v>0.75</v>
          </cell>
          <cell r="X165">
            <v>8.333333333333337E-2</v>
          </cell>
          <cell r="Y165">
            <v>8.333333333333337E-2</v>
          </cell>
          <cell r="AB165">
            <v>5</v>
          </cell>
          <cell r="AC165">
            <v>5</v>
          </cell>
          <cell r="AD165">
            <v>0</v>
          </cell>
          <cell r="BF165">
            <v>0</v>
          </cell>
          <cell r="BG165">
            <v>0</v>
          </cell>
          <cell r="BH165">
            <v>0</v>
          </cell>
          <cell r="BI165">
            <v>0</v>
          </cell>
          <cell r="BJ165">
            <v>0</v>
          </cell>
          <cell r="BK165">
            <v>0</v>
          </cell>
          <cell r="BL165">
            <v>0</v>
          </cell>
          <cell r="BM165">
            <v>0</v>
          </cell>
          <cell r="BN165">
            <v>5</v>
          </cell>
          <cell r="BO165">
            <v>0</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row>
        <row r="166">
          <cell r="C166">
            <v>37747</v>
          </cell>
          <cell r="D166">
            <v>37769</v>
          </cell>
          <cell r="E166">
            <v>37767</v>
          </cell>
          <cell r="F166">
            <v>0.4861111111111111</v>
          </cell>
          <cell r="G166" t="str">
            <v>Linha de Pintura 15m</v>
          </cell>
          <cell r="H166" t="str">
            <v>Vazamento de fosfato na lateral do tanque</v>
          </cell>
          <cell r="I166" t="str">
            <v>Corretiva</v>
          </cell>
          <cell r="J166" t="str">
            <v>Sim</v>
          </cell>
          <cell r="K166" t="str">
            <v>Mecânica</v>
          </cell>
          <cell r="L166" t="str">
            <v>Contenção do vazamento</v>
          </cell>
          <cell r="M166" t="str">
            <v>Falha de Montagem / Preparação</v>
          </cell>
          <cell r="N166">
            <v>37767</v>
          </cell>
          <cell r="O166">
            <v>0.5</v>
          </cell>
          <cell r="P166">
            <v>37767</v>
          </cell>
          <cell r="Q166">
            <v>0.5</v>
          </cell>
          <cell r="T166">
            <v>37767</v>
          </cell>
          <cell r="U166">
            <v>0.70833333333333337</v>
          </cell>
          <cell r="V166">
            <v>37767</v>
          </cell>
          <cell r="W166">
            <v>0.70833333333333337</v>
          </cell>
          <cell r="X166">
            <v>0.20833333333333337</v>
          </cell>
          <cell r="Y166">
            <v>0.20833333333575865</v>
          </cell>
          <cell r="AB166">
            <v>5</v>
          </cell>
          <cell r="AC166">
            <v>5</v>
          </cell>
          <cell r="AD166">
            <v>0</v>
          </cell>
          <cell r="BF166">
            <v>0</v>
          </cell>
          <cell r="BG166">
            <v>0</v>
          </cell>
          <cell r="BH166">
            <v>0</v>
          </cell>
          <cell r="BI166">
            <v>0</v>
          </cell>
          <cell r="BJ166">
            <v>0</v>
          </cell>
          <cell r="BK166">
            <v>0</v>
          </cell>
          <cell r="BL166">
            <v>0</v>
          </cell>
          <cell r="BM166">
            <v>0</v>
          </cell>
          <cell r="BN166">
            <v>5</v>
          </cell>
          <cell r="BO166">
            <v>0</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row>
        <row r="167">
          <cell r="C167">
            <v>37755</v>
          </cell>
          <cell r="I167">
            <v>0</v>
          </cell>
          <cell r="N167">
            <v>0</v>
          </cell>
          <cell r="P167">
            <v>0</v>
          </cell>
          <cell r="T167">
            <v>0</v>
          </cell>
          <cell r="V167">
            <v>0</v>
          </cell>
          <cell r="W167">
            <v>0</v>
          </cell>
          <cell r="X167">
            <v>0</v>
          </cell>
          <cell r="Y167">
            <v>0</v>
          </cell>
          <cell r="AB167">
            <v>0</v>
          </cell>
          <cell r="AC167">
            <v>5</v>
          </cell>
          <cell r="AD167">
            <v>0</v>
          </cell>
          <cell r="BF167">
            <v>0</v>
          </cell>
          <cell r="BG167">
            <v>0</v>
          </cell>
          <cell r="BH167">
            <v>0</v>
          </cell>
          <cell r="BI167">
            <v>0</v>
          </cell>
          <cell r="BJ167">
            <v>0</v>
          </cell>
          <cell r="BK167">
            <v>0</v>
          </cell>
          <cell r="BL167">
            <v>0</v>
          </cell>
          <cell r="BM167">
            <v>0</v>
          </cell>
          <cell r="BN167">
            <v>0</v>
          </cell>
          <cell r="BO167">
            <v>0</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row>
        <row r="168">
          <cell r="C168">
            <v>37755</v>
          </cell>
          <cell r="I168">
            <v>0</v>
          </cell>
          <cell r="N168">
            <v>0</v>
          </cell>
          <cell r="P168">
            <v>0</v>
          </cell>
          <cell r="T168">
            <v>0</v>
          </cell>
          <cell r="V168">
            <v>0</v>
          </cell>
          <cell r="W168">
            <v>0</v>
          </cell>
          <cell r="X168">
            <v>0</v>
          </cell>
          <cell r="Y168">
            <v>0</v>
          </cell>
          <cell r="AB168">
            <v>0</v>
          </cell>
          <cell r="AC168">
            <v>5</v>
          </cell>
          <cell r="AD168">
            <v>0</v>
          </cell>
          <cell r="BF168">
            <v>0</v>
          </cell>
          <cell r="BG168">
            <v>0</v>
          </cell>
          <cell r="BH168">
            <v>0</v>
          </cell>
          <cell r="BI168">
            <v>0</v>
          </cell>
          <cell r="BJ168">
            <v>0</v>
          </cell>
          <cell r="BK168">
            <v>0</v>
          </cell>
          <cell r="BL168">
            <v>0</v>
          </cell>
          <cell r="BM168">
            <v>0</v>
          </cell>
          <cell r="BN168">
            <v>0</v>
          </cell>
          <cell r="BO168">
            <v>0</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row>
        <row r="169">
          <cell r="C169">
            <v>37755</v>
          </cell>
          <cell r="I169">
            <v>0</v>
          </cell>
          <cell r="N169">
            <v>0</v>
          </cell>
          <cell r="P169">
            <v>0</v>
          </cell>
          <cell r="T169">
            <v>0</v>
          </cell>
          <cell r="V169">
            <v>0</v>
          </cell>
          <cell r="W169">
            <v>0</v>
          </cell>
          <cell r="X169">
            <v>0</v>
          </cell>
          <cell r="Y169">
            <v>0</v>
          </cell>
          <cell r="AB169">
            <v>0</v>
          </cell>
          <cell r="AC169">
            <v>5</v>
          </cell>
          <cell r="AD169">
            <v>0</v>
          </cell>
          <cell r="BF169">
            <v>0</v>
          </cell>
          <cell r="BG169">
            <v>0</v>
          </cell>
          <cell r="BH169">
            <v>0</v>
          </cell>
          <cell r="BI169">
            <v>0</v>
          </cell>
          <cell r="BJ169">
            <v>0</v>
          </cell>
          <cell r="BK169">
            <v>0</v>
          </cell>
          <cell r="BL169">
            <v>0</v>
          </cell>
          <cell r="BM169">
            <v>0</v>
          </cell>
          <cell r="BN169">
            <v>0</v>
          </cell>
          <cell r="BO169">
            <v>0</v>
          </cell>
          <cell r="BP169">
            <v>0</v>
          </cell>
          <cell r="BQ169">
            <v>0</v>
          </cell>
          <cell r="BR169">
            <v>0</v>
          </cell>
          <cell r="BS169">
            <v>0</v>
          </cell>
          <cell r="BT169">
            <v>0</v>
          </cell>
          <cell r="BU169">
            <v>0</v>
          </cell>
          <cell r="BV169">
            <v>0</v>
          </cell>
          <cell r="BW169">
            <v>0</v>
          </cell>
          <cell r="BX169">
            <v>0</v>
          </cell>
          <cell r="BY169">
            <v>0</v>
          </cell>
          <cell r="BZ169">
            <v>0</v>
          </cell>
          <cell r="CA169">
            <v>0</v>
          </cell>
          <cell r="CB169">
            <v>0</v>
          </cell>
          <cell r="CC169">
            <v>0</v>
          </cell>
          <cell r="CD169">
            <v>0</v>
          </cell>
        </row>
        <row r="170">
          <cell r="C170">
            <v>37755</v>
          </cell>
          <cell r="I170">
            <v>0</v>
          </cell>
          <cell r="N170">
            <v>0</v>
          </cell>
          <cell r="P170">
            <v>0</v>
          </cell>
          <cell r="T170">
            <v>0</v>
          </cell>
          <cell r="V170">
            <v>0</v>
          </cell>
          <cell r="W170">
            <v>0</v>
          </cell>
          <cell r="X170">
            <v>0</v>
          </cell>
          <cell r="Y170">
            <v>0</v>
          </cell>
          <cell r="AB170">
            <v>0</v>
          </cell>
          <cell r="AC170">
            <v>5</v>
          </cell>
          <cell r="AD170">
            <v>0</v>
          </cell>
          <cell r="BF170">
            <v>0</v>
          </cell>
          <cell r="BG170">
            <v>0</v>
          </cell>
          <cell r="BH170">
            <v>0</v>
          </cell>
          <cell r="BI170">
            <v>0</v>
          </cell>
          <cell r="BJ170">
            <v>0</v>
          </cell>
          <cell r="BK170">
            <v>0</v>
          </cell>
          <cell r="BL170">
            <v>0</v>
          </cell>
          <cell r="BM170">
            <v>0</v>
          </cell>
          <cell r="BN170">
            <v>0</v>
          </cell>
          <cell r="BO170">
            <v>0</v>
          </cell>
          <cell r="BP170">
            <v>0</v>
          </cell>
          <cell r="BQ170">
            <v>0</v>
          </cell>
          <cell r="BR170">
            <v>0</v>
          </cell>
          <cell r="BS170">
            <v>0</v>
          </cell>
          <cell r="BT170">
            <v>0</v>
          </cell>
          <cell r="BU170">
            <v>0</v>
          </cell>
          <cell r="BV170">
            <v>0</v>
          </cell>
          <cell r="BW170">
            <v>0</v>
          </cell>
          <cell r="BX170">
            <v>0</v>
          </cell>
          <cell r="BY170">
            <v>0</v>
          </cell>
          <cell r="BZ170">
            <v>0</v>
          </cell>
          <cell r="CA170">
            <v>0</v>
          </cell>
          <cell r="CB170">
            <v>0</v>
          </cell>
          <cell r="CC170">
            <v>0</v>
          </cell>
          <cell r="CD170">
            <v>0</v>
          </cell>
        </row>
        <row r="171">
          <cell r="C171">
            <v>37755</v>
          </cell>
          <cell r="I171">
            <v>0</v>
          </cell>
          <cell r="N171">
            <v>0</v>
          </cell>
          <cell r="P171">
            <v>0</v>
          </cell>
          <cell r="T171">
            <v>0</v>
          </cell>
          <cell r="V171">
            <v>0</v>
          </cell>
          <cell r="W171">
            <v>0</v>
          </cell>
          <cell r="X171">
            <v>0</v>
          </cell>
          <cell r="Y171">
            <v>0</v>
          </cell>
          <cell r="AB171">
            <v>0</v>
          </cell>
          <cell r="AC171">
            <v>5</v>
          </cell>
          <cell r="AD171">
            <v>0</v>
          </cell>
          <cell r="BF171">
            <v>0</v>
          </cell>
          <cell r="BG171">
            <v>0</v>
          </cell>
          <cell r="BH171">
            <v>0</v>
          </cell>
          <cell r="BI171">
            <v>0</v>
          </cell>
          <cell r="BJ171">
            <v>0</v>
          </cell>
          <cell r="BK171">
            <v>0</v>
          </cell>
          <cell r="BL171">
            <v>0</v>
          </cell>
          <cell r="BM171">
            <v>0</v>
          </cell>
          <cell r="BN171">
            <v>0</v>
          </cell>
          <cell r="BO171">
            <v>0</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row>
        <row r="172">
          <cell r="C172">
            <v>37755</v>
          </cell>
          <cell r="D172">
            <v>37902</v>
          </cell>
          <cell r="E172">
            <v>37901</v>
          </cell>
          <cell r="F172">
            <v>0.25</v>
          </cell>
          <cell r="G172" t="str">
            <v>Perfiladora Zikeli</v>
          </cell>
          <cell r="H172" t="str">
            <v>Encosto da bobina está solto</v>
          </cell>
          <cell r="I172" t="str">
            <v>Corretiva</v>
          </cell>
          <cell r="J172" t="str">
            <v>Sim</v>
          </cell>
          <cell r="K172" t="str">
            <v>Mecânica</v>
          </cell>
          <cell r="L172" t="str">
            <v>Reparo</v>
          </cell>
          <cell r="M172" t="str">
            <v>Falha Operacional</v>
          </cell>
          <cell r="N172">
            <v>37901</v>
          </cell>
          <cell r="O172">
            <v>0.25</v>
          </cell>
          <cell r="P172">
            <v>37901</v>
          </cell>
          <cell r="Q172">
            <v>0.25</v>
          </cell>
          <cell r="T172">
            <v>37901</v>
          </cell>
          <cell r="U172">
            <v>0.29166666666666669</v>
          </cell>
          <cell r="V172">
            <v>37901</v>
          </cell>
          <cell r="W172">
            <v>0.29166666666666669</v>
          </cell>
          <cell r="X172">
            <v>4.1666666666666685E-2</v>
          </cell>
          <cell r="Y172">
            <v>4.1666666664241347E-2</v>
          </cell>
          <cell r="AB172">
            <v>10</v>
          </cell>
          <cell r="AC172">
            <v>5</v>
          </cell>
          <cell r="AD172">
            <v>0</v>
          </cell>
          <cell r="BF172">
            <v>0</v>
          </cell>
          <cell r="BG172">
            <v>0</v>
          </cell>
          <cell r="BH172">
            <v>0</v>
          </cell>
          <cell r="BI172">
            <v>0</v>
          </cell>
          <cell r="BJ172">
            <v>0</v>
          </cell>
          <cell r="BK172">
            <v>0</v>
          </cell>
          <cell r="BL172">
            <v>0</v>
          </cell>
          <cell r="BM172">
            <v>0</v>
          </cell>
          <cell r="BN172">
            <v>0</v>
          </cell>
          <cell r="BO172">
            <v>0</v>
          </cell>
          <cell r="BP172">
            <v>0</v>
          </cell>
          <cell r="BQ172">
            <v>0</v>
          </cell>
          <cell r="BR172">
            <v>0</v>
          </cell>
          <cell r="BS172">
            <v>0</v>
          </cell>
          <cell r="BT172">
            <v>0</v>
          </cell>
          <cell r="BU172">
            <v>0</v>
          </cell>
          <cell r="BV172">
            <v>0</v>
          </cell>
          <cell r="BW172">
            <v>10</v>
          </cell>
          <cell r="BX172">
            <v>0</v>
          </cell>
          <cell r="BY172">
            <v>0</v>
          </cell>
          <cell r="BZ172">
            <v>0</v>
          </cell>
          <cell r="CA172">
            <v>0</v>
          </cell>
          <cell r="CB172">
            <v>0</v>
          </cell>
          <cell r="CC172">
            <v>0</v>
          </cell>
          <cell r="CD172">
            <v>0</v>
          </cell>
        </row>
        <row r="173">
          <cell r="C173">
            <v>37755</v>
          </cell>
          <cell r="D173">
            <v>37915</v>
          </cell>
          <cell r="E173">
            <v>37900</v>
          </cell>
          <cell r="F173">
            <v>0.25</v>
          </cell>
          <cell r="G173" t="str">
            <v>Perfiladora Zikeli</v>
          </cell>
          <cell r="H173" t="str">
            <v>Vazamento de óleo no desbobinador</v>
          </cell>
          <cell r="I173" t="str">
            <v>Corretiva</v>
          </cell>
          <cell r="J173" t="str">
            <v>Sim</v>
          </cell>
          <cell r="K173" t="str">
            <v>Mecânica</v>
          </cell>
          <cell r="L173" t="str">
            <v>Contenção do vazamento</v>
          </cell>
          <cell r="M173" t="str">
            <v>Desgaste / Fadiga</v>
          </cell>
          <cell r="N173">
            <v>37900</v>
          </cell>
          <cell r="O173">
            <v>0.25</v>
          </cell>
          <cell r="P173">
            <v>37900</v>
          </cell>
          <cell r="Q173">
            <v>0.29166666666666669</v>
          </cell>
          <cell r="R173">
            <v>37900</v>
          </cell>
          <cell r="S173">
            <v>0.625</v>
          </cell>
          <cell r="T173">
            <v>37900</v>
          </cell>
          <cell r="U173">
            <v>0.70833333333333337</v>
          </cell>
          <cell r="V173">
            <v>0</v>
          </cell>
          <cell r="W173">
            <v>0.12500000000000006</v>
          </cell>
          <cell r="X173">
            <v>0.12500000000000006</v>
          </cell>
          <cell r="Y173">
            <v>0.12500000000000006</v>
          </cell>
          <cell r="AB173">
            <v>10</v>
          </cell>
          <cell r="AC173">
            <v>5</v>
          </cell>
          <cell r="AD173">
            <v>0</v>
          </cell>
          <cell r="BF173">
            <v>0</v>
          </cell>
          <cell r="BG173">
            <v>0</v>
          </cell>
          <cell r="BH173">
            <v>0</v>
          </cell>
          <cell r="BI173">
            <v>0</v>
          </cell>
          <cell r="BJ173">
            <v>0</v>
          </cell>
          <cell r="BK173">
            <v>0</v>
          </cell>
          <cell r="BL173">
            <v>0</v>
          </cell>
          <cell r="BM173">
            <v>0</v>
          </cell>
          <cell r="BN173">
            <v>0</v>
          </cell>
          <cell r="BO173">
            <v>0</v>
          </cell>
          <cell r="BP173">
            <v>0</v>
          </cell>
          <cell r="BQ173">
            <v>0</v>
          </cell>
          <cell r="BR173">
            <v>0</v>
          </cell>
          <cell r="BS173">
            <v>0</v>
          </cell>
          <cell r="BT173">
            <v>0</v>
          </cell>
          <cell r="BU173">
            <v>0</v>
          </cell>
          <cell r="BV173">
            <v>0</v>
          </cell>
          <cell r="BW173">
            <v>10</v>
          </cell>
          <cell r="BX173">
            <v>0</v>
          </cell>
          <cell r="BY173">
            <v>0</v>
          </cell>
          <cell r="BZ173">
            <v>0</v>
          </cell>
          <cell r="CA173">
            <v>0</v>
          </cell>
          <cell r="CB173">
            <v>0</v>
          </cell>
          <cell r="CC173">
            <v>0</v>
          </cell>
          <cell r="CD173">
            <v>0</v>
          </cell>
        </row>
        <row r="174">
          <cell r="C174">
            <v>37755</v>
          </cell>
          <cell r="D174">
            <v>37783</v>
          </cell>
          <cell r="E174">
            <v>37777</v>
          </cell>
          <cell r="F174">
            <v>0.58333333333333337</v>
          </cell>
          <cell r="G174" t="str">
            <v>Empilhadeira</v>
          </cell>
          <cell r="H174" t="str">
            <v>Suporte de trava da bateria está travado</v>
          </cell>
          <cell r="I174" t="str">
            <v>Corretiva</v>
          </cell>
          <cell r="J174" t="str">
            <v>Não</v>
          </cell>
          <cell r="K174" t="str">
            <v>Mecânica</v>
          </cell>
          <cell r="L174" t="str">
            <v>O componente foi aquecido, foi desentortado o pino e ajuste do ângulo da cantoneira para 90°</v>
          </cell>
          <cell r="M174" t="str">
            <v>Falha Operacional</v>
          </cell>
          <cell r="N174">
            <v>37777</v>
          </cell>
          <cell r="O174">
            <v>0.66666666666666663</v>
          </cell>
          <cell r="P174">
            <v>37777</v>
          </cell>
          <cell r="Q174">
            <v>0.66666666666666663</v>
          </cell>
          <cell r="T174">
            <v>37777</v>
          </cell>
          <cell r="U174">
            <v>0.70833333333333337</v>
          </cell>
          <cell r="V174">
            <v>37777</v>
          </cell>
          <cell r="W174">
            <v>0.70833333333333337</v>
          </cell>
          <cell r="X174">
            <v>4.1666666669092023E-2</v>
          </cell>
          <cell r="Y174">
            <v>4.1666666669092023E-2</v>
          </cell>
          <cell r="AB174">
            <v>6</v>
          </cell>
          <cell r="AC174">
            <v>5</v>
          </cell>
          <cell r="AD174">
            <v>0</v>
          </cell>
          <cell r="BF174">
            <v>0</v>
          </cell>
          <cell r="BG174">
            <v>0</v>
          </cell>
          <cell r="BH174">
            <v>0</v>
          </cell>
          <cell r="BI174">
            <v>6</v>
          </cell>
          <cell r="BJ174">
            <v>0</v>
          </cell>
          <cell r="BK174">
            <v>0</v>
          </cell>
          <cell r="BL174">
            <v>0</v>
          </cell>
          <cell r="BM174">
            <v>0</v>
          </cell>
          <cell r="BN174">
            <v>0</v>
          </cell>
          <cell r="BO174">
            <v>0</v>
          </cell>
          <cell r="BP174">
            <v>0</v>
          </cell>
          <cell r="BQ174">
            <v>0</v>
          </cell>
          <cell r="BR174">
            <v>0</v>
          </cell>
          <cell r="BS174">
            <v>0</v>
          </cell>
          <cell r="BT174">
            <v>0</v>
          </cell>
          <cell r="BU174">
            <v>0</v>
          </cell>
          <cell r="BV174">
            <v>0</v>
          </cell>
          <cell r="BW174">
            <v>0</v>
          </cell>
          <cell r="BX174">
            <v>0</v>
          </cell>
          <cell r="BY174">
            <v>0</v>
          </cell>
          <cell r="BZ174">
            <v>0</v>
          </cell>
          <cell r="CA174">
            <v>0</v>
          </cell>
          <cell r="CB174">
            <v>0</v>
          </cell>
          <cell r="CC174">
            <v>0</v>
          </cell>
          <cell r="CD174">
            <v>0</v>
          </cell>
        </row>
        <row r="175">
          <cell r="C175">
            <v>37755</v>
          </cell>
          <cell r="D175">
            <v>37776</v>
          </cell>
          <cell r="E175">
            <v>37775</v>
          </cell>
          <cell r="F175">
            <v>0.66666666666666663</v>
          </cell>
          <cell r="G175" t="str">
            <v>Prensa Jundiaí Conectores</v>
          </cell>
          <cell r="H175" t="str">
            <v>Máquina acusando falha de lubrificação</v>
          </cell>
          <cell r="I175" t="str">
            <v>Corretiva</v>
          </cell>
          <cell r="J175" t="str">
            <v>Sim</v>
          </cell>
          <cell r="K175" t="str">
            <v>Mecânica</v>
          </cell>
          <cell r="L175" t="str">
            <v>Ajustes e limpeza da bomba de graxa</v>
          </cell>
          <cell r="M175" t="str">
            <v>Defeito de Fabricação</v>
          </cell>
          <cell r="N175">
            <v>37775</v>
          </cell>
          <cell r="O175">
            <v>0.66666666666666663</v>
          </cell>
          <cell r="P175">
            <v>37775</v>
          </cell>
          <cell r="Q175">
            <v>0.83333333333333337</v>
          </cell>
          <cell r="R175">
            <v>37776</v>
          </cell>
          <cell r="S175">
            <v>0.4375</v>
          </cell>
          <cell r="T175">
            <v>37776</v>
          </cell>
          <cell r="U175">
            <v>0.52777777777777779</v>
          </cell>
          <cell r="V175">
            <v>0</v>
          </cell>
          <cell r="W175">
            <v>0.25694444444444453</v>
          </cell>
          <cell r="X175">
            <v>0.25694444444444453</v>
          </cell>
          <cell r="Y175">
            <v>0.25694444444444453</v>
          </cell>
          <cell r="AB175">
            <v>6</v>
          </cell>
          <cell r="AC175">
            <v>5</v>
          </cell>
          <cell r="AD175">
            <v>0</v>
          </cell>
          <cell r="BF175">
            <v>0</v>
          </cell>
          <cell r="BG175">
            <v>0</v>
          </cell>
          <cell r="BH175">
            <v>0</v>
          </cell>
          <cell r="BI175">
            <v>0</v>
          </cell>
          <cell r="BJ175">
            <v>0</v>
          </cell>
          <cell r="BK175">
            <v>0</v>
          </cell>
          <cell r="BL175">
            <v>0</v>
          </cell>
          <cell r="BM175">
            <v>0</v>
          </cell>
          <cell r="BN175">
            <v>0</v>
          </cell>
          <cell r="BO175">
            <v>0</v>
          </cell>
          <cell r="BP175">
            <v>0</v>
          </cell>
          <cell r="BQ175">
            <v>0</v>
          </cell>
          <cell r="BR175">
            <v>0</v>
          </cell>
          <cell r="BS175">
            <v>0</v>
          </cell>
          <cell r="BT175">
            <v>0</v>
          </cell>
          <cell r="BU175">
            <v>0</v>
          </cell>
          <cell r="BV175">
            <v>0</v>
          </cell>
          <cell r="BW175">
            <v>0</v>
          </cell>
          <cell r="BX175">
            <v>0</v>
          </cell>
          <cell r="BY175">
            <v>0</v>
          </cell>
          <cell r="BZ175">
            <v>6</v>
          </cell>
          <cell r="CA175">
            <v>0</v>
          </cell>
          <cell r="CB175">
            <v>0</v>
          </cell>
          <cell r="CC175">
            <v>0</v>
          </cell>
          <cell r="CD175">
            <v>0</v>
          </cell>
        </row>
        <row r="176">
          <cell r="C176">
            <v>37755</v>
          </cell>
          <cell r="D176">
            <v>37776</v>
          </cell>
          <cell r="E176">
            <v>37775</v>
          </cell>
          <cell r="F176">
            <v>0.33333333333333331</v>
          </cell>
          <cell r="G176" t="str">
            <v>Perfiladora Fagor Montantes</v>
          </cell>
          <cell r="H176" t="str">
            <v>Eixos de travamento das porcas nos varões roscados da Câmara de perfilação estão rompidos</v>
          </cell>
          <cell r="I176" t="str">
            <v>Corretiva</v>
          </cell>
          <cell r="J176" t="str">
            <v>Não</v>
          </cell>
          <cell r="K176" t="str">
            <v>Mecânica</v>
          </cell>
          <cell r="L176" t="str">
            <v>Melhoria no Sistema de Fixação</v>
          </cell>
          <cell r="M176" t="str">
            <v>Defeito de Fabricação</v>
          </cell>
          <cell r="N176">
            <v>37775</v>
          </cell>
          <cell r="O176">
            <v>0.33333333333333331</v>
          </cell>
          <cell r="P176">
            <v>37775</v>
          </cell>
          <cell r="Q176">
            <v>0.33333333333333331</v>
          </cell>
          <cell r="T176">
            <v>37775</v>
          </cell>
          <cell r="U176">
            <v>0.57291666666666663</v>
          </cell>
          <cell r="V176">
            <v>37775</v>
          </cell>
          <cell r="W176">
            <v>0.57291666666666663</v>
          </cell>
          <cell r="X176">
            <v>0.23958333333090803</v>
          </cell>
          <cell r="Y176">
            <v>0.23958333333090803</v>
          </cell>
          <cell r="AB176">
            <v>6</v>
          </cell>
          <cell r="AC176">
            <v>5</v>
          </cell>
          <cell r="AD176">
            <v>0</v>
          </cell>
          <cell r="BF176">
            <v>0</v>
          </cell>
          <cell r="BG176">
            <v>0</v>
          </cell>
          <cell r="BH176">
            <v>0</v>
          </cell>
          <cell r="BI176">
            <v>0</v>
          </cell>
          <cell r="BJ176">
            <v>0</v>
          </cell>
          <cell r="BK176">
            <v>0</v>
          </cell>
          <cell r="BL176">
            <v>0</v>
          </cell>
          <cell r="BM176">
            <v>0</v>
          </cell>
          <cell r="BN176">
            <v>0</v>
          </cell>
          <cell r="BO176">
            <v>0</v>
          </cell>
          <cell r="BP176">
            <v>0</v>
          </cell>
          <cell r="BQ176">
            <v>0</v>
          </cell>
          <cell r="BR176">
            <v>0</v>
          </cell>
          <cell r="BS176">
            <v>0</v>
          </cell>
          <cell r="BT176">
            <v>0</v>
          </cell>
          <cell r="BU176">
            <v>6</v>
          </cell>
          <cell r="BV176">
            <v>0</v>
          </cell>
          <cell r="BW176">
            <v>0</v>
          </cell>
          <cell r="BX176">
            <v>0</v>
          </cell>
          <cell r="BY176">
            <v>0</v>
          </cell>
          <cell r="BZ176">
            <v>0</v>
          </cell>
          <cell r="CA176">
            <v>0</v>
          </cell>
          <cell r="CB176">
            <v>0</v>
          </cell>
          <cell r="CC176">
            <v>0</v>
          </cell>
          <cell r="CD176">
            <v>0</v>
          </cell>
        </row>
        <row r="177">
          <cell r="C177">
            <v>37755</v>
          </cell>
          <cell r="D177">
            <v>37775</v>
          </cell>
          <cell r="E177">
            <v>37762</v>
          </cell>
          <cell r="F177">
            <v>0.54166666666666663</v>
          </cell>
          <cell r="G177" t="str">
            <v>Perfiladora Fagor Largueros</v>
          </cell>
          <cell r="H177" t="str">
            <v>Solenóide não funciona: A Água está sendo completada manualmente. Há um vazamento no tanque de fosfato.</v>
          </cell>
          <cell r="I177" t="str">
            <v>Corretiva</v>
          </cell>
          <cell r="J177" t="str">
            <v>Não</v>
          </cell>
          <cell r="K177" t="str">
            <v>Mecânica</v>
          </cell>
          <cell r="L177" t="str">
            <v>Solenóide: não havia problemas no mesmo: apenas foi aberto o registro. Serpentina: Substituída pela Deltec</v>
          </cell>
          <cell r="M177" t="str">
            <v>Defeito de Fabricação</v>
          </cell>
          <cell r="N177">
            <v>37762</v>
          </cell>
          <cell r="O177">
            <v>0.54166666666666663</v>
          </cell>
          <cell r="P177">
            <v>37762</v>
          </cell>
          <cell r="Q177">
            <v>0.5625</v>
          </cell>
          <cell r="R177">
            <v>37771</v>
          </cell>
          <cell r="S177">
            <v>0.33333333333333331</v>
          </cell>
          <cell r="T177">
            <v>37773</v>
          </cell>
          <cell r="U177">
            <v>0.70833333333333337</v>
          </cell>
          <cell r="V177">
            <v>0</v>
          </cell>
          <cell r="W177">
            <v>2.3958333333333335</v>
          </cell>
          <cell r="X177">
            <v>2.3958333333333335</v>
          </cell>
          <cell r="Y177">
            <v>0.72916666666666696</v>
          </cell>
          <cell r="AB177">
            <v>6</v>
          </cell>
          <cell r="AC177">
            <v>5</v>
          </cell>
          <cell r="AD177">
            <v>0</v>
          </cell>
          <cell r="BF177">
            <v>0</v>
          </cell>
          <cell r="BG177">
            <v>0</v>
          </cell>
          <cell r="BH177">
            <v>0</v>
          </cell>
          <cell r="BI177">
            <v>0</v>
          </cell>
          <cell r="BJ177">
            <v>0</v>
          </cell>
          <cell r="BK177">
            <v>0</v>
          </cell>
          <cell r="BL177">
            <v>0</v>
          </cell>
          <cell r="BM177">
            <v>0</v>
          </cell>
          <cell r="BN177">
            <v>0</v>
          </cell>
          <cell r="BO177">
            <v>0</v>
          </cell>
          <cell r="BP177">
            <v>0</v>
          </cell>
          <cell r="BQ177">
            <v>0</v>
          </cell>
          <cell r="BR177">
            <v>0</v>
          </cell>
          <cell r="BS177">
            <v>0</v>
          </cell>
          <cell r="BT177">
            <v>6</v>
          </cell>
          <cell r="BU177">
            <v>0</v>
          </cell>
          <cell r="BV177">
            <v>0</v>
          </cell>
          <cell r="BW177">
            <v>0</v>
          </cell>
          <cell r="BX177">
            <v>0</v>
          </cell>
          <cell r="BY177">
            <v>0</v>
          </cell>
          <cell r="BZ177">
            <v>0</v>
          </cell>
          <cell r="CA177">
            <v>0</v>
          </cell>
          <cell r="CB177">
            <v>0</v>
          </cell>
          <cell r="CC177">
            <v>0</v>
          </cell>
          <cell r="CD177">
            <v>0</v>
          </cell>
        </row>
        <row r="178">
          <cell r="C178">
            <v>37755</v>
          </cell>
          <cell r="I178">
            <v>0</v>
          </cell>
          <cell r="N178">
            <v>0</v>
          </cell>
          <cell r="P178">
            <v>0</v>
          </cell>
          <cell r="T178">
            <v>0</v>
          </cell>
          <cell r="V178">
            <v>0</v>
          </cell>
          <cell r="W178">
            <v>0</v>
          </cell>
          <cell r="X178">
            <v>0</v>
          </cell>
          <cell r="Y178">
            <v>0</v>
          </cell>
          <cell r="AB178">
            <v>0</v>
          </cell>
          <cell r="AC178">
            <v>5</v>
          </cell>
          <cell r="AD178">
            <v>0</v>
          </cell>
          <cell r="BF178">
            <v>0</v>
          </cell>
          <cell r="BG178">
            <v>0</v>
          </cell>
          <cell r="BH178">
            <v>0</v>
          </cell>
          <cell r="BI178">
            <v>0</v>
          </cell>
          <cell r="BJ178">
            <v>0</v>
          </cell>
          <cell r="BK178">
            <v>0</v>
          </cell>
          <cell r="BL178">
            <v>0</v>
          </cell>
          <cell r="BM178">
            <v>0</v>
          </cell>
          <cell r="BN178">
            <v>0</v>
          </cell>
          <cell r="BO178">
            <v>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row>
        <row r="179">
          <cell r="C179">
            <v>37755</v>
          </cell>
          <cell r="I179">
            <v>0</v>
          </cell>
          <cell r="N179">
            <v>0</v>
          </cell>
          <cell r="P179">
            <v>0</v>
          </cell>
          <cell r="T179">
            <v>0</v>
          </cell>
          <cell r="V179">
            <v>0</v>
          </cell>
          <cell r="W179">
            <v>0</v>
          </cell>
          <cell r="X179">
            <v>0</v>
          </cell>
          <cell r="Y179">
            <v>0</v>
          </cell>
          <cell r="AB179">
            <v>0</v>
          </cell>
          <cell r="AC179">
            <v>5</v>
          </cell>
          <cell r="AD179">
            <v>0</v>
          </cell>
          <cell r="BF179">
            <v>0</v>
          </cell>
          <cell r="BG179">
            <v>0</v>
          </cell>
          <cell r="BH179">
            <v>0</v>
          </cell>
          <cell r="BI179">
            <v>0</v>
          </cell>
          <cell r="BJ179">
            <v>0</v>
          </cell>
          <cell r="BK179">
            <v>0</v>
          </cell>
          <cell r="BL179">
            <v>0</v>
          </cell>
          <cell r="BM179">
            <v>0</v>
          </cell>
          <cell r="BN179">
            <v>0</v>
          </cell>
          <cell r="BO179">
            <v>0</v>
          </cell>
          <cell r="BP179">
            <v>0</v>
          </cell>
          <cell r="BQ179">
            <v>0</v>
          </cell>
          <cell r="BR179">
            <v>0</v>
          </cell>
          <cell r="BS179">
            <v>0</v>
          </cell>
          <cell r="BT179">
            <v>0</v>
          </cell>
          <cell r="BU179">
            <v>0</v>
          </cell>
          <cell r="BV179">
            <v>0</v>
          </cell>
          <cell r="BW179">
            <v>0</v>
          </cell>
          <cell r="BX179">
            <v>0</v>
          </cell>
          <cell r="BY179">
            <v>0</v>
          </cell>
          <cell r="BZ179">
            <v>0</v>
          </cell>
          <cell r="CA179">
            <v>0</v>
          </cell>
          <cell r="CB179">
            <v>0</v>
          </cell>
          <cell r="CC179">
            <v>0</v>
          </cell>
          <cell r="CD179">
            <v>0</v>
          </cell>
        </row>
        <row r="180">
          <cell r="C180">
            <v>37755</v>
          </cell>
          <cell r="D180">
            <v>37858</v>
          </cell>
          <cell r="E180">
            <v>37847</v>
          </cell>
          <cell r="F180">
            <v>0.54166666666666663</v>
          </cell>
          <cell r="G180" t="str">
            <v>Linha de Pintura 3,2m</v>
          </cell>
          <cell r="H180" t="str">
            <v>Mangueira de ar comprimido está furada</v>
          </cell>
          <cell r="I180" t="str">
            <v>Corretiva</v>
          </cell>
          <cell r="J180" t="str">
            <v>Não</v>
          </cell>
          <cell r="K180" t="str">
            <v>Mecânica</v>
          </cell>
          <cell r="L180" t="str">
            <v>Substituição do(s) Componente(s)</v>
          </cell>
          <cell r="M180" t="str">
            <v>Desgaste / Fadiga</v>
          </cell>
          <cell r="N180">
            <v>37847</v>
          </cell>
          <cell r="O180">
            <v>0.625</v>
          </cell>
          <cell r="P180">
            <v>37847</v>
          </cell>
          <cell r="Q180">
            <v>0.625</v>
          </cell>
          <cell r="T180">
            <v>37847</v>
          </cell>
          <cell r="U180">
            <v>0.66666666666666663</v>
          </cell>
          <cell r="V180">
            <v>37847</v>
          </cell>
          <cell r="W180">
            <v>0.66666666666666663</v>
          </cell>
          <cell r="X180">
            <v>4.1666666664241347E-2</v>
          </cell>
          <cell r="Y180">
            <v>4.1666666664241347E-2</v>
          </cell>
          <cell r="AB180">
            <v>8</v>
          </cell>
          <cell r="AC180">
            <v>5</v>
          </cell>
          <cell r="AD180">
            <v>0</v>
          </cell>
          <cell r="BF180">
            <v>0</v>
          </cell>
          <cell r="BG180">
            <v>0</v>
          </cell>
          <cell r="BH180">
            <v>0</v>
          </cell>
          <cell r="BI180">
            <v>0</v>
          </cell>
          <cell r="BJ180">
            <v>0</v>
          </cell>
          <cell r="BK180">
            <v>0</v>
          </cell>
          <cell r="BL180">
            <v>0</v>
          </cell>
          <cell r="BM180">
            <v>0</v>
          </cell>
          <cell r="BN180">
            <v>0</v>
          </cell>
          <cell r="BO180">
            <v>8</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row>
        <row r="181">
          <cell r="C181">
            <v>37755</v>
          </cell>
          <cell r="D181">
            <v>37858</v>
          </cell>
          <cell r="E181">
            <v>37848</v>
          </cell>
          <cell r="F181">
            <v>0.41666666666666669</v>
          </cell>
          <cell r="G181" t="str">
            <v>Linha de Pintura 3,2m</v>
          </cell>
          <cell r="H181" t="str">
            <v>Pistola de retoque está em posição incorreta</v>
          </cell>
          <cell r="I181" t="str">
            <v>Melhoria</v>
          </cell>
          <cell r="J181" t="str">
            <v>Não</v>
          </cell>
          <cell r="K181" t="str">
            <v>Mecânica</v>
          </cell>
          <cell r="L181" t="str">
            <v>Montagem / Instalação</v>
          </cell>
          <cell r="M181" t="str">
            <v>Falha de Projeto</v>
          </cell>
          <cell r="N181">
            <v>37848</v>
          </cell>
          <cell r="O181">
            <v>0.41666666666666669</v>
          </cell>
          <cell r="P181">
            <v>37848</v>
          </cell>
          <cell r="Q181">
            <v>0.41666666666666669</v>
          </cell>
          <cell r="T181">
            <v>37848</v>
          </cell>
          <cell r="U181">
            <v>0.70833333333333337</v>
          </cell>
          <cell r="V181">
            <v>37848</v>
          </cell>
          <cell r="W181">
            <v>0.70833333333333337</v>
          </cell>
          <cell r="X181">
            <v>0.29166666666909197</v>
          </cell>
          <cell r="Y181">
            <v>0.29166666666909197</v>
          </cell>
          <cell r="AB181">
            <v>8</v>
          </cell>
          <cell r="AC181">
            <v>5</v>
          </cell>
          <cell r="AD181">
            <v>0</v>
          </cell>
          <cell r="BF181">
            <v>0</v>
          </cell>
          <cell r="BG181">
            <v>0</v>
          </cell>
          <cell r="BH181">
            <v>0</v>
          </cell>
          <cell r="BI181">
            <v>0</v>
          </cell>
          <cell r="BJ181">
            <v>0</v>
          </cell>
          <cell r="BK181">
            <v>0</v>
          </cell>
          <cell r="BL181">
            <v>0</v>
          </cell>
          <cell r="BM181">
            <v>0</v>
          </cell>
          <cell r="BN181">
            <v>0</v>
          </cell>
          <cell r="BO181">
            <v>8</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row>
        <row r="182">
          <cell r="C182">
            <v>37755</v>
          </cell>
          <cell r="D182">
            <v>37858</v>
          </cell>
          <cell r="E182">
            <v>37851</v>
          </cell>
          <cell r="F182">
            <v>0.375</v>
          </cell>
          <cell r="G182" t="str">
            <v>Linha de Pintura 3,2m</v>
          </cell>
          <cell r="H182" t="str">
            <v>Pistola de Retoque não magnetiza</v>
          </cell>
          <cell r="I182" t="str">
            <v>Corretiva</v>
          </cell>
          <cell r="J182" t="str">
            <v>Sim</v>
          </cell>
          <cell r="K182" t="str">
            <v>Elétrica</v>
          </cell>
          <cell r="L182" t="str">
            <v>Correção da Montagem</v>
          </cell>
          <cell r="M182" t="str">
            <v>Falha de Montagem / Preparação</v>
          </cell>
          <cell r="N182">
            <v>37851</v>
          </cell>
          <cell r="O182">
            <v>0.38194444444444442</v>
          </cell>
          <cell r="P182">
            <v>37851</v>
          </cell>
          <cell r="Q182">
            <v>0.38194444444444442</v>
          </cell>
          <cell r="T182">
            <v>37851</v>
          </cell>
          <cell r="U182">
            <v>0.40277777777777773</v>
          </cell>
          <cell r="V182">
            <v>37851</v>
          </cell>
          <cell r="W182">
            <v>0.40277777777777773</v>
          </cell>
          <cell r="X182">
            <v>2.0833333333333315E-2</v>
          </cell>
          <cell r="Y182">
            <v>2.0833333336567117E-2</v>
          </cell>
          <cell r="AB182">
            <v>8</v>
          </cell>
          <cell r="AC182">
            <v>5</v>
          </cell>
          <cell r="AD182">
            <v>0</v>
          </cell>
          <cell r="BF182">
            <v>0</v>
          </cell>
          <cell r="BG182">
            <v>0</v>
          </cell>
          <cell r="BH182">
            <v>0</v>
          </cell>
          <cell r="BI182">
            <v>0</v>
          </cell>
          <cell r="BJ182">
            <v>0</v>
          </cell>
          <cell r="BK182">
            <v>0</v>
          </cell>
          <cell r="BL182">
            <v>0</v>
          </cell>
          <cell r="BM182">
            <v>0</v>
          </cell>
          <cell r="BN182">
            <v>0</v>
          </cell>
          <cell r="BO182">
            <v>8</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row>
        <row r="183">
          <cell r="C183">
            <v>37755</v>
          </cell>
          <cell r="D183">
            <v>37900</v>
          </cell>
          <cell r="E183">
            <v>37867</v>
          </cell>
          <cell r="F183">
            <v>0.60416666666666663</v>
          </cell>
          <cell r="G183" t="str">
            <v>Linha de Pintura 3,2m</v>
          </cell>
          <cell r="H183" t="str">
            <v>Peneira do Recuperador de pó rompida</v>
          </cell>
          <cell r="I183" t="str">
            <v>Corretiva</v>
          </cell>
          <cell r="J183" t="str">
            <v>Não</v>
          </cell>
          <cell r="K183" t="str">
            <v>Mecânica</v>
          </cell>
          <cell r="L183" t="str">
            <v>Substituição do(s) Componente(s)</v>
          </cell>
          <cell r="M183" t="str">
            <v>Desgaste / Fadiga</v>
          </cell>
          <cell r="N183">
            <v>37867</v>
          </cell>
          <cell r="O183">
            <v>0.63541666666666663</v>
          </cell>
          <cell r="P183">
            <v>37867</v>
          </cell>
          <cell r="Q183">
            <v>0.63541666666666663</v>
          </cell>
          <cell r="T183">
            <v>37867</v>
          </cell>
          <cell r="U183">
            <v>0.66666666666666663</v>
          </cell>
          <cell r="V183">
            <v>37867</v>
          </cell>
          <cell r="W183">
            <v>0.66666666666666663</v>
          </cell>
          <cell r="X183">
            <v>3.1249999997574718E-2</v>
          </cell>
          <cell r="Y183">
            <v>3.1249999997574718E-2</v>
          </cell>
          <cell r="AB183">
            <v>9</v>
          </cell>
          <cell r="AC183">
            <v>5</v>
          </cell>
          <cell r="AD183">
            <v>0</v>
          </cell>
          <cell r="BF183">
            <v>0</v>
          </cell>
          <cell r="BG183">
            <v>0</v>
          </cell>
          <cell r="BH183">
            <v>0</v>
          </cell>
          <cell r="BI183">
            <v>0</v>
          </cell>
          <cell r="BJ183">
            <v>0</v>
          </cell>
          <cell r="BK183">
            <v>0</v>
          </cell>
          <cell r="BL183">
            <v>0</v>
          </cell>
          <cell r="BM183">
            <v>0</v>
          </cell>
          <cell r="BN183">
            <v>0</v>
          </cell>
          <cell r="BO183">
            <v>9</v>
          </cell>
          <cell r="BP183">
            <v>0</v>
          </cell>
          <cell r="BQ183">
            <v>0</v>
          </cell>
          <cell r="BR183">
            <v>0</v>
          </cell>
          <cell r="BS183">
            <v>0</v>
          </cell>
          <cell r="BT183">
            <v>0</v>
          </cell>
          <cell r="BU183">
            <v>0</v>
          </cell>
          <cell r="BV183">
            <v>0</v>
          </cell>
          <cell r="BW183">
            <v>0</v>
          </cell>
          <cell r="BX183">
            <v>0</v>
          </cell>
          <cell r="BY183">
            <v>0</v>
          </cell>
          <cell r="BZ183">
            <v>0</v>
          </cell>
          <cell r="CA183">
            <v>0</v>
          </cell>
          <cell r="CB183">
            <v>0</v>
          </cell>
          <cell r="CC183">
            <v>0</v>
          </cell>
          <cell r="CD183">
            <v>0</v>
          </cell>
        </row>
        <row r="184">
          <cell r="C184">
            <v>37755</v>
          </cell>
          <cell r="D184">
            <v>37881</v>
          </cell>
          <cell r="E184">
            <v>37868</v>
          </cell>
          <cell r="F184">
            <v>0.5625</v>
          </cell>
          <cell r="G184" t="str">
            <v>Linha de Pintura 3,2m</v>
          </cell>
          <cell r="H184" t="str">
            <v>Pistola de Retoque não magnetiza</v>
          </cell>
          <cell r="I184" t="str">
            <v>Corretiva</v>
          </cell>
          <cell r="J184" t="str">
            <v>Sim</v>
          </cell>
          <cell r="K184" t="str">
            <v>Elétrica</v>
          </cell>
          <cell r="L184" t="str">
            <v>Reparo</v>
          </cell>
          <cell r="M184" t="str">
            <v>Desgaste / Fadiga</v>
          </cell>
          <cell r="N184">
            <v>37868</v>
          </cell>
          <cell r="O184">
            <v>0.56597222222222221</v>
          </cell>
          <cell r="P184">
            <v>37868</v>
          </cell>
          <cell r="Q184">
            <v>0.56597222222222221</v>
          </cell>
          <cell r="T184">
            <v>37868</v>
          </cell>
          <cell r="U184">
            <v>0.58333333333333337</v>
          </cell>
          <cell r="V184">
            <v>37868</v>
          </cell>
          <cell r="W184">
            <v>0.58333333333333337</v>
          </cell>
          <cell r="X184">
            <v>1.736111111111116E-2</v>
          </cell>
          <cell r="Y184">
            <v>1.7361111113536443E-2</v>
          </cell>
          <cell r="AB184">
            <v>9</v>
          </cell>
          <cell r="AC184">
            <v>5</v>
          </cell>
          <cell r="AD184">
            <v>0</v>
          </cell>
          <cell r="BF184">
            <v>0</v>
          </cell>
          <cell r="BG184">
            <v>0</v>
          </cell>
          <cell r="BH184">
            <v>0</v>
          </cell>
          <cell r="BI184">
            <v>0</v>
          </cell>
          <cell r="BJ184">
            <v>0</v>
          </cell>
          <cell r="BK184">
            <v>0</v>
          </cell>
          <cell r="BL184">
            <v>0</v>
          </cell>
          <cell r="BM184">
            <v>0</v>
          </cell>
          <cell r="BN184">
            <v>0</v>
          </cell>
          <cell r="BO184">
            <v>9</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row>
        <row r="185">
          <cell r="C185">
            <v>37755</v>
          </cell>
          <cell r="D185">
            <v>37900</v>
          </cell>
          <cell r="E185">
            <v>37875</v>
          </cell>
          <cell r="F185">
            <v>0.5</v>
          </cell>
          <cell r="G185" t="str">
            <v>Linha de Pintura 3,2m</v>
          </cell>
          <cell r="H185" t="str">
            <v>Vazamento na válvula do enxágue 02</v>
          </cell>
          <cell r="I185" t="str">
            <v>Corretiva</v>
          </cell>
          <cell r="J185" t="str">
            <v>Não</v>
          </cell>
          <cell r="K185" t="str">
            <v>Mecânica</v>
          </cell>
          <cell r="L185" t="str">
            <v>Contenção do vazamento</v>
          </cell>
          <cell r="M185" t="str">
            <v>Desgaste / Fadiga</v>
          </cell>
          <cell r="N185">
            <v>37894</v>
          </cell>
          <cell r="O185">
            <v>0.4375</v>
          </cell>
          <cell r="P185">
            <v>37894</v>
          </cell>
          <cell r="Q185">
            <v>0.4375</v>
          </cell>
          <cell r="T185">
            <v>37894</v>
          </cell>
          <cell r="U185">
            <v>0.52083333333333337</v>
          </cell>
          <cell r="V185">
            <v>37894</v>
          </cell>
          <cell r="W185">
            <v>0.52083333333333337</v>
          </cell>
          <cell r="X185">
            <v>8.3333333335758653E-2</v>
          </cell>
          <cell r="Y185">
            <v>8.3333333335758653E-2</v>
          </cell>
          <cell r="AB185">
            <v>9</v>
          </cell>
          <cell r="AC185">
            <v>5</v>
          </cell>
          <cell r="AD185">
            <v>0</v>
          </cell>
          <cell r="BF185">
            <v>0</v>
          </cell>
          <cell r="BG185">
            <v>0</v>
          </cell>
          <cell r="BH185">
            <v>0</v>
          </cell>
          <cell r="BI185">
            <v>0</v>
          </cell>
          <cell r="BJ185">
            <v>0</v>
          </cell>
          <cell r="BK185">
            <v>0</v>
          </cell>
          <cell r="BL185">
            <v>0</v>
          </cell>
          <cell r="BM185">
            <v>0</v>
          </cell>
          <cell r="BN185">
            <v>0</v>
          </cell>
          <cell r="BO185">
            <v>9</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row>
        <row r="186">
          <cell r="C186">
            <v>37755</v>
          </cell>
          <cell r="D186">
            <v>37810</v>
          </cell>
          <cell r="E186">
            <v>37799</v>
          </cell>
          <cell r="F186">
            <v>0.34027777777777773</v>
          </cell>
          <cell r="G186" t="str">
            <v>Linha de Pintura 3,2m</v>
          </cell>
          <cell r="H186" t="str">
            <v>Pistola da Cabine de Pintura não está liberando pó</v>
          </cell>
          <cell r="I186" t="str">
            <v>Corretiva</v>
          </cell>
          <cell r="J186" t="str">
            <v>Não</v>
          </cell>
          <cell r="K186" t="str">
            <v>Mecânica</v>
          </cell>
          <cell r="L186" t="str">
            <v>Limpeza interna e verificação dos contatos</v>
          </cell>
          <cell r="M186" t="str">
            <v>Mau contato</v>
          </cell>
          <cell r="N186">
            <v>37799</v>
          </cell>
          <cell r="O186">
            <v>0.34027777777777773</v>
          </cell>
          <cell r="P186">
            <v>37799</v>
          </cell>
          <cell r="Q186">
            <v>0.34027777777777773</v>
          </cell>
          <cell r="T186">
            <v>37799</v>
          </cell>
          <cell r="U186">
            <v>0.375</v>
          </cell>
          <cell r="V186">
            <v>37799</v>
          </cell>
          <cell r="W186">
            <v>0.375</v>
          </cell>
          <cell r="X186">
            <v>3.4722222222222265E-2</v>
          </cell>
          <cell r="Y186">
            <v>3.4722222222222265E-2</v>
          </cell>
          <cell r="AB186">
            <v>6</v>
          </cell>
          <cell r="AC186">
            <v>5</v>
          </cell>
          <cell r="AD186">
            <v>0</v>
          </cell>
          <cell r="BF186">
            <v>0</v>
          </cell>
          <cell r="BG186">
            <v>0</v>
          </cell>
          <cell r="BH186">
            <v>0</v>
          </cell>
          <cell r="BI186">
            <v>0</v>
          </cell>
          <cell r="BJ186">
            <v>0</v>
          </cell>
          <cell r="BK186">
            <v>0</v>
          </cell>
          <cell r="BL186">
            <v>0</v>
          </cell>
          <cell r="BM186">
            <v>0</v>
          </cell>
          <cell r="BN186">
            <v>0</v>
          </cell>
          <cell r="BO186">
            <v>6</v>
          </cell>
          <cell r="BP186">
            <v>0</v>
          </cell>
          <cell r="BQ186">
            <v>0</v>
          </cell>
          <cell r="BR186">
            <v>0</v>
          </cell>
          <cell r="BS186">
            <v>0</v>
          </cell>
          <cell r="BT186">
            <v>0</v>
          </cell>
          <cell r="BU186">
            <v>0</v>
          </cell>
          <cell r="BV186">
            <v>0</v>
          </cell>
          <cell r="BW186">
            <v>0</v>
          </cell>
          <cell r="BX186">
            <v>0</v>
          </cell>
          <cell r="BY186">
            <v>0</v>
          </cell>
          <cell r="BZ186">
            <v>0</v>
          </cell>
          <cell r="CA186">
            <v>0</v>
          </cell>
          <cell r="CB186">
            <v>0</v>
          </cell>
          <cell r="CC186">
            <v>0</v>
          </cell>
          <cell r="CD186">
            <v>0</v>
          </cell>
        </row>
        <row r="187">
          <cell r="C187">
            <v>37755</v>
          </cell>
          <cell r="D187">
            <v>37756</v>
          </cell>
          <cell r="E187">
            <v>37754</v>
          </cell>
          <cell r="F187">
            <v>0.33333333333333331</v>
          </cell>
          <cell r="G187" t="str">
            <v>Linha de Pintura 8,5m</v>
          </cell>
          <cell r="H187" t="str">
            <v>Problema no filtro de ar</v>
          </cell>
          <cell r="I187" t="str">
            <v>Corretiva</v>
          </cell>
          <cell r="J187" t="str">
            <v>Não</v>
          </cell>
          <cell r="K187" t="str">
            <v>Mecânica</v>
          </cell>
          <cell r="L187" t="str">
            <v>Substituição do(s) Componente(s)</v>
          </cell>
          <cell r="M187" t="str">
            <v>Desgaste / Fadiga</v>
          </cell>
          <cell r="N187">
            <v>37754</v>
          </cell>
          <cell r="O187">
            <v>0.41666666666666669</v>
          </cell>
          <cell r="P187">
            <v>37754</v>
          </cell>
          <cell r="Q187">
            <v>0.41666666666666669</v>
          </cell>
          <cell r="T187">
            <v>37754</v>
          </cell>
          <cell r="U187">
            <v>0.5</v>
          </cell>
          <cell r="V187">
            <v>37754</v>
          </cell>
          <cell r="W187">
            <v>0.5</v>
          </cell>
          <cell r="X187">
            <v>8.3333333333333315E-2</v>
          </cell>
          <cell r="Y187">
            <v>8.3333333333333315E-2</v>
          </cell>
          <cell r="AB187">
            <v>5</v>
          </cell>
          <cell r="AC187">
            <v>5</v>
          </cell>
          <cell r="AD187">
            <v>0</v>
          </cell>
          <cell r="BF187">
            <v>0</v>
          </cell>
          <cell r="BG187">
            <v>0</v>
          </cell>
          <cell r="BH187">
            <v>0</v>
          </cell>
          <cell r="BI187">
            <v>0</v>
          </cell>
          <cell r="BJ187">
            <v>0</v>
          </cell>
          <cell r="BK187">
            <v>0</v>
          </cell>
          <cell r="BL187">
            <v>0</v>
          </cell>
          <cell r="BM187">
            <v>0</v>
          </cell>
          <cell r="BN187">
            <v>0</v>
          </cell>
          <cell r="BO187">
            <v>0</v>
          </cell>
          <cell r="BP187">
            <v>5</v>
          </cell>
          <cell r="BQ187">
            <v>0</v>
          </cell>
          <cell r="BR187">
            <v>0</v>
          </cell>
          <cell r="BS187">
            <v>0</v>
          </cell>
          <cell r="BT187">
            <v>0</v>
          </cell>
          <cell r="BU187">
            <v>0</v>
          </cell>
          <cell r="BV187">
            <v>0</v>
          </cell>
          <cell r="BW187">
            <v>0</v>
          </cell>
          <cell r="BX187">
            <v>0</v>
          </cell>
          <cell r="BY187">
            <v>0</v>
          </cell>
          <cell r="BZ187">
            <v>0</v>
          </cell>
          <cell r="CA187">
            <v>0</v>
          </cell>
          <cell r="CB187">
            <v>0</v>
          </cell>
          <cell r="CC187">
            <v>0</v>
          </cell>
          <cell r="CD187">
            <v>0</v>
          </cell>
        </row>
        <row r="188">
          <cell r="C188">
            <v>37755</v>
          </cell>
          <cell r="D188">
            <v>37810</v>
          </cell>
          <cell r="E188">
            <v>37762</v>
          </cell>
          <cell r="F188">
            <v>0.44097222222222227</v>
          </cell>
          <cell r="G188" t="str">
            <v>Linha de Pintura 8,5m</v>
          </cell>
          <cell r="H188" t="str">
            <v>Elevador Parado</v>
          </cell>
          <cell r="I188" t="str">
            <v>Corretiva</v>
          </cell>
          <cell r="J188" t="str">
            <v>Sim</v>
          </cell>
          <cell r="K188" t="str">
            <v>Mecânica</v>
          </cell>
          <cell r="L188" t="str">
            <v>Regulagem da altura do Elevador</v>
          </cell>
          <cell r="M188" t="str">
            <v>Vibração</v>
          </cell>
          <cell r="N188">
            <v>37762</v>
          </cell>
          <cell r="O188">
            <v>0.68055555555555547</v>
          </cell>
          <cell r="P188">
            <v>37762</v>
          </cell>
          <cell r="Q188">
            <v>0.68055555555555547</v>
          </cell>
          <cell r="T188">
            <v>37762</v>
          </cell>
          <cell r="U188">
            <v>0.71527777777777779</v>
          </cell>
          <cell r="V188">
            <v>37762</v>
          </cell>
          <cell r="W188">
            <v>0.71527777777777779</v>
          </cell>
          <cell r="X188">
            <v>3.4722222222222321E-2</v>
          </cell>
          <cell r="Y188">
            <v>3.4722222225456068E-2</v>
          </cell>
          <cell r="AB188">
            <v>5</v>
          </cell>
          <cell r="AC188">
            <v>5</v>
          </cell>
          <cell r="AD188">
            <v>0</v>
          </cell>
          <cell r="BF188">
            <v>0</v>
          </cell>
          <cell r="BG188">
            <v>0</v>
          </cell>
          <cell r="BH188">
            <v>0</v>
          </cell>
          <cell r="BI188">
            <v>0</v>
          </cell>
          <cell r="BJ188">
            <v>0</v>
          </cell>
          <cell r="BK188">
            <v>0</v>
          </cell>
          <cell r="BL188">
            <v>0</v>
          </cell>
          <cell r="BM188">
            <v>0</v>
          </cell>
          <cell r="BN188">
            <v>0</v>
          </cell>
          <cell r="BO188">
            <v>0</v>
          </cell>
          <cell r="BP188">
            <v>5</v>
          </cell>
          <cell r="BQ188">
            <v>0</v>
          </cell>
          <cell r="BR188">
            <v>0</v>
          </cell>
          <cell r="BS188">
            <v>0</v>
          </cell>
          <cell r="BT188">
            <v>0</v>
          </cell>
          <cell r="BU188">
            <v>0</v>
          </cell>
          <cell r="BV188">
            <v>0</v>
          </cell>
          <cell r="BW188">
            <v>0</v>
          </cell>
          <cell r="BX188">
            <v>0</v>
          </cell>
          <cell r="BY188">
            <v>0</v>
          </cell>
          <cell r="BZ188">
            <v>0</v>
          </cell>
          <cell r="CA188">
            <v>0</v>
          </cell>
          <cell r="CB188">
            <v>0</v>
          </cell>
          <cell r="CC188">
            <v>0</v>
          </cell>
          <cell r="CD188">
            <v>0</v>
          </cell>
        </row>
        <row r="189">
          <cell r="C189">
            <v>37755</v>
          </cell>
          <cell r="D189">
            <v>37769</v>
          </cell>
          <cell r="E189">
            <v>37767</v>
          </cell>
          <cell r="F189">
            <v>0.35416666666666669</v>
          </cell>
          <cell r="G189" t="str">
            <v>Linha de Pintura 8,5m</v>
          </cell>
          <cell r="H189" t="str">
            <v>Motor não funciona</v>
          </cell>
          <cell r="I189" t="str">
            <v>Corretiva</v>
          </cell>
          <cell r="J189" t="str">
            <v>Sim</v>
          </cell>
          <cell r="K189" t="str">
            <v>Elétrica</v>
          </cell>
          <cell r="L189" t="str">
            <v>Substituição do(s) Componente(s)</v>
          </cell>
          <cell r="M189" t="str">
            <v>Mau contato</v>
          </cell>
          <cell r="N189">
            <v>37767</v>
          </cell>
          <cell r="O189">
            <v>0.35416666666666669</v>
          </cell>
          <cell r="P189">
            <v>37767</v>
          </cell>
          <cell r="Q189">
            <v>0.35416666666666669</v>
          </cell>
          <cell r="T189">
            <v>37767</v>
          </cell>
          <cell r="U189">
            <v>0.4597222222222222</v>
          </cell>
          <cell r="V189">
            <v>37767</v>
          </cell>
          <cell r="W189">
            <v>0.4597222222222222</v>
          </cell>
          <cell r="X189">
            <v>0.10555555555555551</v>
          </cell>
          <cell r="Y189">
            <v>0.10555555555523216</v>
          </cell>
          <cell r="AB189">
            <v>5</v>
          </cell>
          <cell r="AC189">
            <v>5</v>
          </cell>
          <cell r="AD189">
            <v>0</v>
          </cell>
          <cell r="BF189">
            <v>0</v>
          </cell>
          <cell r="BG189">
            <v>0</v>
          </cell>
          <cell r="BH189">
            <v>0</v>
          </cell>
          <cell r="BI189">
            <v>0</v>
          </cell>
          <cell r="BJ189">
            <v>0</v>
          </cell>
          <cell r="BK189">
            <v>0</v>
          </cell>
          <cell r="BL189">
            <v>0</v>
          </cell>
          <cell r="BM189">
            <v>0</v>
          </cell>
          <cell r="BN189">
            <v>0</v>
          </cell>
          <cell r="BO189">
            <v>0</v>
          </cell>
          <cell r="BP189">
            <v>5</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row>
        <row r="190">
          <cell r="C190">
            <v>37755</v>
          </cell>
          <cell r="I190">
            <v>0</v>
          </cell>
          <cell r="N190">
            <v>0</v>
          </cell>
          <cell r="P190">
            <v>0</v>
          </cell>
          <cell r="T190">
            <v>0</v>
          </cell>
          <cell r="V190">
            <v>0</v>
          </cell>
          <cell r="W190">
            <v>0</v>
          </cell>
          <cell r="X190">
            <v>0</v>
          </cell>
          <cell r="Y190">
            <v>0</v>
          </cell>
          <cell r="AB190">
            <v>0</v>
          </cell>
          <cell r="AC190">
            <v>5</v>
          </cell>
          <cell r="AD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0</v>
          </cell>
          <cell r="BY190">
            <v>0</v>
          </cell>
          <cell r="BZ190">
            <v>0</v>
          </cell>
          <cell r="CA190">
            <v>0</v>
          </cell>
          <cell r="CB190">
            <v>0</v>
          </cell>
          <cell r="CC190">
            <v>0</v>
          </cell>
          <cell r="CD190">
            <v>0</v>
          </cell>
        </row>
        <row r="191">
          <cell r="C191">
            <v>37755</v>
          </cell>
          <cell r="D191">
            <v>37785</v>
          </cell>
          <cell r="E191">
            <v>37776</v>
          </cell>
          <cell r="F191">
            <v>0.57291666666666663</v>
          </cell>
          <cell r="G191" t="str">
            <v>Linha de Pintura 15m</v>
          </cell>
          <cell r="H191" t="str">
            <v>Exaustão da cabine não funciona</v>
          </cell>
          <cell r="I191" t="str">
            <v>Corretiva</v>
          </cell>
          <cell r="J191" t="str">
            <v>Sim</v>
          </cell>
          <cell r="K191" t="str">
            <v>Elétrica</v>
          </cell>
          <cell r="L191" t="str">
            <v>Substituição do(s) Componente(s)</v>
          </cell>
          <cell r="M191" t="str">
            <v>Sobrecarga</v>
          </cell>
          <cell r="N191">
            <v>37776</v>
          </cell>
          <cell r="O191">
            <v>0.625</v>
          </cell>
          <cell r="P191">
            <v>37776</v>
          </cell>
          <cell r="Q191">
            <v>0.625</v>
          </cell>
          <cell r="T191">
            <v>37776</v>
          </cell>
          <cell r="U191">
            <v>0.64930555555555558</v>
          </cell>
          <cell r="V191">
            <v>37776</v>
          </cell>
          <cell r="W191">
            <v>0.64930555555555558</v>
          </cell>
          <cell r="X191">
            <v>2.430555555555558E-2</v>
          </cell>
          <cell r="Y191">
            <v>2.4305555554747116E-2</v>
          </cell>
          <cell r="AB191">
            <v>6</v>
          </cell>
          <cell r="AC191">
            <v>5</v>
          </cell>
          <cell r="AD191">
            <v>0</v>
          </cell>
          <cell r="BF191">
            <v>0</v>
          </cell>
          <cell r="BG191">
            <v>0</v>
          </cell>
          <cell r="BH191">
            <v>0</v>
          </cell>
          <cell r="BI191">
            <v>0</v>
          </cell>
          <cell r="BJ191">
            <v>0</v>
          </cell>
          <cell r="BK191">
            <v>0</v>
          </cell>
          <cell r="BL191">
            <v>0</v>
          </cell>
          <cell r="BM191">
            <v>0</v>
          </cell>
          <cell r="BN191">
            <v>6</v>
          </cell>
          <cell r="BO191">
            <v>0</v>
          </cell>
          <cell r="BP191">
            <v>0</v>
          </cell>
          <cell r="BQ191">
            <v>0</v>
          </cell>
          <cell r="BR191">
            <v>0</v>
          </cell>
          <cell r="BS191">
            <v>0</v>
          </cell>
          <cell r="BT191">
            <v>0</v>
          </cell>
          <cell r="BU191">
            <v>0</v>
          </cell>
          <cell r="BV191">
            <v>0</v>
          </cell>
          <cell r="BW191">
            <v>0</v>
          </cell>
          <cell r="BX191">
            <v>0</v>
          </cell>
          <cell r="BY191">
            <v>0</v>
          </cell>
          <cell r="BZ191">
            <v>0</v>
          </cell>
          <cell r="CA191">
            <v>0</v>
          </cell>
          <cell r="CB191">
            <v>0</v>
          </cell>
          <cell r="CC191">
            <v>0</v>
          </cell>
          <cell r="CD191">
            <v>0</v>
          </cell>
        </row>
        <row r="192">
          <cell r="C192">
            <v>37755</v>
          </cell>
          <cell r="D192">
            <v>37881</v>
          </cell>
          <cell r="E192">
            <v>37795</v>
          </cell>
          <cell r="F192">
            <v>0.375</v>
          </cell>
          <cell r="G192" t="str">
            <v>Linha de Pintura 8,5m</v>
          </cell>
          <cell r="H192" t="str">
            <v>Vazamento na válvula de fechamento do tanque de enxágue 01</v>
          </cell>
          <cell r="I192" t="str">
            <v>Corretiva</v>
          </cell>
          <cell r="J192" t="str">
            <v>Não</v>
          </cell>
          <cell r="K192" t="str">
            <v>Mecânica</v>
          </cell>
          <cell r="L192" t="str">
            <v>Reparo</v>
          </cell>
          <cell r="M192" t="str">
            <v>Defeito de Fabricação</v>
          </cell>
          <cell r="N192">
            <v>37876</v>
          </cell>
          <cell r="O192">
            <v>0.3125</v>
          </cell>
          <cell r="P192">
            <v>37876</v>
          </cell>
          <cell r="Q192">
            <v>0.3125</v>
          </cell>
          <cell r="T192">
            <v>37876</v>
          </cell>
          <cell r="U192">
            <v>0.39583333333333331</v>
          </cell>
          <cell r="V192">
            <v>37876</v>
          </cell>
          <cell r="W192">
            <v>0.39583333333333331</v>
          </cell>
          <cell r="X192">
            <v>8.3333333335758653E-2</v>
          </cell>
          <cell r="Y192">
            <v>8.3333333335758653E-2</v>
          </cell>
          <cell r="AB192">
            <v>9</v>
          </cell>
          <cell r="AC192">
            <v>5</v>
          </cell>
          <cell r="AD192">
            <v>0</v>
          </cell>
          <cell r="BF192">
            <v>0</v>
          </cell>
          <cell r="BG192">
            <v>0</v>
          </cell>
          <cell r="BH192">
            <v>0</v>
          </cell>
          <cell r="BI192">
            <v>0</v>
          </cell>
          <cell r="BJ192">
            <v>0</v>
          </cell>
          <cell r="BK192">
            <v>0</v>
          </cell>
          <cell r="BL192">
            <v>0</v>
          </cell>
          <cell r="BM192">
            <v>0</v>
          </cell>
          <cell r="BN192">
            <v>0</v>
          </cell>
          <cell r="BO192">
            <v>0</v>
          </cell>
          <cell r="BP192">
            <v>9</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row>
        <row r="193">
          <cell r="C193">
            <v>37755</v>
          </cell>
          <cell r="D193">
            <v>37803</v>
          </cell>
          <cell r="E193">
            <v>37795</v>
          </cell>
          <cell r="F193">
            <v>0.54166666666666663</v>
          </cell>
          <cell r="G193" t="str">
            <v>Linha de Pintura 8,5m</v>
          </cell>
          <cell r="H193" t="str">
            <v>Fusível de Exaustão queimado</v>
          </cell>
          <cell r="I193" t="str">
            <v>Corretiva</v>
          </cell>
          <cell r="J193" t="str">
            <v>Sim</v>
          </cell>
          <cell r="K193" t="str">
            <v>Elétrica</v>
          </cell>
          <cell r="L193" t="str">
            <v>Substituição do(s) Componente(s)</v>
          </cell>
          <cell r="M193" t="str">
            <v>Sobrecarga</v>
          </cell>
          <cell r="N193">
            <v>37795</v>
          </cell>
          <cell r="O193">
            <v>0.58333333333333337</v>
          </cell>
          <cell r="P193">
            <v>37795</v>
          </cell>
          <cell r="Q193">
            <v>0.58333333333333337</v>
          </cell>
          <cell r="T193">
            <v>37795</v>
          </cell>
          <cell r="U193">
            <v>0.60069444444444442</v>
          </cell>
          <cell r="V193">
            <v>37795</v>
          </cell>
          <cell r="W193">
            <v>0.60069444444444442</v>
          </cell>
          <cell r="X193">
            <v>1.7361111111111049E-2</v>
          </cell>
          <cell r="Y193">
            <v>1.7361111111919514E-2</v>
          </cell>
          <cell r="AB193">
            <v>6</v>
          </cell>
          <cell r="AC193">
            <v>5</v>
          </cell>
          <cell r="AD193">
            <v>0</v>
          </cell>
          <cell r="BF193">
            <v>0</v>
          </cell>
          <cell r="BG193">
            <v>0</v>
          </cell>
          <cell r="BH193">
            <v>0</v>
          </cell>
          <cell r="BI193">
            <v>0</v>
          </cell>
          <cell r="BJ193">
            <v>0</v>
          </cell>
          <cell r="BK193">
            <v>0</v>
          </cell>
          <cell r="BL193">
            <v>0</v>
          </cell>
          <cell r="BM193">
            <v>0</v>
          </cell>
          <cell r="BN193">
            <v>0</v>
          </cell>
          <cell r="BO193">
            <v>0</v>
          </cell>
          <cell r="BP193">
            <v>6</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cell r="CD193">
            <v>0</v>
          </cell>
        </row>
        <row r="194">
          <cell r="C194">
            <v>37755</v>
          </cell>
          <cell r="D194">
            <v>37803</v>
          </cell>
          <cell r="E194">
            <v>37802</v>
          </cell>
          <cell r="F194">
            <v>0.41666666666666669</v>
          </cell>
          <cell r="G194" t="str">
            <v>Linha de Pintura 8,5m</v>
          </cell>
          <cell r="H194" t="str">
            <v>Parada constante no bastidor da entrada da secagem</v>
          </cell>
          <cell r="I194" t="str">
            <v>Corretiva</v>
          </cell>
          <cell r="J194" t="str">
            <v>Sim</v>
          </cell>
          <cell r="K194" t="str">
            <v>Mecânica</v>
          </cell>
          <cell r="L194" t="str">
            <v>O Parô estava com a porca e o eixo do pistão solto</v>
          </cell>
          <cell r="M194" t="str">
            <v>Vibração</v>
          </cell>
          <cell r="N194">
            <v>37802</v>
          </cell>
          <cell r="O194">
            <v>0.53125</v>
          </cell>
          <cell r="P194">
            <v>37802</v>
          </cell>
          <cell r="Q194">
            <v>0.53125</v>
          </cell>
          <cell r="T194">
            <v>37802</v>
          </cell>
          <cell r="U194">
            <v>0.5625</v>
          </cell>
          <cell r="V194">
            <v>37802</v>
          </cell>
          <cell r="W194">
            <v>0.5625</v>
          </cell>
          <cell r="X194">
            <v>3.125E-2</v>
          </cell>
          <cell r="Y194">
            <v>3.125E-2</v>
          </cell>
          <cell r="AB194">
            <v>6</v>
          </cell>
          <cell r="AC194">
            <v>5</v>
          </cell>
          <cell r="AD194">
            <v>0</v>
          </cell>
          <cell r="BF194">
            <v>0</v>
          </cell>
          <cell r="BG194">
            <v>0</v>
          </cell>
          <cell r="BH194">
            <v>0</v>
          </cell>
          <cell r="BI194">
            <v>0</v>
          </cell>
          <cell r="BJ194">
            <v>0</v>
          </cell>
          <cell r="BK194">
            <v>0</v>
          </cell>
          <cell r="BL194">
            <v>0</v>
          </cell>
          <cell r="BM194">
            <v>0</v>
          </cell>
          <cell r="BN194">
            <v>0</v>
          </cell>
          <cell r="BO194">
            <v>0</v>
          </cell>
          <cell r="BP194">
            <v>6</v>
          </cell>
          <cell r="BQ194">
            <v>0</v>
          </cell>
          <cell r="BR194">
            <v>0</v>
          </cell>
          <cell r="BS194">
            <v>0</v>
          </cell>
          <cell r="BT194">
            <v>0</v>
          </cell>
          <cell r="BU194">
            <v>0</v>
          </cell>
          <cell r="BV194">
            <v>0</v>
          </cell>
          <cell r="BW194">
            <v>0</v>
          </cell>
          <cell r="BX194">
            <v>0</v>
          </cell>
          <cell r="BY194">
            <v>0</v>
          </cell>
          <cell r="BZ194">
            <v>0</v>
          </cell>
          <cell r="CA194">
            <v>0</v>
          </cell>
          <cell r="CB194">
            <v>0</v>
          </cell>
          <cell r="CC194">
            <v>0</v>
          </cell>
          <cell r="CD194">
            <v>0</v>
          </cell>
        </row>
        <row r="195">
          <cell r="C195">
            <v>37755</v>
          </cell>
          <cell r="D195">
            <v>37819</v>
          </cell>
          <cell r="E195">
            <v>37814</v>
          </cell>
          <cell r="F195">
            <v>0.54166666666666663</v>
          </cell>
          <cell r="G195" t="str">
            <v>Linha de Pintura 8,5m</v>
          </cell>
          <cell r="H195" t="str">
            <v>Suporte do braço da pistola quebrado</v>
          </cell>
          <cell r="I195" t="str">
            <v>Corretiva</v>
          </cell>
          <cell r="J195" t="str">
            <v>Não</v>
          </cell>
          <cell r="K195" t="str">
            <v>Mecânica</v>
          </cell>
          <cell r="L195" t="str">
            <v>Substituição do(s) Componente(s)</v>
          </cell>
          <cell r="M195" t="str">
            <v>Defeito de Fabricação</v>
          </cell>
          <cell r="N195">
            <v>37816</v>
          </cell>
          <cell r="O195">
            <v>0.41666666666666669</v>
          </cell>
          <cell r="P195">
            <v>37816</v>
          </cell>
          <cell r="Q195">
            <v>0.41666666666666669</v>
          </cell>
          <cell r="T195">
            <v>37816</v>
          </cell>
          <cell r="U195">
            <v>0.45833333333333331</v>
          </cell>
          <cell r="V195">
            <v>37816</v>
          </cell>
          <cell r="W195">
            <v>0.45833333333333331</v>
          </cell>
          <cell r="X195">
            <v>4.166666666666663E-2</v>
          </cell>
          <cell r="Y195">
            <v>4.1666666669091967E-2</v>
          </cell>
          <cell r="AB195">
            <v>7</v>
          </cell>
          <cell r="AC195">
            <v>5</v>
          </cell>
          <cell r="AD195">
            <v>0</v>
          </cell>
          <cell r="BF195">
            <v>0</v>
          </cell>
          <cell r="BG195">
            <v>0</v>
          </cell>
          <cell r="BH195">
            <v>0</v>
          </cell>
          <cell r="BI195">
            <v>0</v>
          </cell>
          <cell r="BJ195">
            <v>0</v>
          </cell>
          <cell r="BK195">
            <v>0</v>
          </cell>
          <cell r="BL195">
            <v>0</v>
          </cell>
          <cell r="BM195">
            <v>0</v>
          </cell>
          <cell r="BN195">
            <v>0</v>
          </cell>
          <cell r="BO195">
            <v>0</v>
          </cell>
          <cell r="BP195">
            <v>7</v>
          </cell>
          <cell r="BQ195">
            <v>0</v>
          </cell>
          <cell r="BR195">
            <v>0</v>
          </cell>
          <cell r="BS195">
            <v>0</v>
          </cell>
          <cell r="BT195">
            <v>0</v>
          </cell>
          <cell r="BU195">
            <v>0</v>
          </cell>
          <cell r="BV195">
            <v>0</v>
          </cell>
          <cell r="BW195">
            <v>0</v>
          </cell>
          <cell r="BX195">
            <v>0</v>
          </cell>
          <cell r="BY195">
            <v>0</v>
          </cell>
          <cell r="BZ195">
            <v>0</v>
          </cell>
          <cell r="CA195">
            <v>0</v>
          </cell>
          <cell r="CB195">
            <v>0</v>
          </cell>
          <cell r="CC195">
            <v>0</v>
          </cell>
          <cell r="CD195">
            <v>0</v>
          </cell>
        </row>
        <row r="196">
          <cell r="C196">
            <v>37755</v>
          </cell>
          <cell r="D196">
            <v>37838</v>
          </cell>
          <cell r="E196">
            <v>37816</v>
          </cell>
          <cell r="F196">
            <v>0.41666666666666669</v>
          </cell>
          <cell r="G196" t="str">
            <v>Linha de Pintura 8,5m</v>
          </cell>
          <cell r="H196" t="str">
            <v>Acúmulo de pó no reservatório, gerando transbordamento</v>
          </cell>
          <cell r="I196" t="str">
            <v>Melhoria</v>
          </cell>
          <cell r="J196" t="str">
            <v>Não</v>
          </cell>
          <cell r="K196" t="str">
            <v>Mecânica</v>
          </cell>
          <cell r="L196" t="str">
            <v>Substituição do(s) Componente(s)</v>
          </cell>
          <cell r="M196" t="str">
            <v>Falha de Projeto</v>
          </cell>
          <cell r="N196">
            <v>37826</v>
          </cell>
          <cell r="O196">
            <v>0.33333333333333331</v>
          </cell>
          <cell r="P196">
            <v>37826</v>
          </cell>
          <cell r="Q196">
            <v>0.33333333333333331</v>
          </cell>
          <cell r="T196">
            <v>37826</v>
          </cell>
          <cell r="U196">
            <v>0.5</v>
          </cell>
          <cell r="V196">
            <v>37826</v>
          </cell>
          <cell r="W196">
            <v>0.5</v>
          </cell>
          <cell r="X196">
            <v>0.16666666666666669</v>
          </cell>
          <cell r="Y196">
            <v>0.16666666666666669</v>
          </cell>
          <cell r="AB196">
            <v>7</v>
          </cell>
          <cell r="AC196">
            <v>5</v>
          </cell>
          <cell r="AD196">
            <v>0</v>
          </cell>
          <cell r="BF196">
            <v>0</v>
          </cell>
          <cell r="BG196">
            <v>0</v>
          </cell>
          <cell r="BH196">
            <v>0</v>
          </cell>
          <cell r="BI196">
            <v>0</v>
          </cell>
          <cell r="BJ196">
            <v>0</v>
          </cell>
          <cell r="BK196">
            <v>0</v>
          </cell>
          <cell r="BL196">
            <v>0</v>
          </cell>
          <cell r="BM196">
            <v>0</v>
          </cell>
          <cell r="BN196">
            <v>0</v>
          </cell>
          <cell r="BO196">
            <v>0</v>
          </cell>
          <cell r="BP196">
            <v>7</v>
          </cell>
          <cell r="BQ196">
            <v>0</v>
          </cell>
          <cell r="BR196">
            <v>0</v>
          </cell>
          <cell r="BS196">
            <v>0</v>
          </cell>
          <cell r="BT196">
            <v>0</v>
          </cell>
          <cell r="BU196">
            <v>0</v>
          </cell>
          <cell r="BV196">
            <v>0</v>
          </cell>
          <cell r="BW196">
            <v>0</v>
          </cell>
          <cell r="BX196">
            <v>0</v>
          </cell>
          <cell r="BY196">
            <v>0</v>
          </cell>
          <cell r="BZ196">
            <v>0</v>
          </cell>
          <cell r="CA196">
            <v>0</v>
          </cell>
          <cell r="CB196">
            <v>0</v>
          </cell>
          <cell r="CC196">
            <v>0</v>
          </cell>
          <cell r="CD196">
            <v>0</v>
          </cell>
        </row>
        <row r="197">
          <cell r="C197">
            <v>37755</v>
          </cell>
          <cell r="D197">
            <v>37803</v>
          </cell>
          <cell r="E197">
            <v>37789</v>
          </cell>
          <cell r="F197">
            <v>0.69097222222222221</v>
          </cell>
          <cell r="G197" t="str">
            <v>Linha de Pintura 15m</v>
          </cell>
          <cell r="H197" t="str">
            <v>Elevador de carga desnivelado</v>
          </cell>
          <cell r="I197" t="str">
            <v>Corretiva</v>
          </cell>
          <cell r="J197" t="str">
            <v>Sim</v>
          </cell>
          <cell r="K197" t="str">
            <v>Elétrica</v>
          </cell>
          <cell r="L197" t="str">
            <v>Regulagem do Componente</v>
          </cell>
          <cell r="M197" t="str">
            <v>Desgaste / Fadiga</v>
          </cell>
          <cell r="N197">
            <v>37789</v>
          </cell>
          <cell r="O197">
            <v>0.69444444444444453</v>
          </cell>
          <cell r="P197">
            <v>37789</v>
          </cell>
          <cell r="Q197">
            <v>0.69444444444444453</v>
          </cell>
          <cell r="T197">
            <v>37789</v>
          </cell>
          <cell r="U197">
            <v>0.70486111111111116</v>
          </cell>
          <cell r="V197">
            <v>37789</v>
          </cell>
          <cell r="W197">
            <v>0.70486111111111116</v>
          </cell>
          <cell r="X197">
            <v>1.041666666666663E-2</v>
          </cell>
          <cell r="Y197">
            <v>1.0416666665049701E-2</v>
          </cell>
          <cell r="AB197">
            <v>6</v>
          </cell>
          <cell r="AC197">
            <v>5</v>
          </cell>
          <cell r="AD197">
            <v>0</v>
          </cell>
          <cell r="BF197">
            <v>0</v>
          </cell>
          <cell r="BG197">
            <v>0</v>
          </cell>
          <cell r="BH197">
            <v>0</v>
          </cell>
          <cell r="BI197">
            <v>0</v>
          </cell>
          <cell r="BJ197">
            <v>0</v>
          </cell>
          <cell r="BK197">
            <v>0</v>
          </cell>
          <cell r="BL197">
            <v>0</v>
          </cell>
          <cell r="BM197">
            <v>0</v>
          </cell>
          <cell r="BN197">
            <v>6</v>
          </cell>
          <cell r="BO197">
            <v>0</v>
          </cell>
          <cell r="BP197">
            <v>0</v>
          </cell>
          <cell r="BQ197">
            <v>0</v>
          </cell>
          <cell r="BR197">
            <v>0</v>
          </cell>
          <cell r="BS197">
            <v>0</v>
          </cell>
          <cell r="BT197">
            <v>0</v>
          </cell>
          <cell r="BU197">
            <v>0</v>
          </cell>
          <cell r="BV197">
            <v>0</v>
          </cell>
          <cell r="BW197">
            <v>0</v>
          </cell>
          <cell r="BX197">
            <v>0</v>
          </cell>
          <cell r="BY197">
            <v>0</v>
          </cell>
          <cell r="BZ197">
            <v>0</v>
          </cell>
          <cell r="CA197">
            <v>0</v>
          </cell>
          <cell r="CB197">
            <v>0</v>
          </cell>
          <cell r="CC197">
            <v>0</v>
          </cell>
          <cell r="CD197">
            <v>0</v>
          </cell>
        </row>
        <row r="198">
          <cell r="C198">
            <v>37755</v>
          </cell>
          <cell r="D198">
            <v>37785</v>
          </cell>
          <cell r="E198">
            <v>37782</v>
          </cell>
          <cell r="F198">
            <v>0.5</v>
          </cell>
          <cell r="G198" t="str">
            <v>Linha de Pintura 15m</v>
          </cell>
          <cell r="H198" t="str">
            <v>Parafusos do suporte do transportador soltos</v>
          </cell>
          <cell r="I198" t="str">
            <v>Corretiva</v>
          </cell>
          <cell r="J198" t="str">
            <v>Não</v>
          </cell>
          <cell r="K198" t="str">
            <v>Mecânica</v>
          </cell>
          <cell r="L198" t="str">
            <v>Reaperto dos componentes</v>
          </cell>
          <cell r="M198" t="str">
            <v>Vibração</v>
          </cell>
          <cell r="N198">
            <v>37783</v>
          </cell>
          <cell r="O198">
            <v>0.64583333333333337</v>
          </cell>
          <cell r="P198">
            <v>37783</v>
          </cell>
          <cell r="Q198">
            <v>0.64583333333333337</v>
          </cell>
          <cell r="T198">
            <v>37783</v>
          </cell>
          <cell r="U198">
            <v>0.66666666666666663</v>
          </cell>
          <cell r="V198">
            <v>37783</v>
          </cell>
          <cell r="W198">
            <v>0.66666666666666663</v>
          </cell>
          <cell r="X198">
            <v>2.0833333330907977E-2</v>
          </cell>
          <cell r="Y198">
            <v>2.0833333330907977E-2</v>
          </cell>
          <cell r="AB198">
            <v>6</v>
          </cell>
          <cell r="AC198">
            <v>5</v>
          </cell>
          <cell r="AD198">
            <v>0</v>
          </cell>
          <cell r="BF198">
            <v>0</v>
          </cell>
          <cell r="BG198">
            <v>0</v>
          </cell>
          <cell r="BH198">
            <v>0</v>
          </cell>
          <cell r="BI198">
            <v>0</v>
          </cell>
          <cell r="BJ198">
            <v>0</v>
          </cell>
          <cell r="BK198">
            <v>0</v>
          </cell>
          <cell r="BL198">
            <v>0</v>
          </cell>
          <cell r="BM198">
            <v>0</v>
          </cell>
          <cell r="BN198">
            <v>6</v>
          </cell>
          <cell r="BO198">
            <v>0</v>
          </cell>
          <cell r="BP198">
            <v>0</v>
          </cell>
          <cell r="BQ198">
            <v>0</v>
          </cell>
          <cell r="BR198">
            <v>0</v>
          </cell>
          <cell r="BS198">
            <v>0</v>
          </cell>
          <cell r="BT198">
            <v>0</v>
          </cell>
          <cell r="BU198">
            <v>0</v>
          </cell>
          <cell r="BV198">
            <v>0</v>
          </cell>
          <cell r="BW198">
            <v>0</v>
          </cell>
          <cell r="BX198">
            <v>0</v>
          </cell>
          <cell r="BY198">
            <v>0</v>
          </cell>
          <cell r="BZ198">
            <v>0</v>
          </cell>
          <cell r="CA198">
            <v>0</v>
          </cell>
          <cell r="CB198">
            <v>0</v>
          </cell>
          <cell r="CC198">
            <v>0</v>
          </cell>
          <cell r="CD198">
            <v>0</v>
          </cell>
        </row>
        <row r="199">
          <cell r="C199">
            <v>37755</v>
          </cell>
          <cell r="D199">
            <v>37785</v>
          </cell>
          <cell r="E199">
            <v>37784</v>
          </cell>
          <cell r="F199">
            <v>0.65277777777777779</v>
          </cell>
          <cell r="G199" t="str">
            <v>Linha de Pintura 15m</v>
          </cell>
          <cell r="H199" t="str">
            <v>Elevador de carga desnivelado</v>
          </cell>
          <cell r="I199" t="str">
            <v>Corretiva</v>
          </cell>
          <cell r="J199" t="str">
            <v>Sim</v>
          </cell>
          <cell r="K199" t="str">
            <v>Elétrica</v>
          </cell>
          <cell r="L199" t="str">
            <v>Regulagem do sensor, ajustes na máquina e no encoder. Nivelamento dos elevadores</v>
          </cell>
          <cell r="M199" t="str">
            <v>Vibração</v>
          </cell>
          <cell r="N199">
            <v>37784</v>
          </cell>
          <cell r="O199">
            <v>0.65277777777777779</v>
          </cell>
          <cell r="P199">
            <v>37784</v>
          </cell>
          <cell r="Q199">
            <v>0.65277777777777779</v>
          </cell>
          <cell r="T199">
            <v>37784</v>
          </cell>
          <cell r="U199">
            <v>0.67013888888888884</v>
          </cell>
          <cell r="V199">
            <v>37784</v>
          </cell>
          <cell r="W199">
            <v>0.67013888888888884</v>
          </cell>
          <cell r="X199">
            <v>1.7361111111111049E-2</v>
          </cell>
          <cell r="Y199">
            <v>1.7361111112727978E-2</v>
          </cell>
          <cell r="AB199">
            <v>6</v>
          </cell>
          <cell r="AC199">
            <v>5</v>
          </cell>
          <cell r="AD199">
            <v>0</v>
          </cell>
          <cell r="BF199">
            <v>0</v>
          </cell>
          <cell r="BG199">
            <v>0</v>
          </cell>
          <cell r="BH199">
            <v>0</v>
          </cell>
          <cell r="BI199">
            <v>0</v>
          </cell>
          <cell r="BJ199">
            <v>0</v>
          </cell>
          <cell r="BK199">
            <v>0</v>
          </cell>
          <cell r="BL199">
            <v>0</v>
          </cell>
          <cell r="BM199">
            <v>0</v>
          </cell>
          <cell r="BN199">
            <v>6</v>
          </cell>
          <cell r="BO199">
            <v>0</v>
          </cell>
          <cell r="BP199">
            <v>0</v>
          </cell>
          <cell r="BQ199">
            <v>0</v>
          </cell>
          <cell r="BR199">
            <v>0</v>
          </cell>
          <cell r="BS199">
            <v>0</v>
          </cell>
          <cell r="BT199">
            <v>0</v>
          </cell>
          <cell r="BU199">
            <v>0</v>
          </cell>
          <cell r="BV199">
            <v>0</v>
          </cell>
          <cell r="BW199">
            <v>0</v>
          </cell>
          <cell r="BX199">
            <v>0</v>
          </cell>
          <cell r="BY199">
            <v>0</v>
          </cell>
          <cell r="BZ199">
            <v>0</v>
          </cell>
          <cell r="CA199">
            <v>0</v>
          </cell>
          <cell r="CB199">
            <v>0</v>
          </cell>
          <cell r="CC199">
            <v>0</v>
          </cell>
          <cell r="CD199">
            <v>0</v>
          </cell>
        </row>
        <row r="200">
          <cell r="C200">
            <v>37755</v>
          </cell>
          <cell r="I200">
            <v>0</v>
          </cell>
          <cell r="N200">
            <v>0</v>
          </cell>
          <cell r="P200">
            <v>0</v>
          </cell>
          <cell r="T200">
            <v>0</v>
          </cell>
          <cell r="V200">
            <v>0</v>
          </cell>
          <cell r="W200">
            <v>0</v>
          </cell>
          <cell r="X200">
            <v>0</v>
          </cell>
          <cell r="Y200">
            <v>0</v>
          </cell>
          <cell r="AB200">
            <v>0</v>
          </cell>
          <cell r="AC200">
            <v>5</v>
          </cell>
          <cell r="AD200">
            <v>0</v>
          </cell>
          <cell r="BF200">
            <v>0</v>
          </cell>
          <cell r="BG200">
            <v>0</v>
          </cell>
          <cell r="BH200">
            <v>0</v>
          </cell>
          <cell r="BI200">
            <v>0</v>
          </cell>
          <cell r="BJ200">
            <v>0</v>
          </cell>
          <cell r="BK200">
            <v>0</v>
          </cell>
          <cell r="BL200">
            <v>0</v>
          </cell>
          <cell r="BM200">
            <v>0</v>
          </cell>
          <cell r="BN200">
            <v>0</v>
          </cell>
          <cell r="BO200">
            <v>0</v>
          </cell>
          <cell r="BP200">
            <v>0</v>
          </cell>
          <cell r="BQ200">
            <v>0</v>
          </cell>
          <cell r="BR200">
            <v>0</v>
          </cell>
          <cell r="BS200">
            <v>0</v>
          </cell>
          <cell r="BT200">
            <v>0</v>
          </cell>
          <cell r="BU200">
            <v>0</v>
          </cell>
          <cell r="BV200">
            <v>0</v>
          </cell>
          <cell r="BW200">
            <v>0</v>
          </cell>
          <cell r="BX200">
            <v>0</v>
          </cell>
          <cell r="BY200">
            <v>0</v>
          </cell>
          <cell r="BZ200">
            <v>0</v>
          </cell>
          <cell r="CA200">
            <v>0</v>
          </cell>
          <cell r="CB200">
            <v>0</v>
          </cell>
          <cell r="CC200">
            <v>0</v>
          </cell>
          <cell r="CD200">
            <v>0</v>
          </cell>
        </row>
        <row r="201">
          <cell r="C201">
            <v>37755</v>
          </cell>
          <cell r="D201">
            <v>37803</v>
          </cell>
          <cell r="E201">
            <v>37798</v>
          </cell>
          <cell r="F201">
            <v>0.66666666666666663</v>
          </cell>
          <cell r="G201" t="str">
            <v>Linha de Pintura 15m</v>
          </cell>
          <cell r="H201" t="str">
            <v>Conector de Ar do Reservatório de pó quebrado; Bicos do Fosfatado desregulados</v>
          </cell>
          <cell r="I201" t="str">
            <v>Corretiva</v>
          </cell>
          <cell r="J201" t="str">
            <v>Não</v>
          </cell>
          <cell r="K201" t="str">
            <v>Mecânica</v>
          </cell>
          <cell r="L201" t="str">
            <v>Substituição do(s) Componente(s)</v>
          </cell>
          <cell r="M201" t="str">
            <v>Desgaste / Fadiga</v>
          </cell>
          <cell r="N201">
            <v>37798</v>
          </cell>
          <cell r="O201">
            <v>0.66666666666666663</v>
          </cell>
          <cell r="P201">
            <v>37798</v>
          </cell>
          <cell r="Q201">
            <v>0.66666666666666663</v>
          </cell>
          <cell r="T201">
            <v>37798</v>
          </cell>
          <cell r="U201">
            <v>0.6875</v>
          </cell>
          <cell r="V201">
            <v>37798</v>
          </cell>
          <cell r="W201">
            <v>0.6875</v>
          </cell>
          <cell r="X201">
            <v>2.083333333333337E-2</v>
          </cell>
          <cell r="Y201">
            <v>2.083333333333337E-2</v>
          </cell>
          <cell r="AB201">
            <v>6</v>
          </cell>
          <cell r="AC201">
            <v>5</v>
          </cell>
          <cell r="AD201">
            <v>0</v>
          </cell>
          <cell r="BF201">
            <v>0</v>
          </cell>
          <cell r="BG201">
            <v>0</v>
          </cell>
          <cell r="BH201">
            <v>0</v>
          </cell>
          <cell r="BI201">
            <v>0</v>
          </cell>
          <cell r="BJ201">
            <v>0</v>
          </cell>
          <cell r="BK201">
            <v>0</v>
          </cell>
          <cell r="BL201">
            <v>0</v>
          </cell>
          <cell r="BM201">
            <v>0</v>
          </cell>
          <cell r="BN201">
            <v>6</v>
          </cell>
          <cell r="BO201">
            <v>0</v>
          </cell>
          <cell r="BP201">
            <v>0</v>
          </cell>
          <cell r="BQ201">
            <v>0</v>
          </cell>
          <cell r="BR201">
            <v>0</v>
          </cell>
          <cell r="BS201">
            <v>0</v>
          </cell>
          <cell r="BT201">
            <v>0</v>
          </cell>
          <cell r="BU201">
            <v>0</v>
          </cell>
          <cell r="BV201">
            <v>0</v>
          </cell>
          <cell r="BW201">
            <v>0</v>
          </cell>
          <cell r="BX201">
            <v>0</v>
          </cell>
          <cell r="BY201">
            <v>0</v>
          </cell>
          <cell r="BZ201">
            <v>0</v>
          </cell>
          <cell r="CA201">
            <v>0</v>
          </cell>
          <cell r="CB201">
            <v>0</v>
          </cell>
          <cell r="CC201">
            <v>0</v>
          </cell>
          <cell r="CD201">
            <v>0</v>
          </cell>
        </row>
        <row r="202">
          <cell r="C202">
            <v>37755</v>
          </cell>
          <cell r="D202">
            <v>37806</v>
          </cell>
          <cell r="E202">
            <v>37803</v>
          </cell>
          <cell r="F202">
            <v>0.33333333333333331</v>
          </cell>
          <cell r="G202" t="str">
            <v>Linha de Pintura 15m</v>
          </cell>
          <cell r="H202" t="str">
            <v>Variador 01 de carga/descarga apresenta funcionamento inadequado</v>
          </cell>
          <cell r="I202" t="str">
            <v>Corretiva</v>
          </cell>
          <cell r="J202" t="str">
            <v>Sim</v>
          </cell>
          <cell r="K202" t="str">
            <v>Mecânica</v>
          </cell>
          <cell r="L202" t="str">
            <v>Substituição do(s) Componente(s)</v>
          </cell>
          <cell r="M202" t="str">
            <v>Desgaste / Fadiga</v>
          </cell>
          <cell r="N202">
            <v>37803</v>
          </cell>
          <cell r="O202">
            <v>0.33333333333333331</v>
          </cell>
          <cell r="P202">
            <v>37803</v>
          </cell>
          <cell r="Q202">
            <v>0.33333333333333331</v>
          </cell>
          <cell r="T202">
            <v>37803</v>
          </cell>
          <cell r="U202">
            <v>0.3611111111111111</v>
          </cell>
          <cell r="V202">
            <v>37803</v>
          </cell>
          <cell r="W202">
            <v>0.3611111111111111</v>
          </cell>
          <cell r="X202">
            <v>2.777777777777779E-2</v>
          </cell>
          <cell r="Y202">
            <v>2.7777777776160917E-2</v>
          </cell>
          <cell r="AB202">
            <v>7</v>
          </cell>
          <cell r="AC202">
            <v>5</v>
          </cell>
          <cell r="AD202">
            <v>0</v>
          </cell>
          <cell r="BF202">
            <v>0</v>
          </cell>
          <cell r="BG202">
            <v>0</v>
          </cell>
          <cell r="BH202">
            <v>0</v>
          </cell>
          <cell r="BI202">
            <v>0</v>
          </cell>
          <cell r="BJ202">
            <v>0</v>
          </cell>
          <cell r="BK202">
            <v>0</v>
          </cell>
          <cell r="BL202">
            <v>0</v>
          </cell>
          <cell r="BM202">
            <v>0</v>
          </cell>
          <cell r="BN202">
            <v>7</v>
          </cell>
          <cell r="BO202">
            <v>0</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row>
        <row r="203">
          <cell r="C203">
            <v>37755</v>
          </cell>
          <cell r="D203">
            <v>37810</v>
          </cell>
          <cell r="E203">
            <v>37805</v>
          </cell>
          <cell r="F203">
            <v>0.6875</v>
          </cell>
          <cell r="G203" t="str">
            <v>Linha de Pintura 15m</v>
          </cell>
          <cell r="H203" t="str">
            <v>Exaustor não funciona</v>
          </cell>
          <cell r="I203" t="str">
            <v>Corretiva</v>
          </cell>
          <cell r="J203" t="str">
            <v>Sim</v>
          </cell>
          <cell r="K203" t="str">
            <v>Elétrica</v>
          </cell>
          <cell r="L203" t="str">
            <v>Substituição do(s) Componente(s)</v>
          </cell>
          <cell r="M203" t="str">
            <v>Causa não especificada</v>
          </cell>
          <cell r="N203">
            <v>37805</v>
          </cell>
          <cell r="O203">
            <v>0.6875</v>
          </cell>
          <cell r="P203">
            <v>37805</v>
          </cell>
          <cell r="Q203">
            <v>0.6875</v>
          </cell>
          <cell r="T203">
            <v>37805</v>
          </cell>
          <cell r="U203">
            <v>0.70833333333333337</v>
          </cell>
          <cell r="V203">
            <v>37805</v>
          </cell>
          <cell r="W203">
            <v>0.70833333333333337</v>
          </cell>
          <cell r="X203">
            <v>2.083333333333337E-2</v>
          </cell>
          <cell r="Y203">
            <v>2.0833333335758653E-2</v>
          </cell>
          <cell r="AB203">
            <v>7</v>
          </cell>
          <cell r="AC203">
            <v>5</v>
          </cell>
          <cell r="AD203">
            <v>0</v>
          </cell>
          <cell r="BF203">
            <v>0</v>
          </cell>
          <cell r="BG203">
            <v>0</v>
          </cell>
          <cell r="BH203">
            <v>0</v>
          </cell>
          <cell r="BI203">
            <v>0</v>
          </cell>
          <cell r="BJ203">
            <v>0</v>
          </cell>
          <cell r="BK203">
            <v>0</v>
          </cell>
          <cell r="BL203">
            <v>0</v>
          </cell>
          <cell r="BM203">
            <v>0</v>
          </cell>
          <cell r="BN203">
            <v>7</v>
          </cell>
          <cell r="BO203">
            <v>0</v>
          </cell>
          <cell r="BP203">
            <v>0</v>
          </cell>
          <cell r="BQ203">
            <v>0</v>
          </cell>
          <cell r="BR203">
            <v>0</v>
          </cell>
          <cell r="BS203">
            <v>0</v>
          </cell>
          <cell r="BT203">
            <v>0</v>
          </cell>
          <cell r="BU203">
            <v>0</v>
          </cell>
          <cell r="BV203">
            <v>0</v>
          </cell>
          <cell r="BW203">
            <v>0</v>
          </cell>
          <cell r="BX203">
            <v>0</v>
          </cell>
          <cell r="BY203">
            <v>0</v>
          </cell>
          <cell r="BZ203">
            <v>0</v>
          </cell>
          <cell r="CA203">
            <v>0</v>
          </cell>
          <cell r="CB203">
            <v>0</v>
          </cell>
          <cell r="CC203">
            <v>0</v>
          </cell>
          <cell r="CD203">
            <v>0</v>
          </cell>
        </row>
        <row r="204">
          <cell r="C204">
            <v>37755</v>
          </cell>
          <cell r="D204">
            <v>37790</v>
          </cell>
          <cell r="E204">
            <v>37789</v>
          </cell>
          <cell r="F204">
            <v>0.375</v>
          </cell>
          <cell r="G204" t="str">
            <v>Linha de Pintura 15m</v>
          </cell>
          <cell r="H204" t="str">
            <v>O aterramento das gancheiras não funciona adequadamente</v>
          </cell>
          <cell r="I204" t="str">
            <v>Corretiva</v>
          </cell>
          <cell r="J204" t="str">
            <v>Não</v>
          </cell>
          <cell r="K204" t="str">
            <v>Elétrica</v>
          </cell>
          <cell r="L204" t="str">
            <v>Foi instalado um fio conectado a um suporte metálico para condução de corrente na gancheira</v>
          </cell>
          <cell r="M204" t="str">
            <v>Melhoria Técnica</v>
          </cell>
          <cell r="N204">
            <v>37789</v>
          </cell>
          <cell r="O204">
            <v>0.375</v>
          </cell>
          <cell r="P204">
            <v>37789</v>
          </cell>
          <cell r="Q204">
            <v>0.375</v>
          </cell>
          <cell r="T204">
            <v>37789</v>
          </cell>
          <cell r="U204">
            <v>0.4375</v>
          </cell>
          <cell r="V204">
            <v>37789</v>
          </cell>
          <cell r="W204">
            <v>0.4375</v>
          </cell>
          <cell r="X204">
            <v>6.25E-2</v>
          </cell>
          <cell r="Y204">
            <v>6.25E-2</v>
          </cell>
          <cell r="AB204">
            <v>6</v>
          </cell>
          <cell r="AC204">
            <v>5</v>
          </cell>
          <cell r="AD204">
            <v>0</v>
          </cell>
          <cell r="BF204">
            <v>0</v>
          </cell>
          <cell r="BG204">
            <v>0</v>
          </cell>
          <cell r="BH204">
            <v>0</v>
          </cell>
          <cell r="BI204">
            <v>0</v>
          </cell>
          <cell r="BJ204">
            <v>0</v>
          </cell>
          <cell r="BK204">
            <v>0</v>
          </cell>
          <cell r="BL204">
            <v>0</v>
          </cell>
          <cell r="BM204">
            <v>0</v>
          </cell>
          <cell r="BN204">
            <v>6</v>
          </cell>
          <cell r="BO204">
            <v>0</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C204">
            <v>0</v>
          </cell>
          <cell r="CD204">
            <v>0</v>
          </cell>
        </row>
        <row r="205">
          <cell r="C205">
            <v>37755</v>
          </cell>
          <cell r="D205">
            <v>37803</v>
          </cell>
          <cell r="E205">
            <v>37785</v>
          </cell>
          <cell r="F205">
            <v>0.40277777777777773</v>
          </cell>
          <cell r="G205" t="str">
            <v>Linha de Pintura 15m</v>
          </cell>
          <cell r="H205" t="str">
            <v>Elevador de carga desnivelado</v>
          </cell>
          <cell r="I205" t="str">
            <v>Corretiva</v>
          </cell>
          <cell r="J205" t="str">
            <v>Sim</v>
          </cell>
          <cell r="K205" t="str">
            <v>Elétrica</v>
          </cell>
          <cell r="L205" t="str">
            <v>Ajuste / Regulagem</v>
          </cell>
          <cell r="M205" t="str">
            <v>Falha de Comando / Sistema</v>
          </cell>
          <cell r="N205">
            <v>37785</v>
          </cell>
          <cell r="O205">
            <v>0.40277777777777773</v>
          </cell>
          <cell r="P205">
            <v>37785</v>
          </cell>
          <cell r="Q205">
            <v>0.40277777777777773</v>
          </cell>
          <cell r="T205">
            <v>37785</v>
          </cell>
          <cell r="U205">
            <v>0.41666666666666669</v>
          </cell>
          <cell r="V205">
            <v>37785</v>
          </cell>
          <cell r="W205">
            <v>0.41666666666666669</v>
          </cell>
          <cell r="X205">
            <v>1.3888888888888951E-2</v>
          </cell>
          <cell r="Y205">
            <v>1.3888888886463613E-2</v>
          </cell>
          <cell r="AB205">
            <v>6</v>
          </cell>
          <cell r="AC205">
            <v>5</v>
          </cell>
          <cell r="AD205">
            <v>0</v>
          </cell>
          <cell r="BF205">
            <v>0</v>
          </cell>
          <cell r="BG205">
            <v>0</v>
          </cell>
          <cell r="BH205">
            <v>0</v>
          </cell>
          <cell r="BI205">
            <v>0</v>
          </cell>
          <cell r="BJ205">
            <v>0</v>
          </cell>
          <cell r="BK205">
            <v>0</v>
          </cell>
          <cell r="BL205">
            <v>0</v>
          </cell>
          <cell r="BM205">
            <v>0</v>
          </cell>
          <cell r="BN205">
            <v>6</v>
          </cell>
          <cell r="BO205">
            <v>0</v>
          </cell>
          <cell r="BP205">
            <v>0</v>
          </cell>
          <cell r="BQ205">
            <v>0</v>
          </cell>
          <cell r="BR205">
            <v>0</v>
          </cell>
          <cell r="BS205">
            <v>0</v>
          </cell>
          <cell r="BT205">
            <v>0</v>
          </cell>
          <cell r="BU205">
            <v>0</v>
          </cell>
          <cell r="BV205">
            <v>0</v>
          </cell>
          <cell r="BW205">
            <v>0</v>
          </cell>
          <cell r="BX205">
            <v>0</v>
          </cell>
          <cell r="BY205">
            <v>0</v>
          </cell>
          <cell r="BZ205">
            <v>0</v>
          </cell>
          <cell r="CA205">
            <v>0</v>
          </cell>
          <cell r="CB205">
            <v>0</v>
          </cell>
          <cell r="CC205">
            <v>0</v>
          </cell>
          <cell r="CD205">
            <v>0</v>
          </cell>
        </row>
        <row r="206">
          <cell r="C206">
            <v>37755</v>
          </cell>
          <cell r="D206">
            <v>37785</v>
          </cell>
          <cell r="E206">
            <v>37781</v>
          </cell>
          <cell r="F206">
            <v>0.33333333333333331</v>
          </cell>
          <cell r="G206" t="str">
            <v>Linha de Pintura 8,5m</v>
          </cell>
          <cell r="H206" t="str">
            <v>Pistola manual não funciona</v>
          </cell>
          <cell r="I206" t="str">
            <v>Corretiva</v>
          </cell>
          <cell r="J206" t="str">
            <v>Não</v>
          </cell>
          <cell r="K206" t="str">
            <v>Elétrica</v>
          </cell>
          <cell r="L206" t="str">
            <v>Substituição do(s) Componente(s)</v>
          </cell>
          <cell r="M206" t="str">
            <v>Elétrica</v>
          </cell>
          <cell r="N206">
            <v>37784</v>
          </cell>
          <cell r="O206">
            <v>0.375</v>
          </cell>
          <cell r="P206">
            <v>37784</v>
          </cell>
          <cell r="Q206">
            <v>0.375</v>
          </cell>
          <cell r="R206">
            <v>37784</v>
          </cell>
          <cell r="S206">
            <v>0.375</v>
          </cell>
          <cell r="V206">
            <v>0</v>
          </cell>
          <cell r="W206">
            <v>0</v>
          </cell>
          <cell r="X206">
            <v>0</v>
          </cell>
          <cell r="Y206">
            <v>0</v>
          </cell>
          <cell r="AB206">
            <v>0</v>
          </cell>
          <cell r="AC206">
            <v>5</v>
          </cell>
          <cell r="AD206">
            <v>0</v>
          </cell>
          <cell r="BF206">
            <v>0</v>
          </cell>
          <cell r="BG206">
            <v>0</v>
          </cell>
          <cell r="BH206">
            <v>0</v>
          </cell>
          <cell r="BI206">
            <v>0</v>
          </cell>
          <cell r="BJ206">
            <v>0</v>
          </cell>
          <cell r="BK206">
            <v>0</v>
          </cell>
          <cell r="BL206">
            <v>0</v>
          </cell>
          <cell r="BM206">
            <v>0</v>
          </cell>
          <cell r="BN206">
            <v>0</v>
          </cell>
          <cell r="BO206">
            <v>0</v>
          </cell>
          <cell r="BP206">
            <v>1</v>
          </cell>
          <cell r="BQ206">
            <v>0</v>
          </cell>
          <cell r="BR206">
            <v>0</v>
          </cell>
          <cell r="BS206">
            <v>0</v>
          </cell>
          <cell r="BT206">
            <v>0</v>
          </cell>
          <cell r="BU206">
            <v>0</v>
          </cell>
          <cell r="BV206">
            <v>0</v>
          </cell>
          <cell r="BW206">
            <v>0</v>
          </cell>
          <cell r="BX206">
            <v>0</v>
          </cell>
          <cell r="BY206">
            <v>0</v>
          </cell>
          <cell r="BZ206">
            <v>0</v>
          </cell>
          <cell r="CA206">
            <v>0</v>
          </cell>
          <cell r="CB206">
            <v>0</v>
          </cell>
          <cell r="CC206">
            <v>0</v>
          </cell>
          <cell r="CD206">
            <v>0</v>
          </cell>
        </row>
        <row r="207">
          <cell r="C207">
            <v>37795</v>
          </cell>
          <cell r="D207">
            <v>37803</v>
          </cell>
          <cell r="E207">
            <v>37796</v>
          </cell>
          <cell r="F207">
            <v>0.70833333333333337</v>
          </cell>
          <cell r="G207" t="str">
            <v>Perfiladora Dimeco Travesaños</v>
          </cell>
          <cell r="H207" t="str">
            <v>Desbobinador travado; pino guia do cassete</v>
          </cell>
          <cell r="I207" t="str">
            <v>Corretiva</v>
          </cell>
          <cell r="J207" t="str">
            <v>Não</v>
          </cell>
          <cell r="K207" t="str">
            <v>Mecânica</v>
          </cell>
          <cell r="L207" t="str">
            <v>Reparo</v>
          </cell>
          <cell r="M207" t="str">
            <v>Falha de Montagem / Preparação</v>
          </cell>
          <cell r="N207">
            <v>37800</v>
          </cell>
          <cell r="O207">
            <v>0.33333333333333331</v>
          </cell>
          <cell r="P207">
            <v>37800</v>
          </cell>
          <cell r="Q207">
            <v>0.33333333333333331</v>
          </cell>
          <cell r="T207">
            <v>37800</v>
          </cell>
          <cell r="U207">
            <v>0.58333333333333337</v>
          </cell>
          <cell r="V207">
            <v>37800</v>
          </cell>
          <cell r="W207">
            <v>0.58333333333333337</v>
          </cell>
          <cell r="X207">
            <v>0.25000000000242534</v>
          </cell>
          <cell r="Y207">
            <v>0.25000000000242534</v>
          </cell>
          <cell r="AB207">
            <v>6</v>
          </cell>
          <cell r="AC207">
            <v>6</v>
          </cell>
          <cell r="AD207">
            <v>0</v>
          </cell>
          <cell r="BF207">
            <v>0</v>
          </cell>
          <cell r="BG207">
            <v>0</v>
          </cell>
          <cell r="BH207">
            <v>0</v>
          </cell>
          <cell r="BI207">
            <v>0</v>
          </cell>
          <cell r="BJ207">
            <v>0</v>
          </cell>
          <cell r="BK207">
            <v>0</v>
          </cell>
          <cell r="BL207">
            <v>0</v>
          </cell>
          <cell r="BM207">
            <v>0</v>
          </cell>
          <cell r="BN207">
            <v>0</v>
          </cell>
          <cell r="BO207">
            <v>0</v>
          </cell>
          <cell r="BP207">
            <v>0</v>
          </cell>
          <cell r="BQ207">
            <v>0</v>
          </cell>
          <cell r="BR207">
            <v>0</v>
          </cell>
          <cell r="BS207">
            <v>6</v>
          </cell>
          <cell r="BT207">
            <v>0</v>
          </cell>
          <cell r="BU207">
            <v>0</v>
          </cell>
          <cell r="BV207">
            <v>0</v>
          </cell>
          <cell r="BW207">
            <v>0</v>
          </cell>
          <cell r="BX207">
            <v>0</v>
          </cell>
          <cell r="BY207">
            <v>0</v>
          </cell>
          <cell r="BZ207">
            <v>0</v>
          </cell>
          <cell r="CA207">
            <v>0</v>
          </cell>
          <cell r="CB207">
            <v>0</v>
          </cell>
          <cell r="CC207">
            <v>0</v>
          </cell>
          <cell r="CD207">
            <v>0</v>
          </cell>
        </row>
        <row r="208">
          <cell r="C208">
            <v>37795</v>
          </cell>
          <cell r="D208">
            <v>37803</v>
          </cell>
          <cell r="E208">
            <v>37797</v>
          </cell>
          <cell r="F208">
            <v>0.42708333333333331</v>
          </cell>
          <cell r="G208" t="str">
            <v>Perfiladora Dimeco Travesaños</v>
          </cell>
          <cell r="H208" t="str">
            <v>Disjuntor desarmado</v>
          </cell>
          <cell r="I208" t="str">
            <v>Corretiva</v>
          </cell>
          <cell r="J208" t="str">
            <v>Sim</v>
          </cell>
          <cell r="K208" t="str">
            <v>Elétrica</v>
          </cell>
          <cell r="L208" t="str">
            <v>Reinicialização do Equipamento / Componente</v>
          </cell>
          <cell r="M208" t="str">
            <v>Travamento de Componente</v>
          </cell>
          <cell r="N208">
            <v>37797</v>
          </cell>
          <cell r="O208">
            <v>0.43611111111111112</v>
          </cell>
          <cell r="P208">
            <v>37797</v>
          </cell>
          <cell r="Q208">
            <v>0.43611111111111112</v>
          </cell>
          <cell r="T208">
            <v>37797</v>
          </cell>
          <cell r="U208">
            <v>0.45</v>
          </cell>
          <cell r="V208">
            <v>37797</v>
          </cell>
          <cell r="W208">
            <v>0.45</v>
          </cell>
          <cell r="X208">
            <v>1.3888888888888895E-2</v>
          </cell>
          <cell r="Y208">
            <v>1.3888888885978501E-2</v>
          </cell>
          <cell r="AB208">
            <v>6</v>
          </cell>
          <cell r="AC208">
            <v>6</v>
          </cell>
          <cell r="AD208">
            <v>0</v>
          </cell>
          <cell r="BF208">
            <v>0</v>
          </cell>
          <cell r="BG208">
            <v>0</v>
          </cell>
          <cell r="BH208">
            <v>0</v>
          </cell>
          <cell r="BI208">
            <v>0</v>
          </cell>
          <cell r="BJ208">
            <v>0</v>
          </cell>
          <cell r="BK208">
            <v>0</v>
          </cell>
          <cell r="BL208">
            <v>0</v>
          </cell>
          <cell r="BM208">
            <v>0</v>
          </cell>
          <cell r="BN208">
            <v>0</v>
          </cell>
          <cell r="BO208">
            <v>0</v>
          </cell>
          <cell r="BP208">
            <v>0</v>
          </cell>
          <cell r="BQ208">
            <v>0</v>
          </cell>
          <cell r="BR208">
            <v>0</v>
          </cell>
          <cell r="BS208">
            <v>6</v>
          </cell>
          <cell r="BT208">
            <v>0</v>
          </cell>
          <cell r="BU208">
            <v>0</v>
          </cell>
          <cell r="BV208">
            <v>0</v>
          </cell>
          <cell r="BW208">
            <v>0</v>
          </cell>
          <cell r="BX208">
            <v>0</v>
          </cell>
          <cell r="BY208">
            <v>0</v>
          </cell>
          <cell r="BZ208">
            <v>0</v>
          </cell>
          <cell r="CA208">
            <v>0</v>
          </cell>
          <cell r="CB208">
            <v>0</v>
          </cell>
          <cell r="CC208">
            <v>0</v>
          </cell>
          <cell r="CD208">
            <v>0</v>
          </cell>
        </row>
        <row r="209">
          <cell r="C209">
            <v>37795</v>
          </cell>
          <cell r="D209">
            <v>37803</v>
          </cell>
          <cell r="E209">
            <v>37797</v>
          </cell>
          <cell r="F209">
            <v>0.73611111111111116</v>
          </cell>
          <cell r="G209" t="str">
            <v>Perfiladora Dimeco Travesaños</v>
          </cell>
          <cell r="H209" t="str">
            <v>Pistola da Mangueira de ar com defeito</v>
          </cell>
          <cell r="I209" t="str">
            <v>Corretiva</v>
          </cell>
          <cell r="J209" t="str">
            <v>Não</v>
          </cell>
          <cell r="K209" t="str">
            <v>Mecânica</v>
          </cell>
          <cell r="L209" t="str">
            <v>Substituição do(s) Componente(s)</v>
          </cell>
          <cell r="M209" t="str">
            <v>Defeito de Fabricação</v>
          </cell>
          <cell r="N209">
            <v>37797</v>
          </cell>
          <cell r="O209">
            <v>0.73611111111111116</v>
          </cell>
          <cell r="P209">
            <v>37797</v>
          </cell>
          <cell r="Q209">
            <v>0.73611111111111116</v>
          </cell>
          <cell r="T209">
            <v>37797</v>
          </cell>
          <cell r="U209">
            <v>0.75</v>
          </cell>
          <cell r="V209">
            <v>37797</v>
          </cell>
          <cell r="W209">
            <v>0.75</v>
          </cell>
          <cell r="X209">
            <v>1.388888888888884E-2</v>
          </cell>
          <cell r="Y209">
            <v>1.388888888888884E-2</v>
          </cell>
          <cell r="AB209">
            <v>6</v>
          </cell>
          <cell r="AC209">
            <v>6</v>
          </cell>
          <cell r="AD209">
            <v>0</v>
          </cell>
          <cell r="BF209">
            <v>0</v>
          </cell>
          <cell r="BG209">
            <v>0</v>
          </cell>
          <cell r="BH209">
            <v>0</v>
          </cell>
          <cell r="BI209">
            <v>0</v>
          </cell>
          <cell r="BJ209">
            <v>0</v>
          </cell>
          <cell r="BK209">
            <v>0</v>
          </cell>
          <cell r="BL209">
            <v>0</v>
          </cell>
          <cell r="BM209">
            <v>0</v>
          </cell>
          <cell r="BN209">
            <v>0</v>
          </cell>
          <cell r="BO209">
            <v>0</v>
          </cell>
          <cell r="BP209">
            <v>0</v>
          </cell>
          <cell r="BQ209">
            <v>0</v>
          </cell>
          <cell r="BR209">
            <v>0</v>
          </cell>
          <cell r="BS209">
            <v>6</v>
          </cell>
          <cell r="BT209">
            <v>0</v>
          </cell>
          <cell r="BU209">
            <v>0</v>
          </cell>
          <cell r="BV209">
            <v>0</v>
          </cell>
          <cell r="BW209">
            <v>0</v>
          </cell>
          <cell r="BX209">
            <v>0</v>
          </cell>
          <cell r="BY209">
            <v>0</v>
          </cell>
          <cell r="BZ209">
            <v>0</v>
          </cell>
          <cell r="CA209">
            <v>0</v>
          </cell>
          <cell r="CB209">
            <v>0</v>
          </cell>
          <cell r="CC209">
            <v>0</v>
          </cell>
          <cell r="CD209">
            <v>0</v>
          </cell>
        </row>
        <row r="210">
          <cell r="C210">
            <v>37795</v>
          </cell>
          <cell r="D210">
            <v>37803</v>
          </cell>
          <cell r="E210">
            <v>37799</v>
          </cell>
          <cell r="F210">
            <v>0.57499999999999996</v>
          </cell>
          <cell r="G210" t="str">
            <v>Perfiladora Dimeco Travesaños</v>
          </cell>
          <cell r="H210" t="str">
            <v>Disco de Serra danificado</v>
          </cell>
          <cell r="I210" t="str">
            <v>Corretiva</v>
          </cell>
          <cell r="J210" t="str">
            <v>Não</v>
          </cell>
          <cell r="K210" t="str">
            <v>Mecânica</v>
          </cell>
          <cell r="L210" t="str">
            <v>Substituição do(s) Componente(s)</v>
          </cell>
          <cell r="M210" t="str">
            <v>Defeito de Fabricação</v>
          </cell>
          <cell r="N210">
            <v>37799</v>
          </cell>
          <cell r="O210">
            <v>0.57499999999999996</v>
          </cell>
          <cell r="P210">
            <v>37799</v>
          </cell>
          <cell r="Q210">
            <v>0.57499999999999996</v>
          </cell>
          <cell r="T210">
            <v>37799</v>
          </cell>
          <cell r="U210">
            <v>0.60416666666666663</v>
          </cell>
          <cell r="V210">
            <v>37799</v>
          </cell>
          <cell r="W210">
            <v>0.60416666666666663</v>
          </cell>
          <cell r="X210">
            <v>2.9166666664241392E-2</v>
          </cell>
          <cell r="Y210">
            <v>2.9166666664241392E-2</v>
          </cell>
          <cell r="AB210">
            <v>6</v>
          </cell>
          <cell r="AC210">
            <v>6</v>
          </cell>
          <cell r="AD210">
            <v>0</v>
          </cell>
          <cell r="BF210">
            <v>0</v>
          </cell>
          <cell r="BG210">
            <v>0</v>
          </cell>
          <cell r="BH210">
            <v>0</v>
          </cell>
          <cell r="BI210">
            <v>0</v>
          </cell>
          <cell r="BJ210">
            <v>0</v>
          </cell>
          <cell r="BK210">
            <v>0</v>
          </cell>
          <cell r="BL210">
            <v>0</v>
          </cell>
          <cell r="BM210">
            <v>0</v>
          </cell>
          <cell r="BN210">
            <v>0</v>
          </cell>
          <cell r="BO210">
            <v>0</v>
          </cell>
          <cell r="BP210">
            <v>0</v>
          </cell>
          <cell r="BQ210">
            <v>0</v>
          </cell>
          <cell r="BR210">
            <v>0</v>
          </cell>
          <cell r="BS210">
            <v>6</v>
          </cell>
          <cell r="BT210">
            <v>0</v>
          </cell>
          <cell r="BU210">
            <v>0</v>
          </cell>
          <cell r="BV210">
            <v>0</v>
          </cell>
          <cell r="BW210">
            <v>0</v>
          </cell>
          <cell r="BX210">
            <v>0</v>
          </cell>
          <cell r="BY210">
            <v>0</v>
          </cell>
          <cell r="BZ210">
            <v>0</v>
          </cell>
          <cell r="CA210">
            <v>0</v>
          </cell>
          <cell r="CB210">
            <v>0</v>
          </cell>
          <cell r="CC210">
            <v>0</v>
          </cell>
          <cell r="CD210">
            <v>0</v>
          </cell>
        </row>
        <row r="211">
          <cell r="C211">
            <v>37795</v>
          </cell>
          <cell r="D211">
            <v>37810</v>
          </cell>
          <cell r="E211">
            <v>37805</v>
          </cell>
          <cell r="F211">
            <v>0.38194444444444442</v>
          </cell>
          <cell r="G211" t="str">
            <v>Perfiladora Dimeco Travesaños</v>
          </cell>
          <cell r="H211" t="str">
            <v>Problema no desbobinador</v>
          </cell>
          <cell r="I211" t="str">
            <v>Corretiva</v>
          </cell>
          <cell r="J211" t="str">
            <v>Não</v>
          </cell>
          <cell r="K211" t="str">
            <v>Mecânica</v>
          </cell>
          <cell r="L211" t="str">
            <v>Regulagem no Sistema Hidráulico</v>
          </cell>
          <cell r="M211" t="str">
            <v>Falha de Montagem / Preparação</v>
          </cell>
          <cell r="N211">
            <v>37805</v>
          </cell>
          <cell r="O211">
            <v>0.61458333333333337</v>
          </cell>
          <cell r="P211">
            <v>37805</v>
          </cell>
          <cell r="Q211">
            <v>0.61458333333333337</v>
          </cell>
          <cell r="T211">
            <v>37805</v>
          </cell>
          <cell r="U211">
            <v>0.75</v>
          </cell>
          <cell r="V211">
            <v>37805</v>
          </cell>
          <cell r="W211">
            <v>0.75</v>
          </cell>
          <cell r="X211">
            <v>0.13541666666666663</v>
          </cell>
          <cell r="Y211">
            <v>0.13541666666666663</v>
          </cell>
          <cell r="AB211">
            <v>7</v>
          </cell>
          <cell r="AC211">
            <v>6</v>
          </cell>
          <cell r="AD211">
            <v>0</v>
          </cell>
          <cell r="BF211">
            <v>0</v>
          </cell>
          <cell r="BG211">
            <v>0</v>
          </cell>
          <cell r="BH211">
            <v>0</v>
          </cell>
          <cell r="BI211">
            <v>0</v>
          </cell>
          <cell r="BJ211">
            <v>0</v>
          </cell>
          <cell r="BK211">
            <v>0</v>
          </cell>
          <cell r="BL211">
            <v>0</v>
          </cell>
          <cell r="BM211">
            <v>0</v>
          </cell>
          <cell r="BN211">
            <v>0</v>
          </cell>
          <cell r="BO211">
            <v>0</v>
          </cell>
          <cell r="BP211">
            <v>0</v>
          </cell>
          <cell r="BQ211">
            <v>0</v>
          </cell>
          <cell r="BR211">
            <v>0</v>
          </cell>
          <cell r="BS211">
            <v>7</v>
          </cell>
          <cell r="BT211">
            <v>0</v>
          </cell>
          <cell r="BU211">
            <v>0</v>
          </cell>
          <cell r="BV211">
            <v>0</v>
          </cell>
          <cell r="BW211">
            <v>0</v>
          </cell>
          <cell r="BX211">
            <v>0</v>
          </cell>
          <cell r="BY211">
            <v>0</v>
          </cell>
          <cell r="BZ211">
            <v>0</v>
          </cell>
          <cell r="CA211">
            <v>0</v>
          </cell>
          <cell r="CB211">
            <v>0</v>
          </cell>
          <cell r="CC211">
            <v>0</v>
          </cell>
          <cell r="CD211">
            <v>0</v>
          </cell>
        </row>
        <row r="212">
          <cell r="C212">
            <v>37795</v>
          </cell>
          <cell r="D212">
            <v>37819</v>
          </cell>
          <cell r="E212">
            <v>37816</v>
          </cell>
          <cell r="F212">
            <v>0.70833333333333337</v>
          </cell>
          <cell r="G212" t="str">
            <v>Perfiladora Dimeco Travesaños</v>
          </cell>
          <cell r="H212" t="str">
            <v>Vazamento em conexão do Sistema Hidráulico</v>
          </cell>
          <cell r="I212" t="str">
            <v>Corretiva</v>
          </cell>
          <cell r="J212" t="str">
            <v>Não</v>
          </cell>
          <cell r="K212" t="str">
            <v>Mecânica</v>
          </cell>
          <cell r="L212" t="str">
            <v>Limpeza e reaperto das conexões</v>
          </cell>
          <cell r="M212" t="str">
            <v>Vibração</v>
          </cell>
          <cell r="N212">
            <v>37816</v>
          </cell>
          <cell r="O212">
            <v>0.70833333333333337</v>
          </cell>
          <cell r="P212">
            <v>37816</v>
          </cell>
          <cell r="Q212">
            <v>0.70833333333333337</v>
          </cell>
          <cell r="T212">
            <v>37816</v>
          </cell>
          <cell r="U212">
            <v>0.75</v>
          </cell>
          <cell r="V212">
            <v>37816</v>
          </cell>
          <cell r="W212">
            <v>0.75</v>
          </cell>
          <cell r="X212">
            <v>4.166666666666663E-2</v>
          </cell>
          <cell r="Y212">
            <v>4.166666666666663E-2</v>
          </cell>
          <cell r="AB212">
            <v>7</v>
          </cell>
          <cell r="AC212">
            <v>6</v>
          </cell>
          <cell r="AD212">
            <v>0</v>
          </cell>
          <cell r="BF212">
            <v>0</v>
          </cell>
          <cell r="BG212">
            <v>0</v>
          </cell>
          <cell r="BH212">
            <v>0</v>
          </cell>
          <cell r="BI212">
            <v>0</v>
          </cell>
          <cell r="BJ212">
            <v>0</v>
          </cell>
          <cell r="BK212">
            <v>0</v>
          </cell>
          <cell r="BL212">
            <v>0</v>
          </cell>
          <cell r="BM212">
            <v>0</v>
          </cell>
          <cell r="BN212">
            <v>0</v>
          </cell>
          <cell r="BO212">
            <v>0</v>
          </cell>
          <cell r="BP212">
            <v>0</v>
          </cell>
          <cell r="BQ212">
            <v>0</v>
          </cell>
          <cell r="BR212">
            <v>0</v>
          </cell>
          <cell r="BS212">
            <v>7</v>
          </cell>
          <cell r="BT212">
            <v>0</v>
          </cell>
          <cell r="BU212">
            <v>0</v>
          </cell>
          <cell r="BV212">
            <v>0</v>
          </cell>
          <cell r="BW212">
            <v>0</v>
          </cell>
          <cell r="BX212">
            <v>0</v>
          </cell>
          <cell r="BY212">
            <v>0</v>
          </cell>
          <cell r="BZ212">
            <v>0</v>
          </cell>
          <cell r="CA212">
            <v>0</v>
          </cell>
          <cell r="CB212">
            <v>0</v>
          </cell>
          <cell r="CC212">
            <v>0</v>
          </cell>
          <cell r="CD212">
            <v>0</v>
          </cell>
        </row>
        <row r="213">
          <cell r="C213">
            <v>37795</v>
          </cell>
          <cell r="D213">
            <v>37819</v>
          </cell>
          <cell r="E213">
            <v>37817</v>
          </cell>
          <cell r="F213">
            <v>0.75</v>
          </cell>
          <cell r="G213" t="str">
            <v>Perfiladora Dimeco Travesaños</v>
          </cell>
          <cell r="H213" t="str">
            <v>Chaveta do Desbobinador travada</v>
          </cell>
          <cell r="I213" t="str">
            <v>Corretiva</v>
          </cell>
          <cell r="J213" t="str">
            <v>Não</v>
          </cell>
          <cell r="K213" t="str">
            <v>Mecânica</v>
          </cell>
          <cell r="L213" t="str">
            <v>Ajuste / Regulagem</v>
          </cell>
          <cell r="M213" t="str">
            <v>Falha de Regulagem / Configuração / Dimensionamento</v>
          </cell>
          <cell r="N213">
            <v>37817</v>
          </cell>
          <cell r="O213">
            <v>0.75</v>
          </cell>
          <cell r="P213">
            <v>37817</v>
          </cell>
          <cell r="Q213">
            <v>0.75</v>
          </cell>
          <cell r="T213">
            <v>37817</v>
          </cell>
          <cell r="U213">
            <v>0.83333333333333337</v>
          </cell>
          <cell r="V213">
            <v>37817</v>
          </cell>
          <cell r="W213">
            <v>0.83333333333333337</v>
          </cell>
          <cell r="X213">
            <v>8.3333333335758653E-2</v>
          </cell>
          <cell r="Y213">
            <v>8.3333333335758653E-2</v>
          </cell>
          <cell r="AB213">
            <v>7</v>
          </cell>
          <cell r="AC213">
            <v>6</v>
          </cell>
          <cell r="AD213">
            <v>0</v>
          </cell>
          <cell r="BF213">
            <v>0</v>
          </cell>
          <cell r="BG213">
            <v>0</v>
          </cell>
          <cell r="BH213">
            <v>0</v>
          </cell>
          <cell r="BI213">
            <v>0</v>
          </cell>
          <cell r="BJ213">
            <v>0</v>
          </cell>
          <cell r="BK213">
            <v>0</v>
          </cell>
          <cell r="BL213">
            <v>0</v>
          </cell>
          <cell r="BM213">
            <v>0</v>
          </cell>
          <cell r="BN213">
            <v>0</v>
          </cell>
          <cell r="BO213">
            <v>0</v>
          </cell>
          <cell r="BP213">
            <v>0</v>
          </cell>
          <cell r="BQ213">
            <v>0</v>
          </cell>
          <cell r="BR213">
            <v>0</v>
          </cell>
          <cell r="BS213">
            <v>7</v>
          </cell>
          <cell r="BT213">
            <v>0</v>
          </cell>
          <cell r="BU213">
            <v>0</v>
          </cell>
          <cell r="BV213">
            <v>0</v>
          </cell>
          <cell r="BW213">
            <v>0</v>
          </cell>
          <cell r="BX213">
            <v>0</v>
          </cell>
          <cell r="BY213">
            <v>0</v>
          </cell>
          <cell r="BZ213">
            <v>0</v>
          </cell>
          <cell r="CA213">
            <v>0</v>
          </cell>
          <cell r="CB213">
            <v>0</v>
          </cell>
          <cell r="CC213">
            <v>0</v>
          </cell>
          <cell r="CD213">
            <v>0</v>
          </cell>
        </row>
        <row r="214">
          <cell r="C214">
            <v>37795</v>
          </cell>
          <cell r="D214">
            <v>37831</v>
          </cell>
          <cell r="E214">
            <v>37818</v>
          </cell>
          <cell r="F214">
            <v>0.33333333333333331</v>
          </cell>
          <cell r="G214" t="str">
            <v>Perfiladora Dimeco Travesaños</v>
          </cell>
          <cell r="H214" t="str">
            <v>Falha no painel Bimanual</v>
          </cell>
          <cell r="I214" t="str">
            <v>Corretiva</v>
          </cell>
          <cell r="J214" t="str">
            <v>Sim</v>
          </cell>
          <cell r="K214" t="str">
            <v>Elétrica</v>
          </cell>
          <cell r="L214" t="str">
            <v>Substituição do(s) Componente(s)</v>
          </cell>
          <cell r="M214" t="str">
            <v>Causa não especificada</v>
          </cell>
          <cell r="N214">
            <v>37818</v>
          </cell>
          <cell r="O214">
            <v>0.44444444444444442</v>
          </cell>
          <cell r="P214">
            <v>37818</v>
          </cell>
          <cell r="Q214">
            <v>0.44444444444444442</v>
          </cell>
          <cell r="T214">
            <v>37818</v>
          </cell>
          <cell r="U214">
            <v>0.4826388888888889</v>
          </cell>
          <cell r="V214">
            <v>37818</v>
          </cell>
          <cell r="W214">
            <v>0.4826388888888889</v>
          </cell>
          <cell r="X214">
            <v>3.8194444444444475E-2</v>
          </cell>
          <cell r="Y214">
            <v>3.8194444446061349E-2</v>
          </cell>
          <cell r="AB214">
            <v>7</v>
          </cell>
          <cell r="AC214">
            <v>6</v>
          </cell>
          <cell r="AD214">
            <v>0</v>
          </cell>
          <cell r="BF214">
            <v>0</v>
          </cell>
          <cell r="BG214">
            <v>0</v>
          </cell>
          <cell r="BH214">
            <v>0</v>
          </cell>
          <cell r="BI214">
            <v>0</v>
          </cell>
          <cell r="BJ214">
            <v>0</v>
          </cell>
          <cell r="BK214">
            <v>0</v>
          </cell>
          <cell r="BL214">
            <v>0</v>
          </cell>
          <cell r="BM214">
            <v>0</v>
          </cell>
          <cell r="BN214">
            <v>0</v>
          </cell>
          <cell r="BO214">
            <v>0</v>
          </cell>
          <cell r="BP214">
            <v>0</v>
          </cell>
          <cell r="BQ214">
            <v>0</v>
          </cell>
          <cell r="BR214">
            <v>0</v>
          </cell>
          <cell r="BS214">
            <v>7</v>
          </cell>
          <cell r="BT214">
            <v>0</v>
          </cell>
          <cell r="BU214">
            <v>0</v>
          </cell>
          <cell r="BV214">
            <v>0</v>
          </cell>
          <cell r="BW214">
            <v>0</v>
          </cell>
          <cell r="BX214">
            <v>0</v>
          </cell>
          <cell r="BY214">
            <v>0</v>
          </cell>
          <cell r="BZ214">
            <v>0</v>
          </cell>
          <cell r="CA214">
            <v>0</v>
          </cell>
          <cell r="CB214">
            <v>0</v>
          </cell>
          <cell r="CC214">
            <v>0</v>
          </cell>
          <cell r="CD214">
            <v>0</v>
          </cell>
        </row>
        <row r="215">
          <cell r="C215">
            <v>37795</v>
          </cell>
          <cell r="D215">
            <v>37831</v>
          </cell>
          <cell r="E215">
            <v>37818</v>
          </cell>
          <cell r="F215">
            <v>0.63194444444444442</v>
          </cell>
          <cell r="G215" t="str">
            <v>Perfiladora Dimeco Travesaños</v>
          </cell>
          <cell r="H215" t="str">
            <v>Guias do mordente mal fixadas e peça enroscando na ferramenta</v>
          </cell>
          <cell r="I215" t="str">
            <v>Corretiva</v>
          </cell>
          <cell r="J215" t="str">
            <v>Sim</v>
          </cell>
          <cell r="K215" t="str">
            <v>Mecânica</v>
          </cell>
          <cell r="L215" t="str">
            <v>Substituição do(s) Componente(s)</v>
          </cell>
          <cell r="M215" t="str">
            <v>Vibração</v>
          </cell>
          <cell r="N215">
            <v>37818</v>
          </cell>
          <cell r="O215">
            <v>0.63194444444444442</v>
          </cell>
          <cell r="P215">
            <v>37818</v>
          </cell>
          <cell r="Q215">
            <v>0.63194444444444442</v>
          </cell>
          <cell r="T215">
            <v>37818</v>
          </cell>
          <cell r="U215">
            <v>0.75</v>
          </cell>
          <cell r="V215">
            <v>37818</v>
          </cell>
          <cell r="W215">
            <v>0.75</v>
          </cell>
          <cell r="X215">
            <v>0.11805555555555558</v>
          </cell>
          <cell r="Y215">
            <v>0.11805555555555558</v>
          </cell>
          <cell r="AB215">
            <v>7</v>
          </cell>
          <cell r="AC215">
            <v>6</v>
          </cell>
          <cell r="AD215">
            <v>0</v>
          </cell>
          <cell r="BF215">
            <v>0</v>
          </cell>
          <cell r="BG215">
            <v>0</v>
          </cell>
          <cell r="BH215">
            <v>0</v>
          </cell>
          <cell r="BI215">
            <v>0</v>
          </cell>
          <cell r="BJ215">
            <v>0</v>
          </cell>
          <cell r="BK215">
            <v>0</v>
          </cell>
          <cell r="BL215">
            <v>0</v>
          </cell>
          <cell r="BM215">
            <v>0</v>
          </cell>
          <cell r="BN215">
            <v>0</v>
          </cell>
          <cell r="BO215">
            <v>0</v>
          </cell>
          <cell r="BP215">
            <v>0</v>
          </cell>
          <cell r="BQ215">
            <v>0</v>
          </cell>
          <cell r="BR215">
            <v>0</v>
          </cell>
          <cell r="BS215">
            <v>7</v>
          </cell>
          <cell r="BT215">
            <v>0</v>
          </cell>
          <cell r="BU215">
            <v>0</v>
          </cell>
          <cell r="BV215">
            <v>0</v>
          </cell>
          <cell r="BW215">
            <v>0</v>
          </cell>
          <cell r="BX215">
            <v>0</v>
          </cell>
          <cell r="BY215">
            <v>0</v>
          </cell>
          <cell r="BZ215">
            <v>0</v>
          </cell>
          <cell r="CA215">
            <v>0</v>
          </cell>
          <cell r="CB215">
            <v>0</v>
          </cell>
          <cell r="CC215">
            <v>0</v>
          </cell>
          <cell r="CD215">
            <v>0</v>
          </cell>
        </row>
        <row r="216">
          <cell r="C216">
            <v>37795</v>
          </cell>
          <cell r="D216">
            <v>37824</v>
          </cell>
          <cell r="E216">
            <v>37818</v>
          </cell>
          <cell r="F216">
            <v>0.53819444444444442</v>
          </cell>
          <cell r="G216" t="str">
            <v>Perfiladora Dimeco Travesaños</v>
          </cell>
          <cell r="H216" t="str">
            <v>Problema no Motor do Sistema Hidráulico</v>
          </cell>
          <cell r="I216" t="str">
            <v>Corretiva</v>
          </cell>
          <cell r="J216" t="str">
            <v>Não</v>
          </cell>
          <cell r="K216" t="str">
            <v>Elétrica</v>
          </cell>
          <cell r="L216" t="str">
            <v>Rearme do relé térmico</v>
          </cell>
          <cell r="M216" t="str">
            <v>Sobrecarga</v>
          </cell>
          <cell r="N216">
            <v>37824</v>
          </cell>
          <cell r="O216">
            <v>0.54166666666666663</v>
          </cell>
          <cell r="P216">
            <v>37824</v>
          </cell>
          <cell r="Q216">
            <v>0.54166666666666663</v>
          </cell>
          <cell r="T216">
            <v>37824</v>
          </cell>
          <cell r="U216">
            <v>0.54861111111111105</v>
          </cell>
          <cell r="V216">
            <v>37824</v>
          </cell>
          <cell r="W216">
            <v>0.54861111111111105</v>
          </cell>
          <cell r="X216">
            <v>6.9444444444444198E-3</v>
          </cell>
          <cell r="Y216">
            <v>6.944444442827602E-3</v>
          </cell>
          <cell r="AB216">
            <v>7</v>
          </cell>
          <cell r="AC216">
            <v>6</v>
          </cell>
          <cell r="AD216">
            <v>0</v>
          </cell>
          <cell r="BF216">
            <v>0</v>
          </cell>
          <cell r="BG216">
            <v>0</v>
          </cell>
          <cell r="BH216">
            <v>0</v>
          </cell>
          <cell r="BI216">
            <v>0</v>
          </cell>
          <cell r="BJ216">
            <v>0</v>
          </cell>
          <cell r="BK216">
            <v>0</v>
          </cell>
          <cell r="BL216">
            <v>0</v>
          </cell>
          <cell r="BM216">
            <v>0</v>
          </cell>
          <cell r="BN216">
            <v>0</v>
          </cell>
          <cell r="BO216">
            <v>0</v>
          </cell>
          <cell r="BP216">
            <v>0</v>
          </cell>
          <cell r="BQ216">
            <v>0</v>
          </cell>
          <cell r="BR216">
            <v>0</v>
          </cell>
          <cell r="BS216">
            <v>7</v>
          </cell>
          <cell r="BT216">
            <v>0</v>
          </cell>
          <cell r="BU216">
            <v>0</v>
          </cell>
          <cell r="BV216">
            <v>0</v>
          </cell>
          <cell r="BW216">
            <v>0</v>
          </cell>
          <cell r="BX216">
            <v>0</v>
          </cell>
          <cell r="BY216">
            <v>0</v>
          </cell>
          <cell r="BZ216">
            <v>0</v>
          </cell>
          <cell r="CA216">
            <v>0</v>
          </cell>
          <cell r="CB216">
            <v>0</v>
          </cell>
          <cell r="CC216">
            <v>0</v>
          </cell>
          <cell r="CD216">
            <v>0</v>
          </cell>
        </row>
        <row r="217">
          <cell r="C217">
            <v>37798</v>
          </cell>
          <cell r="I217">
            <v>0</v>
          </cell>
          <cell r="N217">
            <v>0</v>
          </cell>
          <cell r="P217">
            <v>0</v>
          </cell>
          <cell r="T217">
            <v>0</v>
          </cell>
          <cell r="V217">
            <v>0</v>
          </cell>
          <cell r="W217">
            <v>0</v>
          </cell>
          <cell r="X217">
            <v>0</v>
          </cell>
          <cell r="Y217">
            <v>0</v>
          </cell>
          <cell r="AB217">
            <v>0</v>
          </cell>
          <cell r="AC217">
            <v>6</v>
          </cell>
          <cell r="AD217">
            <v>0</v>
          </cell>
          <cell r="BF217">
            <v>0</v>
          </cell>
          <cell r="BG217">
            <v>0</v>
          </cell>
          <cell r="BH217">
            <v>0</v>
          </cell>
          <cell r="BI217">
            <v>0</v>
          </cell>
          <cell r="BJ217">
            <v>0</v>
          </cell>
          <cell r="BK217">
            <v>0</v>
          </cell>
          <cell r="BL217">
            <v>0</v>
          </cell>
          <cell r="BM217">
            <v>0</v>
          </cell>
          <cell r="BN217">
            <v>0</v>
          </cell>
          <cell r="BO217">
            <v>0</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row>
        <row r="218">
          <cell r="C218">
            <v>37798</v>
          </cell>
          <cell r="D218">
            <v>37970</v>
          </cell>
          <cell r="E218">
            <v>37797</v>
          </cell>
          <cell r="F218">
            <v>37797</v>
          </cell>
          <cell r="G218">
            <v>0.54166666666666663</v>
          </cell>
          <cell r="H218" t="str">
            <v>Desarme constante do Cortador</v>
          </cell>
          <cell r="I218">
            <v>0</v>
          </cell>
          <cell r="J218" t="str">
            <v>Sim</v>
          </cell>
          <cell r="K218" t="str">
            <v>Mecânica</v>
          </cell>
          <cell r="L218" t="str">
            <v>Sim</v>
          </cell>
          <cell r="M218" t="str">
            <v>Desgaste / Fadiga</v>
          </cell>
          <cell r="N218">
            <v>37797</v>
          </cell>
          <cell r="O218">
            <v>0.58333333333333337</v>
          </cell>
          <cell r="P218">
            <v>37797</v>
          </cell>
          <cell r="Q218">
            <v>0.58333333333333337</v>
          </cell>
          <cell r="T218">
            <v>37797</v>
          </cell>
          <cell r="U218">
            <v>0.625</v>
          </cell>
          <cell r="V218">
            <v>37797</v>
          </cell>
          <cell r="W218">
            <v>0.625</v>
          </cell>
          <cell r="X218">
            <v>4.166666666666663E-2</v>
          </cell>
          <cell r="Y218">
            <v>4.166666666666663E-2</v>
          </cell>
          <cell r="AB218">
            <v>6</v>
          </cell>
          <cell r="AC218">
            <v>6</v>
          </cell>
          <cell r="AD218">
            <v>0</v>
          </cell>
          <cell r="BF218">
            <v>0</v>
          </cell>
          <cell r="BG218">
            <v>0</v>
          </cell>
          <cell r="BH218">
            <v>0</v>
          </cell>
          <cell r="BI218">
            <v>0</v>
          </cell>
          <cell r="BJ218">
            <v>0</v>
          </cell>
          <cell r="BK218">
            <v>0</v>
          </cell>
          <cell r="BL218">
            <v>0</v>
          </cell>
          <cell r="BM218">
            <v>0</v>
          </cell>
          <cell r="BN218">
            <v>0</v>
          </cell>
          <cell r="BO218">
            <v>0</v>
          </cell>
          <cell r="BP218">
            <v>0</v>
          </cell>
          <cell r="BQ218">
            <v>0</v>
          </cell>
          <cell r="BR218">
            <v>0</v>
          </cell>
          <cell r="BS218">
            <v>0</v>
          </cell>
          <cell r="BT218">
            <v>0</v>
          </cell>
          <cell r="BU218">
            <v>0</v>
          </cell>
          <cell r="BV218">
            <v>6</v>
          </cell>
          <cell r="BW218">
            <v>0</v>
          </cell>
          <cell r="BX218">
            <v>0</v>
          </cell>
          <cell r="BY218">
            <v>0</v>
          </cell>
          <cell r="BZ218">
            <v>0</v>
          </cell>
          <cell r="CA218">
            <v>0</v>
          </cell>
          <cell r="CB218">
            <v>0</v>
          </cell>
          <cell r="CC218">
            <v>0</v>
          </cell>
          <cell r="CD218">
            <v>0</v>
          </cell>
        </row>
        <row r="219">
          <cell r="C219">
            <v>37798</v>
          </cell>
          <cell r="D219">
            <v>37803</v>
          </cell>
          <cell r="E219">
            <v>37797</v>
          </cell>
          <cell r="F219">
            <v>0.54166666666666663</v>
          </cell>
          <cell r="G219" t="str">
            <v>Perfiladora Gasparini</v>
          </cell>
          <cell r="H219" t="str">
            <v>Freio do Desbobinador não funciona corretamente</v>
          </cell>
          <cell r="I219" t="str">
            <v>Corretiva</v>
          </cell>
          <cell r="J219" t="str">
            <v>Não</v>
          </cell>
          <cell r="K219" t="str">
            <v>Mecânica</v>
          </cell>
          <cell r="L219" t="str">
            <v>Sistema de Freio OK, mas havia muitos danos no rolo de entrada</v>
          </cell>
          <cell r="M219" t="str">
            <v>Defeito de Fabricação</v>
          </cell>
          <cell r="N219">
            <v>37802</v>
          </cell>
          <cell r="O219">
            <v>0.5</v>
          </cell>
          <cell r="P219">
            <v>37802</v>
          </cell>
          <cell r="Q219">
            <v>0.5</v>
          </cell>
          <cell r="T219">
            <v>37802</v>
          </cell>
          <cell r="U219">
            <v>0.58333333333333337</v>
          </cell>
          <cell r="V219">
            <v>37802</v>
          </cell>
          <cell r="W219">
            <v>0.58333333333333337</v>
          </cell>
          <cell r="X219">
            <v>8.3333333335758653E-2</v>
          </cell>
          <cell r="Y219">
            <v>8.3333333335758653E-2</v>
          </cell>
          <cell r="AB219">
            <v>6</v>
          </cell>
          <cell r="AC219">
            <v>6</v>
          </cell>
          <cell r="AD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6</v>
          </cell>
          <cell r="BW219">
            <v>0</v>
          </cell>
          <cell r="BX219">
            <v>0</v>
          </cell>
          <cell r="BY219">
            <v>0</v>
          </cell>
          <cell r="BZ219">
            <v>0</v>
          </cell>
          <cell r="CA219">
            <v>0</v>
          </cell>
          <cell r="CB219">
            <v>0</v>
          </cell>
          <cell r="CC219">
            <v>0</v>
          </cell>
          <cell r="CD219">
            <v>0</v>
          </cell>
        </row>
        <row r="220">
          <cell r="C220">
            <v>37798</v>
          </cell>
          <cell r="D220">
            <v>37806</v>
          </cell>
          <cell r="E220">
            <v>37797</v>
          </cell>
          <cell r="F220">
            <v>0.54166666666666663</v>
          </cell>
          <cell r="G220" t="str">
            <v>Perfiladora Gasparini</v>
          </cell>
          <cell r="H220" t="str">
            <v>Parafuso do braço do Desbobinador deformado</v>
          </cell>
          <cell r="I220" t="str">
            <v>Corretiva</v>
          </cell>
          <cell r="J220" t="str">
            <v>Não</v>
          </cell>
          <cell r="K220" t="str">
            <v>Mecânica</v>
          </cell>
          <cell r="L220" t="str">
            <v>Substituição do(s) Componente(s)</v>
          </cell>
          <cell r="M220" t="str">
            <v>Defeito de Fabricação</v>
          </cell>
          <cell r="N220">
            <v>37802</v>
          </cell>
          <cell r="O220">
            <v>0.625</v>
          </cell>
          <cell r="P220">
            <v>37802</v>
          </cell>
          <cell r="Q220">
            <v>0.625</v>
          </cell>
          <cell r="T220">
            <v>37802</v>
          </cell>
          <cell r="U220">
            <v>0.6875</v>
          </cell>
          <cell r="V220">
            <v>37802</v>
          </cell>
          <cell r="W220">
            <v>0.6875</v>
          </cell>
          <cell r="X220">
            <v>6.25E-2</v>
          </cell>
          <cell r="Y220">
            <v>6.25E-2</v>
          </cell>
          <cell r="AB220">
            <v>6</v>
          </cell>
          <cell r="AC220">
            <v>6</v>
          </cell>
          <cell r="AD220">
            <v>0</v>
          </cell>
          <cell r="BF220">
            <v>0</v>
          </cell>
          <cell r="BG220">
            <v>0</v>
          </cell>
          <cell r="BH220">
            <v>0</v>
          </cell>
          <cell r="BI220">
            <v>0</v>
          </cell>
          <cell r="BJ220">
            <v>0</v>
          </cell>
          <cell r="BK220">
            <v>0</v>
          </cell>
          <cell r="BL220">
            <v>0</v>
          </cell>
          <cell r="BM220">
            <v>0</v>
          </cell>
          <cell r="BN220">
            <v>0</v>
          </cell>
          <cell r="BO220">
            <v>0</v>
          </cell>
          <cell r="BP220">
            <v>0</v>
          </cell>
          <cell r="BQ220">
            <v>0</v>
          </cell>
          <cell r="BR220">
            <v>0</v>
          </cell>
          <cell r="BS220">
            <v>0</v>
          </cell>
          <cell r="BT220">
            <v>0</v>
          </cell>
          <cell r="BU220">
            <v>0</v>
          </cell>
          <cell r="BV220">
            <v>6</v>
          </cell>
          <cell r="BW220">
            <v>0</v>
          </cell>
          <cell r="BX220">
            <v>0</v>
          </cell>
          <cell r="BY220">
            <v>0</v>
          </cell>
          <cell r="BZ220">
            <v>0</v>
          </cell>
          <cell r="CA220">
            <v>0</v>
          </cell>
          <cell r="CB220">
            <v>0</v>
          </cell>
          <cell r="CC220">
            <v>0</v>
          </cell>
          <cell r="CD220">
            <v>0</v>
          </cell>
        </row>
        <row r="221">
          <cell r="C221">
            <v>37798</v>
          </cell>
          <cell r="D221">
            <v>37873</v>
          </cell>
          <cell r="E221">
            <v>37798</v>
          </cell>
          <cell r="F221">
            <v>0.54166666666666663</v>
          </cell>
          <cell r="G221" t="str">
            <v>Perfiladora Gasparini</v>
          </cell>
          <cell r="H221" t="str">
            <v>Rolo de Alinhamento danificado</v>
          </cell>
          <cell r="I221" t="str">
            <v>Corretiva</v>
          </cell>
          <cell r="J221" t="str">
            <v>Não</v>
          </cell>
          <cell r="K221" t="str">
            <v>Mecânica</v>
          </cell>
          <cell r="L221" t="str">
            <v>Substituição do(s) Componente(s)</v>
          </cell>
          <cell r="M221" t="str">
            <v>Defeito de Fabricação</v>
          </cell>
          <cell r="N221">
            <v>37799</v>
          </cell>
          <cell r="O221">
            <v>0.375</v>
          </cell>
          <cell r="P221">
            <v>37799</v>
          </cell>
          <cell r="Q221">
            <v>0.39583333333333331</v>
          </cell>
          <cell r="R221">
            <v>37822</v>
          </cell>
          <cell r="S221">
            <v>0.625</v>
          </cell>
          <cell r="T221">
            <v>37822</v>
          </cell>
          <cell r="U221">
            <v>0.66666666666666663</v>
          </cell>
          <cell r="V221">
            <v>0</v>
          </cell>
          <cell r="W221">
            <v>6.2499999999999944E-2</v>
          </cell>
          <cell r="X221">
            <v>6.2499999999999944E-2</v>
          </cell>
          <cell r="Y221" t="str">
            <v>Material na Garantia</v>
          </cell>
          <cell r="AB221">
            <v>7</v>
          </cell>
          <cell r="AC221">
            <v>6</v>
          </cell>
          <cell r="AD221">
            <v>0</v>
          </cell>
          <cell r="BF221">
            <v>0</v>
          </cell>
          <cell r="BG221">
            <v>0</v>
          </cell>
          <cell r="BH221">
            <v>0</v>
          </cell>
          <cell r="BI221">
            <v>0</v>
          </cell>
          <cell r="BJ221">
            <v>0</v>
          </cell>
          <cell r="BK221">
            <v>0</v>
          </cell>
          <cell r="BL221">
            <v>0</v>
          </cell>
          <cell r="BM221">
            <v>0</v>
          </cell>
          <cell r="BN221">
            <v>0</v>
          </cell>
          <cell r="BO221">
            <v>0</v>
          </cell>
          <cell r="BP221">
            <v>0</v>
          </cell>
          <cell r="BQ221">
            <v>0</v>
          </cell>
          <cell r="BR221">
            <v>0</v>
          </cell>
          <cell r="BS221">
            <v>0</v>
          </cell>
          <cell r="BT221">
            <v>0</v>
          </cell>
          <cell r="BU221">
            <v>0</v>
          </cell>
          <cell r="BV221">
            <v>7</v>
          </cell>
          <cell r="BW221">
            <v>0</v>
          </cell>
          <cell r="BX221">
            <v>0</v>
          </cell>
          <cell r="BY221">
            <v>0</v>
          </cell>
          <cell r="BZ221">
            <v>0</v>
          </cell>
          <cell r="CA221">
            <v>0</v>
          </cell>
          <cell r="CB221">
            <v>0</v>
          </cell>
          <cell r="CC221">
            <v>0</v>
          </cell>
          <cell r="CD221">
            <v>0</v>
          </cell>
        </row>
        <row r="222">
          <cell r="C222">
            <v>37798</v>
          </cell>
          <cell r="D222">
            <v>37803</v>
          </cell>
          <cell r="E222">
            <v>37798</v>
          </cell>
          <cell r="F222">
            <v>0.70833333333333337</v>
          </cell>
          <cell r="G222" t="str">
            <v>Perfiladora Gasparini</v>
          </cell>
          <cell r="H222" t="str">
            <v>Roscas do Parafuso das Roldanas danificadas (03 peças)</v>
          </cell>
          <cell r="I222" t="str">
            <v>Corretiva</v>
          </cell>
          <cell r="J222" t="str">
            <v>Não</v>
          </cell>
          <cell r="K222" t="str">
            <v>Mecânica</v>
          </cell>
          <cell r="L222" t="str">
            <v>Reparo</v>
          </cell>
          <cell r="M222" t="str">
            <v>Defeito de Fabricação</v>
          </cell>
          <cell r="N222">
            <v>37798</v>
          </cell>
          <cell r="O222">
            <v>0.375</v>
          </cell>
          <cell r="P222">
            <v>37798</v>
          </cell>
          <cell r="Q222">
            <v>0.375</v>
          </cell>
          <cell r="T222">
            <v>37798</v>
          </cell>
          <cell r="U222">
            <v>0.47916666666666669</v>
          </cell>
          <cell r="V222">
            <v>37798</v>
          </cell>
          <cell r="W222">
            <v>0.47916666666666669</v>
          </cell>
          <cell r="X222">
            <v>0.10416666666424135</v>
          </cell>
          <cell r="Y222">
            <v>0.10416666666424135</v>
          </cell>
          <cell r="AB222">
            <v>6</v>
          </cell>
          <cell r="AC222">
            <v>6</v>
          </cell>
          <cell r="AD222">
            <v>0</v>
          </cell>
          <cell r="BF222">
            <v>0</v>
          </cell>
          <cell r="BG222">
            <v>0</v>
          </cell>
          <cell r="BH222">
            <v>0</v>
          </cell>
          <cell r="BI222">
            <v>0</v>
          </cell>
          <cell r="BJ222">
            <v>0</v>
          </cell>
          <cell r="BK222">
            <v>0</v>
          </cell>
          <cell r="BL222">
            <v>0</v>
          </cell>
          <cell r="BM222">
            <v>0</v>
          </cell>
          <cell r="BN222">
            <v>0</v>
          </cell>
          <cell r="BO222">
            <v>0</v>
          </cell>
          <cell r="BP222">
            <v>0</v>
          </cell>
          <cell r="BQ222">
            <v>0</v>
          </cell>
          <cell r="BR222">
            <v>0</v>
          </cell>
          <cell r="BS222">
            <v>0</v>
          </cell>
          <cell r="BT222">
            <v>0</v>
          </cell>
          <cell r="BU222">
            <v>0</v>
          </cell>
          <cell r="BV222">
            <v>6</v>
          </cell>
          <cell r="BW222">
            <v>0</v>
          </cell>
          <cell r="BX222">
            <v>0</v>
          </cell>
          <cell r="BY222">
            <v>0</v>
          </cell>
          <cell r="BZ222">
            <v>0</v>
          </cell>
          <cell r="CA222">
            <v>0</v>
          </cell>
          <cell r="CB222">
            <v>0</v>
          </cell>
          <cell r="CC222">
            <v>0</v>
          </cell>
          <cell r="CD222">
            <v>0</v>
          </cell>
        </row>
        <row r="223">
          <cell r="C223">
            <v>37798</v>
          </cell>
          <cell r="D223">
            <v>37803</v>
          </cell>
          <cell r="E223">
            <v>37798</v>
          </cell>
          <cell r="F223">
            <v>0.58333333333333337</v>
          </cell>
          <cell r="G223" t="str">
            <v>Perfiladora Gasparini</v>
          </cell>
          <cell r="H223" t="str">
            <v>Parafuso do Rolo Guia da Perfiladora está quebrado</v>
          </cell>
          <cell r="I223" t="str">
            <v>Corretiva</v>
          </cell>
          <cell r="J223" t="str">
            <v>Não</v>
          </cell>
          <cell r="K223" t="str">
            <v>Mecânica</v>
          </cell>
          <cell r="L223" t="str">
            <v>Substituição do(s) Componente(s)</v>
          </cell>
          <cell r="M223" t="str">
            <v>Falha de Regulagem / Configuração / Dimensionamento</v>
          </cell>
          <cell r="N223">
            <v>37799</v>
          </cell>
          <cell r="O223">
            <v>0.45833333333333331</v>
          </cell>
          <cell r="P223">
            <v>37799</v>
          </cell>
          <cell r="Q223">
            <v>0.45833333333333331</v>
          </cell>
          <cell r="T223">
            <v>37799</v>
          </cell>
          <cell r="U223">
            <v>0.53125</v>
          </cell>
          <cell r="V223">
            <v>37799</v>
          </cell>
          <cell r="W223">
            <v>0.53125</v>
          </cell>
          <cell r="X223">
            <v>7.2916666666666685E-2</v>
          </cell>
          <cell r="Y223">
            <v>7.2916666666666685E-2</v>
          </cell>
          <cell r="AB223">
            <v>6</v>
          </cell>
          <cell r="AC223">
            <v>6</v>
          </cell>
          <cell r="AD223">
            <v>0</v>
          </cell>
          <cell r="BF223">
            <v>0</v>
          </cell>
          <cell r="BG223">
            <v>0</v>
          </cell>
          <cell r="BH223">
            <v>0</v>
          </cell>
          <cell r="BI223">
            <v>0</v>
          </cell>
          <cell r="BJ223">
            <v>0</v>
          </cell>
          <cell r="BK223">
            <v>0</v>
          </cell>
          <cell r="BL223">
            <v>0</v>
          </cell>
          <cell r="BM223">
            <v>0</v>
          </cell>
          <cell r="BN223">
            <v>0</v>
          </cell>
          <cell r="BO223">
            <v>0</v>
          </cell>
          <cell r="BP223">
            <v>0</v>
          </cell>
          <cell r="BQ223">
            <v>0</v>
          </cell>
          <cell r="BR223">
            <v>0</v>
          </cell>
          <cell r="BS223">
            <v>0</v>
          </cell>
          <cell r="BT223">
            <v>0</v>
          </cell>
          <cell r="BU223">
            <v>0</v>
          </cell>
          <cell r="BV223">
            <v>6</v>
          </cell>
          <cell r="BW223">
            <v>0</v>
          </cell>
          <cell r="BX223">
            <v>0</v>
          </cell>
          <cell r="BY223">
            <v>0</v>
          </cell>
          <cell r="BZ223">
            <v>0</v>
          </cell>
          <cell r="CA223">
            <v>0</v>
          </cell>
          <cell r="CB223">
            <v>0</v>
          </cell>
          <cell r="CC223">
            <v>0</v>
          </cell>
          <cell r="CD223">
            <v>0</v>
          </cell>
        </row>
        <row r="224">
          <cell r="C224">
            <v>37798</v>
          </cell>
          <cell r="I224">
            <v>0</v>
          </cell>
          <cell r="N224">
            <v>0</v>
          </cell>
          <cell r="P224">
            <v>0</v>
          </cell>
          <cell r="T224">
            <v>0</v>
          </cell>
          <cell r="V224">
            <v>0</v>
          </cell>
          <cell r="W224">
            <v>0</v>
          </cell>
          <cell r="X224">
            <v>0</v>
          </cell>
          <cell r="Y224">
            <v>0</v>
          </cell>
          <cell r="AB224">
            <v>0</v>
          </cell>
          <cell r="AC224">
            <v>6</v>
          </cell>
          <cell r="AD224">
            <v>0</v>
          </cell>
          <cell r="BF224">
            <v>0</v>
          </cell>
          <cell r="BG224">
            <v>0</v>
          </cell>
          <cell r="BH224">
            <v>0</v>
          </cell>
          <cell r="BI224">
            <v>0</v>
          </cell>
          <cell r="BJ224">
            <v>0</v>
          </cell>
          <cell r="BK224">
            <v>0</v>
          </cell>
          <cell r="BL224">
            <v>0</v>
          </cell>
          <cell r="BM224">
            <v>0</v>
          </cell>
          <cell r="BN224">
            <v>0</v>
          </cell>
          <cell r="BO224">
            <v>0</v>
          </cell>
          <cell r="BP224">
            <v>0</v>
          </cell>
          <cell r="BQ224">
            <v>0</v>
          </cell>
          <cell r="BR224">
            <v>0</v>
          </cell>
          <cell r="BS224">
            <v>0</v>
          </cell>
          <cell r="BT224">
            <v>0</v>
          </cell>
          <cell r="BU224">
            <v>0</v>
          </cell>
          <cell r="BV224">
            <v>0</v>
          </cell>
          <cell r="BW224">
            <v>0</v>
          </cell>
          <cell r="BX224">
            <v>0</v>
          </cell>
          <cell r="BY224">
            <v>0</v>
          </cell>
          <cell r="BZ224">
            <v>0</v>
          </cell>
          <cell r="CA224">
            <v>0</v>
          </cell>
          <cell r="CB224">
            <v>0</v>
          </cell>
          <cell r="CC224">
            <v>0</v>
          </cell>
          <cell r="CD224">
            <v>0</v>
          </cell>
        </row>
        <row r="225">
          <cell r="C225">
            <v>37798</v>
          </cell>
          <cell r="D225">
            <v>37881</v>
          </cell>
          <cell r="E225">
            <v>37810</v>
          </cell>
          <cell r="F225">
            <v>0.33333333333333331</v>
          </cell>
          <cell r="G225" t="str">
            <v>Perfiladora Gasparini</v>
          </cell>
          <cell r="H225" t="str">
            <v>Mesa coletora do perfil danificada</v>
          </cell>
          <cell r="I225" t="str">
            <v>Corretiva</v>
          </cell>
          <cell r="J225" t="str">
            <v>Não</v>
          </cell>
          <cell r="K225" t="str">
            <v>Mecânica</v>
          </cell>
          <cell r="L225" t="str">
            <v>Reparo</v>
          </cell>
          <cell r="M225" t="str">
            <v>Falha Operacional</v>
          </cell>
          <cell r="N225">
            <v>37851</v>
          </cell>
          <cell r="O225">
            <v>0.875</v>
          </cell>
          <cell r="P225">
            <v>37851</v>
          </cell>
          <cell r="Q225">
            <v>0.875</v>
          </cell>
          <cell r="T225">
            <v>37851</v>
          </cell>
          <cell r="U225">
            <v>0.96875</v>
          </cell>
          <cell r="V225">
            <v>37851</v>
          </cell>
          <cell r="W225">
            <v>0.96875</v>
          </cell>
          <cell r="X225">
            <v>9.375E-2</v>
          </cell>
          <cell r="Y225">
            <v>9.375E-2</v>
          </cell>
          <cell r="AB225">
            <v>8</v>
          </cell>
          <cell r="AC225">
            <v>6</v>
          </cell>
          <cell r="AD225">
            <v>0</v>
          </cell>
          <cell r="BF225">
            <v>0</v>
          </cell>
          <cell r="BG225">
            <v>0</v>
          </cell>
          <cell r="BH225">
            <v>0</v>
          </cell>
          <cell r="BI225">
            <v>0</v>
          </cell>
          <cell r="BJ225">
            <v>0</v>
          </cell>
          <cell r="BK225">
            <v>0</v>
          </cell>
          <cell r="BL225">
            <v>0</v>
          </cell>
          <cell r="BM225">
            <v>0</v>
          </cell>
          <cell r="BN225">
            <v>0</v>
          </cell>
          <cell r="BO225">
            <v>0</v>
          </cell>
          <cell r="BP225">
            <v>0</v>
          </cell>
          <cell r="BQ225">
            <v>0</v>
          </cell>
          <cell r="BR225">
            <v>0</v>
          </cell>
          <cell r="BS225">
            <v>0</v>
          </cell>
          <cell r="BT225">
            <v>0</v>
          </cell>
          <cell r="BU225">
            <v>0</v>
          </cell>
          <cell r="BV225">
            <v>8</v>
          </cell>
          <cell r="BW225">
            <v>0</v>
          </cell>
          <cell r="BX225">
            <v>0</v>
          </cell>
          <cell r="BY225">
            <v>0</v>
          </cell>
          <cell r="BZ225">
            <v>0</v>
          </cell>
          <cell r="CA225">
            <v>0</v>
          </cell>
          <cell r="CB225">
            <v>0</v>
          </cell>
          <cell r="CC225">
            <v>0</v>
          </cell>
          <cell r="CD225">
            <v>0</v>
          </cell>
        </row>
        <row r="226">
          <cell r="C226">
            <v>37798</v>
          </cell>
          <cell r="D226">
            <v>37819</v>
          </cell>
          <cell r="E226">
            <v>37810</v>
          </cell>
          <cell r="F226">
            <v>0.33333333333333331</v>
          </cell>
          <cell r="G226" t="str">
            <v>Perfiladora Gasparini</v>
          </cell>
          <cell r="H226" t="str">
            <v>Cabos e calhas que passam por baixo da mesa do coletor estão danificados</v>
          </cell>
          <cell r="I226" t="str">
            <v>Corretiva</v>
          </cell>
          <cell r="J226" t="str">
            <v>Sim</v>
          </cell>
          <cell r="K226" t="str">
            <v>Elétrica</v>
          </cell>
          <cell r="L226" t="str">
            <v>Substituição do(s) Componente(s)</v>
          </cell>
          <cell r="M226" t="str">
            <v>Falha Operacional</v>
          </cell>
          <cell r="N226">
            <v>37810</v>
          </cell>
          <cell r="O226">
            <v>0.34375</v>
          </cell>
          <cell r="P226">
            <v>37810</v>
          </cell>
          <cell r="Q226">
            <v>0.34375</v>
          </cell>
          <cell r="T226">
            <v>37810</v>
          </cell>
          <cell r="U226">
            <v>0.41666666666666669</v>
          </cell>
          <cell r="V226">
            <v>37810</v>
          </cell>
          <cell r="W226">
            <v>0.41666666666666669</v>
          </cell>
          <cell r="X226">
            <v>7.2916666666666685E-2</v>
          </cell>
          <cell r="Y226">
            <v>7.2916666664241347E-2</v>
          </cell>
          <cell r="AB226">
            <v>7</v>
          </cell>
          <cell r="AC226">
            <v>6</v>
          </cell>
          <cell r="AD226">
            <v>0</v>
          </cell>
          <cell r="BF226">
            <v>0</v>
          </cell>
          <cell r="BG226">
            <v>0</v>
          </cell>
          <cell r="BH226">
            <v>0</v>
          </cell>
          <cell r="BI226">
            <v>0</v>
          </cell>
          <cell r="BJ226">
            <v>0</v>
          </cell>
          <cell r="BK226">
            <v>0</v>
          </cell>
          <cell r="BL226">
            <v>0</v>
          </cell>
          <cell r="BM226">
            <v>0</v>
          </cell>
          <cell r="BN226">
            <v>0</v>
          </cell>
          <cell r="BO226">
            <v>0</v>
          </cell>
          <cell r="BP226">
            <v>0</v>
          </cell>
          <cell r="BQ226">
            <v>0</v>
          </cell>
          <cell r="BR226">
            <v>0</v>
          </cell>
          <cell r="BS226">
            <v>0</v>
          </cell>
          <cell r="BT226">
            <v>0</v>
          </cell>
          <cell r="BU226">
            <v>0</v>
          </cell>
          <cell r="BV226">
            <v>7</v>
          </cell>
          <cell r="BW226">
            <v>0</v>
          </cell>
          <cell r="BX226">
            <v>0</v>
          </cell>
          <cell r="BY226">
            <v>0</v>
          </cell>
          <cell r="BZ226">
            <v>0</v>
          </cell>
          <cell r="CA226">
            <v>0</v>
          </cell>
          <cell r="CB226">
            <v>0</v>
          </cell>
          <cell r="CC226">
            <v>0</v>
          </cell>
          <cell r="CD226">
            <v>0</v>
          </cell>
        </row>
        <row r="227">
          <cell r="C227">
            <v>37798</v>
          </cell>
          <cell r="D227">
            <v>37838</v>
          </cell>
          <cell r="E227">
            <v>37834</v>
          </cell>
          <cell r="F227">
            <v>0.625</v>
          </cell>
          <cell r="G227" t="str">
            <v>Perfiladora Fagor Largueros</v>
          </cell>
          <cell r="H227" t="str">
            <v>Guia de chapa está quebrada</v>
          </cell>
          <cell r="I227" t="str">
            <v>Corretiva</v>
          </cell>
          <cell r="J227" t="str">
            <v>Sim</v>
          </cell>
          <cell r="K227" t="str">
            <v>Mecânica</v>
          </cell>
          <cell r="L227" t="str">
            <v>Substituição do(s) Componente(s)</v>
          </cell>
          <cell r="M227" t="str">
            <v>Falha de Comando / Sistema</v>
          </cell>
          <cell r="N227">
            <v>37834</v>
          </cell>
          <cell r="O227">
            <v>0.625</v>
          </cell>
          <cell r="P227">
            <v>37834</v>
          </cell>
          <cell r="Q227">
            <v>0.625</v>
          </cell>
          <cell r="T227">
            <v>37834</v>
          </cell>
          <cell r="U227">
            <v>0.75</v>
          </cell>
          <cell r="V227">
            <v>37834</v>
          </cell>
          <cell r="W227">
            <v>0.75</v>
          </cell>
          <cell r="X227">
            <v>0.125</v>
          </cell>
          <cell r="Y227">
            <v>0.125</v>
          </cell>
          <cell r="AB227">
            <v>8</v>
          </cell>
          <cell r="AC227">
            <v>6</v>
          </cell>
          <cell r="AD227">
            <v>0</v>
          </cell>
          <cell r="BF227">
            <v>0</v>
          </cell>
          <cell r="BG227">
            <v>0</v>
          </cell>
          <cell r="BH227">
            <v>0</v>
          </cell>
          <cell r="BI227">
            <v>0</v>
          </cell>
          <cell r="BJ227">
            <v>0</v>
          </cell>
          <cell r="BK227">
            <v>0</v>
          </cell>
          <cell r="BL227">
            <v>0</v>
          </cell>
          <cell r="BM227">
            <v>0</v>
          </cell>
          <cell r="BN227">
            <v>0</v>
          </cell>
          <cell r="BO227">
            <v>0</v>
          </cell>
          <cell r="BP227">
            <v>0</v>
          </cell>
          <cell r="BQ227">
            <v>0</v>
          </cell>
          <cell r="BR227">
            <v>0</v>
          </cell>
          <cell r="BS227">
            <v>0</v>
          </cell>
          <cell r="BT227">
            <v>8</v>
          </cell>
          <cell r="BU227">
            <v>0</v>
          </cell>
          <cell r="BV227">
            <v>0</v>
          </cell>
          <cell r="BW227">
            <v>0</v>
          </cell>
          <cell r="BX227">
            <v>0</v>
          </cell>
          <cell r="BY227">
            <v>0</v>
          </cell>
          <cell r="BZ227">
            <v>0</v>
          </cell>
          <cell r="CA227">
            <v>0</v>
          </cell>
          <cell r="CB227">
            <v>0</v>
          </cell>
          <cell r="CC227">
            <v>0</v>
          </cell>
          <cell r="CD227">
            <v>0</v>
          </cell>
        </row>
        <row r="228">
          <cell r="C228">
            <v>37798</v>
          </cell>
          <cell r="D228">
            <v>37858</v>
          </cell>
          <cell r="E228">
            <v>37848</v>
          </cell>
          <cell r="F228">
            <v>0.66666666666666663</v>
          </cell>
          <cell r="G228" t="str">
            <v>Perfiladora Fagor Largueros</v>
          </cell>
          <cell r="H228" t="str">
            <v>Parafusos de sustentação da Guia estão quebrados</v>
          </cell>
          <cell r="I228" t="str">
            <v>Corretiva</v>
          </cell>
          <cell r="J228" t="str">
            <v>Não</v>
          </cell>
          <cell r="K228" t="str">
            <v>Mecânica</v>
          </cell>
          <cell r="L228" t="str">
            <v>Substituição do(s) Componente(s)</v>
          </cell>
          <cell r="M228" t="str">
            <v>Falha de Comando / Sistema</v>
          </cell>
          <cell r="N228">
            <v>37848</v>
          </cell>
          <cell r="O228">
            <v>0.66666666666666663</v>
          </cell>
          <cell r="P228">
            <v>37848</v>
          </cell>
          <cell r="Q228">
            <v>0.66666666666666663</v>
          </cell>
          <cell r="T228">
            <v>37848</v>
          </cell>
          <cell r="U228">
            <v>0.69444444444444453</v>
          </cell>
          <cell r="V228">
            <v>37848</v>
          </cell>
          <cell r="W228">
            <v>0.69444444444444453</v>
          </cell>
          <cell r="X228">
            <v>2.7777777778586255E-2</v>
          </cell>
          <cell r="Y228">
            <v>2.7777777778586255E-2</v>
          </cell>
          <cell r="AB228">
            <v>8</v>
          </cell>
          <cell r="AC228">
            <v>6</v>
          </cell>
          <cell r="AD228">
            <v>0</v>
          </cell>
          <cell r="BF228">
            <v>0</v>
          </cell>
          <cell r="BG228">
            <v>0</v>
          </cell>
          <cell r="BH228">
            <v>0</v>
          </cell>
          <cell r="BI228">
            <v>0</v>
          </cell>
          <cell r="BJ228">
            <v>0</v>
          </cell>
          <cell r="BK228">
            <v>0</v>
          </cell>
          <cell r="BL228">
            <v>0</v>
          </cell>
          <cell r="BM228">
            <v>0</v>
          </cell>
          <cell r="BN228">
            <v>0</v>
          </cell>
          <cell r="BO228">
            <v>0</v>
          </cell>
          <cell r="BP228">
            <v>0</v>
          </cell>
          <cell r="BQ228">
            <v>0</v>
          </cell>
          <cell r="BR228">
            <v>0</v>
          </cell>
          <cell r="BS228">
            <v>0</v>
          </cell>
          <cell r="BT228">
            <v>8</v>
          </cell>
          <cell r="BU228">
            <v>0</v>
          </cell>
          <cell r="BV228">
            <v>0</v>
          </cell>
          <cell r="BW228">
            <v>0</v>
          </cell>
          <cell r="BX228">
            <v>0</v>
          </cell>
          <cell r="BY228">
            <v>0</v>
          </cell>
          <cell r="BZ228">
            <v>0</v>
          </cell>
          <cell r="CA228">
            <v>0</v>
          </cell>
          <cell r="CB228">
            <v>0</v>
          </cell>
          <cell r="CC228">
            <v>0</v>
          </cell>
          <cell r="CD228">
            <v>0</v>
          </cell>
        </row>
        <row r="229">
          <cell r="C229">
            <v>37798</v>
          </cell>
          <cell r="D229">
            <v>37858</v>
          </cell>
          <cell r="E229">
            <v>37853</v>
          </cell>
          <cell r="F229">
            <v>0.41666666666666669</v>
          </cell>
          <cell r="G229" t="str">
            <v>Perfiladora Fagor Largueros</v>
          </cell>
          <cell r="H229" t="str">
            <v>Máquina desarmando constantemente</v>
          </cell>
          <cell r="I229" t="str">
            <v>Corretiva</v>
          </cell>
          <cell r="J229" t="str">
            <v>Não</v>
          </cell>
          <cell r="K229" t="str">
            <v>Elétrica</v>
          </cell>
          <cell r="L229" t="str">
            <v>Reinicialização do Equipamento / Componente</v>
          </cell>
          <cell r="M229" t="str">
            <v>Causa não especificada</v>
          </cell>
          <cell r="N229">
            <v>37853</v>
          </cell>
          <cell r="O229">
            <v>0.4236111111111111</v>
          </cell>
          <cell r="P229">
            <v>37853</v>
          </cell>
          <cell r="Q229">
            <v>0.4236111111111111</v>
          </cell>
          <cell r="T229">
            <v>37853</v>
          </cell>
          <cell r="U229">
            <v>0.47916666666666669</v>
          </cell>
          <cell r="V229">
            <v>37853</v>
          </cell>
          <cell r="W229">
            <v>0.47916666666666669</v>
          </cell>
          <cell r="X229">
            <v>5.5555555553130243E-2</v>
          </cell>
          <cell r="Y229">
            <v>5.5555555553130243E-2</v>
          </cell>
          <cell r="AB229">
            <v>8</v>
          </cell>
          <cell r="AC229">
            <v>6</v>
          </cell>
          <cell r="AD229">
            <v>0</v>
          </cell>
          <cell r="BF229">
            <v>0</v>
          </cell>
          <cell r="BG229">
            <v>0</v>
          </cell>
          <cell r="BH229">
            <v>0</v>
          </cell>
          <cell r="BI229">
            <v>0</v>
          </cell>
          <cell r="BJ229">
            <v>0</v>
          </cell>
          <cell r="BK229">
            <v>0</v>
          </cell>
          <cell r="BL229">
            <v>0</v>
          </cell>
          <cell r="BM229">
            <v>0</v>
          </cell>
          <cell r="BN229">
            <v>0</v>
          </cell>
          <cell r="BO229">
            <v>0</v>
          </cell>
          <cell r="BP229">
            <v>0</v>
          </cell>
          <cell r="BQ229">
            <v>0</v>
          </cell>
          <cell r="BR229">
            <v>0</v>
          </cell>
          <cell r="BS229">
            <v>0</v>
          </cell>
          <cell r="BT229">
            <v>8</v>
          </cell>
          <cell r="BU229">
            <v>0</v>
          </cell>
          <cell r="BV229">
            <v>0</v>
          </cell>
          <cell r="BW229">
            <v>0</v>
          </cell>
          <cell r="BX229">
            <v>0</v>
          </cell>
          <cell r="BY229">
            <v>0</v>
          </cell>
          <cell r="BZ229">
            <v>0</v>
          </cell>
          <cell r="CA229">
            <v>0</v>
          </cell>
          <cell r="CB229">
            <v>0</v>
          </cell>
          <cell r="CC229">
            <v>0</v>
          </cell>
          <cell r="CD229">
            <v>0</v>
          </cell>
        </row>
        <row r="230">
          <cell r="C230">
            <v>37798</v>
          </cell>
          <cell r="D230">
            <v>37858</v>
          </cell>
          <cell r="E230">
            <v>37854</v>
          </cell>
          <cell r="F230">
            <v>0.35416666666666669</v>
          </cell>
          <cell r="G230" t="str">
            <v>Perfiladora Fagor Largueros</v>
          </cell>
          <cell r="H230" t="str">
            <v>Parafusos de sustentação da Guia estão quebrados</v>
          </cell>
          <cell r="I230" t="str">
            <v>Corretiva</v>
          </cell>
          <cell r="J230" t="str">
            <v>Sim</v>
          </cell>
          <cell r="K230" t="str">
            <v>Mecânica</v>
          </cell>
          <cell r="L230" t="str">
            <v>Substituição do(s) Componente(s)</v>
          </cell>
          <cell r="M230" t="str">
            <v>Causa não especificada</v>
          </cell>
          <cell r="N230">
            <v>37854</v>
          </cell>
          <cell r="O230">
            <v>0.35416666666666669</v>
          </cell>
          <cell r="P230">
            <v>37854</v>
          </cell>
          <cell r="Q230">
            <v>0.35416666666666669</v>
          </cell>
          <cell r="T230">
            <v>37854</v>
          </cell>
          <cell r="U230">
            <v>0.375</v>
          </cell>
          <cell r="V230">
            <v>37854</v>
          </cell>
          <cell r="W230">
            <v>0.375</v>
          </cell>
          <cell r="X230">
            <v>2.0833333333333315E-2</v>
          </cell>
          <cell r="Y230">
            <v>2.0833333333333315E-2</v>
          </cell>
          <cell r="AB230">
            <v>8</v>
          </cell>
          <cell r="AC230">
            <v>6</v>
          </cell>
          <cell r="AD230">
            <v>0</v>
          </cell>
          <cell r="BF230">
            <v>0</v>
          </cell>
          <cell r="BG230">
            <v>0</v>
          </cell>
          <cell r="BH230">
            <v>0</v>
          </cell>
          <cell r="BI230">
            <v>0</v>
          </cell>
          <cell r="BJ230">
            <v>0</v>
          </cell>
          <cell r="BK230">
            <v>0</v>
          </cell>
          <cell r="BL230">
            <v>0</v>
          </cell>
          <cell r="BM230">
            <v>0</v>
          </cell>
          <cell r="BN230">
            <v>0</v>
          </cell>
          <cell r="BO230">
            <v>0</v>
          </cell>
          <cell r="BP230">
            <v>0</v>
          </cell>
          <cell r="BQ230">
            <v>0</v>
          </cell>
          <cell r="BR230">
            <v>0</v>
          </cell>
          <cell r="BS230">
            <v>0</v>
          </cell>
          <cell r="BT230">
            <v>8</v>
          </cell>
          <cell r="BU230">
            <v>0</v>
          </cell>
          <cell r="BV230">
            <v>0</v>
          </cell>
          <cell r="BW230">
            <v>0</v>
          </cell>
          <cell r="BX230">
            <v>0</v>
          </cell>
          <cell r="BY230">
            <v>0</v>
          </cell>
          <cell r="BZ230">
            <v>0</v>
          </cell>
          <cell r="CA230">
            <v>0</v>
          </cell>
          <cell r="CB230">
            <v>0</v>
          </cell>
          <cell r="CC230">
            <v>0</v>
          </cell>
          <cell r="CD230">
            <v>0</v>
          </cell>
        </row>
        <row r="231">
          <cell r="C231">
            <v>37798</v>
          </cell>
          <cell r="D231">
            <v>37858</v>
          </cell>
          <cell r="E231">
            <v>37854</v>
          </cell>
          <cell r="F231">
            <v>0.57638888888888895</v>
          </cell>
          <cell r="G231" t="str">
            <v>Perfiladora Fagor Largueros</v>
          </cell>
          <cell r="H231" t="str">
            <v>Guias desalinhadas</v>
          </cell>
          <cell r="I231" t="str">
            <v>Corretiva</v>
          </cell>
          <cell r="J231" t="str">
            <v>Não</v>
          </cell>
          <cell r="K231" t="str">
            <v>Mecânica</v>
          </cell>
          <cell r="L231" t="str">
            <v>Regulagem das guias da chapa</v>
          </cell>
          <cell r="M231" t="str">
            <v>Falha de Comando / Sistema</v>
          </cell>
          <cell r="N231">
            <v>37854</v>
          </cell>
          <cell r="O231">
            <v>0.58333333333333337</v>
          </cell>
          <cell r="P231">
            <v>37854</v>
          </cell>
          <cell r="Q231">
            <v>0.58333333333333337</v>
          </cell>
          <cell r="T231">
            <v>37854</v>
          </cell>
          <cell r="U231">
            <v>0.60416666666666663</v>
          </cell>
          <cell r="V231">
            <v>37854</v>
          </cell>
          <cell r="W231">
            <v>0.60416666666666663</v>
          </cell>
          <cell r="X231">
            <v>2.0833333330907977E-2</v>
          </cell>
          <cell r="Y231">
            <v>2.0833333330907977E-2</v>
          </cell>
          <cell r="AB231">
            <v>8</v>
          </cell>
          <cell r="AC231">
            <v>6</v>
          </cell>
          <cell r="AD231">
            <v>0</v>
          </cell>
          <cell r="BF231">
            <v>0</v>
          </cell>
          <cell r="BG231">
            <v>0</v>
          </cell>
          <cell r="BH231">
            <v>0</v>
          </cell>
          <cell r="BI231">
            <v>0</v>
          </cell>
          <cell r="BJ231">
            <v>0</v>
          </cell>
          <cell r="BK231">
            <v>0</v>
          </cell>
          <cell r="BL231">
            <v>0</v>
          </cell>
          <cell r="BM231">
            <v>0</v>
          </cell>
          <cell r="BN231">
            <v>0</v>
          </cell>
          <cell r="BO231">
            <v>0</v>
          </cell>
          <cell r="BP231">
            <v>0</v>
          </cell>
          <cell r="BQ231">
            <v>0</v>
          </cell>
          <cell r="BR231">
            <v>0</v>
          </cell>
          <cell r="BS231">
            <v>0</v>
          </cell>
          <cell r="BT231">
            <v>8</v>
          </cell>
          <cell r="BU231">
            <v>0</v>
          </cell>
          <cell r="BV231">
            <v>0</v>
          </cell>
          <cell r="BW231">
            <v>0</v>
          </cell>
          <cell r="BX231">
            <v>0</v>
          </cell>
          <cell r="BY231">
            <v>0</v>
          </cell>
          <cell r="BZ231">
            <v>0</v>
          </cell>
          <cell r="CA231">
            <v>0</v>
          </cell>
          <cell r="CB231">
            <v>0</v>
          </cell>
          <cell r="CC231">
            <v>0</v>
          </cell>
          <cell r="CD231">
            <v>0</v>
          </cell>
        </row>
        <row r="232">
          <cell r="C232">
            <v>37798</v>
          </cell>
          <cell r="I232">
            <v>0</v>
          </cell>
          <cell r="N232">
            <v>0</v>
          </cell>
          <cell r="P232">
            <v>0</v>
          </cell>
          <cell r="T232">
            <v>0</v>
          </cell>
          <cell r="V232">
            <v>0</v>
          </cell>
          <cell r="W232">
            <v>0</v>
          </cell>
          <cell r="X232">
            <v>0</v>
          </cell>
          <cell r="Y232">
            <v>0</v>
          </cell>
          <cell r="AB232">
            <v>0</v>
          </cell>
          <cell r="AC232">
            <v>6</v>
          </cell>
          <cell r="AD232">
            <v>0</v>
          </cell>
          <cell r="BF232">
            <v>0</v>
          </cell>
          <cell r="BG232">
            <v>0</v>
          </cell>
          <cell r="BH232">
            <v>0</v>
          </cell>
          <cell r="BI232">
            <v>0</v>
          </cell>
          <cell r="BJ232">
            <v>0</v>
          </cell>
          <cell r="BK232">
            <v>0</v>
          </cell>
          <cell r="BL232">
            <v>0</v>
          </cell>
          <cell r="BM232">
            <v>0</v>
          </cell>
          <cell r="BN232">
            <v>0</v>
          </cell>
          <cell r="BO232">
            <v>0</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row>
        <row r="233">
          <cell r="C233">
            <v>37798</v>
          </cell>
          <cell r="D233">
            <v>37867</v>
          </cell>
          <cell r="E233">
            <v>37860</v>
          </cell>
          <cell r="F233">
            <v>0.91666666666666663</v>
          </cell>
          <cell r="G233" t="str">
            <v>Perfiladora Fagor Largueros</v>
          </cell>
          <cell r="H233" t="str">
            <v>Parafuso danificado</v>
          </cell>
          <cell r="I233" t="str">
            <v>Corretiva</v>
          </cell>
          <cell r="J233" t="str">
            <v>Sim</v>
          </cell>
          <cell r="K233" t="str">
            <v>Mecânica</v>
          </cell>
          <cell r="L233" t="str">
            <v>Substituição do(s) Componente(s)</v>
          </cell>
          <cell r="M233" t="str">
            <v>Falha Operacional</v>
          </cell>
          <cell r="N233">
            <v>37860</v>
          </cell>
          <cell r="O233">
            <v>0.91666666666666663</v>
          </cell>
          <cell r="P233">
            <v>37860</v>
          </cell>
          <cell r="Q233">
            <v>0.91666666666666663</v>
          </cell>
          <cell r="T233">
            <v>37860</v>
          </cell>
          <cell r="U233">
            <v>0.95833333333333337</v>
          </cell>
          <cell r="V233">
            <v>37860</v>
          </cell>
          <cell r="W233">
            <v>0.95833333333333337</v>
          </cell>
          <cell r="X233">
            <v>4.1666666666666741E-2</v>
          </cell>
          <cell r="Y233">
            <v>4.1666666669092023E-2</v>
          </cell>
          <cell r="AB233">
            <v>8</v>
          </cell>
          <cell r="AC233">
            <v>6</v>
          </cell>
          <cell r="AD233">
            <v>0</v>
          </cell>
          <cell r="BF233">
            <v>0</v>
          </cell>
          <cell r="BG233">
            <v>0</v>
          </cell>
          <cell r="BH233">
            <v>0</v>
          </cell>
          <cell r="BI233">
            <v>0</v>
          </cell>
          <cell r="BJ233">
            <v>0</v>
          </cell>
          <cell r="BK233">
            <v>0</v>
          </cell>
          <cell r="BL233">
            <v>0</v>
          </cell>
          <cell r="BM233">
            <v>0</v>
          </cell>
          <cell r="BN233">
            <v>0</v>
          </cell>
          <cell r="BO233">
            <v>0</v>
          </cell>
          <cell r="BP233">
            <v>0</v>
          </cell>
          <cell r="BQ233">
            <v>0</v>
          </cell>
          <cell r="BR233">
            <v>0</v>
          </cell>
          <cell r="BS233">
            <v>0</v>
          </cell>
          <cell r="BT233">
            <v>8</v>
          </cell>
          <cell r="BU233">
            <v>0</v>
          </cell>
          <cell r="BV233">
            <v>0</v>
          </cell>
          <cell r="BW233">
            <v>0</v>
          </cell>
          <cell r="BX233">
            <v>0</v>
          </cell>
          <cell r="BY233">
            <v>0</v>
          </cell>
          <cell r="BZ233">
            <v>0</v>
          </cell>
          <cell r="CA233">
            <v>0</v>
          </cell>
          <cell r="CB233">
            <v>0</v>
          </cell>
          <cell r="CC233">
            <v>0</v>
          </cell>
          <cell r="CD233">
            <v>0</v>
          </cell>
        </row>
        <row r="234">
          <cell r="C234">
            <v>37798</v>
          </cell>
          <cell r="D234">
            <v>37900</v>
          </cell>
          <cell r="E234">
            <v>37869</v>
          </cell>
          <cell r="F234">
            <v>0.58333333333333337</v>
          </cell>
          <cell r="G234" t="str">
            <v>Perfiladora Fagor Largueros</v>
          </cell>
          <cell r="H234" t="str">
            <v>Guia da Chapa Quebrada</v>
          </cell>
          <cell r="I234" t="str">
            <v>Corretiva</v>
          </cell>
          <cell r="J234" t="str">
            <v>Sim</v>
          </cell>
          <cell r="K234" t="str">
            <v>Mecânica</v>
          </cell>
          <cell r="L234" t="str">
            <v>Substituição do(s) Componente(s)</v>
          </cell>
          <cell r="M234" t="str">
            <v>Falha de Comando / Sistema</v>
          </cell>
          <cell r="N234">
            <v>37869</v>
          </cell>
          <cell r="O234">
            <v>0.58333333333333337</v>
          </cell>
          <cell r="P234">
            <v>37869</v>
          </cell>
          <cell r="Q234">
            <v>0.61805555555555558</v>
          </cell>
          <cell r="R234">
            <v>37869</v>
          </cell>
          <cell r="S234">
            <v>0.625</v>
          </cell>
          <cell r="T234">
            <v>37869</v>
          </cell>
          <cell r="U234">
            <v>0.66666666666666663</v>
          </cell>
          <cell r="V234">
            <v>0</v>
          </cell>
          <cell r="W234">
            <v>7.638888888888884E-2</v>
          </cell>
          <cell r="X234">
            <v>7.638888888888884E-2</v>
          </cell>
          <cell r="Y234">
            <v>7.638888888888884E-2</v>
          </cell>
          <cell r="AB234">
            <v>9</v>
          </cell>
          <cell r="AC234">
            <v>6</v>
          </cell>
          <cell r="AD234">
            <v>0</v>
          </cell>
          <cell r="BF234">
            <v>0</v>
          </cell>
          <cell r="BG234">
            <v>0</v>
          </cell>
          <cell r="BH234">
            <v>0</v>
          </cell>
          <cell r="BI234">
            <v>0</v>
          </cell>
          <cell r="BJ234">
            <v>0</v>
          </cell>
          <cell r="BK234">
            <v>0</v>
          </cell>
          <cell r="BL234">
            <v>0</v>
          </cell>
          <cell r="BM234">
            <v>0</v>
          </cell>
          <cell r="BN234">
            <v>0</v>
          </cell>
          <cell r="BO234">
            <v>0</v>
          </cell>
          <cell r="BP234">
            <v>0</v>
          </cell>
          <cell r="BQ234">
            <v>0</v>
          </cell>
          <cell r="BR234">
            <v>0</v>
          </cell>
          <cell r="BS234">
            <v>0</v>
          </cell>
          <cell r="BT234">
            <v>9</v>
          </cell>
          <cell r="BU234">
            <v>0</v>
          </cell>
          <cell r="BV234">
            <v>0</v>
          </cell>
          <cell r="BW234">
            <v>0</v>
          </cell>
          <cell r="BX234">
            <v>0</v>
          </cell>
          <cell r="BY234">
            <v>0</v>
          </cell>
          <cell r="BZ234">
            <v>0</v>
          </cell>
          <cell r="CA234">
            <v>0</v>
          </cell>
          <cell r="CB234">
            <v>0</v>
          </cell>
          <cell r="CC234">
            <v>0</v>
          </cell>
          <cell r="CD234">
            <v>0</v>
          </cell>
        </row>
        <row r="235">
          <cell r="C235">
            <v>37798</v>
          </cell>
          <cell r="D235">
            <v>37915</v>
          </cell>
          <cell r="E235">
            <v>37879</v>
          </cell>
          <cell r="F235">
            <v>0.25694444444444448</v>
          </cell>
          <cell r="G235" t="str">
            <v>Perfiladora Fagor Largueros</v>
          </cell>
          <cell r="H235" t="str">
            <v>A perfiladora não dá permissão para o comando do Robô</v>
          </cell>
          <cell r="I235" t="str">
            <v>Corretiva</v>
          </cell>
          <cell r="J235" t="str">
            <v>Não</v>
          </cell>
          <cell r="K235" t="str">
            <v>Elétrica</v>
          </cell>
          <cell r="L235" t="str">
            <v>Substituição do(s) Componente(s)</v>
          </cell>
          <cell r="M235" t="str">
            <v>Falha de Comando / Sistema</v>
          </cell>
          <cell r="N235">
            <v>37882</v>
          </cell>
          <cell r="O235">
            <v>0.25694444444444448</v>
          </cell>
          <cell r="P235">
            <v>37882</v>
          </cell>
          <cell r="Q235">
            <v>0.625</v>
          </cell>
          <cell r="R235">
            <v>37886</v>
          </cell>
          <cell r="S235">
            <v>0.625</v>
          </cell>
          <cell r="T235">
            <v>37886</v>
          </cell>
          <cell r="U235">
            <v>0.625</v>
          </cell>
          <cell r="V235">
            <v>0</v>
          </cell>
          <cell r="W235">
            <v>0.36805555555555552</v>
          </cell>
          <cell r="X235">
            <v>0.36805555555555552</v>
          </cell>
          <cell r="Y235">
            <v>0.36805555555555552</v>
          </cell>
          <cell r="AB235">
            <v>9</v>
          </cell>
          <cell r="AC235">
            <v>6</v>
          </cell>
          <cell r="AD235">
            <v>0</v>
          </cell>
          <cell r="BF235">
            <v>0</v>
          </cell>
          <cell r="BG235">
            <v>0</v>
          </cell>
          <cell r="BH235">
            <v>0</v>
          </cell>
          <cell r="BI235">
            <v>0</v>
          </cell>
          <cell r="BJ235">
            <v>0</v>
          </cell>
          <cell r="BK235">
            <v>0</v>
          </cell>
          <cell r="BL235">
            <v>0</v>
          </cell>
          <cell r="BM235">
            <v>0</v>
          </cell>
          <cell r="BN235">
            <v>0</v>
          </cell>
          <cell r="BO235">
            <v>0</v>
          </cell>
          <cell r="BP235">
            <v>0</v>
          </cell>
          <cell r="BQ235">
            <v>0</v>
          </cell>
          <cell r="BR235">
            <v>0</v>
          </cell>
          <cell r="BS235">
            <v>0</v>
          </cell>
          <cell r="BT235">
            <v>9</v>
          </cell>
          <cell r="BU235">
            <v>0</v>
          </cell>
          <cell r="BV235">
            <v>0</v>
          </cell>
          <cell r="BW235">
            <v>0</v>
          </cell>
          <cell r="BX235">
            <v>0</v>
          </cell>
          <cell r="BY235">
            <v>0</v>
          </cell>
          <cell r="BZ235">
            <v>0</v>
          </cell>
          <cell r="CA235">
            <v>0</v>
          </cell>
          <cell r="CB235">
            <v>0</v>
          </cell>
          <cell r="CC235">
            <v>0</v>
          </cell>
          <cell r="CD235">
            <v>0</v>
          </cell>
        </row>
        <row r="236">
          <cell r="C236">
            <v>37798</v>
          </cell>
          <cell r="D236">
            <v>37868</v>
          </cell>
          <cell r="E236">
            <v>37867</v>
          </cell>
          <cell r="F236">
            <v>0.52083333333333337</v>
          </cell>
          <cell r="G236" t="str">
            <v>Perfiladora Fagor Largueros</v>
          </cell>
          <cell r="H236" t="str">
            <v>Suporte do guia de entrada da chapa está torto</v>
          </cell>
          <cell r="I236" t="str">
            <v>Corretiva</v>
          </cell>
          <cell r="J236" t="str">
            <v>Não</v>
          </cell>
          <cell r="K236" t="str">
            <v>Mecânica</v>
          </cell>
          <cell r="L236" t="str">
            <v>Ajuste / Regulagem</v>
          </cell>
          <cell r="M236" t="str">
            <v>Falha de Comando / Sistema</v>
          </cell>
          <cell r="N236">
            <v>37867</v>
          </cell>
          <cell r="O236">
            <v>0.51388888888888895</v>
          </cell>
          <cell r="P236">
            <v>37867</v>
          </cell>
          <cell r="Q236">
            <v>0.51388888888888895</v>
          </cell>
          <cell r="T236">
            <v>37867</v>
          </cell>
          <cell r="U236">
            <v>0.54166666666666663</v>
          </cell>
          <cell r="V236">
            <v>37867</v>
          </cell>
          <cell r="W236">
            <v>0.54166666666666663</v>
          </cell>
          <cell r="X236">
            <v>2.7777777775352397E-2</v>
          </cell>
          <cell r="Y236">
            <v>2.7777777775352397E-2</v>
          </cell>
          <cell r="AB236">
            <v>9</v>
          </cell>
          <cell r="AC236">
            <v>6</v>
          </cell>
          <cell r="AD236">
            <v>0</v>
          </cell>
          <cell r="BF236">
            <v>0</v>
          </cell>
          <cell r="BG236">
            <v>0</v>
          </cell>
          <cell r="BH236">
            <v>0</v>
          </cell>
          <cell r="BI236">
            <v>0</v>
          </cell>
          <cell r="BJ236">
            <v>0</v>
          </cell>
          <cell r="BK236">
            <v>0</v>
          </cell>
          <cell r="BL236">
            <v>0</v>
          </cell>
          <cell r="BM236">
            <v>0</v>
          </cell>
          <cell r="BN236">
            <v>0</v>
          </cell>
          <cell r="BO236">
            <v>0</v>
          </cell>
          <cell r="BP236">
            <v>0</v>
          </cell>
          <cell r="BQ236">
            <v>0</v>
          </cell>
          <cell r="BR236">
            <v>0</v>
          </cell>
          <cell r="BS236">
            <v>0</v>
          </cell>
          <cell r="BT236">
            <v>9</v>
          </cell>
          <cell r="BU236">
            <v>0</v>
          </cell>
          <cell r="BV236">
            <v>0</v>
          </cell>
          <cell r="BW236">
            <v>0</v>
          </cell>
          <cell r="BX236">
            <v>0</v>
          </cell>
          <cell r="BY236">
            <v>0</v>
          </cell>
          <cell r="BZ236">
            <v>0</v>
          </cell>
          <cell r="CA236">
            <v>0</v>
          </cell>
          <cell r="CB236">
            <v>0</v>
          </cell>
          <cell r="CC236">
            <v>0</v>
          </cell>
          <cell r="CD236">
            <v>0</v>
          </cell>
        </row>
        <row r="237">
          <cell r="C237">
            <v>37806</v>
          </cell>
          <cell r="D237">
            <v>37819</v>
          </cell>
          <cell r="E237">
            <v>37810</v>
          </cell>
          <cell r="F237">
            <v>0.46736111111111112</v>
          </cell>
          <cell r="G237" t="str">
            <v>Células de Solda Automática</v>
          </cell>
          <cell r="H237" t="str">
            <v>Falha de comunicação com o CLP</v>
          </cell>
          <cell r="I237" t="str">
            <v>Corretiva</v>
          </cell>
          <cell r="J237" t="str">
            <v>Sim</v>
          </cell>
          <cell r="K237" t="str">
            <v>Elétrica</v>
          </cell>
          <cell r="L237" t="str">
            <v>Substituição do(s) Componente(s)</v>
          </cell>
          <cell r="M237" t="str">
            <v>Falha de Comando / Sistema</v>
          </cell>
          <cell r="N237">
            <v>37810</v>
          </cell>
          <cell r="O237">
            <v>0.5</v>
          </cell>
          <cell r="P237">
            <v>37810</v>
          </cell>
          <cell r="Q237">
            <v>0.5</v>
          </cell>
          <cell r="T237">
            <v>37810</v>
          </cell>
          <cell r="U237">
            <v>0.61805555555555558</v>
          </cell>
          <cell r="V237">
            <v>37810</v>
          </cell>
          <cell r="W237">
            <v>0.61805555555555558</v>
          </cell>
          <cell r="X237">
            <v>0.11805555555555558</v>
          </cell>
          <cell r="Y237">
            <v>0.11805555555474712</v>
          </cell>
          <cell r="AB237">
            <v>7</v>
          </cell>
          <cell r="AC237">
            <v>7</v>
          </cell>
          <cell r="AD237">
            <v>0</v>
          </cell>
          <cell r="BF237">
            <v>7</v>
          </cell>
          <cell r="BG237">
            <v>0</v>
          </cell>
          <cell r="BH237">
            <v>0</v>
          </cell>
          <cell r="BI237">
            <v>0</v>
          </cell>
          <cell r="BJ237">
            <v>0</v>
          </cell>
          <cell r="BK237">
            <v>0</v>
          </cell>
          <cell r="BL237">
            <v>0</v>
          </cell>
          <cell r="BM237">
            <v>0</v>
          </cell>
          <cell r="BN237">
            <v>0</v>
          </cell>
          <cell r="BO237">
            <v>0</v>
          </cell>
          <cell r="BP237">
            <v>0</v>
          </cell>
          <cell r="BQ237">
            <v>0</v>
          </cell>
          <cell r="BR237">
            <v>0</v>
          </cell>
          <cell r="BS237">
            <v>0</v>
          </cell>
          <cell r="BT237">
            <v>0</v>
          </cell>
          <cell r="BU237">
            <v>0</v>
          </cell>
          <cell r="BV237">
            <v>0</v>
          </cell>
          <cell r="BW237">
            <v>0</v>
          </cell>
          <cell r="BX237">
            <v>0</v>
          </cell>
          <cell r="BY237">
            <v>0</v>
          </cell>
          <cell r="BZ237">
            <v>0</v>
          </cell>
          <cell r="CA237">
            <v>0</v>
          </cell>
          <cell r="CB237">
            <v>0</v>
          </cell>
          <cell r="CC237">
            <v>0</v>
          </cell>
          <cell r="CD237">
            <v>0</v>
          </cell>
        </row>
        <row r="238">
          <cell r="C238">
            <v>37806</v>
          </cell>
          <cell r="D238">
            <v>37858</v>
          </cell>
          <cell r="E238">
            <v>37831</v>
          </cell>
          <cell r="F238">
            <v>0.40972222222222227</v>
          </cell>
          <cell r="G238" t="str">
            <v>Máquina de Solda MIG</v>
          </cell>
          <cell r="H238" t="str">
            <v>Plug incompatível com a tomada da linha da Solda Manual</v>
          </cell>
          <cell r="I238" t="str">
            <v>Corretiva</v>
          </cell>
          <cell r="J238" t="str">
            <v>Sim</v>
          </cell>
          <cell r="K238" t="str">
            <v>Elétrica</v>
          </cell>
          <cell r="L238" t="str">
            <v>Substituição do(s) Componente(s)</v>
          </cell>
          <cell r="M238" t="str">
            <v>Alteração na Localização da Máquina</v>
          </cell>
          <cell r="N238">
            <v>37831</v>
          </cell>
          <cell r="O238">
            <v>0.41666666666666669</v>
          </cell>
          <cell r="P238">
            <v>37831</v>
          </cell>
          <cell r="Q238">
            <v>0.41666666666666669</v>
          </cell>
          <cell r="T238">
            <v>37831</v>
          </cell>
          <cell r="U238">
            <v>0.4236111111111111</v>
          </cell>
          <cell r="V238">
            <v>37831</v>
          </cell>
          <cell r="W238">
            <v>0.4236111111111111</v>
          </cell>
          <cell r="X238">
            <v>6.9444444444444198E-3</v>
          </cell>
          <cell r="Y238">
            <v>6.9444444428275465E-3</v>
          </cell>
          <cell r="AB238">
            <v>7</v>
          </cell>
          <cell r="AC238">
            <v>7</v>
          </cell>
          <cell r="AD238">
            <v>0</v>
          </cell>
          <cell r="BF238">
            <v>0</v>
          </cell>
          <cell r="BG238">
            <v>0</v>
          </cell>
          <cell r="BH238">
            <v>0</v>
          </cell>
          <cell r="BI238">
            <v>0</v>
          </cell>
          <cell r="BJ238">
            <v>0</v>
          </cell>
          <cell r="BK238">
            <v>0</v>
          </cell>
          <cell r="BL238">
            <v>0</v>
          </cell>
          <cell r="BM238">
            <v>0</v>
          </cell>
          <cell r="BN238">
            <v>0</v>
          </cell>
          <cell r="BO238">
            <v>0</v>
          </cell>
          <cell r="BP238">
            <v>0</v>
          </cell>
          <cell r="BQ238">
            <v>0</v>
          </cell>
          <cell r="BR238">
            <v>7</v>
          </cell>
          <cell r="BS238">
            <v>0</v>
          </cell>
          <cell r="BT238">
            <v>0</v>
          </cell>
          <cell r="BU238">
            <v>0</v>
          </cell>
          <cell r="BV238">
            <v>0</v>
          </cell>
          <cell r="BW238">
            <v>0</v>
          </cell>
          <cell r="BX238">
            <v>0</v>
          </cell>
          <cell r="BY238">
            <v>0</v>
          </cell>
          <cell r="BZ238">
            <v>0</v>
          </cell>
          <cell r="CA238">
            <v>0</v>
          </cell>
          <cell r="CB238">
            <v>0</v>
          </cell>
          <cell r="CC238">
            <v>0</v>
          </cell>
          <cell r="CD238">
            <v>0</v>
          </cell>
        </row>
        <row r="239">
          <cell r="C239">
            <v>37806</v>
          </cell>
          <cell r="D239">
            <v>37858</v>
          </cell>
          <cell r="E239">
            <v>37837</v>
          </cell>
          <cell r="F239">
            <v>0.34375</v>
          </cell>
          <cell r="G239" t="str">
            <v>Máquina de Solda MIG</v>
          </cell>
          <cell r="H239" t="str">
            <v>Plug incompatível com a tomada da linha da Solda Manual</v>
          </cell>
          <cell r="I239" t="str">
            <v>Corretiva</v>
          </cell>
          <cell r="J239" t="str">
            <v>Sim</v>
          </cell>
          <cell r="K239" t="str">
            <v>Elétrica</v>
          </cell>
          <cell r="L239" t="str">
            <v>Substituição do(s) Componente(s)</v>
          </cell>
          <cell r="M239" t="str">
            <v>Alteração na Localização da Máquina</v>
          </cell>
          <cell r="N239">
            <v>37837</v>
          </cell>
          <cell r="O239">
            <v>0.34375</v>
          </cell>
          <cell r="P239">
            <v>37837</v>
          </cell>
          <cell r="Q239">
            <v>0.34375</v>
          </cell>
          <cell r="T239">
            <v>37837</v>
          </cell>
          <cell r="U239">
            <v>0.35069444444444442</v>
          </cell>
          <cell r="V239">
            <v>37837</v>
          </cell>
          <cell r="W239">
            <v>0.35069444444444442</v>
          </cell>
          <cell r="X239">
            <v>6.9444444444444198E-3</v>
          </cell>
          <cell r="Y239">
            <v>6.9444444452528842E-3</v>
          </cell>
          <cell r="AB239">
            <v>8</v>
          </cell>
          <cell r="AC239">
            <v>7</v>
          </cell>
          <cell r="AD239">
            <v>0</v>
          </cell>
          <cell r="BF239">
            <v>0</v>
          </cell>
          <cell r="BG239">
            <v>0</v>
          </cell>
          <cell r="BH239">
            <v>0</v>
          </cell>
          <cell r="BI239">
            <v>0</v>
          </cell>
          <cell r="BJ239">
            <v>0</v>
          </cell>
          <cell r="BK239">
            <v>0</v>
          </cell>
          <cell r="BL239">
            <v>0</v>
          </cell>
          <cell r="BM239">
            <v>0</v>
          </cell>
          <cell r="BN239">
            <v>0</v>
          </cell>
          <cell r="BO239">
            <v>0</v>
          </cell>
          <cell r="BP239">
            <v>0</v>
          </cell>
          <cell r="BQ239">
            <v>0</v>
          </cell>
          <cell r="BR239">
            <v>8</v>
          </cell>
          <cell r="BS239">
            <v>0</v>
          </cell>
          <cell r="BT239">
            <v>0</v>
          </cell>
          <cell r="BU239">
            <v>0</v>
          </cell>
          <cell r="BV239">
            <v>0</v>
          </cell>
          <cell r="BW239">
            <v>0</v>
          </cell>
          <cell r="BX239">
            <v>0</v>
          </cell>
          <cell r="BY239">
            <v>0</v>
          </cell>
          <cell r="BZ239">
            <v>0</v>
          </cell>
          <cell r="CA239">
            <v>0</v>
          </cell>
          <cell r="CB239">
            <v>0</v>
          </cell>
          <cell r="CC239">
            <v>0</v>
          </cell>
          <cell r="CD239">
            <v>0</v>
          </cell>
        </row>
        <row r="240">
          <cell r="C240">
            <v>37806</v>
          </cell>
          <cell r="D240">
            <v>37858</v>
          </cell>
          <cell r="E240">
            <v>37840</v>
          </cell>
          <cell r="F240">
            <v>0.33333333333333331</v>
          </cell>
          <cell r="G240" t="str">
            <v>Células de Solda Automática</v>
          </cell>
          <cell r="H240" t="str">
            <v>A fresa de limpeza da tocha não está jogando óleo (anti-respingos)</v>
          </cell>
          <cell r="I240" t="str">
            <v>Corretiva</v>
          </cell>
          <cell r="J240" t="str">
            <v>Não</v>
          </cell>
          <cell r="K240" t="str">
            <v>Mecânica</v>
          </cell>
          <cell r="L240" t="str">
            <v>Limpeza e Regulagem</v>
          </cell>
          <cell r="M240" t="str">
            <v>Sujeira em excesso</v>
          </cell>
          <cell r="N240">
            <v>37840</v>
          </cell>
          <cell r="O240">
            <v>0.33333333333333331</v>
          </cell>
          <cell r="P240">
            <v>37840</v>
          </cell>
          <cell r="Q240">
            <v>0.33333333333333331</v>
          </cell>
          <cell r="T240">
            <v>37840</v>
          </cell>
          <cell r="U240">
            <v>0.4375</v>
          </cell>
          <cell r="V240">
            <v>37840</v>
          </cell>
          <cell r="W240">
            <v>0.4375</v>
          </cell>
          <cell r="X240">
            <v>0.10416666666666669</v>
          </cell>
          <cell r="Y240">
            <v>0.10416666666666669</v>
          </cell>
          <cell r="AB240">
            <v>8</v>
          </cell>
          <cell r="AC240">
            <v>7</v>
          </cell>
          <cell r="AD240">
            <v>0</v>
          </cell>
          <cell r="BF240">
            <v>8</v>
          </cell>
          <cell r="BG240">
            <v>0</v>
          </cell>
          <cell r="BH240">
            <v>0</v>
          </cell>
          <cell r="BI240">
            <v>0</v>
          </cell>
          <cell r="BJ240">
            <v>0</v>
          </cell>
          <cell r="BK240">
            <v>0</v>
          </cell>
          <cell r="BL240">
            <v>0</v>
          </cell>
          <cell r="BM240">
            <v>0</v>
          </cell>
          <cell r="BN240">
            <v>0</v>
          </cell>
          <cell r="BO240">
            <v>0</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row>
        <row r="241">
          <cell r="C241">
            <v>37806</v>
          </cell>
          <cell r="D241">
            <v>37900</v>
          </cell>
          <cell r="E241">
            <v>37888</v>
          </cell>
          <cell r="F241">
            <v>0.75</v>
          </cell>
          <cell r="G241" t="str">
            <v>Células de Solda Automática</v>
          </cell>
          <cell r="H241" t="str">
            <v>A fresa de limpeza da tocha não funciona</v>
          </cell>
          <cell r="I241" t="str">
            <v>Corretiva</v>
          </cell>
          <cell r="J241" t="str">
            <v>Sim</v>
          </cell>
          <cell r="K241" t="str">
            <v>Mecânica</v>
          </cell>
          <cell r="L241" t="str">
            <v>Reparo</v>
          </cell>
          <cell r="M241" t="str">
            <v>Sujeira em excesso</v>
          </cell>
          <cell r="N241">
            <v>37888</v>
          </cell>
          <cell r="O241">
            <v>0.75</v>
          </cell>
          <cell r="P241">
            <v>37888</v>
          </cell>
          <cell r="Q241">
            <v>0.75</v>
          </cell>
          <cell r="T241">
            <v>37888</v>
          </cell>
          <cell r="U241">
            <v>0.875</v>
          </cell>
          <cell r="V241">
            <v>37888</v>
          </cell>
          <cell r="W241">
            <v>0.875</v>
          </cell>
          <cell r="X241">
            <v>0.125</v>
          </cell>
          <cell r="Y241">
            <v>0.125</v>
          </cell>
          <cell r="AB241">
            <v>9</v>
          </cell>
          <cell r="AC241">
            <v>7</v>
          </cell>
          <cell r="AD241">
            <v>0</v>
          </cell>
          <cell r="BF241">
            <v>9</v>
          </cell>
          <cell r="BG241">
            <v>0</v>
          </cell>
          <cell r="BH241">
            <v>0</v>
          </cell>
          <cell r="BI241">
            <v>0</v>
          </cell>
          <cell r="BJ241">
            <v>0</v>
          </cell>
          <cell r="BK241">
            <v>0</v>
          </cell>
          <cell r="BL241">
            <v>0</v>
          </cell>
          <cell r="BM241">
            <v>0</v>
          </cell>
          <cell r="BN241">
            <v>0</v>
          </cell>
          <cell r="BO241">
            <v>0</v>
          </cell>
          <cell r="BP241">
            <v>0</v>
          </cell>
          <cell r="BQ241">
            <v>0</v>
          </cell>
          <cell r="BR241">
            <v>0</v>
          </cell>
          <cell r="BS241">
            <v>0</v>
          </cell>
          <cell r="BT241">
            <v>0</v>
          </cell>
          <cell r="BU241">
            <v>0</v>
          </cell>
          <cell r="BV241">
            <v>0</v>
          </cell>
          <cell r="BW241">
            <v>0</v>
          </cell>
          <cell r="BX241">
            <v>0</v>
          </cell>
          <cell r="BY241">
            <v>0</v>
          </cell>
          <cell r="BZ241">
            <v>0</v>
          </cell>
          <cell r="CA241">
            <v>0</v>
          </cell>
          <cell r="CB241">
            <v>0</v>
          </cell>
          <cell r="CC241">
            <v>0</v>
          </cell>
          <cell r="CD241">
            <v>0</v>
          </cell>
        </row>
        <row r="242">
          <cell r="C242">
            <v>37806</v>
          </cell>
          <cell r="D242">
            <v>37900</v>
          </cell>
          <cell r="E242">
            <v>37875</v>
          </cell>
          <cell r="F242">
            <v>0.83333333333333337</v>
          </cell>
          <cell r="G242" t="str">
            <v>Células de Solda Automática</v>
          </cell>
          <cell r="H242" t="str">
            <v>Pistôes do Parô quebrados (Robô España)</v>
          </cell>
          <cell r="I242" t="str">
            <v>Corretiva</v>
          </cell>
          <cell r="J242" t="str">
            <v>Sim</v>
          </cell>
          <cell r="K242" t="str">
            <v>Mecânica</v>
          </cell>
          <cell r="L242" t="str">
            <v>Reaperto dos componentes</v>
          </cell>
          <cell r="M242" t="str">
            <v>Vibração</v>
          </cell>
          <cell r="N242">
            <v>37875</v>
          </cell>
          <cell r="O242">
            <v>0.83333333333333337</v>
          </cell>
          <cell r="P242">
            <v>37875</v>
          </cell>
          <cell r="Q242">
            <v>0.83333333333333337</v>
          </cell>
          <cell r="T242">
            <v>37875</v>
          </cell>
          <cell r="U242">
            <v>0.875</v>
          </cell>
          <cell r="V242">
            <v>37875</v>
          </cell>
          <cell r="W242">
            <v>0.875</v>
          </cell>
          <cell r="X242">
            <v>4.166666666666663E-2</v>
          </cell>
          <cell r="Y242">
            <v>4.166666666666663E-2</v>
          </cell>
          <cell r="AB242">
            <v>9</v>
          </cell>
          <cell r="AC242">
            <v>7</v>
          </cell>
          <cell r="AD242">
            <v>0</v>
          </cell>
          <cell r="BF242">
            <v>9</v>
          </cell>
          <cell r="BG242">
            <v>0</v>
          </cell>
          <cell r="BH242">
            <v>0</v>
          </cell>
          <cell r="BI242">
            <v>0</v>
          </cell>
          <cell r="BJ242">
            <v>0</v>
          </cell>
          <cell r="BK242">
            <v>0</v>
          </cell>
          <cell r="BL242">
            <v>0</v>
          </cell>
          <cell r="BM242">
            <v>0</v>
          </cell>
          <cell r="BN242">
            <v>0</v>
          </cell>
          <cell r="BO242">
            <v>0</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row>
        <row r="243">
          <cell r="C243">
            <v>37806</v>
          </cell>
          <cell r="D243">
            <v>37918</v>
          </cell>
          <cell r="E243">
            <v>37887</v>
          </cell>
          <cell r="F243">
            <v>0.66666666666666663</v>
          </cell>
          <cell r="G243" t="str">
            <v>Células de Solda Automática</v>
          </cell>
          <cell r="H243" t="str">
            <v>Falha no sinal de partida do robô de manipulação</v>
          </cell>
          <cell r="I243" t="str">
            <v>Corretiva</v>
          </cell>
          <cell r="J243" t="str">
            <v>Sim</v>
          </cell>
          <cell r="K243" t="str">
            <v>Elétrica</v>
          </cell>
          <cell r="L243" t="str">
            <v>Correção de mau contato</v>
          </cell>
          <cell r="M243" t="str">
            <v>Desgaste / Fadiga</v>
          </cell>
          <cell r="N243">
            <v>37887</v>
          </cell>
          <cell r="O243">
            <v>0.75</v>
          </cell>
          <cell r="P243">
            <v>37887</v>
          </cell>
          <cell r="Q243">
            <v>0.75</v>
          </cell>
          <cell r="T243">
            <v>37887</v>
          </cell>
          <cell r="U243">
            <v>0.78819444444444453</v>
          </cell>
          <cell r="V243">
            <v>37887</v>
          </cell>
          <cell r="W243">
            <v>0.78819444444444453</v>
          </cell>
          <cell r="X243">
            <v>3.8194444444444531E-2</v>
          </cell>
          <cell r="Y243">
            <v>3.8194444445252884E-2</v>
          </cell>
          <cell r="AB243">
            <v>9</v>
          </cell>
          <cell r="AC243">
            <v>7</v>
          </cell>
          <cell r="AD243">
            <v>0</v>
          </cell>
          <cell r="BF243">
            <v>9</v>
          </cell>
          <cell r="BG243">
            <v>0</v>
          </cell>
          <cell r="BH243">
            <v>0</v>
          </cell>
          <cell r="BI243">
            <v>0</v>
          </cell>
          <cell r="BJ243">
            <v>0</v>
          </cell>
          <cell r="BK243">
            <v>0</v>
          </cell>
          <cell r="BL243">
            <v>0</v>
          </cell>
          <cell r="BM243">
            <v>0</v>
          </cell>
          <cell r="BN243">
            <v>0</v>
          </cell>
          <cell r="BO243">
            <v>0</v>
          </cell>
          <cell r="BP243">
            <v>0</v>
          </cell>
          <cell r="BQ243">
            <v>0</v>
          </cell>
          <cell r="BR243">
            <v>0</v>
          </cell>
          <cell r="BS243">
            <v>0</v>
          </cell>
          <cell r="BT243">
            <v>0</v>
          </cell>
          <cell r="BU243">
            <v>0</v>
          </cell>
          <cell r="BV243">
            <v>0</v>
          </cell>
          <cell r="BW243">
            <v>0</v>
          </cell>
          <cell r="BX243">
            <v>0</v>
          </cell>
          <cell r="BY243">
            <v>0</v>
          </cell>
          <cell r="BZ243">
            <v>0</v>
          </cell>
          <cell r="CA243">
            <v>0</v>
          </cell>
          <cell r="CB243">
            <v>0</v>
          </cell>
          <cell r="CC243">
            <v>0</v>
          </cell>
          <cell r="CD243">
            <v>0</v>
          </cell>
        </row>
        <row r="244">
          <cell r="C244">
            <v>37806</v>
          </cell>
          <cell r="I244">
            <v>0</v>
          </cell>
          <cell r="N244">
            <v>0</v>
          </cell>
          <cell r="P244">
            <v>0</v>
          </cell>
          <cell r="T244">
            <v>0</v>
          </cell>
          <cell r="V244">
            <v>0</v>
          </cell>
          <cell r="W244">
            <v>0</v>
          </cell>
          <cell r="X244">
            <v>0</v>
          </cell>
          <cell r="Y244">
            <v>0</v>
          </cell>
          <cell r="AB244">
            <v>0</v>
          </cell>
          <cell r="AC244">
            <v>7</v>
          </cell>
          <cell r="AD244">
            <v>0</v>
          </cell>
          <cell r="BF244">
            <v>0</v>
          </cell>
          <cell r="BG244">
            <v>0</v>
          </cell>
          <cell r="BH244">
            <v>0</v>
          </cell>
          <cell r="BI244">
            <v>0</v>
          </cell>
          <cell r="BJ244">
            <v>0</v>
          </cell>
          <cell r="BK244">
            <v>0</v>
          </cell>
          <cell r="BL244">
            <v>0</v>
          </cell>
          <cell r="BM244">
            <v>0</v>
          </cell>
          <cell r="BN244">
            <v>0</v>
          </cell>
          <cell r="BO244">
            <v>0</v>
          </cell>
          <cell r="BP244">
            <v>0</v>
          </cell>
          <cell r="BQ244">
            <v>0</v>
          </cell>
          <cell r="BR244">
            <v>0</v>
          </cell>
          <cell r="BS244">
            <v>0</v>
          </cell>
          <cell r="BT244">
            <v>0</v>
          </cell>
          <cell r="BU244">
            <v>0</v>
          </cell>
          <cell r="BV244">
            <v>0</v>
          </cell>
          <cell r="BW244">
            <v>0</v>
          </cell>
          <cell r="BX244">
            <v>0</v>
          </cell>
          <cell r="BY244">
            <v>0</v>
          </cell>
          <cell r="BZ244">
            <v>0</v>
          </cell>
          <cell r="CA244">
            <v>0</v>
          </cell>
          <cell r="CB244">
            <v>0</v>
          </cell>
          <cell r="CC244">
            <v>0</v>
          </cell>
          <cell r="CD244">
            <v>0</v>
          </cell>
        </row>
        <row r="245">
          <cell r="C245">
            <v>37806</v>
          </cell>
          <cell r="D245">
            <v>37900</v>
          </cell>
          <cell r="E245">
            <v>37890</v>
          </cell>
          <cell r="F245">
            <v>0.44444444444444442</v>
          </cell>
          <cell r="G245" t="str">
            <v>Células de Solda Automática</v>
          </cell>
          <cell r="H245" t="str">
            <v>Pistão da mesa de entrada está solto</v>
          </cell>
          <cell r="I245" t="str">
            <v>Corretiva</v>
          </cell>
          <cell r="J245" t="str">
            <v>Sim</v>
          </cell>
          <cell r="K245" t="str">
            <v>Mecânica</v>
          </cell>
          <cell r="L245" t="str">
            <v>Reparo</v>
          </cell>
          <cell r="M245" t="str">
            <v>Falha de Projeto</v>
          </cell>
          <cell r="N245">
            <v>37890</v>
          </cell>
          <cell r="O245">
            <v>0.44444444444444442</v>
          </cell>
          <cell r="P245">
            <v>37890</v>
          </cell>
          <cell r="Q245">
            <v>0.44444444444444442</v>
          </cell>
          <cell r="T245">
            <v>37890</v>
          </cell>
          <cell r="U245">
            <v>0.50694444444444442</v>
          </cell>
          <cell r="V245">
            <v>37890</v>
          </cell>
          <cell r="W245">
            <v>0.50694444444444442</v>
          </cell>
          <cell r="X245">
            <v>6.25E-2</v>
          </cell>
          <cell r="Y245">
            <v>6.2500000000808464E-2</v>
          </cell>
          <cell r="AB245">
            <v>9</v>
          </cell>
          <cell r="AC245">
            <v>7</v>
          </cell>
          <cell r="AD245">
            <v>0</v>
          </cell>
          <cell r="BF245">
            <v>9</v>
          </cell>
          <cell r="BG245">
            <v>0</v>
          </cell>
          <cell r="BH245">
            <v>0</v>
          </cell>
          <cell r="BI245">
            <v>0</v>
          </cell>
          <cell r="BJ245">
            <v>0</v>
          </cell>
          <cell r="BK245">
            <v>0</v>
          </cell>
          <cell r="BL245">
            <v>0</v>
          </cell>
          <cell r="BM245">
            <v>0</v>
          </cell>
          <cell r="BN245">
            <v>0</v>
          </cell>
          <cell r="BO245">
            <v>0</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row>
        <row r="246">
          <cell r="C246">
            <v>37806</v>
          </cell>
          <cell r="D246">
            <v>37900</v>
          </cell>
          <cell r="E246">
            <v>37890</v>
          </cell>
          <cell r="F246">
            <v>0.625</v>
          </cell>
          <cell r="G246" t="str">
            <v>Células de Solda Automática</v>
          </cell>
          <cell r="H246" t="str">
            <v>A fresa de limpeza da tocha não funciona</v>
          </cell>
          <cell r="I246" t="str">
            <v>Corretiva</v>
          </cell>
          <cell r="J246" t="str">
            <v>Não</v>
          </cell>
          <cell r="K246" t="str">
            <v>Mecânica</v>
          </cell>
          <cell r="L246" t="str">
            <v>Reparo</v>
          </cell>
          <cell r="M246" t="str">
            <v>Causa não especificada</v>
          </cell>
          <cell r="N246">
            <v>37890</v>
          </cell>
          <cell r="O246">
            <v>0.625</v>
          </cell>
          <cell r="P246">
            <v>37890</v>
          </cell>
          <cell r="Q246">
            <v>0.625</v>
          </cell>
          <cell r="T246">
            <v>37890</v>
          </cell>
          <cell r="U246">
            <v>0.91666666666666663</v>
          </cell>
          <cell r="V246">
            <v>37890</v>
          </cell>
          <cell r="W246">
            <v>0.91666666666666663</v>
          </cell>
          <cell r="X246">
            <v>0.29166666666424135</v>
          </cell>
          <cell r="Y246">
            <v>0.29166666666424135</v>
          </cell>
          <cell r="AB246">
            <v>9</v>
          </cell>
          <cell r="AC246">
            <v>7</v>
          </cell>
          <cell r="AD246">
            <v>0</v>
          </cell>
          <cell r="BF246">
            <v>9</v>
          </cell>
          <cell r="BG246">
            <v>0</v>
          </cell>
          <cell r="BH246">
            <v>0</v>
          </cell>
          <cell r="BI246">
            <v>0</v>
          </cell>
          <cell r="BJ246">
            <v>0</v>
          </cell>
          <cell r="BK246">
            <v>0</v>
          </cell>
          <cell r="BL246">
            <v>0</v>
          </cell>
          <cell r="BM246">
            <v>0</v>
          </cell>
          <cell r="BN246">
            <v>0</v>
          </cell>
          <cell r="BO246">
            <v>0</v>
          </cell>
          <cell r="BP246">
            <v>0</v>
          </cell>
          <cell r="BQ246">
            <v>0</v>
          </cell>
          <cell r="BR246">
            <v>0</v>
          </cell>
          <cell r="BS246">
            <v>0</v>
          </cell>
          <cell r="BT246">
            <v>0</v>
          </cell>
          <cell r="BU246">
            <v>0</v>
          </cell>
          <cell r="BV246">
            <v>0</v>
          </cell>
          <cell r="BW246">
            <v>0</v>
          </cell>
          <cell r="BX246">
            <v>0</v>
          </cell>
          <cell r="BY246">
            <v>0</v>
          </cell>
          <cell r="BZ246">
            <v>0</v>
          </cell>
          <cell r="CA246">
            <v>0</v>
          </cell>
          <cell r="CB246">
            <v>0</v>
          </cell>
          <cell r="CC246">
            <v>0</v>
          </cell>
          <cell r="CD246">
            <v>0</v>
          </cell>
        </row>
        <row r="247">
          <cell r="C247">
            <v>37816</v>
          </cell>
          <cell r="D247">
            <v>37858</v>
          </cell>
          <cell r="E247">
            <v>37831</v>
          </cell>
          <cell r="F247">
            <v>0.5</v>
          </cell>
          <cell r="G247" t="str">
            <v>Linha de Pintura 15m</v>
          </cell>
          <cell r="H247" t="str">
            <v>Eixo do Bastidor está torto</v>
          </cell>
          <cell r="I247" t="str">
            <v>Corretiva</v>
          </cell>
          <cell r="J247" t="str">
            <v>Não</v>
          </cell>
          <cell r="K247" t="str">
            <v>Mecânica</v>
          </cell>
          <cell r="L247" t="str">
            <v>Substituição do(s) Componente(s)</v>
          </cell>
          <cell r="M247" t="str">
            <v>Falha Operacional</v>
          </cell>
          <cell r="N247">
            <v>37847</v>
          </cell>
          <cell r="O247">
            <v>0.35416666666666669</v>
          </cell>
          <cell r="P247">
            <v>37847</v>
          </cell>
          <cell r="Q247">
            <v>0.35416666666666669</v>
          </cell>
          <cell r="T247">
            <v>37847</v>
          </cell>
          <cell r="U247">
            <v>0.52083333333333337</v>
          </cell>
          <cell r="V247">
            <v>37847</v>
          </cell>
          <cell r="W247">
            <v>0.52083333333333337</v>
          </cell>
          <cell r="X247">
            <v>0.16666666666909197</v>
          </cell>
          <cell r="Y247">
            <v>0.16666666666909197</v>
          </cell>
          <cell r="AB247">
            <v>8</v>
          </cell>
          <cell r="AC247">
            <v>7</v>
          </cell>
          <cell r="AD247">
            <v>0</v>
          </cell>
          <cell r="BF247">
            <v>0</v>
          </cell>
          <cell r="BG247">
            <v>0</v>
          </cell>
          <cell r="BH247">
            <v>0</v>
          </cell>
          <cell r="BI247">
            <v>0</v>
          </cell>
          <cell r="BJ247">
            <v>0</v>
          </cell>
          <cell r="BK247">
            <v>0</v>
          </cell>
          <cell r="BL247">
            <v>0</v>
          </cell>
          <cell r="BM247">
            <v>0</v>
          </cell>
          <cell r="BN247">
            <v>8</v>
          </cell>
          <cell r="BO247">
            <v>0</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C247">
            <v>0</v>
          </cell>
          <cell r="CD247">
            <v>0</v>
          </cell>
        </row>
        <row r="248">
          <cell r="C248">
            <v>37816</v>
          </cell>
          <cell r="D248">
            <v>37838</v>
          </cell>
          <cell r="E248">
            <v>37828</v>
          </cell>
          <cell r="F248">
            <v>0.33333333333333331</v>
          </cell>
          <cell r="G248" t="str">
            <v>Linha de Pintura 15m</v>
          </cell>
          <cell r="H248" t="str">
            <v>Válvula de ar do Transportador (Stock 07) apresenta funcionamento irregular</v>
          </cell>
          <cell r="I248" t="str">
            <v>Corretiva</v>
          </cell>
          <cell r="J248" t="str">
            <v>Não</v>
          </cell>
          <cell r="K248" t="str">
            <v>Elétrica</v>
          </cell>
          <cell r="L248" t="str">
            <v>Substituição do(s) Componente(s)</v>
          </cell>
          <cell r="M248" t="str">
            <v>Desgaste / Fadiga</v>
          </cell>
          <cell r="N248">
            <v>37828</v>
          </cell>
          <cell r="O248">
            <v>0.33333333333333331</v>
          </cell>
          <cell r="P248">
            <v>37828</v>
          </cell>
          <cell r="Q248">
            <v>0.33333333333333331</v>
          </cell>
          <cell r="T248">
            <v>37828</v>
          </cell>
          <cell r="U248">
            <v>0.41666666666666669</v>
          </cell>
          <cell r="V248">
            <v>37828</v>
          </cell>
          <cell r="W248">
            <v>0.41666666666666669</v>
          </cell>
          <cell r="X248">
            <v>8.3333333330908033E-2</v>
          </cell>
          <cell r="Y248">
            <v>8.3333333330908033E-2</v>
          </cell>
          <cell r="AB248">
            <v>7</v>
          </cell>
          <cell r="AC248">
            <v>7</v>
          </cell>
          <cell r="AD248">
            <v>0</v>
          </cell>
          <cell r="BF248">
            <v>0</v>
          </cell>
          <cell r="BG248">
            <v>0</v>
          </cell>
          <cell r="BH248">
            <v>0</v>
          </cell>
          <cell r="BI248">
            <v>0</v>
          </cell>
          <cell r="BJ248">
            <v>0</v>
          </cell>
          <cell r="BK248">
            <v>0</v>
          </cell>
          <cell r="BL248">
            <v>0</v>
          </cell>
          <cell r="BM248">
            <v>0</v>
          </cell>
          <cell r="BN248">
            <v>7</v>
          </cell>
          <cell r="BO248">
            <v>0</v>
          </cell>
          <cell r="BP248">
            <v>0</v>
          </cell>
          <cell r="BQ248">
            <v>0</v>
          </cell>
          <cell r="BR248">
            <v>0</v>
          </cell>
          <cell r="BS248">
            <v>0</v>
          </cell>
          <cell r="BT248">
            <v>0</v>
          </cell>
          <cell r="BU248">
            <v>0</v>
          </cell>
          <cell r="BV248">
            <v>0</v>
          </cell>
          <cell r="BW248">
            <v>0</v>
          </cell>
          <cell r="BX248">
            <v>0</v>
          </cell>
          <cell r="BY248">
            <v>0</v>
          </cell>
          <cell r="BZ248">
            <v>0</v>
          </cell>
          <cell r="CA248">
            <v>0</v>
          </cell>
          <cell r="CB248">
            <v>0</v>
          </cell>
          <cell r="CC248">
            <v>0</v>
          </cell>
          <cell r="CD248">
            <v>0</v>
          </cell>
        </row>
        <row r="249">
          <cell r="C249">
            <v>37816</v>
          </cell>
          <cell r="D249">
            <v>37838</v>
          </cell>
          <cell r="E249">
            <v>37837</v>
          </cell>
          <cell r="F249">
            <v>0.57638888888888895</v>
          </cell>
          <cell r="G249" t="str">
            <v>Linha de Pintura 15m</v>
          </cell>
          <cell r="H249" t="str">
            <v>Variador 01 de carga/descarga apresenta funcionamento inadequado</v>
          </cell>
          <cell r="I249" t="str">
            <v>Corretiva</v>
          </cell>
          <cell r="J249" t="str">
            <v>Sim</v>
          </cell>
          <cell r="K249" t="str">
            <v>Elétrica</v>
          </cell>
          <cell r="L249" t="str">
            <v>Substituição do(s) Componente(s)</v>
          </cell>
          <cell r="M249" t="str">
            <v>Desgaste / Fadiga</v>
          </cell>
          <cell r="N249">
            <v>37837</v>
          </cell>
          <cell r="O249">
            <v>0.57638888888888895</v>
          </cell>
          <cell r="P249">
            <v>37837</v>
          </cell>
          <cell r="Q249">
            <v>0.57638888888888895</v>
          </cell>
          <cell r="T249">
            <v>37837</v>
          </cell>
          <cell r="U249">
            <v>0.59027777777777779</v>
          </cell>
          <cell r="V249">
            <v>37837</v>
          </cell>
          <cell r="W249">
            <v>0.59027777777777779</v>
          </cell>
          <cell r="X249">
            <v>1.388888888888884E-2</v>
          </cell>
          <cell r="Y249">
            <v>1.3888888892122586E-2</v>
          </cell>
          <cell r="AB249">
            <v>8</v>
          </cell>
          <cell r="AC249">
            <v>7</v>
          </cell>
          <cell r="AD249">
            <v>0</v>
          </cell>
          <cell r="BF249">
            <v>0</v>
          </cell>
          <cell r="BG249">
            <v>0</v>
          </cell>
          <cell r="BH249">
            <v>0</v>
          </cell>
          <cell r="BI249">
            <v>0</v>
          </cell>
          <cell r="BJ249">
            <v>0</v>
          </cell>
          <cell r="BK249">
            <v>0</v>
          </cell>
          <cell r="BL249">
            <v>0</v>
          </cell>
          <cell r="BM249">
            <v>0</v>
          </cell>
          <cell r="BN249">
            <v>8</v>
          </cell>
          <cell r="BO249">
            <v>0</v>
          </cell>
          <cell r="BP249">
            <v>0</v>
          </cell>
          <cell r="BQ249">
            <v>0</v>
          </cell>
          <cell r="BR249">
            <v>0</v>
          </cell>
          <cell r="BS249">
            <v>0</v>
          </cell>
          <cell r="BT249">
            <v>0</v>
          </cell>
          <cell r="BU249">
            <v>0</v>
          </cell>
          <cell r="BV249">
            <v>0</v>
          </cell>
          <cell r="BW249">
            <v>0</v>
          </cell>
          <cell r="BX249">
            <v>0</v>
          </cell>
          <cell r="BY249">
            <v>0</v>
          </cell>
          <cell r="BZ249">
            <v>0</v>
          </cell>
          <cell r="CA249">
            <v>0</v>
          </cell>
          <cell r="CB249">
            <v>0</v>
          </cell>
          <cell r="CC249">
            <v>0</v>
          </cell>
          <cell r="CD249">
            <v>0</v>
          </cell>
        </row>
        <row r="250">
          <cell r="C250">
            <v>37816</v>
          </cell>
          <cell r="D250">
            <v>37858</v>
          </cell>
          <cell r="E250">
            <v>37840</v>
          </cell>
          <cell r="F250">
            <v>0.35416666666666669</v>
          </cell>
          <cell r="G250" t="str">
            <v>Linha de Pintura 15m</v>
          </cell>
          <cell r="H250" t="str">
            <v>Bomba do Fosfato apresenta constante queda de pressão</v>
          </cell>
          <cell r="I250" t="str">
            <v>Corretiva</v>
          </cell>
          <cell r="J250" t="str">
            <v>Não</v>
          </cell>
          <cell r="K250" t="str">
            <v>Elétrica</v>
          </cell>
          <cell r="L250" t="str">
            <v>Regulagem do Componente</v>
          </cell>
          <cell r="M250" t="str">
            <v>Falha de Regulagem / Configuração / Dimensionamento</v>
          </cell>
          <cell r="N250">
            <v>37842</v>
          </cell>
          <cell r="O250">
            <v>0.625</v>
          </cell>
          <cell r="P250">
            <v>37842</v>
          </cell>
          <cell r="Q250">
            <v>0.625</v>
          </cell>
          <cell r="T250">
            <v>37842</v>
          </cell>
          <cell r="U250">
            <v>0.75</v>
          </cell>
          <cell r="V250">
            <v>37842</v>
          </cell>
          <cell r="W250">
            <v>0.75</v>
          </cell>
          <cell r="X250">
            <v>0.125</v>
          </cell>
          <cell r="Y250">
            <v>0.125</v>
          </cell>
          <cell r="AB250">
            <v>8</v>
          </cell>
          <cell r="AC250">
            <v>7</v>
          </cell>
          <cell r="AD250">
            <v>0</v>
          </cell>
          <cell r="BF250">
            <v>0</v>
          </cell>
          <cell r="BG250">
            <v>0</v>
          </cell>
          <cell r="BH250">
            <v>0</v>
          </cell>
          <cell r="BI250">
            <v>0</v>
          </cell>
          <cell r="BJ250">
            <v>0</v>
          </cell>
          <cell r="BK250">
            <v>0</v>
          </cell>
          <cell r="BL250">
            <v>0</v>
          </cell>
          <cell r="BM250">
            <v>0</v>
          </cell>
          <cell r="BN250">
            <v>8</v>
          </cell>
          <cell r="BO250">
            <v>0</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row>
        <row r="251">
          <cell r="C251">
            <v>37816</v>
          </cell>
          <cell r="I251">
            <v>0</v>
          </cell>
          <cell r="N251">
            <v>0</v>
          </cell>
          <cell r="P251">
            <v>0</v>
          </cell>
          <cell r="T251">
            <v>0</v>
          </cell>
          <cell r="V251">
            <v>0</v>
          </cell>
          <cell r="W251">
            <v>0</v>
          </cell>
          <cell r="X251">
            <v>0</v>
          </cell>
          <cell r="Y251">
            <v>0</v>
          </cell>
          <cell r="AB251">
            <v>0</v>
          </cell>
          <cell r="AC251">
            <v>7</v>
          </cell>
          <cell r="AD251">
            <v>0</v>
          </cell>
          <cell r="BF251">
            <v>0</v>
          </cell>
          <cell r="BG251">
            <v>0</v>
          </cell>
          <cell r="BH251">
            <v>0</v>
          </cell>
          <cell r="BI251">
            <v>0</v>
          </cell>
          <cell r="BJ251">
            <v>0</v>
          </cell>
          <cell r="BK251">
            <v>0</v>
          </cell>
          <cell r="BL251">
            <v>0</v>
          </cell>
          <cell r="BM251">
            <v>0</v>
          </cell>
          <cell r="BN251">
            <v>0</v>
          </cell>
          <cell r="BO251">
            <v>0</v>
          </cell>
          <cell r="BP251">
            <v>0</v>
          </cell>
          <cell r="BQ251">
            <v>0</v>
          </cell>
          <cell r="BR251">
            <v>0</v>
          </cell>
          <cell r="BS251">
            <v>0</v>
          </cell>
          <cell r="BT251">
            <v>0</v>
          </cell>
          <cell r="BU251">
            <v>0</v>
          </cell>
          <cell r="BV251">
            <v>0</v>
          </cell>
          <cell r="BW251">
            <v>0</v>
          </cell>
          <cell r="BX251">
            <v>0</v>
          </cell>
          <cell r="BY251">
            <v>0</v>
          </cell>
          <cell r="BZ251">
            <v>0</v>
          </cell>
          <cell r="CA251">
            <v>0</v>
          </cell>
          <cell r="CB251">
            <v>0</v>
          </cell>
          <cell r="CC251">
            <v>0</v>
          </cell>
          <cell r="CD251">
            <v>0</v>
          </cell>
        </row>
        <row r="252">
          <cell r="C252">
            <v>37816</v>
          </cell>
          <cell r="D252">
            <v>37858</v>
          </cell>
          <cell r="E252">
            <v>37841</v>
          </cell>
          <cell r="F252">
            <v>0.51388888888888895</v>
          </cell>
          <cell r="G252" t="str">
            <v>Linha de Pintura 15m</v>
          </cell>
          <cell r="H252" t="str">
            <v>Exaustão não funciona</v>
          </cell>
          <cell r="I252" t="str">
            <v>Corretiva</v>
          </cell>
          <cell r="J252" t="str">
            <v>Sim</v>
          </cell>
          <cell r="K252" t="str">
            <v>Elétrica</v>
          </cell>
          <cell r="L252" t="str">
            <v>Substituição do(s) Componente(s)</v>
          </cell>
          <cell r="M252" t="str">
            <v>Sobrecarga</v>
          </cell>
          <cell r="N252">
            <v>37841</v>
          </cell>
          <cell r="O252">
            <v>0.51388888888888895</v>
          </cell>
          <cell r="P252">
            <v>37841</v>
          </cell>
          <cell r="Q252">
            <v>0.51388888888888895</v>
          </cell>
          <cell r="T252">
            <v>37841</v>
          </cell>
          <cell r="U252">
            <v>0.52430555555555558</v>
          </cell>
          <cell r="V252">
            <v>37841</v>
          </cell>
          <cell r="W252">
            <v>0.52430555555555558</v>
          </cell>
          <cell r="X252">
            <v>1.041666666666663E-2</v>
          </cell>
          <cell r="Y252">
            <v>1.0416666665858165E-2</v>
          </cell>
          <cell r="AB252">
            <v>8</v>
          </cell>
          <cell r="AC252">
            <v>7</v>
          </cell>
          <cell r="AD252">
            <v>0</v>
          </cell>
          <cell r="BF252">
            <v>0</v>
          </cell>
          <cell r="BG252">
            <v>0</v>
          </cell>
          <cell r="BH252">
            <v>0</v>
          </cell>
          <cell r="BI252">
            <v>0</v>
          </cell>
          <cell r="BJ252">
            <v>0</v>
          </cell>
          <cell r="BK252">
            <v>0</v>
          </cell>
          <cell r="BL252">
            <v>0</v>
          </cell>
          <cell r="BM252">
            <v>0</v>
          </cell>
          <cell r="BN252">
            <v>8</v>
          </cell>
          <cell r="BO252">
            <v>0</v>
          </cell>
          <cell r="BP252">
            <v>0</v>
          </cell>
          <cell r="BQ252">
            <v>0</v>
          </cell>
          <cell r="BR252">
            <v>0</v>
          </cell>
          <cell r="BS252">
            <v>0</v>
          </cell>
          <cell r="BT252">
            <v>0</v>
          </cell>
          <cell r="BU252">
            <v>0</v>
          </cell>
          <cell r="BV252">
            <v>0</v>
          </cell>
          <cell r="BW252">
            <v>0</v>
          </cell>
          <cell r="BX252">
            <v>0</v>
          </cell>
          <cell r="BY252">
            <v>0</v>
          </cell>
          <cell r="BZ252">
            <v>0</v>
          </cell>
          <cell r="CA252">
            <v>0</v>
          </cell>
          <cell r="CB252">
            <v>0</v>
          </cell>
          <cell r="CC252">
            <v>0</v>
          </cell>
          <cell r="CD252">
            <v>0</v>
          </cell>
        </row>
        <row r="253">
          <cell r="C253">
            <v>37816</v>
          </cell>
          <cell r="D253">
            <v>37858</v>
          </cell>
          <cell r="E253">
            <v>37847</v>
          </cell>
          <cell r="F253">
            <v>0.33333333333333331</v>
          </cell>
          <cell r="G253" t="str">
            <v>Linha de Pintura 15m</v>
          </cell>
          <cell r="H253" t="str">
            <v>Mangueiras de Recuperação de pó estão furadas</v>
          </cell>
          <cell r="I253" t="str">
            <v>Corretiva</v>
          </cell>
          <cell r="J253" t="str">
            <v>Não</v>
          </cell>
          <cell r="K253" t="str">
            <v>Mecânica</v>
          </cell>
          <cell r="L253" t="str">
            <v>Substituição do(s) Componente(s)</v>
          </cell>
          <cell r="M253" t="str">
            <v>Defeito de Fabricação</v>
          </cell>
          <cell r="N253">
            <v>37847</v>
          </cell>
          <cell r="O253">
            <v>0.33333333333333331</v>
          </cell>
          <cell r="P253">
            <v>37847</v>
          </cell>
          <cell r="Q253">
            <v>0.33333333333333331</v>
          </cell>
          <cell r="T253">
            <v>37847</v>
          </cell>
          <cell r="U253">
            <v>0.39583333333333331</v>
          </cell>
          <cell r="V253">
            <v>37847</v>
          </cell>
          <cell r="W253">
            <v>0.39583333333333331</v>
          </cell>
          <cell r="X253">
            <v>6.2500000002425338E-2</v>
          </cell>
          <cell r="Y253">
            <v>6.2500000002425338E-2</v>
          </cell>
          <cell r="AB253">
            <v>8</v>
          </cell>
          <cell r="AC253">
            <v>7</v>
          </cell>
          <cell r="AD253">
            <v>0</v>
          </cell>
          <cell r="BF253">
            <v>0</v>
          </cell>
          <cell r="BG253">
            <v>0</v>
          </cell>
          <cell r="BH253">
            <v>0</v>
          </cell>
          <cell r="BI253">
            <v>0</v>
          </cell>
          <cell r="BJ253">
            <v>0</v>
          </cell>
          <cell r="BK253">
            <v>0</v>
          </cell>
          <cell r="BL253">
            <v>0</v>
          </cell>
          <cell r="BM253">
            <v>0</v>
          </cell>
          <cell r="BN253">
            <v>8</v>
          </cell>
          <cell r="BO253">
            <v>0</v>
          </cell>
          <cell r="BP253">
            <v>0</v>
          </cell>
          <cell r="BQ253">
            <v>0</v>
          </cell>
          <cell r="BR253">
            <v>0</v>
          </cell>
          <cell r="BS253">
            <v>0</v>
          </cell>
          <cell r="BT253">
            <v>0</v>
          </cell>
          <cell r="BU253">
            <v>0</v>
          </cell>
          <cell r="BV253">
            <v>0</v>
          </cell>
          <cell r="BW253">
            <v>0</v>
          </cell>
          <cell r="BX253">
            <v>0</v>
          </cell>
          <cell r="BY253">
            <v>0</v>
          </cell>
          <cell r="BZ253">
            <v>0</v>
          </cell>
          <cell r="CA253">
            <v>0</v>
          </cell>
          <cell r="CB253">
            <v>0</v>
          </cell>
          <cell r="CC253">
            <v>0</v>
          </cell>
          <cell r="CD253">
            <v>0</v>
          </cell>
        </row>
        <row r="254">
          <cell r="C254">
            <v>37816</v>
          </cell>
          <cell r="D254">
            <v>37858</v>
          </cell>
          <cell r="E254">
            <v>37848</v>
          </cell>
          <cell r="F254">
            <v>0.33333333333333331</v>
          </cell>
          <cell r="G254" t="str">
            <v>Linha de Pintura 15m</v>
          </cell>
          <cell r="H254" t="str">
            <v>Visor de nível do enxágüe 01 está opaco</v>
          </cell>
          <cell r="I254" t="str">
            <v>Corretiva</v>
          </cell>
          <cell r="J254" t="str">
            <v>Não</v>
          </cell>
          <cell r="K254" t="str">
            <v>Mecânica</v>
          </cell>
          <cell r="L254" t="str">
            <v>Limpeza do Equipamento / Componente</v>
          </cell>
          <cell r="M254" t="str">
            <v>Sujeira em excesso</v>
          </cell>
          <cell r="N254">
            <v>37855</v>
          </cell>
          <cell r="O254">
            <v>0.45833333333333331</v>
          </cell>
          <cell r="P254">
            <v>37855</v>
          </cell>
          <cell r="Q254">
            <v>0.45833333333333331</v>
          </cell>
          <cell r="T254">
            <v>37855</v>
          </cell>
          <cell r="U254">
            <v>0.5</v>
          </cell>
          <cell r="V254">
            <v>37855</v>
          </cell>
          <cell r="W254">
            <v>0.5</v>
          </cell>
          <cell r="X254">
            <v>4.1666666666666685E-2</v>
          </cell>
          <cell r="Y254">
            <v>4.1666666666666685E-2</v>
          </cell>
          <cell r="AB254">
            <v>8</v>
          </cell>
          <cell r="AC254">
            <v>7</v>
          </cell>
          <cell r="AD254">
            <v>0</v>
          </cell>
          <cell r="BF254">
            <v>0</v>
          </cell>
          <cell r="BG254">
            <v>0</v>
          </cell>
          <cell r="BH254">
            <v>0</v>
          </cell>
          <cell r="BI254">
            <v>0</v>
          </cell>
          <cell r="BJ254">
            <v>0</v>
          </cell>
          <cell r="BK254">
            <v>0</v>
          </cell>
          <cell r="BL254">
            <v>0</v>
          </cell>
          <cell r="BM254">
            <v>0</v>
          </cell>
          <cell r="BN254">
            <v>8</v>
          </cell>
          <cell r="BO254">
            <v>0</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row>
        <row r="255">
          <cell r="C255">
            <v>37816</v>
          </cell>
          <cell r="D255">
            <v>37865</v>
          </cell>
          <cell r="E255">
            <v>37848</v>
          </cell>
          <cell r="F255">
            <v>0.33333333333333331</v>
          </cell>
          <cell r="G255" t="str">
            <v>Linha de Pintura 15m</v>
          </cell>
          <cell r="H255" t="str">
            <v>Vazamento de água do abastecedor do enxágüe 02</v>
          </cell>
          <cell r="I255" t="str">
            <v>Corretiva</v>
          </cell>
          <cell r="J255" t="str">
            <v>Não</v>
          </cell>
          <cell r="K255" t="str">
            <v>Mecânica</v>
          </cell>
          <cell r="L255" t="str">
            <v>Contenção do vazamento</v>
          </cell>
          <cell r="M255" t="str">
            <v>Desgaste / Fadiga</v>
          </cell>
          <cell r="N255">
            <v>37861</v>
          </cell>
          <cell r="O255">
            <v>0.58333333333333337</v>
          </cell>
          <cell r="P255">
            <v>37861</v>
          </cell>
          <cell r="Q255">
            <v>0.58333333333333337</v>
          </cell>
          <cell r="T255">
            <v>37861</v>
          </cell>
          <cell r="U255">
            <v>0.625</v>
          </cell>
          <cell r="V255">
            <v>37861</v>
          </cell>
          <cell r="W255">
            <v>0.625</v>
          </cell>
          <cell r="X255">
            <v>4.166666666666663E-2</v>
          </cell>
          <cell r="Y255">
            <v>4.166666666666663E-2</v>
          </cell>
          <cell r="AB255">
            <v>8</v>
          </cell>
          <cell r="AC255">
            <v>7</v>
          </cell>
          <cell r="AD255">
            <v>0</v>
          </cell>
          <cell r="BF255">
            <v>0</v>
          </cell>
          <cell r="BG255">
            <v>0</v>
          </cell>
          <cell r="BH255">
            <v>0</v>
          </cell>
          <cell r="BI255">
            <v>0</v>
          </cell>
          <cell r="BJ255">
            <v>0</v>
          </cell>
          <cell r="BK255">
            <v>0</v>
          </cell>
          <cell r="BL255">
            <v>0</v>
          </cell>
          <cell r="BM255">
            <v>0</v>
          </cell>
          <cell r="BN255">
            <v>8</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row>
        <row r="256">
          <cell r="C256">
            <v>37816</v>
          </cell>
          <cell r="D256">
            <v>37858</v>
          </cell>
          <cell r="E256">
            <v>37855</v>
          </cell>
          <cell r="F256">
            <v>0.25</v>
          </cell>
          <cell r="G256" t="str">
            <v>Linha de Pintura 15m</v>
          </cell>
          <cell r="H256" t="str">
            <v>Conector de engate rápido não funciona</v>
          </cell>
          <cell r="I256" t="str">
            <v>Corretiva</v>
          </cell>
          <cell r="J256" t="str">
            <v>Sim</v>
          </cell>
          <cell r="K256" t="str">
            <v>Mecânica</v>
          </cell>
          <cell r="L256" t="str">
            <v>Substituição do(s) Componente(s)</v>
          </cell>
          <cell r="M256" t="str">
            <v>Desgaste / Fadiga</v>
          </cell>
          <cell r="N256">
            <v>37855</v>
          </cell>
          <cell r="O256">
            <v>0.29166666666666669</v>
          </cell>
          <cell r="P256">
            <v>37855</v>
          </cell>
          <cell r="Q256">
            <v>0.29166666666666669</v>
          </cell>
          <cell r="T256">
            <v>37855</v>
          </cell>
          <cell r="U256">
            <v>0.3125</v>
          </cell>
          <cell r="V256">
            <v>37855</v>
          </cell>
          <cell r="W256">
            <v>0.3125</v>
          </cell>
          <cell r="X256">
            <v>2.0833333333333315E-2</v>
          </cell>
          <cell r="Y256">
            <v>2.0833333333333315E-2</v>
          </cell>
          <cell r="AB256">
            <v>8</v>
          </cell>
          <cell r="AC256">
            <v>7</v>
          </cell>
          <cell r="AD256">
            <v>0</v>
          </cell>
          <cell r="BF256">
            <v>0</v>
          </cell>
          <cell r="BG256">
            <v>0</v>
          </cell>
          <cell r="BH256">
            <v>0</v>
          </cell>
          <cell r="BI256">
            <v>0</v>
          </cell>
          <cell r="BJ256">
            <v>0</v>
          </cell>
          <cell r="BK256">
            <v>0</v>
          </cell>
          <cell r="BL256">
            <v>0</v>
          </cell>
          <cell r="BM256">
            <v>0</v>
          </cell>
          <cell r="BN256">
            <v>8</v>
          </cell>
          <cell r="BO256">
            <v>0</v>
          </cell>
          <cell r="BP256">
            <v>0</v>
          </cell>
          <cell r="BQ256">
            <v>0</v>
          </cell>
          <cell r="BR256">
            <v>0</v>
          </cell>
          <cell r="BS256">
            <v>0</v>
          </cell>
          <cell r="BT256">
            <v>0</v>
          </cell>
          <cell r="BU256">
            <v>0</v>
          </cell>
          <cell r="BV256">
            <v>0</v>
          </cell>
          <cell r="BW256">
            <v>0</v>
          </cell>
          <cell r="BX256">
            <v>0</v>
          </cell>
          <cell r="BY256">
            <v>0</v>
          </cell>
          <cell r="BZ256">
            <v>0</v>
          </cell>
          <cell r="CA256">
            <v>0</v>
          </cell>
          <cell r="CB256">
            <v>0</v>
          </cell>
          <cell r="CC256">
            <v>0</v>
          </cell>
          <cell r="CD256">
            <v>0</v>
          </cell>
        </row>
        <row r="257">
          <cell r="C257">
            <v>37816</v>
          </cell>
          <cell r="D257">
            <v>37819</v>
          </cell>
          <cell r="E257">
            <v>37816</v>
          </cell>
          <cell r="F257">
            <v>0.46527777777777773</v>
          </cell>
          <cell r="G257" t="str">
            <v>Prensa Jundiaí</v>
          </cell>
          <cell r="H257" t="str">
            <v>Sensores apresentam leitura incorreta</v>
          </cell>
          <cell r="I257" t="str">
            <v>Corretiva</v>
          </cell>
          <cell r="J257" t="str">
            <v>Sim</v>
          </cell>
          <cell r="K257" t="str">
            <v>Elétrica</v>
          </cell>
          <cell r="L257" t="str">
            <v>Regulagem dos cames dos sensores</v>
          </cell>
          <cell r="M257" t="str">
            <v>Vibração</v>
          </cell>
          <cell r="N257">
            <v>37816</v>
          </cell>
          <cell r="O257">
            <v>0.46527777777777773</v>
          </cell>
          <cell r="P257">
            <v>37816</v>
          </cell>
          <cell r="Q257">
            <v>0.46527777777777773</v>
          </cell>
          <cell r="T257">
            <v>37816</v>
          </cell>
          <cell r="U257">
            <v>0.47916666666666669</v>
          </cell>
          <cell r="V257">
            <v>37816</v>
          </cell>
          <cell r="W257">
            <v>0.47916666666666669</v>
          </cell>
          <cell r="X257">
            <v>1.3888888888888951E-2</v>
          </cell>
          <cell r="Y257">
            <v>1.3888888886463613E-2</v>
          </cell>
          <cell r="AB257">
            <v>7</v>
          </cell>
          <cell r="AC257">
            <v>7</v>
          </cell>
          <cell r="AD257">
            <v>0</v>
          </cell>
          <cell r="BF257">
            <v>0</v>
          </cell>
          <cell r="BG257">
            <v>0</v>
          </cell>
          <cell r="BH257">
            <v>0</v>
          </cell>
          <cell r="BI257">
            <v>0</v>
          </cell>
          <cell r="BJ257">
            <v>0</v>
          </cell>
          <cell r="BK257">
            <v>0</v>
          </cell>
          <cell r="BL257">
            <v>0</v>
          </cell>
          <cell r="BM257">
            <v>0</v>
          </cell>
          <cell r="BN257">
            <v>0</v>
          </cell>
          <cell r="BO257">
            <v>0</v>
          </cell>
          <cell r="BP257">
            <v>0</v>
          </cell>
          <cell r="BQ257">
            <v>0</v>
          </cell>
          <cell r="BR257">
            <v>0</v>
          </cell>
          <cell r="BS257">
            <v>0</v>
          </cell>
          <cell r="BT257">
            <v>0</v>
          </cell>
          <cell r="BU257">
            <v>0</v>
          </cell>
          <cell r="BV257">
            <v>0</v>
          </cell>
          <cell r="BW257">
            <v>0</v>
          </cell>
          <cell r="BX257">
            <v>0</v>
          </cell>
          <cell r="BY257">
            <v>7</v>
          </cell>
          <cell r="BZ257">
            <v>0</v>
          </cell>
          <cell r="CA257">
            <v>0</v>
          </cell>
          <cell r="CB257">
            <v>0</v>
          </cell>
          <cell r="CC257">
            <v>0</v>
          </cell>
          <cell r="CD257">
            <v>0</v>
          </cell>
        </row>
        <row r="258">
          <cell r="C258">
            <v>37816</v>
          </cell>
          <cell r="D258">
            <v>37819</v>
          </cell>
          <cell r="E258">
            <v>37816</v>
          </cell>
          <cell r="F258">
            <v>0.625</v>
          </cell>
          <cell r="G258" t="str">
            <v>Prensa Jundiaí</v>
          </cell>
          <cell r="H258" t="str">
            <v>Máquina travada pelo IHM</v>
          </cell>
          <cell r="I258" t="str">
            <v>Corretiva</v>
          </cell>
          <cell r="J258" t="str">
            <v>Sim</v>
          </cell>
          <cell r="K258" t="str">
            <v>Elétrica</v>
          </cell>
          <cell r="L258" t="str">
            <v>Substituição do(s) Componente(s)</v>
          </cell>
          <cell r="M258" t="str">
            <v>Falha de Comando / Sistema</v>
          </cell>
          <cell r="N258">
            <v>37816</v>
          </cell>
          <cell r="O258">
            <v>0.625</v>
          </cell>
          <cell r="P258">
            <v>37816</v>
          </cell>
          <cell r="Q258">
            <v>0.64583333333333337</v>
          </cell>
          <cell r="R258">
            <v>37816</v>
          </cell>
          <cell r="S258">
            <v>0.75</v>
          </cell>
          <cell r="T258">
            <v>37816</v>
          </cell>
          <cell r="U258">
            <v>0.80208333333333337</v>
          </cell>
          <cell r="V258">
            <v>0</v>
          </cell>
          <cell r="W258">
            <v>7.2916666666666741E-2</v>
          </cell>
          <cell r="X258">
            <v>7.2916666666666741E-2</v>
          </cell>
          <cell r="Y258" t="str">
            <v>Substituição do CLP</v>
          </cell>
          <cell r="AB258">
            <v>7</v>
          </cell>
          <cell r="AC258">
            <v>7</v>
          </cell>
          <cell r="AD258">
            <v>0</v>
          </cell>
          <cell r="BF258">
            <v>0</v>
          </cell>
          <cell r="BG258">
            <v>0</v>
          </cell>
          <cell r="BH258">
            <v>0</v>
          </cell>
          <cell r="BI258">
            <v>0</v>
          </cell>
          <cell r="BJ258">
            <v>0</v>
          </cell>
          <cell r="BK258">
            <v>0</v>
          </cell>
          <cell r="BL258">
            <v>0</v>
          </cell>
          <cell r="BM258">
            <v>0</v>
          </cell>
          <cell r="BN258">
            <v>0</v>
          </cell>
          <cell r="BO258">
            <v>0</v>
          </cell>
          <cell r="BP258">
            <v>0</v>
          </cell>
          <cell r="BQ258">
            <v>0</v>
          </cell>
          <cell r="BR258">
            <v>0</v>
          </cell>
          <cell r="BS258">
            <v>0</v>
          </cell>
          <cell r="BT258">
            <v>0</v>
          </cell>
          <cell r="BU258">
            <v>0</v>
          </cell>
          <cell r="BV258">
            <v>0</v>
          </cell>
          <cell r="BW258">
            <v>0</v>
          </cell>
          <cell r="BX258">
            <v>0</v>
          </cell>
          <cell r="BY258">
            <v>7</v>
          </cell>
          <cell r="BZ258">
            <v>0</v>
          </cell>
          <cell r="CA258">
            <v>0</v>
          </cell>
          <cell r="CB258">
            <v>0</v>
          </cell>
          <cell r="CC258">
            <v>0</v>
          </cell>
          <cell r="CD258">
            <v>0</v>
          </cell>
        </row>
        <row r="259">
          <cell r="C259">
            <v>37816</v>
          </cell>
          <cell r="D259">
            <v>37831</v>
          </cell>
          <cell r="E259">
            <v>37818</v>
          </cell>
          <cell r="F259">
            <v>0.73611111111111116</v>
          </cell>
          <cell r="G259" t="str">
            <v>Guilhotina Sorg</v>
          </cell>
          <cell r="H259" t="str">
            <v>Máquina não referencia</v>
          </cell>
          <cell r="I259" t="str">
            <v>Corretiva</v>
          </cell>
          <cell r="J259" t="str">
            <v>Sim</v>
          </cell>
          <cell r="K259" t="str">
            <v>Elétrica</v>
          </cell>
          <cell r="L259" t="str">
            <v>Reset no inversor e controlador</v>
          </cell>
          <cell r="M259" t="str">
            <v>Falha de Comando / Sistema</v>
          </cell>
          <cell r="N259">
            <v>37818</v>
          </cell>
          <cell r="O259">
            <v>0.73611111111111116</v>
          </cell>
          <cell r="P259">
            <v>37818</v>
          </cell>
          <cell r="Q259">
            <v>0.73611111111111116</v>
          </cell>
          <cell r="T259">
            <v>37818</v>
          </cell>
          <cell r="U259">
            <v>0.74444444444444446</v>
          </cell>
          <cell r="V259">
            <v>37818</v>
          </cell>
          <cell r="W259">
            <v>0.74444444444444446</v>
          </cell>
          <cell r="X259">
            <v>8.3333333333333037E-3</v>
          </cell>
          <cell r="Y259">
            <v>8.3333333297761492E-3</v>
          </cell>
          <cell r="AB259">
            <v>7</v>
          </cell>
          <cell r="AC259">
            <v>7</v>
          </cell>
          <cell r="AD259">
            <v>0</v>
          </cell>
          <cell r="BF259">
            <v>0</v>
          </cell>
          <cell r="BG259">
            <v>0</v>
          </cell>
          <cell r="BH259">
            <v>0</v>
          </cell>
          <cell r="BI259">
            <v>0</v>
          </cell>
          <cell r="BJ259">
            <v>0</v>
          </cell>
          <cell r="BK259">
            <v>0</v>
          </cell>
          <cell r="BL259">
            <v>0</v>
          </cell>
          <cell r="BM259">
            <v>7</v>
          </cell>
          <cell r="BN259">
            <v>0</v>
          </cell>
          <cell r="BO259">
            <v>0</v>
          </cell>
          <cell r="BP259">
            <v>0</v>
          </cell>
          <cell r="BQ259">
            <v>0</v>
          </cell>
          <cell r="BR259">
            <v>0</v>
          </cell>
          <cell r="BS259">
            <v>0</v>
          </cell>
          <cell r="BT259">
            <v>0</v>
          </cell>
          <cell r="BU259">
            <v>0</v>
          </cell>
          <cell r="BV259">
            <v>0</v>
          </cell>
          <cell r="BW259">
            <v>0</v>
          </cell>
          <cell r="BX259">
            <v>0</v>
          </cell>
          <cell r="BY259">
            <v>0</v>
          </cell>
          <cell r="BZ259">
            <v>0</v>
          </cell>
          <cell r="CA259">
            <v>0</v>
          </cell>
          <cell r="CB259">
            <v>0</v>
          </cell>
          <cell r="CC259">
            <v>0</v>
          </cell>
          <cell r="CD259">
            <v>0</v>
          </cell>
        </row>
        <row r="260">
          <cell r="C260">
            <v>37816</v>
          </cell>
          <cell r="D260">
            <v>37831</v>
          </cell>
          <cell r="E260">
            <v>37823</v>
          </cell>
          <cell r="F260">
            <v>0.38541666666666669</v>
          </cell>
          <cell r="G260" t="str">
            <v>Guilhotina Sorg</v>
          </cell>
          <cell r="H260" t="str">
            <v>Esferas da mesa estão baixas</v>
          </cell>
          <cell r="I260" t="str">
            <v>Corretiva</v>
          </cell>
          <cell r="J260" t="str">
            <v>Sim</v>
          </cell>
          <cell r="K260" t="str">
            <v>Mecânica</v>
          </cell>
          <cell r="L260" t="str">
            <v>Ajuste / Regulagem</v>
          </cell>
          <cell r="M260" t="str">
            <v>Desgaste / Fadiga</v>
          </cell>
          <cell r="N260">
            <v>37823</v>
          </cell>
          <cell r="O260">
            <v>0.38541666666666669</v>
          </cell>
          <cell r="P260">
            <v>37823</v>
          </cell>
          <cell r="Q260">
            <v>0.38541666666666669</v>
          </cell>
          <cell r="T260">
            <v>37823</v>
          </cell>
          <cell r="U260">
            <v>0.42708333333333331</v>
          </cell>
          <cell r="V260">
            <v>37823</v>
          </cell>
          <cell r="W260">
            <v>0.42708333333333331</v>
          </cell>
          <cell r="X260">
            <v>4.166666666666663E-2</v>
          </cell>
          <cell r="Y260">
            <v>4.1666666669091967E-2</v>
          </cell>
          <cell r="AB260">
            <v>7</v>
          </cell>
          <cell r="AC260">
            <v>7</v>
          </cell>
          <cell r="AD260">
            <v>0</v>
          </cell>
          <cell r="BF260">
            <v>0</v>
          </cell>
          <cell r="BG260">
            <v>0</v>
          </cell>
          <cell r="BH260">
            <v>0</v>
          </cell>
          <cell r="BI260">
            <v>0</v>
          </cell>
          <cell r="BJ260">
            <v>0</v>
          </cell>
          <cell r="BK260">
            <v>0</v>
          </cell>
          <cell r="BL260">
            <v>0</v>
          </cell>
          <cell r="BM260">
            <v>7</v>
          </cell>
          <cell r="BN260">
            <v>0</v>
          </cell>
          <cell r="BO260">
            <v>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row>
        <row r="261">
          <cell r="C261">
            <v>37816</v>
          </cell>
          <cell r="D261">
            <v>37831</v>
          </cell>
          <cell r="E261">
            <v>37820</v>
          </cell>
          <cell r="F261">
            <v>0.41666666666666669</v>
          </cell>
          <cell r="G261" t="str">
            <v>Guilhotina Sorg</v>
          </cell>
          <cell r="H261" t="str">
            <v>Régua desregulada</v>
          </cell>
          <cell r="I261" t="str">
            <v>Corretiva</v>
          </cell>
          <cell r="J261" t="str">
            <v>Não</v>
          </cell>
          <cell r="K261" t="str">
            <v>Mecânica</v>
          </cell>
          <cell r="L261" t="str">
            <v>Regulagem das guias da chapa</v>
          </cell>
          <cell r="M261" t="str">
            <v>Defeito de Fabricação</v>
          </cell>
          <cell r="N261">
            <v>37820</v>
          </cell>
          <cell r="O261">
            <v>0.41666666666666669</v>
          </cell>
          <cell r="P261">
            <v>37820</v>
          </cell>
          <cell r="Q261">
            <v>0.41666666666666669</v>
          </cell>
          <cell r="T261">
            <v>37820</v>
          </cell>
          <cell r="U261">
            <v>0.54166666666666663</v>
          </cell>
          <cell r="V261">
            <v>37820</v>
          </cell>
          <cell r="W261">
            <v>0.54166666666666663</v>
          </cell>
          <cell r="X261">
            <v>0.12499999999757466</v>
          </cell>
          <cell r="Y261">
            <v>0.12499999999757466</v>
          </cell>
          <cell r="AB261">
            <v>7</v>
          </cell>
          <cell r="AC261">
            <v>7</v>
          </cell>
          <cell r="AD261">
            <v>0</v>
          </cell>
          <cell r="BF261">
            <v>0</v>
          </cell>
          <cell r="BG261">
            <v>0</v>
          </cell>
          <cell r="BH261">
            <v>0</v>
          </cell>
          <cell r="BI261">
            <v>0</v>
          </cell>
          <cell r="BJ261">
            <v>0</v>
          </cell>
          <cell r="BK261">
            <v>0</v>
          </cell>
          <cell r="BL261">
            <v>0</v>
          </cell>
          <cell r="BM261">
            <v>7</v>
          </cell>
          <cell r="BN261">
            <v>0</v>
          </cell>
          <cell r="BO261">
            <v>0</v>
          </cell>
          <cell r="BP261">
            <v>0</v>
          </cell>
          <cell r="BQ261">
            <v>0</v>
          </cell>
          <cell r="BR261">
            <v>0</v>
          </cell>
          <cell r="BS261">
            <v>0</v>
          </cell>
          <cell r="BT261">
            <v>0</v>
          </cell>
          <cell r="BU261">
            <v>0</v>
          </cell>
          <cell r="BV261">
            <v>0</v>
          </cell>
          <cell r="BW261">
            <v>0</v>
          </cell>
          <cell r="BX261">
            <v>0</v>
          </cell>
          <cell r="BY261">
            <v>0</v>
          </cell>
          <cell r="BZ261">
            <v>0</v>
          </cell>
          <cell r="CA261">
            <v>0</v>
          </cell>
          <cell r="CB261">
            <v>0</v>
          </cell>
          <cell r="CC261">
            <v>0</v>
          </cell>
          <cell r="CD261">
            <v>0</v>
          </cell>
        </row>
        <row r="262">
          <cell r="C262">
            <v>37816</v>
          </cell>
          <cell r="I262">
            <v>0</v>
          </cell>
          <cell r="N262">
            <v>0</v>
          </cell>
          <cell r="P262">
            <v>0</v>
          </cell>
          <cell r="T262">
            <v>0</v>
          </cell>
          <cell r="V262">
            <v>0</v>
          </cell>
          <cell r="W262">
            <v>0</v>
          </cell>
          <cell r="X262">
            <v>0</v>
          </cell>
          <cell r="Y262">
            <v>0</v>
          </cell>
          <cell r="AB262">
            <v>0</v>
          </cell>
          <cell r="AC262">
            <v>7</v>
          </cell>
          <cell r="AD262">
            <v>0</v>
          </cell>
          <cell r="BF262">
            <v>0</v>
          </cell>
          <cell r="BG262">
            <v>0</v>
          </cell>
          <cell r="BH262">
            <v>0</v>
          </cell>
          <cell r="BI262">
            <v>0</v>
          </cell>
          <cell r="BJ262">
            <v>0</v>
          </cell>
          <cell r="BK262">
            <v>0</v>
          </cell>
          <cell r="BL262">
            <v>0</v>
          </cell>
          <cell r="BM262">
            <v>0</v>
          </cell>
          <cell r="BN262">
            <v>0</v>
          </cell>
          <cell r="BO262">
            <v>0</v>
          </cell>
          <cell r="BP262">
            <v>0</v>
          </cell>
          <cell r="BQ262">
            <v>0</v>
          </cell>
          <cell r="BR262">
            <v>0</v>
          </cell>
          <cell r="BS262">
            <v>0</v>
          </cell>
          <cell r="BT262">
            <v>0</v>
          </cell>
          <cell r="BU262">
            <v>0</v>
          </cell>
          <cell r="BV262">
            <v>0</v>
          </cell>
          <cell r="BW262">
            <v>0</v>
          </cell>
          <cell r="BX262">
            <v>0</v>
          </cell>
          <cell r="BY262">
            <v>0</v>
          </cell>
          <cell r="BZ262">
            <v>0</v>
          </cell>
          <cell r="CA262">
            <v>0</v>
          </cell>
          <cell r="CB262">
            <v>0</v>
          </cell>
          <cell r="CC262">
            <v>0</v>
          </cell>
          <cell r="CD262">
            <v>0</v>
          </cell>
        </row>
        <row r="263">
          <cell r="C263">
            <v>37816</v>
          </cell>
          <cell r="D263">
            <v>37858</v>
          </cell>
          <cell r="E263">
            <v>37839</v>
          </cell>
          <cell r="F263">
            <v>0.54166666666666663</v>
          </cell>
          <cell r="G263" t="str">
            <v>Prensa Jundiaí</v>
          </cell>
          <cell r="H263" t="str">
            <v>Motor com rotação invertida</v>
          </cell>
          <cell r="I263" t="str">
            <v>Corretiva</v>
          </cell>
          <cell r="J263" t="str">
            <v>Sim</v>
          </cell>
          <cell r="K263" t="str">
            <v>Elétrica</v>
          </cell>
          <cell r="L263" t="str">
            <v>Ajuste / Regulagem</v>
          </cell>
          <cell r="M263" t="str">
            <v>Travamento de Componente</v>
          </cell>
          <cell r="N263">
            <v>37839</v>
          </cell>
          <cell r="O263">
            <v>0.54166666666666663</v>
          </cell>
          <cell r="P263">
            <v>37839</v>
          </cell>
          <cell r="Q263">
            <v>0.54166666666666663</v>
          </cell>
          <cell r="T263">
            <v>37839</v>
          </cell>
          <cell r="U263">
            <v>0.55208333333333337</v>
          </cell>
          <cell r="V263">
            <v>37839</v>
          </cell>
          <cell r="W263">
            <v>0.55208333333333337</v>
          </cell>
          <cell r="X263">
            <v>1.0416666666666741E-2</v>
          </cell>
          <cell r="Y263">
            <v>1.0416666669092023E-2</v>
          </cell>
          <cell r="AB263">
            <v>8</v>
          </cell>
          <cell r="AC263">
            <v>7</v>
          </cell>
          <cell r="AD263">
            <v>0</v>
          </cell>
          <cell r="BF263">
            <v>0</v>
          </cell>
          <cell r="BG263">
            <v>0</v>
          </cell>
          <cell r="BH263">
            <v>0</v>
          </cell>
          <cell r="BI263">
            <v>0</v>
          </cell>
          <cell r="BJ263">
            <v>0</v>
          </cell>
          <cell r="BK263">
            <v>0</v>
          </cell>
          <cell r="BL263">
            <v>0</v>
          </cell>
          <cell r="BM263">
            <v>0</v>
          </cell>
          <cell r="BN263">
            <v>0</v>
          </cell>
          <cell r="BO263">
            <v>0</v>
          </cell>
          <cell r="BP263">
            <v>0</v>
          </cell>
          <cell r="BQ263">
            <v>0</v>
          </cell>
          <cell r="BR263">
            <v>0</v>
          </cell>
          <cell r="BS263">
            <v>0</v>
          </cell>
          <cell r="BT263">
            <v>0</v>
          </cell>
          <cell r="BU263">
            <v>0</v>
          </cell>
          <cell r="BV263">
            <v>0</v>
          </cell>
          <cell r="BW263">
            <v>0</v>
          </cell>
          <cell r="BX263">
            <v>0</v>
          </cell>
          <cell r="BY263">
            <v>8</v>
          </cell>
          <cell r="BZ263">
            <v>0</v>
          </cell>
          <cell r="CA263">
            <v>0</v>
          </cell>
          <cell r="CB263">
            <v>0</v>
          </cell>
          <cell r="CC263">
            <v>0</v>
          </cell>
          <cell r="CD263">
            <v>0</v>
          </cell>
        </row>
        <row r="264">
          <cell r="C264">
            <v>37816</v>
          </cell>
          <cell r="D264">
            <v>37858</v>
          </cell>
          <cell r="E264">
            <v>37839</v>
          </cell>
          <cell r="F264">
            <v>0.64583333333333337</v>
          </cell>
          <cell r="G264" t="str">
            <v>Prensa Jundiaí</v>
          </cell>
          <cell r="H264" t="str">
            <v>Chaveta para alteração de curso travada</v>
          </cell>
          <cell r="I264" t="str">
            <v>Corretiva</v>
          </cell>
          <cell r="J264" t="str">
            <v>Sim</v>
          </cell>
          <cell r="K264" t="str">
            <v>Mecânica</v>
          </cell>
          <cell r="L264" t="str">
            <v>Ajuste e lubrificação do Componente</v>
          </cell>
          <cell r="M264" t="str">
            <v>Falta de Lubrificação</v>
          </cell>
          <cell r="N264">
            <v>37839</v>
          </cell>
          <cell r="O264">
            <v>0.64583333333333337</v>
          </cell>
          <cell r="P264">
            <v>37839</v>
          </cell>
          <cell r="Q264">
            <v>0.64583333333333337</v>
          </cell>
          <cell r="T264">
            <v>37839</v>
          </cell>
          <cell r="U264">
            <v>0.75</v>
          </cell>
          <cell r="V264">
            <v>37839</v>
          </cell>
          <cell r="W264">
            <v>0.75</v>
          </cell>
          <cell r="X264">
            <v>0.10416666666666663</v>
          </cell>
          <cell r="Y264">
            <v>0.10416666666666663</v>
          </cell>
          <cell r="AB264">
            <v>8</v>
          </cell>
          <cell r="AC264">
            <v>7</v>
          </cell>
          <cell r="AD264">
            <v>0</v>
          </cell>
          <cell r="BF264">
            <v>0</v>
          </cell>
          <cell r="BG264">
            <v>0</v>
          </cell>
          <cell r="BH264">
            <v>0</v>
          </cell>
          <cell r="BI264">
            <v>0</v>
          </cell>
          <cell r="BJ264">
            <v>0</v>
          </cell>
          <cell r="BK264">
            <v>0</v>
          </cell>
          <cell r="BL264">
            <v>0</v>
          </cell>
          <cell r="BM264">
            <v>0</v>
          </cell>
          <cell r="BN264">
            <v>0</v>
          </cell>
          <cell r="BO264">
            <v>0</v>
          </cell>
          <cell r="BP264">
            <v>0</v>
          </cell>
          <cell r="BQ264">
            <v>0</v>
          </cell>
          <cell r="BR264">
            <v>0</v>
          </cell>
          <cell r="BS264">
            <v>0</v>
          </cell>
          <cell r="BT264">
            <v>0</v>
          </cell>
          <cell r="BU264">
            <v>0</v>
          </cell>
          <cell r="BV264">
            <v>0</v>
          </cell>
          <cell r="BW264">
            <v>0</v>
          </cell>
          <cell r="BX264">
            <v>0</v>
          </cell>
          <cell r="BY264">
            <v>8</v>
          </cell>
          <cell r="BZ264">
            <v>0</v>
          </cell>
          <cell r="CA264">
            <v>0</v>
          </cell>
          <cell r="CB264">
            <v>0</v>
          </cell>
          <cell r="CC264">
            <v>0</v>
          </cell>
          <cell r="CD264">
            <v>0</v>
          </cell>
        </row>
        <row r="265">
          <cell r="C265">
            <v>37816</v>
          </cell>
          <cell r="D265">
            <v>37858</v>
          </cell>
          <cell r="E265">
            <v>37852</v>
          </cell>
          <cell r="F265">
            <v>0.33333333333333331</v>
          </cell>
          <cell r="G265" t="str">
            <v>Guilhotina Sorg</v>
          </cell>
          <cell r="H265" t="str">
            <v>Vazamento de óleo</v>
          </cell>
          <cell r="I265" t="str">
            <v>Corretiva</v>
          </cell>
          <cell r="J265" t="str">
            <v>Sim</v>
          </cell>
          <cell r="K265" t="str">
            <v>Mecânica</v>
          </cell>
          <cell r="L265" t="str">
            <v>Substituição do(s) Componente(s)</v>
          </cell>
          <cell r="M265" t="str">
            <v>Defeito de Fabricação</v>
          </cell>
          <cell r="N265">
            <v>37852</v>
          </cell>
          <cell r="O265">
            <v>0.33333333333333331</v>
          </cell>
          <cell r="P265">
            <v>37852</v>
          </cell>
          <cell r="Q265">
            <v>0.33333333333333331</v>
          </cell>
          <cell r="T265">
            <v>37852</v>
          </cell>
          <cell r="U265">
            <v>0.45833333333333331</v>
          </cell>
          <cell r="V265">
            <v>37852</v>
          </cell>
          <cell r="W265">
            <v>0.45833333333333331</v>
          </cell>
          <cell r="X265">
            <v>0.125</v>
          </cell>
          <cell r="Y265">
            <v>0.12500000000242534</v>
          </cell>
          <cell r="AB265">
            <v>8</v>
          </cell>
          <cell r="AC265">
            <v>7</v>
          </cell>
          <cell r="AD265">
            <v>0</v>
          </cell>
          <cell r="BF265">
            <v>0</v>
          </cell>
          <cell r="BG265">
            <v>0</v>
          </cell>
          <cell r="BH265">
            <v>0</v>
          </cell>
          <cell r="BI265">
            <v>0</v>
          </cell>
          <cell r="BJ265">
            <v>0</v>
          </cell>
          <cell r="BK265">
            <v>0</v>
          </cell>
          <cell r="BL265">
            <v>0</v>
          </cell>
          <cell r="BM265">
            <v>8</v>
          </cell>
          <cell r="BN265">
            <v>0</v>
          </cell>
          <cell r="BO265">
            <v>0</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row>
        <row r="266">
          <cell r="C266">
            <v>37816</v>
          </cell>
          <cell r="D266">
            <v>37865</v>
          </cell>
          <cell r="E266">
            <v>37858</v>
          </cell>
          <cell r="F266">
            <v>0.42708333333333331</v>
          </cell>
          <cell r="G266" t="str">
            <v>Guilhotina Sorg</v>
          </cell>
          <cell r="H266" t="str">
            <v>Referência incorreta</v>
          </cell>
          <cell r="I266" t="str">
            <v>Corretiva</v>
          </cell>
          <cell r="J266" t="str">
            <v>Sim</v>
          </cell>
          <cell r="K266" t="str">
            <v>Mecânica</v>
          </cell>
          <cell r="L266" t="str">
            <v>Nova referência no encoder do motor</v>
          </cell>
          <cell r="M266" t="str">
            <v>Causa não especificada</v>
          </cell>
          <cell r="N266">
            <v>37858</v>
          </cell>
          <cell r="O266">
            <v>0.4375</v>
          </cell>
          <cell r="P266">
            <v>37858</v>
          </cell>
          <cell r="Q266">
            <v>0.4375</v>
          </cell>
          <cell r="T266">
            <v>37858</v>
          </cell>
          <cell r="U266">
            <v>0.44791666666666669</v>
          </cell>
          <cell r="V266">
            <v>37858</v>
          </cell>
          <cell r="W266">
            <v>0.44791666666666669</v>
          </cell>
          <cell r="X266">
            <v>1.0416666666666685E-2</v>
          </cell>
          <cell r="Y266">
            <v>1.0416666664241347E-2</v>
          </cell>
          <cell r="AB266">
            <v>8</v>
          </cell>
          <cell r="AC266">
            <v>7</v>
          </cell>
          <cell r="AD266">
            <v>0</v>
          </cell>
          <cell r="BF266">
            <v>0</v>
          </cell>
          <cell r="BG266">
            <v>0</v>
          </cell>
          <cell r="BH266">
            <v>0</v>
          </cell>
          <cell r="BI266">
            <v>0</v>
          </cell>
          <cell r="BJ266">
            <v>0</v>
          </cell>
          <cell r="BK266">
            <v>0</v>
          </cell>
          <cell r="BL266">
            <v>0</v>
          </cell>
          <cell r="BM266">
            <v>8</v>
          </cell>
          <cell r="BN266">
            <v>0</v>
          </cell>
          <cell r="BO266">
            <v>0</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row>
        <row r="267">
          <cell r="C267">
            <v>37816</v>
          </cell>
          <cell r="D267">
            <v>37831</v>
          </cell>
          <cell r="E267">
            <v>37818</v>
          </cell>
          <cell r="F267">
            <v>0.64583333333333337</v>
          </cell>
          <cell r="G267" t="str">
            <v>Perfiladora Gasparini</v>
          </cell>
          <cell r="H267" t="str">
            <v>Parafuso do Rolo Guia da Perfiladora está quebrado</v>
          </cell>
          <cell r="I267" t="str">
            <v>Corretiva</v>
          </cell>
          <cell r="J267" t="str">
            <v>Não</v>
          </cell>
          <cell r="K267" t="str">
            <v>Mecânica</v>
          </cell>
          <cell r="L267" t="str">
            <v>Substituição do(s) Componente(s)</v>
          </cell>
          <cell r="M267" t="str">
            <v>Defeito de Fabricação</v>
          </cell>
          <cell r="N267">
            <v>37818</v>
          </cell>
          <cell r="O267">
            <v>0.75</v>
          </cell>
          <cell r="P267">
            <v>37818</v>
          </cell>
          <cell r="Q267">
            <v>0.75</v>
          </cell>
          <cell r="T267">
            <v>37819</v>
          </cell>
          <cell r="U267">
            <v>0.39583333333333331</v>
          </cell>
          <cell r="V267">
            <v>37819</v>
          </cell>
          <cell r="W267">
            <v>0.39583333333333331</v>
          </cell>
          <cell r="X267">
            <v>0.64583333333575865</v>
          </cell>
          <cell r="Y267">
            <v>0.64583333333575865</v>
          </cell>
          <cell r="AB267">
            <v>7</v>
          </cell>
          <cell r="AC267">
            <v>7</v>
          </cell>
          <cell r="AD267">
            <v>0</v>
          </cell>
          <cell r="BF267">
            <v>0</v>
          </cell>
          <cell r="BG267">
            <v>0</v>
          </cell>
          <cell r="BH267">
            <v>0</v>
          </cell>
          <cell r="BI267">
            <v>0</v>
          </cell>
          <cell r="BJ267">
            <v>0</v>
          </cell>
          <cell r="BK267">
            <v>0</v>
          </cell>
          <cell r="BL267">
            <v>0</v>
          </cell>
          <cell r="BM267">
            <v>0</v>
          </cell>
          <cell r="BN267">
            <v>0</v>
          </cell>
          <cell r="BO267">
            <v>0</v>
          </cell>
          <cell r="BP267">
            <v>0</v>
          </cell>
          <cell r="BQ267">
            <v>0</v>
          </cell>
          <cell r="BR267">
            <v>0</v>
          </cell>
          <cell r="BS267">
            <v>0</v>
          </cell>
          <cell r="BT267">
            <v>0</v>
          </cell>
          <cell r="BU267">
            <v>0</v>
          </cell>
          <cell r="BV267">
            <v>7</v>
          </cell>
          <cell r="BW267">
            <v>0</v>
          </cell>
          <cell r="BX267">
            <v>0</v>
          </cell>
          <cell r="BY267">
            <v>0</v>
          </cell>
          <cell r="BZ267">
            <v>0</v>
          </cell>
          <cell r="CA267">
            <v>0</v>
          </cell>
          <cell r="CB267">
            <v>0</v>
          </cell>
          <cell r="CC267">
            <v>0</v>
          </cell>
          <cell r="CD267">
            <v>0</v>
          </cell>
        </row>
        <row r="268">
          <cell r="C268">
            <v>37816</v>
          </cell>
          <cell r="I268">
            <v>0</v>
          </cell>
          <cell r="N268">
            <v>0</v>
          </cell>
          <cell r="P268">
            <v>0</v>
          </cell>
          <cell r="T268">
            <v>0</v>
          </cell>
          <cell r="V268">
            <v>0</v>
          </cell>
          <cell r="W268">
            <v>0</v>
          </cell>
          <cell r="X268">
            <v>0</v>
          </cell>
          <cell r="Y268">
            <v>0</v>
          </cell>
          <cell r="AB268">
            <v>0</v>
          </cell>
          <cell r="AC268">
            <v>7</v>
          </cell>
          <cell r="AD268">
            <v>0</v>
          </cell>
          <cell r="BF268">
            <v>0</v>
          </cell>
          <cell r="BG268">
            <v>0</v>
          </cell>
          <cell r="BH268">
            <v>0</v>
          </cell>
          <cell r="BI268">
            <v>0</v>
          </cell>
          <cell r="BJ268">
            <v>0</v>
          </cell>
          <cell r="BK268">
            <v>0</v>
          </cell>
          <cell r="BL268">
            <v>0</v>
          </cell>
          <cell r="BM268">
            <v>0</v>
          </cell>
          <cell r="BN268">
            <v>0</v>
          </cell>
          <cell r="BO268">
            <v>0</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row>
        <row r="269">
          <cell r="C269">
            <v>37816</v>
          </cell>
          <cell r="D269">
            <v>37970</v>
          </cell>
          <cell r="E269">
            <v>37847</v>
          </cell>
          <cell r="F269">
            <v>37847</v>
          </cell>
          <cell r="G269">
            <v>0.375</v>
          </cell>
          <cell r="H269" t="str">
            <v>Alarme de Sondas Térmicas</v>
          </cell>
          <cell r="I269">
            <v>0</v>
          </cell>
          <cell r="J269" t="str">
            <v>Sim</v>
          </cell>
          <cell r="K269" t="str">
            <v>Elétrica</v>
          </cell>
          <cell r="L269" t="str">
            <v>Sim</v>
          </cell>
          <cell r="M269" t="str">
            <v>Desgaste / Fadiga</v>
          </cell>
          <cell r="N269">
            <v>37847</v>
          </cell>
          <cell r="O269">
            <v>0.625</v>
          </cell>
          <cell r="P269">
            <v>37847</v>
          </cell>
          <cell r="Q269">
            <v>0.625</v>
          </cell>
          <cell r="T269">
            <v>37847</v>
          </cell>
          <cell r="U269">
            <v>0.70833333333333337</v>
          </cell>
          <cell r="V269">
            <v>37847</v>
          </cell>
          <cell r="W269">
            <v>0.70833333333333337</v>
          </cell>
          <cell r="X269">
            <v>8.333333333333337E-2</v>
          </cell>
          <cell r="Y269">
            <v>8.3333333335758653E-2</v>
          </cell>
          <cell r="AB269">
            <v>8</v>
          </cell>
          <cell r="AC269">
            <v>7</v>
          </cell>
          <cell r="AD269">
            <v>0</v>
          </cell>
          <cell r="BF269">
            <v>0</v>
          </cell>
          <cell r="BG269">
            <v>0</v>
          </cell>
          <cell r="BH269">
            <v>0</v>
          </cell>
          <cell r="BI269">
            <v>0</v>
          </cell>
          <cell r="BJ269">
            <v>0</v>
          </cell>
          <cell r="BK269">
            <v>0</v>
          </cell>
          <cell r="BL269">
            <v>0</v>
          </cell>
          <cell r="BM269">
            <v>0</v>
          </cell>
          <cell r="BN269">
            <v>0</v>
          </cell>
          <cell r="BO269">
            <v>0</v>
          </cell>
          <cell r="BP269">
            <v>0</v>
          </cell>
          <cell r="BQ269">
            <v>0</v>
          </cell>
          <cell r="BR269">
            <v>0</v>
          </cell>
          <cell r="BS269">
            <v>0</v>
          </cell>
          <cell r="BT269">
            <v>0</v>
          </cell>
          <cell r="BU269">
            <v>0</v>
          </cell>
          <cell r="BV269">
            <v>8</v>
          </cell>
          <cell r="BW269">
            <v>0</v>
          </cell>
          <cell r="BX269">
            <v>0</v>
          </cell>
          <cell r="BY269">
            <v>0</v>
          </cell>
          <cell r="BZ269">
            <v>0</v>
          </cell>
          <cell r="CA269">
            <v>0</v>
          </cell>
          <cell r="CB269">
            <v>0</v>
          </cell>
          <cell r="CC269">
            <v>0</v>
          </cell>
          <cell r="CD269">
            <v>0</v>
          </cell>
        </row>
        <row r="270">
          <cell r="C270">
            <v>37816</v>
          </cell>
          <cell r="D270">
            <v>37858</v>
          </cell>
          <cell r="E270">
            <v>37854</v>
          </cell>
          <cell r="F270">
            <v>0.25</v>
          </cell>
          <cell r="G270" t="str">
            <v>Perfiladora Gasparini</v>
          </cell>
          <cell r="H270" t="str">
            <v>Sensores da Prensa desregulados (Parafusos soltos)</v>
          </cell>
          <cell r="I270" t="str">
            <v>Corretiva</v>
          </cell>
          <cell r="J270" t="str">
            <v>Sim</v>
          </cell>
          <cell r="K270" t="str">
            <v>Elétrica</v>
          </cell>
          <cell r="L270" t="str">
            <v>Melhoria no Sistema de Fixação</v>
          </cell>
          <cell r="M270" t="str">
            <v>Vibração</v>
          </cell>
          <cell r="N270">
            <v>37854</v>
          </cell>
          <cell r="O270">
            <v>0.26041666666666669</v>
          </cell>
          <cell r="P270">
            <v>37854</v>
          </cell>
          <cell r="Q270">
            <v>0.26041666666666669</v>
          </cell>
          <cell r="T270">
            <v>37854</v>
          </cell>
          <cell r="U270">
            <v>0.28125</v>
          </cell>
          <cell r="V270">
            <v>37854</v>
          </cell>
          <cell r="W270">
            <v>0.28125</v>
          </cell>
          <cell r="X270">
            <v>2.0833333333333315E-2</v>
          </cell>
          <cell r="Y270">
            <v>2.0833333333333315E-2</v>
          </cell>
          <cell r="AB270">
            <v>8</v>
          </cell>
          <cell r="AC270">
            <v>7</v>
          </cell>
          <cell r="AD270">
            <v>0</v>
          </cell>
          <cell r="BF270">
            <v>0</v>
          </cell>
          <cell r="BG270">
            <v>0</v>
          </cell>
          <cell r="BH270">
            <v>0</v>
          </cell>
          <cell r="BI270">
            <v>0</v>
          </cell>
          <cell r="BJ270">
            <v>0</v>
          </cell>
          <cell r="BK270">
            <v>0</v>
          </cell>
          <cell r="BL270">
            <v>0</v>
          </cell>
          <cell r="BM270">
            <v>0</v>
          </cell>
          <cell r="BN270">
            <v>0</v>
          </cell>
          <cell r="BO270">
            <v>0</v>
          </cell>
          <cell r="BP270">
            <v>0</v>
          </cell>
          <cell r="BQ270">
            <v>0</v>
          </cell>
          <cell r="BR270">
            <v>0</v>
          </cell>
          <cell r="BS270">
            <v>0</v>
          </cell>
          <cell r="BT270">
            <v>0</v>
          </cell>
          <cell r="BU270">
            <v>0</v>
          </cell>
          <cell r="BV270">
            <v>8</v>
          </cell>
          <cell r="BW270">
            <v>0</v>
          </cell>
          <cell r="BX270">
            <v>0</v>
          </cell>
          <cell r="BY270">
            <v>0</v>
          </cell>
          <cell r="BZ270">
            <v>0</v>
          </cell>
          <cell r="CA270">
            <v>0</v>
          </cell>
          <cell r="CB270">
            <v>0</v>
          </cell>
          <cell r="CC270">
            <v>0</v>
          </cell>
          <cell r="CD270">
            <v>0</v>
          </cell>
        </row>
        <row r="271">
          <cell r="C271">
            <v>37816</v>
          </cell>
          <cell r="D271">
            <v>37865</v>
          </cell>
          <cell r="E271">
            <v>37858</v>
          </cell>
          <cell r="F271">
            <v>0.45833333333333331</v>
          </cell>
          <cell r="G271" t="str">
            <v>Perfiladora Gasparini</v>
          </cell>
          <cell r="H271" t="str">
            <v>Máquina não funciona</v>
          </cell>
          <cell r="I271" t="str">
            <v>Corretiva</v>
          </cell>
          <cell r="J271" t="str">
            <v>Sim</v>
          </cell>
          <cell r="K271" t="str">
            <v>Elétrica</v>
          </cell>
          <cell r="L271" t="str">
            <v>Substituição do(s) Componente(s)</v>
          </cell>
          <cell r="M271" t="str">
            <v>Sobrecarga</v>
          </cell>
          <cell r="N271">
            <v>37858</v>
          </cell>
          <cell r="O271">
            <v>0.46875</v>
          </cell>
          <cell r="P271">
            <v>37858</v>
          </cell>
          <cell r="Q271">
            <v>0.46875</v>
          </cell>
          <cell r="T271">
            <v>37858</v>
          </cell>
          <cell r="U271">
            <v>0.4861111111111111</v>
          </cell>
          <cell r="V271">
            <v>37858</v>
          </cell>
          <cell r="W271">
            <v>0.4861111111111111</v>
          </cell>
          <cell r="X271">
            <v>1.7361111111111105E-2</v>
          </cell>
          <cell r="Y271">
            <v>1.7361111109494232E-2</v>
          </cell>
          <cell r="AB271">
            <v>8</v>
          </cell>
          <cell r="AC271">
            <v>7</v>
          </cell>
          <cell r="AD271">
            <v>0</v>
          </cell>
          <cell r="BF271">
            <v>0</v>
          </cell>
          <cell r="BG271">
            <v>0</v>
          </cell>
          <cell r="BH271">
            <v>0</v>
          </cell>
          <cell r="BI271">
            <v>0</v>
          </cell>
          <cell r="BJ271">
            <v>0</v>
          </cell>
          <cell r="BK271">
            <v>0</v>
          </cell>
          <cell r="BL271">
            <v>0</v>
          </cell>
          <cell r="BM271">
            <v>0</v>
          </cell>
          <cell r="BN271">
            <v>0</v>
          </cell>
          <cell r="BO271">
            <v>0</v>
          </cell>
          <cell r="BP271">
            <v>0</v>
          </cell>
          <cell r="BQ271">
            <v>0</v>
          </cell>
          <cell r="BR271">
            <v>0</v>
          </cell>
          <cell r="BS271">
            <v>0</v>
          </cell>
          <cell r="BT271">
            <v>0</v>
          </cell>
          <cell r="BU271">
            <v>0</v>
          </cell>
          <cell r="BV271">
            <v>8</v>
          </cell>
          <cell r="BW271">
            <v>0</v>
          </cell>
          <cell r="BX271">
            <v>0</v>
          </cell>
          <cell r="BY271">
            <v>0</v>
          </cell>
          <cell r="BZ271">
            <v>0</v>
          </cell>
          <cell r="CA271">
            <v>0</v>
          </cell>
          <cell r="CB271">
            <v>0</v>
          </cell>
          <cell r="CC271">
            <v>0</v>
          </cell>
          <cell r="CD271">
            <v>0</v>
          </cell>
        </row>
        <row r="272">
          <cell r="C272">
            <v>37816</v>
          </cell>
          <cell r="D272">
            <v>37900</v>
          </cell>
          <cell r="E272">
            <v>37880</v>
          </cell>
          <cell r="F272">
            <v>0.45833333333333331</v>
          </cell>
          <cell r="G272" t="str">
            <v>Perfiladora Gasparini</v>
          </cell>
          <cell r="H272" t="str">
            <v>Sensor danificado</v>
          </cell>
          <cell r="I272" t="str">
            <v>Corretiva</v>
          </cell>
          <cell r="J272" t="str">
            <v>Sim</v>
          </cell>
          <cell r="K272" t="str">
            <v>Elétrica</v>
          </cell>
          <cell r="L272" t="str">
            <v>Substituição do(s) Componente(s)</v>
          </cell>
          <cell r="M272" t="str">
            <v>Falha Operacional</v>
          </cell>
          <cell r="N272">
            <v>37880</v>
          </cell>
          <cell r="O272">
            <v>0.45833333333333331</v>
          </cell>
          <cell r="P272">
            <v>37880</v>
          </cell>
          <cell r="Q272">
            <v>0.45833333333333331</v>
          </cell>
          <cell r="T272">
            <v>37880</v>
          </cell>
          <cell r="U272">
            <v>0.47916666666666669</v>
          </cell>
          <cell r="V272">
            <v>37880</v>
          </cell>
          <cell r="W272">
            <v>0.47916666666666669</v>
          </cell>
          <cell r="X272">
            <v>2.083333333333337E-2</v>
          </cell>
          <cell r="Y272">
            <v>2.0833333330908033E-2</v>
          </cell>
          <cell r="AB272">
            <v>9</v>
          </cell>
          <cell r="AC272">
            <v>7</v>
          </cell>
          <cell r="AD272">
            <v>0</v>
          </cell>
          <cell r="BF272">
            <v>0</v>
          </cell>
          <cell r="BG272">
            <v>0</v>
          </cell>
          <cell r="BH272">
            <v>0</v>
          </cell>
          <cell r="BI272">
            <v>0</v>
          </cell>
          <cell r="BJ272">
            <v>0</v>
          </cell>
          <cell r="BK272">
            <v>0</v>
          </cell>
          <cell r="BL272">
            <v>0</v>
          </cell>
          <cell r="BM272">
            <v>0</v>
          </cell>
          <cell r="BN272">
            <v>0</v>
          </cell>
          <cell r="BO272">
            <v>0</v>
          </cell>
          <cell r="BP272">
            <v>0</v>
          </cell>
          <cell r="BQ272">
            <v>0</v>
          </cell>
          <cell r="BR272">
            <v>0</v>
          </cell>
          <cell r="BS272">
            <v>0</v>
          </cell>
          <cell r="BT272">
            <v>0</v>
          </cell>
          <cell r="BU272">
            <v>0</v>
          </cell>
          <cell r="BV272">
            <v>9</v>
          </cell>
          <cell r="BW272">
            <v>0</v>
          </cell>
          <cell r="BX272">
            <v>0</v>
          </cell>
          <cell r="BY272">
            <v>0</v>
          </cell>
          <cell r="BZ272">
            <v>0</v>
          </cell>
          <cell r="CA272">
            <v>0</v>
          </cell>
          <cell r="CB272">
            <v>0</v>
          </cell>
          <cell r="CC272">
            <v>0</v>
          </cell>
          <cell r="CD272">
            <v>0</v>
          </cell>
        </row>
        <row r="273">
          <cell r="C273">
            <v>37816</v>
          </cell>
          <cell r="D273">
            <v>37928</v>
          </cell>
          <cell r="E273">
            <v>37883</v>
          </cell>
          <cell r="F273">
            <v>4.1666666666666664E-2</v>
          </cell>
          <cell r="G273" t="str">
            <v>Perfiladora Gasparini</v>
          </cell>
          <cell r="H273" t="str">
            <v>Vazamento de Óleo na prensa</v>
          </cell>
          <cell r="I273" t="str">
            <v>Corretiva</v>
          </cell>
          <cell r="J273" t="str">
            <v>Não</v>
          </cell>
          <cell r="K273" t="str">
            <v>Mecânica</v>
          </cell>
          <cell r="L273" t="str">
            <v>Contenção do vazamento</v>
          </cell>
          <cell r="M273" t="str">
            <v>Vibração</v>
          </cell>
          <cell r="N273">
            <v>37895</v>
          </cell>
          <cell r="O273">
            <v>0.45833333333333331</v>
          </cell>
          <cell r="P273">
            <v>37895</v>
          </cell>
          <cell r="Q273">
            <v>0.45833333333333331</v>
          </cell>
          <cell r="T273">
            <v>37895</v>
          </cell>
          <cell r="U273">
            <v>0.5</v>
          </cell>
          <cell r="V273">
            <v>37895</v>
          </cell>
          <cell r="W273">
            <v>0.5</v>
          </cell>
          <cell r="X273">
            <v>4.1666666666666685E-2</v>
          </cell>
          <cell r="Y273">
            <v>4.1666666666666685E-2</v>
          </cell>
          <cell r="AB273">
            <v>10</v>
          </cell>
          <cell r="AC273">
            <v>7</v>
          </cell>
          <cell r="AD273">
            <v>0</v>
          </cell>
          <cell r="BF273">
            <v>0</v>
          </cell>
          <cell r="BG273">
            <v>0</v>
          </cell>
          <cell r="BH273">
            <v>0</v>
          </cell>
          <cell r="BI273">
            <v>0</v>
          </cell>
          <cell r="BJ273">
            <v>0</v>
          </cell>
          <cell r="BK273">
            <v>0</v>
          </cell>
          <cell r="BL273">
            <v>0</v>
          </cell>
          <cell r="BM273">
            <v>0</v>
          </cell>
          <cell r="BN273">
            <v>0</v>
          </cell>
          <cell r="BO273">
            <v>0</v>
          </cell>
          <cell r="BP273">
            <v>0</v>
          </cell>
          <cell r="BQ273">
            <v>0</v>
          </cell>
          <cell r="BR273">
            <v>0</v>
          </cell>
          <cell r="BS273">
            <v>0</v>
          </cell>
          <cell r="BT273">
            <v>0</v>
          </cell>
          <cell r="BU273">
            <v>0</v>
          </cell>
          <cell r="BV273">
            <v>10</v>
          </cell>
          <cell r="BW273">
            <v>0</v>
          </cell>
          <cell r="BX273">
            <v>0</v>
          </cell>
          <cell r="BY273">
            <v>0</v>
          </cell>
          <cell r="BZ273">
            <v>0</v>
          </cell>
          <cell r="CA273">
            <v>0</v>
          </cell>
          <cell r="CB273">
            <v>0</v>
          </cell>
          <cell r="CC273">
            <v>0</v>
          </cell>
          <cell r="CD273">
            <v>0</v>
          </cell>
        </row>
        <row r="274">
          <cell r="C274">
            <v>37816</v>
          </cell>
          <cell r="D274">
            <v>37970</v>
          </cell>
          <cell r="E274">
            <v>37931</v>
          </cell>
          <cell r="F274">
            <v>37931</v>
          </cell>
          <cell r="G274">
            <v>0.25</v>
          </cell>
          <cell r="H274" t="str">
            <v>Alarme de Lubrificação</v>
          </cell>
          <cell r="I274">
            <v>0</v>
          </cell>
          <cell r="J274" t="str">
            <v>Sim</v>
          </cell>
          <cell r="K274" t="str">
            <v>Mecânica</v>
          </cell>
          <cell r="L274" t="str">
            <v>Sim</v>
          </cell>
          <cell r="M274" t="str">
            <v>Falta de Lubrificação</v>
          </cell>
          <cell r="N274">
            <v>37931</v>
          </cell>
          <cell r="O274">
            <v>0.33333333333333331</v>
          </cell>
          <cell r="P274">
            <v>37931</v>
          </cell>
          <cell r="Q274">
            <v>0.33333333333333331</v>
          </cell>
          <cell r="T274">
            <v>37931</v>
          </cell>
          <cell r="U274">
            <v>0.41666666666666669</v>
          </cell>
          <cell r="V274">
            <v>37931</v>
          </cell>
          <cell r="W274">
            <v>0.41666666666666669</v>
          </cell>
          <cell r="X274">
            <v>8.333333333333337E-2</v>
          </cell>
          <cell r="Y274">
            <v>8.3333333330908033E-2</v>
          </cell>
          <cell r="AB274">
            <v>11</v>
          </cell>
          <cell r="AC274">
            <v>7</v>
          </cell>
          <cell r="AD274">
            <v>0</v>
          </cell>
          <cell r="BF274">
            <v>0</v>
          </cell>
          <cell r="BG274">
            <v>0</v>
          </cell>
          <cell r="BH274">
            <v>0</v>
          </cell>
          <cell r="BI274">
            <v>0</v>
          </cell>
          <cell r="BJ274">
            <v>0</v>
          </cell>
          <cell r="BK274">
            <v>0</v>
          </cell>
          <cell r="BL274">
            <v>0</v>
          </cell>
          <cell r="BM274">
            <v>0</v>
          </cell>
          <cell r="BN274">
            <v>0</v>
          </cell>
          <cell r="BO274">
            <v>0</v>
          </cell>
          <cell r="BP274">
            <v>0</v>
          </cell>
          <cell r="BQ274">
            <v>0</v>
          </cell>
          <cell r="BR274">
            <v>0</v>
          </cell>
          <cell r="BS274">
            <v>0</v>
          </cell>
          <cell r="BT274">
            <v>0</v>
          </cell>
          <cell r="BU274">
            <v>0</v>
          </cell>
          <cell r="BV274">
            <v>11</v>
          </cell>
          <cell r="BW274">
            <v>0</v>
          </cell>
          <cell r="BX274">
            <v>0</v>
          </cell>
          <cell r="BY274">
            <v>0</v>
          </cell>
          <cell r="BZ274">
            <v>0</v>
          </cell>
          <cell r="CA274">
            <v>0</v>
          </cell>
          <cell r="CB274">
            <v>0</v>
          </cell>
          <cell r="CC274">
            <v>0</v>
          </cell>
          <cell r="CD274">
            <v>0</v>
          </cell>
        </row>
        <row r="275">
          <cell r="C275">
            <v>37816</v>
          </cell>
          <cell r="D275">
            <v>37970</v>
          </cell>
          <cell r="E275">
            <v>37937</v>
          </cell>
          <cell r="F275">
            <v>37937</v>
          </cell>
          <cell r="G275">
            <v>0.41666666666666669</v>
          </cell>
          <cell r="H275" t="str">
            <v>Proteção danificada</v>
          </cell>
          <cell r="I275">
            <v>0</v>
          </cell>
          <cell r="J275" t="str">
            <v>Não</v>
          </cell>
          <cell r="K275" t="str">
            <v>Mecânica</v>
          </cell>
          <cell r="L275" t="str">
            <v>Não</v>
          </cell>
          <cell r="M275" t="str">
            <v>Falha Operacional</v>
          </cell>
          <cell r="N275">
            <v>37937</v>
          </cell>
          <cell r="O275">
            <v>0.55555555555555558</v>
          </cell>
          <cell r="P275">
            <v>37937</v>
          </cell>
          <cell r="Q275">
            <v>0.55555555555555558</v>
          </cell>
          <cell r="T275">
            <v>37937</v>
          </cell>
          <cell r="U275">
            <v>0.64583333333333337</v>
          </cell>
          <cell r="V275">
            <v>37937</v>
          </cell>
          <cell r="W275">
            <v>0.64583333333333337</v>
          </cell>
          <cell r="X275">
            <v>9.0277777780203072E-2</v>
          </cell>
          <cell r="Y275">
            <v>9.0277777780203072E-2</v>
          </cell>
          <cell r="AB275">
            <v>11</v>
          </cell>
          <cell r="AC275">
            <v>7</v>
          </cell>
          <cell r="AD275">
            <v>0</v>
          </cell>
          <cell r="BF275">
            <v>0</v>
          </cell>
          <cell r="BG275">
            <v>0</v>
          </cell>
          <cell r="BH275">
            <v>0</v>
          </cell>
          <cell r="BI275">
            <v>0</v>
          </cell>
          <cell r="BJ275">
            <v>0</v>
          </cell>
          <cell r="BK275">
            <v>0</v>
          </cell>
          <cell r="BL275">
            <v>0</v>
          </cell>
          <cell r="BM275">
            <v>0</v>
          </cell>
          <cell r="BN275">
            <v>0</v>
          </cell>
          <cell r="BO275">
            <v>0</v>
          </cell>
          <cell r="BP275">
            <v>0</v>
          </cell>
          <cell r="BQ275">
            <v>0</v>
          </cell>
          <cell r="BR275">
            <v>0</v>
          </cell>
          <cell r="BS275">
            <v>0</v>
          </cell>
          <cell r="BT275">
            <v>0</v>
          </cell>
          <cell r="BU275">
            <v>0</v>
          </cell>
          <cell r="BV275">
            <v>11</v>
          </cell>
          <cell r="BW275">
            <v>0</v>
          </cell>
          <cell r="BX275">
            <v>0</v>
          </cell>
          <cell r="BY275">
            <v>0</v>
          </cell>
          <cell r="BZ275">
            <v>0</v>
          </cell>
          <cell r="CA275">
            <v>0</v>
          </cell>
          <cell r="CB275">
            <v>0</v>
          </cell>
          <cell r="CC275">
            <v>0</v>
          </cell>
          <cell r="CD275">
            <v>0</v>
          </cell>
        </row>
        <row r="276">
          <cell r="C276">
            <v>37816</v>
          </cell>
          <cell r="D276">
            <v>37970</v>
          </cell>
          <cell r="E276">
            <v>37949</v>
          </cell>
          <cell r="F276">
            <v>37949</v>
          </cell>
          <cell r="G276">
            <v>0.36388888888888887</v>
          </cell>
          <cell r="I276">
            <v>0</v>
          </cell>
          <cell r="J276" t="str">
            <v>Sim</v>
          </cell>
          <cell r="L276" t="str">
            <v>Sim</v>
          </cell>
          <cell r="M276" t="str">
            <v>OS Cancelada</v>
          </cell>
          <cell r="N276">
            <v>0</v>
          </cell>
          <cell r="P276">
            <v>0</v>
          </cell>
          <cell r="T276">
            <v>37970</v>
          </cell>
          <cell r="V276">
            <v>0</v>
          </cell>
          <cell r="W276">
            <v>0</v>
          </cell>
          <cell r="X276">
            <v>0</v>
          </cell>
          <cell r="Y276">
            <v>0</v>
          </cell>
          <cell r="AB276">
            <v>12</v>
          </cell>
          <cell r="AC276">
            <v>7</v>
          </cell>
          <cell r="AD276">
            <v>0</v>
          </cell>
          <cell r="BF276">
            <v>0</v>
          </cell>
          <cell r="BG276">
            <v>0</v>
          </cell>
          <cell r="BH276">
            <v>0</v>
          </cell>
          <cell r="BI276">
            <v>0</v>
          </cell>
          <cell r="BJ276">
            <v>0</v>
          </cell>
          <cell r="BK276">
            <v>0</v>
          </cell>
          <cell r="BL276">
            <v>0</v>
          </cell>
          <cell r="BM276">
            <v>0</v>
          </cell>
          <cell r="BN276">
            <v>0</v>
          </cell>
          <cell r="BO276">
            <v>0</v>
          </cell>
          <cell r="BP276">
            <v>0</v>
          </cell>
          <cell r="BQ276">
            <v>0</v>
          </cell>
          <cell r="BR276">
            <v>0</v>
          </cell>
          <cell r="BS276">
            <v>0</v>
          </cell>
          <cell r="BT276">
            <v>0</v>
          </cell>
          <cell r="BU276">
            <v>0</v>
          </cell>
          <cell r="BV276">
            <v>12</v>
          </cell>
          <cell r="BW276">
            <v>0</v>
          </cell>
          <cell r="BX276">
            <v>0</v>
          </cell>
          <cell r="BY276">
            <v>0</v>
          </cell>
          <cell r="BZ276">
            <v>0</v>
          </cell>
          <cell r="CA276">
            <v>0</v>
          </cell>
          <cell r="CB276">
            <v>0</v>
          </cell>
          <cell r="CC276">
            <v>0</v>
          </cell>
          <cell r="CD276">
            <v>0</v>
          </cell>
        </row>
        <row r="277">
          <cell r="C277">
            <v>37825</v>
          </cell>
          <cell r="D277">
            <v>37867</v>
          </cell>
          <cell r="E277">
            <v>37862</v>
          </cell>
          <cell r="F277">
            <v>0.41666666666666669</v>
          </cell>
          <cell r="G277" t="str">
            <v>Perfiladora Fagor Montantes</v>
          </cell>
          <cell r="H277" t="str">
            <v>Carro guia da entrada da Perfiladora está se deslocando</v>
          </cell>
          <cell r="I277" t="str">
            <v>Corretiva</v>
          </cell>
          <cell r="J277" t="str">
            <v>Sim</v>
          </cell>
          <cell r="K277" t="str">
            <v>Mecânica</v>
          </cell>
          <cell r="L277" t="str">
            <v>Substituição do(s) Componente(s)</v>
          </cell>
          <cell r="M277" t="str">
            <v>Vibração</v>
          </cell>
          <cell r="N277">
            <v>37862</v>
          </cell>
          <cell r="O277">
            <v>0.41666666666666669</v>
          </cell>
          <cell r="P277">
            <v>37862</v>
          </cell>
          <cell r="Q277">
            <v>0.41666666666666669</v>
          </cell>
          <cell r="T277">
            <v>37862</v>
          </cell>
          <cell r="U277">
            <v>0.45833333333333331</v>
          </cell>
          <cell r="V277">
            <v>37862</v>
          </cell>
          <cell r="W277">
            <v>0.45833333333333331</v>
          </cell>
          <cell r="X277">
            <v>4.166666666666663E-2</v>
          </cell>
          <cell r="Y277">
            <v>4.1666666669091967E-2</v>
          </cell>
          <cell r="AB277">
            <v>8</v>
          </cell>
          <cell r="AC277">
            <v>7</v>
          </cell>
          <cell r="AD277">
            <v>0</v>
          </cell>
          <cell r="BF277">
            <v>0</v>
          </cell>
          <cell r="BG277">
            <v>0</v>
          </cell>
          <cell r="BH277">
            <v>0</v>
          </cell>
          <cell r="BI277">
            <v>0</v>
          </cell>
          <cell r="BJ277">
            <v>0</v>
          </cell>
          <cell r="BK277">
            <v>0</v>
          </cell>
          <cell r="BL277">
            <v>0</v>
          </cell>
          <cell r="BM277">
            <v>0</v>
          </cell>
          <cell r="BN277">
            <v>0</v>
          </cell>
          <cell r="BO277">
            <v>0</v>
          </cell>
          <cell r="BP277">
            <v>0</v>
          </cell>
          <cell r="BQ277">
            <v>0</v>
          </cell>
          <cell r="BR277">
            <v>0</v>
          </cell>
          <cell r="BS277">
            <v>0</v>
          </cell>
          <cell r="BT277">
            <v>0</v>
          </cell>
          <cell r="BU277">
            <v>8</v>
          </cell>
          <cell r="BV277">
            <v>0</v>
          </cell>
          <cell r="BW277">
            <v>0</v>
          </cell>
          <cell r="BX277">
            <v>0</v>
          </cell>
          <cell r="BY277">
            <v>0</v>
          </cell>
          <cell r="BZ277">
            <v>0</v>
          </cell>
          <cell r="CA277">
            <v>0</v>
          </cell>
          <cell r="CB277">
            <v>0</v>
          </cell>
          <cell r="CC277">
            <v>0</v>
          </cell>
          <cell r="CD277">
            <v>0</v>
          </cell>
        </row>
        <row r="278">
          <cell r="C278">
            <v>37825</v>
          </cell>
          <cell r="D278">
            <v>37970</v>
          </cell>
          <cell r="E278">
            <v>37923</v>
          </cell>
          <cell r="F278">
            <v>37923</v>
          </cell>
          <cell r="G278">
            <v>0.61805555555555558</v>
          </cell>
          <cell r="H278" t="str">
            <v>cabo do leitor óptico rompido</v>
          </cell>
          <cell r="I278">
            <v>0</v>
          </cell>
          <cell r="J278" t="str">
            <v>Sim</v>
          </cell>
          <cell r="K278" t="str">
            <v>Elétrica</v>
          </cell>
          <cell r="L278" t="str">
            <v>Sim</v>
          </cell>
          <cell r="M278" t="str">
            <v>Falha Operacional</v>
          </cell>
          <cell r="N278">
            <v>37923</v>
          </cell>
          <cell r="O278">
            <v>0.66666666666666663</v>
          </cell>
          <cell r="P278">
            <v>37923</v>
          </cell>
          <cell r="Q278">
            <v>0.66666666666666663</v>
          </cell>
          <cell r="T278">
            <v>37923</v>
          </cell>
          <cell r="U278">
            <v>0.68402777777777779</v>
          </cell>
          <cell r="V278">
            <v>37923</v>
          </cell>
          <cell r="W278">
            <v>0.68402777777777779</v>
          </cell>
          <cell r="X278">
            <v>1.736111111111116E-2</v>
          </cell>
          <cell r="Y278">
            <v>1.7361111114344907E-2</v>
          </cell>
          <cell r="AB278">
            <v>10</v>
          </cell>
          <cell r="AC278">
            <v>7</v>
          </cell>
          <cell r="AD278">
            <v>0</v>
          </cell>
          <cell r="BF278">
            <v>0</v>
          </cell>
          <cell r="BG278">
            <v>0</v>
          </cell>
          <cell r="BH278">
            <v>0</v>
          </cell>
          <cell r="BI278">
            <v>0</v>
          </cell>
          <cell r="BJ278">
            <v>0</v>
          </cell>
          <cell r="BK278">
            <v>0</v>
          </cell>
          <cell r="BL278">
            <v>0</v>
          </cell>
          <cell r="BM278">
            <v>0</v>
          </cell>
          <cell r="BN278">
            <v>0</v>
          </cell>
          <cell r="BO278">
            <v>0</v>
          </cell>
          <cell r="BP278">
            <v>0</v>
          </cell>
          <cell r="BQ278">
            <v>0</v>
          </cell>
          <cell r="BR278">
            <v>0</v>
          </cell>
          <cell r="BS278">
            <v>0</v>
          </cell>
          <cell r="BT278">
            <v>0</v>
          </cell>
          <cell r="BU278">
            <v>10</v>
          </cell>
          <cell r="BV278">
            <v>0</v>
          </cell>
          <cell r="BW278">
            <v>0</v>
          </cell>
          <cell r="BX278">
            <v>0</v>
          </cell>
          <cell r="BY278">
            <v>0</v>
          </cell>
          <cell r="BZ278">
            <v>0</v>
          </cell>
          <cell r="CA278">
            <v>0</v>
          </cell>
          <cell r="CB278">
            <v>0</v>
          </cell>
          <cell r="CC278">
            <v>0</v>
          </cell>
          <cell r="CD278">
            <v>0</v>
          </cell>
        </row>
        <row r="279">
          <cell r="C279">
            <v>37825</v>
          </cell>
          <cell r="D279">
            <v>37970</v>
          </cell>
          <cell r="E279">
            <v>37953</v>
          </cell>
          <cell r="F279">
            <v>0.41666666666666669</v>
          </cell>
          <cell r="G279" t="str">
            <v>Perfiladora Fagor Montantes</v>
          </cell>
          <cell r="H279" t="str">
            <v>Instalar mangueira e bico de ar no desbobinador</v>
          </cell>
          <cell r="I279">
            <v>0</v>
          </cell>
          <cell r="J279" t="str">
            <v>Não</v>
          </cell>
          <cell r="K279" t="str">
            <v>Mecânica</v>
          </cell>
          <cell r="L279" t="str">
            <v>Montagem / Instalação</v>
          </cell>
          <cell r="M279" t="str">
            <v>Melhoria Técnica</v>
          </cell>
          <cell r="N279">
            <v>37956</v>
          </cell>
          <cell r="O279">
            <v>0.44097222222222227</v>
          </cell>
          <cell r="P279">
            <v>0</v>
          </cell>
          <cell r="T279">
            <v>37956</v>
          </cell>
          <cell r="U279">
            <v>0.46180555555555558</v>
          </cell>
          <cell r="V279">
            <v>0</v>
          </cell>
          <cell r="W279">
            <v>2.083333333252485E-2</v>
          </cell>
          <cell r="X279">
            <v>0</v>
          </cell>
          <cell r="Y279">
            <v>0</v>
          </cell>
          <cell r="AB279">
            <v>12</v>
          </cell>
          <cell r="AC279">
            <v>7</v>
          </cell>
          <cell r="AD279">
            <v>0</v>
          </cell>
          <cell r="BF279">
            <v>0</v>
          </cell>
          <cell r="BG279">
            <v>0</v>
          </cell>
          <cell r="BH279">
            <v>0</v>
          </cell>
          <cell r="BI279">
            <v>0</v>
          </cell>
          <cell r="BJ279">
            <v>0</v>
          </cell>
          <cell r="BK279">
            <v>0</v>
          </cell>
          <cell r="BL279">
            <v>0</v>
          </cell>
          <cell r="BM279">
            <v>0</v>
          </cell>
          <cell r="BN279">
            <v>0</v>
          </cell>
          <cell r="BO279">
            <v>0</v>
          </cell>
          <cell r="BP279">
            <v>0</v>
          </cell>
          <cell r="BQ279">
            <v>0</v>
          </cell>
          <cell r="BR279">
            <v>0</v>
          </cell>
          <cell r="BS279">
            <v>0</v>
          </cell>
          <cell r="BT279">
            <v>0</v>
          </cell>
          <cell r="BU279">
            <v>12</v>
          </cell>
          <cell r="BV279">
            <v>0</v>
          </cell>
          <cell r="BW279">
            <v>0</v>
          </cell>
          <cell r="BX279">
            <v>0</v>
          </cell>
          <cell r="BY279">
            <v>0</v>
          </cell>
          <cell r="BZ279">
            <v>0</v>
          </cell>
          <cell r="CA279">
            <v>0</v>
          </cell>
          <cell r="CB279">
            <v>0</v>
          </cell>
          <cell r="CC279">
            <v>0</v>
          </cell>
          <cell r="CD279">
            <v>0</v>
          </cell>
        </row>
        <row r="280">
          <cell r="C280">
            <v>37825</v>
          </cell>
          <cell r="D280">
            <v>37970</v>
          </cell>
          <cell r="E280">
            <v>37963</v>
          </cell>
          <cell r="F280">
            <v>0.5625</v>
          </cell>
          <cell r="G280" t="str">
            <v>Perfiladora Fagor Montantes</v>
          </cell>
          <cell r="H280" t="str">
            <v>Guia da Cortadora travado</v>
          </cell>
          <cell r="I280">
            <v>0</v>
          </cell>
          <cell r="J280" t="str">
            <v>Sim</v>
          </cell>
          <cell r="K280" t="str">
            <v>Mecânica</v>
          </cell>
          <cell r="L280" t="str">
            <v>Reparo</v>
          </cell>
          <cell r="M280" t="str">
            <v>Falha de Montagem / Preparação</v>
          </cell>
          <cell r="N280">
            <v>37963</v>
          </cell>
          <cell r="O280">
            <v>0.5625</v>
          </cell>
          <cell r="P280">
            <v>0</v>
          </cell>
          <cell r="T280">
            <v>37963</v>
          </cell>
          <cell r="U280">
            <v>0.60416666666666663</v>
          </cell>
          <cell r="V280">
            <v>0</v>
          </cell>
          <cell r="W280">
            <v>4.1666666664241347E-2</v>
          </cell>
          <cell r="X280">
            <v>0</v>
          </cell>
          <cell r="Y280">
            <v>0</v>
          </cell>
          <cell r="AB280">
            <v>12</v>
          </cell>
          <cell r="AC280">
            <v>7</v>
          </cell>
          <cell r="AD280">
            <v>0</v>
          </cell>
          <cell r="BF280">
            <v>0</v>
          </cell>
          <cell r="BG280">
            <v>0</v>
          </cell>
          <cell r="BH280">
            <v>0</v>
          </cell>
          <cell r="BI280">
            <v>0</v>
          </cell>
          <cell r="BJ280">
            <v>0</v>
          </cell>
          <cell r="BK280">
            <v>0</v>
          </cell>
          <cell r="BL280">
            <v>0</v>
          </cell>
          <cell r="BM280">
            <v>0</v>
          </cell>
          <cell r="BN280">
            <v>0</v>
          </cell>
          <cell r="BO280">
            <v>0</v>
          </cell>
          <cell r="BP280">
            <v>0</v>
          </cell>
          <cell r="BQ280">
            <v>0</v>
          </cell>
          <cell r="BR280">
            <v>0</v>
          </cell>
          <cell r="BS280">
            <v>0</v>
          </cell>
          <cell r="BT280">
            <v>0</v>
          </cell>
          <cell r="BU280">
            <v>12</v>
          </cell>
          <cell r="BV280">
            <v>0</v>
          </cell>
          <cell r="BW280">
            <v>0</v>
          </cell>
          <cell r="BX280">
            <v>0</v>
          </cell>
          <cell r="BY280">
            <v>0</v>
          </cell>
          <cell r="BZ280">
            <v>0</v>
          </cell>
          <cell r="CA280">
            <v>0</v>
          </cell>
          <cell r="CB280">
            <v>0</v>
          </cell>
          <cell r="CC280">
            <v>0</v>
          </cell>
          <cell r="CD280">
            <v>0</v>
          </cell>
        </row>
        <row r="281">
          <cell r="C281">
            <v>37825</v>
          </cell>
          <cell r="D281">
            <v>37972</v>
          </cell>
          <cell r="E281">
            <v>37964</v>
          </cell>
          <cell r="F281">
            <v>0.29166666666666669</v>
          </cell>
          <cell r="G281" t="str">
            <v>Perfiladora Fagor Montantes</v>
          </cell>
          <cell r="H281" t="str">
            <v>Parafuso de regulagem da cabeça turca espanado</v>
          </cell>
          <cell r="I281">
            <v>0</v>
          </cell>
          <cell r="J281" t="str">
            <v>Não</v>
          </cell>
          <cell r="K281" t="str">
            <v>Mecânica</v>
          </cell>
          <cell r="L281" t="str">
            <v>Reparo</v>
          </cell>
          <cell r="M281" t="str">
            <v>Desgaste / Fadiga</v>
          </cell>
          <cell r="N281">
            <v>37964</v>
          </cell>
          <cell r="O281">
            <v>0.375</v>
          </cell>
          <cell r="P281">
            <v>0</v>
          </cell>
          <cell r="T281">
            <v>37964</v>
          </cell>
          <cell r="U281">
            <v>0.41666666666666669</v>
          </cell>
          <cell r="V281">
            <v>0</v>
          </cell>
          <cell r="W281">
            <v>4.1666666664241347E-2</v>
          </cell>
          <cell r="X281">
            <v>0</v>
          </cell>
          <cell r="Y281">
            <v>0</v>
          </cell>
          <cell r="AB281">
            <v>12</v>
          </cell>
          <cell r="AC281">
            <v>7</v>
          </cell>
          <cell r="AD281">
            <v>0</v>
          </cell>
          <cell r="BF281">
            <v>0</v>
          </cell>
          <cell r="BG281">
            <v>0</v>
          </cell>
          <cell r="BH281">
            <v>0</v>
          </cell>
          <cell r="BI281">
            <v>0</v>
          </cell>
          <cell r="BJ281">
            <v>0</v>
          </cell>
          <cell r="BK281">
            <v>0</v>
          </cell>
          <cell r="BL281">
            <v>0</v>
          </cell>
          <cell r="BM281">
            <v>0</v>
          </cell>
          <cell r="BN281">
            <v>0</v>
          </cell>
          <cell r="BO281">
            <v>0</v>
          </cell>
          <cell r="BP281">
            <v>0</v>
          </cell>
          <cell r="BQ281">
            <v>0</v>
          </cell>
          <cell r="BR281">
            <v>0</v>
          </cell>
          <cell r="BS281">
            <v>0</v>
          </cell>
          <cell r="BT281">
            <v>0</v>
          </cell>
          <cell r="BU281">
            <v>12</v>
          </cell>
          <cell r="BV281">
            <v>0</v>
          </cell>
          <cell r="BW281">
            <v>0</v>
          </cell>
          <cell r="BX281">
            <v>0</v>
          </cell>
          <cell r="BY281">
            <v>0</v>
          </cell>
          <cell r="BZ281">
            <v>0</v>
          </cell>
          <cell r="CA281">
            <v>0</v>
          </cell>
          <cell r="CB281">
            <v>0</v>
          </cell>
          <cell r="CC281">
            <v>0</v>
          </cell>
          <cell r="CD281">
            <v>0</v>
          </cell>
        </row>
        <row r="282">
          <cell r="C282">
            <v>37825</v>
          </cell>
          <cell r="D282">
            <v>38008</v>
          </cell>
          <cell r="E282">
            <v>37978</v>
          </cell>
          <cell r="F282">
            <v>0.3125</v>
          </cell>
          <cell r="G282" t="str">
            <v>Perfiladora Fagor Montantes</v>
          </cell>
          <cell r="H282" t="str">
            <v>Desbobinador lento quando funciona no lado no. 02</v>
          </cell>
          <cell r="I282">
            <v>0</v>
          </cell>
          <cell r="J282" t="str">
            <v>Não</v>
          </cell>
          <cell r="K282" t="str">
            <v>Mecânica</v>
          </cell>
          <cell r="L282" t="str">
            <v>Regulagem do Componente</v>
          </cell>
          <cell r="M282" t="str">
            <v>Falha de Ajuste / Parâmetros</v>
          </cell>
          <cell r="N282">
            <v>0</v>
          </cell>
          <cell r="O282">
            <v>0.35416666666666669</v>
          </cell>
          <cell r="P282">
            <v>0</v>
          </cell>
          <cell r="T282">
            <v>0</v>
          </cell>
          <cell r="U282">
            <v>0.375</v>
          </cell>
          <cell r="V282">
            <v>0</v>
          </cell>
          <cell r="W282">
            <v>0</v>
          </cell>
          <cell r="X282">
            <v>0</v>
          </cell>
          <cell r="Y282">
            <v>0</v>
          </cell>
          <cell r="AB282">
            <v>0</v>
          </cell>
          <cell r="AC282">
            <v>7</v>
          </cell>
          <cell r="AD282">
            <v>0</v>
          </cell>
          <cell r="BF282">
            <v>0</v>
          </cell>
          <cell r="BG282">
            <v>0</v>
          </cell>
          <cell r="BH282">
            <v>0</v>
          </cell>
          <cell r="BI282">
            <v>0</v>
          </cell>
          <cell r="BJ282">
            <v>0</v>
          </cell>
          <cell r="BK282">
            <v>0</v>
          </cell>
          <cell r="BL282">
            <v>0</v>
          </cell>
          <cell r="BM282">
            <v>0</v>
          </cell>
          <cell r="BN282">
            <v>0</v>
          </cell>
          <cell r="BO282">
            <v>0</v>
          </cell>
          <cell r="BP282">
            <v>0</v>
          </cell>
          <cell r="BQ282">
            <v>0</v>
          </cell>
          <cell r="BR282">
            <v>0</v>
          </cell>
          <cell r="BS282">
            <v>0</v>
          </cell>
          <cell r="BT282">
            <v>0</v>
          </cell>
          <cell r="BU282">
            <v>0</v>
          </cell>
          <cell r="BV282">
            <v>0</v>
          </cell>
          <cell r="BW282">
            <v>0</v>
          </cell>
          <cell r="BX282">
            <v>0</v>
          </cell>
          <cell r="BY282">
            <v>0</v>
          </cell>
          <cell r="BZ282">
            <v>0</v>
          </cell>
          <cell r="CA282">
            <v>0</v>
          </cell>
          <cell r="CB282">
            <v>0</v>
          </cell>
          <cell r="CC282">
            <v>0</v>
          </cell>
          <cell r="CD282">
            <v>0</v>
          </cell>
        </row>
        <row r="283">
          <cell r="C283">
            <v>37825</v>
          </cell>
          <cell r="I283">
            <v>0</v>
          </cell>
          <cell r="N283">
            <v>0</v>
          </cell>
          <cell r="P283">
            <v>0</v>
          </cell>
          <cell r="T283">
            <v>0</v>
          </cell>
          <cell r="V283">
            <v>0</v>
          </cell>
          <cell r="W283">
            <v>0</v>
          </cell>
          <cell r="X283">
            <v>0</v>
          </cell>
          <cell r="Y283">
            <v>0</v>
          </cell>
          <cell r="AB283">
            <v>0</v>
          </cell>
          <cell r="AC283">
            <v>7</v>
          </cell>
          <cell r="AD283">
            <v>0</v>
          </cell>
          <cell r="BF283">
            <v>0</v>
          </cell>
          <cell r="BG283">
            <v>0</v>
          </cell>
          <cell r="BH283">
            <v>0</v>
          </cell>
          <cell r="BI283">
            <v>0</v>
          </cell>
          <cell r="BJ283">
            <v>0</v>
          </cell>
          <cell r="BK283">
            <v>0</v>
          </cell>
          <cell r="BL283">
            <v>0</v>
          </cell>
          <cell r="BM283">
            <v>0</v>
          </cell>
          <cell r="BN283">
            <v>0</v>
          </cell>
          <cell r="BO283">
            <v>0</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C283">
            <v>0</v>
          </cell>
          <cell r="CD283">
            <v>0</v>
          </cell>
        </row>
        <row r="284">
          <cell r="C284">
            <v>37825</v>
          </cell>
          <cell r="I284">
            <v>0</v>
          </cell>
          <cell r="N284">
            <v>0</v>
          </cell>
          <cell r="P284">
            <v>0</v>
          </cell>
          <cell r="T284">
            <v>0</v>
          </cell>
          <cell r="V284">
            <v>0</v>
          </cell>
          <cell r="W284">
            <v>0</v>
          </cell>
          <cell r="X284">
            <v>0</v>
          </cell>
          <cell r="Y284">
            <v>0</v>
          </cell>
          <cell r="AB284">
            <v>0</v>
          </cell>
          <cell r="AC284">
            <v>7</v>
          </cell>
          <cell r="AD284">
            <v>0</v>
          </cell>
          <cell r="BF284">
            <v>0</v>
          </cell>
          <cell r="BG284">
            <v>0</v>
          </cell>
          <cell r="BH284">
            <v>0</v>
          </cell>
          <cell r="BI284">
            <v>0</v>
          </cell>
          <cell r="BJ284">
            <v>0</v>
          </cell>
          <cell r="BK284">
            <v>0</v>
          </cell>
          <cell r="BL284">
            <v>0</v>
          </cell>
          <cell r="BM284">
            <v>0</v>
          </cell>
          <cell r="BN284">
            <v>0</v>
          </cell>
          <cell r="BO284">
            <v>0</v>
          </cell>
          <cell r="BP284">
            <v>0</v>
          </cell>
          <cell r="BQ284">
            <v>0</v>
          </cell>
          <cell r="BR284">
            <v>0</v>
          </cell>
          <cell r="BS284">
            <v>0</v>
          </cell>
          <cell r="BT284">
            <v>0</v>
          </cell>
          <cell r="BU284">
            <v>0</v>
          </cell>
          <cell r="BV284">
            <v>0</v>
          </cell>
          <cell r="BW284">
            <v>0</v>
          </cell>
          <cell r="BX284">
            <v>0</v>
          </cell>
          <cell r="BY284">
            <v>0</v>
          </cell>
          <cell r="BZ284">
            <v>0</v>
          </cell>
          <cell r="CA284">
            <v>0</v>
          </cell>
          <cell r="CB284">
            <v>0</v>
          </cell>
          <cell r="CC284">
            <v>0</v>
          </cell>
          <cell r="CD284">
            <v>0</v>
          </cell>
        </row>
        <row r="285">
          <cell r="C285">
            <v>37825</v>
          </cell>
          <cell r="I285">
            <v>0</v>
          </cell>
          <cell r="N285">
            <v>0</v>
          </cell>
          <cell r="P285">
            <v>0</v>
          </cell>
          <cell r="T285">
            <v>0</v>
          </cell>
          <cell r="V285">
            <v>0</v>
          </cell>
          <cell r="W285">
            <v>0</v>
          </cell>
          <cell r="X285">
            <v>0</v>
          </cell>
          <cell r="Y285">
            <v>0</v>
          </cell>
          <cell r="AB285">
            <v>0</v>
          </cell>
          <cell r="AC285">
            <v>7</v>
          </cell>
          <cell r="AD285">
            <v>0</v>
          </cell>
          <cell r="BF285">
            <v>0</v>
          </cell>
          <cell r="BG285">
            <v>0</v>
          </cell>
          <cell r="BH285">
            <v>0</v>
          </cell>
          <cell r="BI285">
            <v>0</v>
          </cell>
          <cell r="BJ285">
            <v>0</v>
          </cell>
          <cell r="BK285">
            <v>0</v>
          </cell>
          <cell r="BL285">
            <v>0</v>
          </cell>
          <cell r="BM285">
            <v>0</v>
          </cell>
          <cell r="BN285">
            <v>0</v>
          </cell>
          <cell r="BO285">
            <v>0</v>
          </cell>
          <cell r="BP285">
            <v>0</v>
          </cell>
          <cell r="BQ285">
            <v>0</v>
          </cell>
          <cell r="BR285">
            <v>0</v>
          </cell>
          <cell r="BS285">
            <v>0</v>
          </cell>
          <cell r="BT285">
            <v>0</v>
          </cell>
          <cell r="BU285">
            <v>0</v>
          </cell>
          <cell r="BV285">
            <v>0</v>
          </cell>
          <cell r="BW285">
            <v>0</v>
          </cell>
          <cell r="BX285">
            <v>0</v>
          </cell>
          <cell r="BY285">
            <v>0</v>
          </cell>
          <cell r="BZ285">
            <v>0</v>
          </cell>
          <cell r="CA285">
            <v>0</v>
          </cell>
          <cell r="CB285">
            <v>0</v>
          </cell>
          <cell r="CC285">
            <v>0</v>
          </cell>
          <cell r="CD285">
            <v>0</v>
          </cell>
        </row>
        <row r="286">
          <cell r="C286">
            <v>37825</v>
          </cell>
          <cell r="I286">
            <v>0</v>
          </cell>
          <cell r="N286">
            <v>0</v>
          </cell>
          <cell r="P286">
            <v>0</v>
          </cell>
          <cell r="T286">
            <v>0</v>
          </cell>
          <cell r="V286">
            <v>0</v>
          </cell>
          <cell r="W286">
            <v>0</v>
          </cell>
          <cell r="X286">
            <v>0</v>
          </cell>
          <cell r="Y286">
            <v>0</v>
          </cell>
          <cell r="AB286">
            <v>0</v>
          </cell>
          <cell r="AC286">
            <v>7</v>
          </cell>
          <cell r="AD286">
            <v>0</v>
          </cell>
          <cell r="BF286">
            <v>0</v>
          </cell>
          <cell r="BG286">
            <v>0</v>
          </cell>
          <cell r="BH286">
            <v>0</v>
          </cell>
          <cell r="BI286">
            <v>0</v>
          </cell>
          <cell r="BJ286">
            <v>0</v>
          </cell>
          <cell r="BK286">
            <v>0</v>
          </cell>
          <cell r="BL286">
            <v>0</v>
          </cell>
          <cell r="BM286">
            <v>0</v>
          </cell>
          <cell r="BN286">
            <v>0</v>
          </cell>
          <cell r="BO286">
            <v>0</v>
          </cell>
          <cell r="BP286">
            <v>0</v>
          </cell>
          <cell r="BQ286">
            <v>0</v>
          </cell>
          <cell r="BR286">
            <v>0</v>
          </cell>
          <cell r="BS286">
            <v>0</v>
          </cell>
          <cell r="BT286">
            <v>0</v>
          </cell>
          <cell r="BU286">
            <v>0</v>
          </cell>
          <cell r="BV286">
            <v>0</v>
          </cell>
          <cell r="BW286">
            <v>0</v>
          </cell>
          <cell r="BX286">
            <v>0</v>
          </cell>
          <cell r="BY286">
            <v>0</v>
          </cell>
          <cell r="BZ286">
            <v>0</v>
          </cell>
          <cell r="CA286">
            <v>0</v>
          </cell>
          <cell r="CB286">
            <v>0</v>
          </cell>
          <cell r="CC286">
            <v>0</v>
          </cell>
          <cell r="CD286">
            <v>0</v>
          </cell>
        </row>
        <row r="287">
          <cell r="C287">
            <v>37825</v>
          </cell>
          <cell r="I287">
            <v>0</v>
          </cell>
          <cell r="N287">
            <v>0</v>
          </cell>
          <cell r="P287">
            <v>0</v>
          </cell>
          <cell r="T287">
            <v>0</v>
          </cell>
          <cell r="V287">
            <v>0</v>
          </cell>
          <cell r="W287">
            <v>0</v>
          </cell>
          <cell r="X287">
            <v>0</v>
          </cell>
          <cell r="Y287">
            <v>0</v>
          </cell>
          <cell r="AB287">
            <v>0</v>
          </cell>
          <cell r="AC287">
            <v>7</v>
          </cell>
          <cell r="AD287">
            <v>0</v>
          </cell>
          <cell r="BF287">
            <v>0</v>
          </cell>
          <cell r="BG287">
            <v>0</v>
          </cell>
          <cell r="BH287">
            <v>0</v>
          </cell>
          <cell r="BI287">
            <v>0</v>
          </cell>
          <cell r="BJ287">
            <v>0</v>
          </cell>
          <cell r="BK287">
            <v>0</v>
          </cell>
          <cell r="BL287">
            <v>0</v>
          </cell>
          <cell r="BM287">
            <v>0</v>
          </cell>
          <cell r="BN287">
            <v>0</v>
          </cell>
          <cell r="BO287">
            <v>0</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row>
        <row r="288">
          <cell r="C288">
            <v>37825</v>
          </cell>
          <cell r="D288">
            <v>37918</v>
          </cell>
          <cell r="E288">
            <v>37888</v>
          </cell>
          <cell r="F288">
            <v>0.35416666666666669</v>
          </cell>
          <cell r="G288" t="str">
            <v>Perfiladora Fagor Montantes</v>
          </cell>
          <cell r="H288" t="str">
            <v>Botão de acionamento da linha não funciona</v>
          </cell>
          <cell r="I288" t="str">
            <v>Corretiva</v>
          </cell>
          <cell r="J288" t="str">
            <v>Não</v>
          </cell>
          <cell r="K288" t="str">
            <v>Elétrica</v>
          </cell>
          <cell r="L288" t="str">
            <v>Substituição do(s) Componente(s)</v>
          </cell>
          <cell r="M288" t="str">
            <v>Falha Operacional</v>
          </cell>
          <cell r="N288">
            <v>37888</v>
          </cell>
          <cell r="O288">
            <v>0.39583333333333331</v>
          </cell>
          <cell r="P288">
            <v>37888</v>
          </cell>
          <cell r="Q288">
            <v>0.39583333333333331</v>
          </cell>
          <cell r="T288">
            <v>37888</v>
          </cell>
          <cell r="U288">
            <v>0.40277777777777773</v>
          </cell>
          <cell r="V288">
            <v>37888</v>
          </cell>
          <cell r="W288">
            <v>0.40277777777777773</v>
          </cell>
          <cell r="X288">
            <v>6.9444444476782219E-3</v>
          </cell>
          <cell r="Y288">
            <v>6.9444444476782219E-3</v>
          </cell>
          <cell r="AB288">
            <v>9</v>
          </cell>
          <cell r="AC288">
            <v>7</v>
          </cell>
          <cell r="AD288">
            <v>0</v>
          </cell>
          <cell r="BF288">
            <v>0</v>
          </cell>
          <cell r="BG288">
            <v>0</v>
          </cell>
          <cell r="BH288">
            <v>0</v>
          </cell>
          <cell r="BI288">
            <v>0</v>
          </cell>
          <cell r="BJ288">
            <v>0</v>
          </cell>
          <cell r="BK288">
            <v>0</v>
          </cell>
          <cell r="BL288">
            <v>0</v>
          </cell>
          <cell r="BM288">
            <v>0</v>
          </cell>
          <cell r="BN288">
            <v>0</v>
          </cell>
          <cell r="BO288">
            <v>0</v>
          </cell>
          <cell r="BP288">
            <v>0</v>
          </cell>
          <cell r="BQ288">
            <v>0</v>
          </cell>
          <cell r="BR288">
            <v>0</v>
          </cell>
          <cell r="BS288">
            <v>0</v>
          </cell>
          <cell r="BT288">
            <v>0</v>
          </cell>
          <cell r="BU288">
            <v>9</v>
          </cell>
          <cell r="BV288">
            <v>0</v>
          </cell>
          <cell r="BW288">
            <v>0</v>
          </cell>
          <cell r="BX288">
            <v>0</v>
          </cell>
          <cell r="BY288">
            <v>0</v>
          </cell>
          <cell r="BZ288">
            <v>0</v>
          </cell>
          <cell r="CA288">
            <v>0</v>
          </cell>
          <cell r="CB288">
            <v>0</v>
          </cell>
          <cell r="CC288">
            <v>0</v>
          </cell>
          <cell r="CD288">
            <v>0</v>
          </cell>
        </row>
        <row r="289">
          <cell r="C289">
            <v>37825</v>
          </cell>
          <cell r="D289">
            <v>37902</v>
          </cell>
          <cell r="E289">
            <v>179</v>
          </cell>
          <cell r="F289">
            <v>0.5</v>
          </cell>
          <cell r="G289" t="str">
            <v>Perfiladora Fagor Montantes</v>
          </cell>
          <cell r="H289" t="str">
            <v>Necessidade de melhoria quanto à fixação do Encoder</v>
          </cell>
          <cell r="I289" t="str">
            <v>Melhoria</v>
          </cell>
          <cell r="J289" t="str">
            <v>Não</v>
          </cell>
          <cell r="K289" t="str">
            <v>Mecânica</v>
          </cell>
          <cell r="L289" t="str">
            <v>Alteração no sistema de fixação</v>
          </cell>
          <cell r="M289" t="str">
            <v>Melhoria Técnica</v>
          </cell>
          <cell r="N289">
            <v>37889</v>
          </cell>
          <cell r="O289">
            <v>0.54166666666666663</v>
          </cell>
          <cell r="P289">
            <v>37889</v>
          </cell>
          <cell r="Q289">
            <v>0.625</v>
          </cell>
          <cell r="R289">
            <v>37896</v>
          </cell>
          <cell r="S289">
            <v>0.33333333333333331</v>
          </cell>
          <cell r="T289">
            <v>37896</v>
          </cell>
          <cell r="U289">
            <v>0.47916666666666669</v>
          </cell>
          <cell r="V289">
            <v>0</v>
          </cell>
          <cell r="W289">
            <v>0.22916666666666674</v>
          </cell>
          <cell r="X289">
            <v>0.22916666666666674</v>
          </cell>
          <cell r="Y289">
            <v>0.22916666666666674</v>
          </cell>
          <cell r="AB289">
            <v>10</v>
          </cell>
          <cell r="AC289">
            <v>7</v>
          </cell>
          <cell r="AD289">
            <v>0</v>
          </cell>
          <cell r="BF289">
            <v>0</v>
          </cell>
          <cell r="BG289">
            <v>0</v>
          </cell>
          <cell r="BH289">
            <v>0</v>
          </cell>
          <cell r="BI289">
            <v>0</v>
          </cell>
          <cell r="BJ289">
            <v>0</v>
          </cell>
          <cell r="BK289">
            <v>0</v>
          </cell>
          <cell r="BL289">
            <v>0</v>
          </cell>
          <cell r="BM289">
            <v>0</v>
          </cell>
          <cell r="BN289">
            <v>0</v>
          </cell>
          <cell r="BO289">
            <v>0</v>
          </cell>
          <cell r="BP289">
            <v>0</v>
          </cell>
          <cell r="BQ289">
            <v>0</v>
          </cell>
          <cell r="BR289">
            <v>0</v>
          </cell>
          <cell r="BS289">
            <v>0</v>
          </cell>
          <cell r="BT289">
            <v>0</v>
          </cell>
          <cell r="BU289">
            <v>10</v>
          </cell>
          <cell r="BV289">
            <v>0</v>
          </cell>
          <cell r="BW289">
            <v>0</v>
          </cell>
          <cell r="BX289">
            <v>0</v>
          </cell>
          <cell r="BY289">
            <v>0</v>
          </cell>
          <cell r="BZ289">
            <v>0</v>
          </cell>
          <cell r="CA289">
            <v>0</v>
          </cell>
          <cell r="CB289">
            <v>0</v>
          </cell>
          <cell r="CC289">
            <v>0</v>
          </cell>
          <cell r="CD289">
            <v>0</v>
          </cell>
        </row>
        <row r="290">
          <cell r="C290">
            <v>37825</v>
          </cell>
          <cell r="D290">
            <v>37868</v>
          </cell>
          <cell r="E290">
            <v>37868</v>
          </cell>
          <cell r="F290">
            <v>0.3125</v>
          </cell>
          <cell r="G290" t="str">
            <v>Perfiladora Fagor Montantes</v>
          </cell>
          <cell r="H290" t="str">
            <v>Eixo guia do perfil travado</v>
          </cell>
          <cell r="I290" t="str">
            <v>Corretiva</v>
          </cell>
          <cell r="J290" t="str">
            <v>Sim</v>
          </cell>
          <cell r="K290" t="str">
            <v>Mecânica</v>
          </cell>
          <cell r="L290" t="str">
            <v>Ajuste / Regulagem</v>
          </cell>
          <cell r="M290" t="str">
            <v>Causa não especificada</v>
          </cell>
          <cell r="N290">
            <v>37868</v>
          </cell>
          <cell r="O290">
            <v>0.3125</v>
          </cell>
          <cell r="P290">
            <v>37868</v>
          </cell>
          <cell r="Q290">
            <v>0.3125</v>
          </cell>
          <cell r="T290">
            <v>37868</v>
          </cell>
          <cell r="U290">
            <v>0.33333333333333331</v>
          </cell>
          <cell r="V290">
            <v>37868</v>
          </cell>
          <cell r="W290">
            <v>0.33333333333333331</v>
          </cell>
          <cell r="X290">
            <v>2.0833333333333315E-2</v>
          </cell>
          <cell r="Y290">
            <v>2.0833333335758653E-2</v>
          </cell>
          <cell r="AB290">
            <v>9</v>
          </cell>
          <cell r="AC290">
            <v>7</v>
          </cell>
          <cell r="AD290">
            <v>0</v>
          </cell>
          <cell r="BF290">
            <v>0</v>
          </cell>
          <cell r="BG290">
            <v>0</v>
          </cell>
          <cell r="BH290">
            <v>0</v>
          </cell>
          <cell r="BI290">
            <v>0</v>
          </cell>
          <cell r="BJ290">
            <v>0</v>
          </cell>
          <cell r="BK290">
            <v>0</v>
          </cell>
          <cell r="BL290">
            <v>0</v>
          </cell>
          <cell r="BM290">
            <v>0</v>
          </cell>
          <cell r="BN290">
            <v>0</v>
          </cell>
          <cell r="BO290">
            <v>0</v>
          </cell>
          <cell r="BP290">
            <v>0</v>
          </cell>
          <cell r="BQ290">
            <v>0</v>
          </cell>
          <cell r="BR290">
            <v>0</v>
          </cell>
          <cell r="BS290">
            <v>0</v>
          </cell>
          <cell r="BT290">
            <v>0</v>
          </cell>
          <cell r="BU290">
            <v>9</v>
          </cell>
          <cell r="BV290">
            <v>0</v>
          </cell>
          <cell r="BW290">
            <v>0</v>
          </cell>
          <cell r="BX290">
            <v>0</v>
          </cell>
          <cell r="BY290">
            <v>0</v>
          </cell>
          <cell r="BZ290">
            <v>0</v>
          </cell>
          <cell r="CA290">
            <v>0</v>
          </cell>
          <cell r="CB290">
            <v>0</v>
          </cell>
          <cell r="CC290">
            <v>0</v>
          </cell>
          <cell r="CD290">
            <v>0</v>
          </cell>
        </row>
        <row r="291">
          <cell r="C291">
            <v>37825</v>
          </cell>
          <cell r="D291">
            <v>37900</v>
          </cell>
          <cell r="E291">
            <v>37882</v>
          </cell>
          <cell r="F291">
            <v>0.60416666666666663</v>
          </cell>
          <cell r="G291" t="str">
            <v>Perfiladora Fagor Montantes</v>
          </cell>
          <cell r="H291" t="str">
            <v>Acoplamento do Redutor está solto</v>
          </cell>
          <cell r="I291" t="str">
            <v>Corretiva</v>
          </cell>
          <cell r="J291" t="str">
            <v>Não</v>
          </cell>
          <cell r="K291" t="str">
            <v>Mecânica</v>
          </cell>
          <cell r="L291" t="str">
            <v>Reparo</v>
          </cell>
          <cell r="M291" t="str">
            <v>Vibração</v>
          </cell>
          <cell r="N291">
            <v>37883</v>
          </cell>
          <cell r="O291">
            <v>0.25</v>
          </cell>
          <cell r="P291">
            <v>37883</v>
          </cell>
          <cell r="Q291">
            <v>0.25</v>
          </cell>
          <cell r="T291">
            <v>37883</v>
          </cell>
          <cell r="U291">
            <v>0.3125</v>
          </cell>
          <cell r="V291">
            <v>37883</v>
          </cell>
          <cell r="W291">
            <v>0.3125</v>
          </cell>
          <cell r="X291">
            <v>6.25E-2</v>
          </cell>
          <cell r="Y291">
            <v>6.25E-2</v>
          </cell>
          <cell r="AB291">
            <v>9</v>
          </cell>
          <cell r="AC291">
            <v>7</v>
          </cell>
          <cell r="AD291">
            <v>0</v>
          </cell>
          <cell r="BF291">
            <v>0</v>
          </cell>
          <cell r="BG291">
            <v>0</v>
          </cell>
          <cell r="BH291">
            <v>0</v>
          </cell>
          <cell r="BI291">
            <v>0</v>
          </cell>
          <cell r="BJ291">
            <v>0</v>
          </cell>
          <cell r="BK291">
            <v>0</v>
          </cell>
          <cell r="BL291">
            <v>0</v>
          </cell>
          <cell r="BM291">
            <v>0</v>
          </cell>
          <cell r="BN291">
            <v>0</v>
          </cell>
          <cell r="BO291">
            <v>0</v>
          </cell>
          <cell r="BP291">
            <v>0</v>
          </cell>
          <cell r="BQ291">
            <v>0</v>
          </cell>
          <cell r="BR291">
            <v>0</v>
          </cell>
          <cell r="BS291">
            <v>0</v>
          </cell>
          <cell r="BT291">
            <v>0</v>
          </cell>
          <cell r="BU291">
            <v>9</v>
          </cell>
          <cell r="BV291">
            <v>0</v>
          </cell>
          <cell r="BW291">
            <v>0</v>
          </cell>
          <cell r="BX291">
            <v>0</v>
          </cell>
          <cell r="BY291">
            <v>0</v>
          </cell>
          <cell r="BZ291">
            <v>0</v>
          </cell>
          <cell r="CA291">
            <v>0</v>
          </cell>
          <cell r="CB291">
            <v>0</v>
          </cell>
          <cell r="CC291">
            <v>0</v>
          </cell>
          <cell r="CD291">
            <v>0</v>
          </cell>
        </row>
        <row r="292">
          <cell r="C292">
            <v>37825</v>
          </cell>
          <cell r="D292">
            <v>37918</v>
          </cell>
          <cell r="E292">
            <v>37890</v>
          </cell>
          <cell r="F292">
            <v>0.5625</v>
          </cell>
          <cell r="G292" t="str">
            <v>Perfiladora Fagor Montantes</v>
          </cell>
          <cell r="H292" t="str">
            <v>Sensor de saída da prensa (na valeta) não funciona</v>
          </cell>
          <cell r="I292" t="str">
            <v>Corretiva</v>
          </cell>
          <cell r="J292" t="str">
            <v>Sim</v>
          </cell>
          <cell r="K292" t="str">
            <v>Elétrica</v>
          </cell>
          <cell r="L292" t="str">
            <v>Regulagem do Componente</v>
          </cell>
          <cell r="M292" t="str">
            <v>Vibração</v>
          </cell>
          <cell r="N292">
            <v>37890</v>
          </cell>
          <cell r="O292">
            <v>0.59722222222222221</v>
          </cell>
          <cell r="P292">
            <v>37890</v>
          </cell>
          <cell r="Q292">
            <v>0.59722222222222221</v>
          </cell>
          <cell r="T292">
            <v>37890</v>
          </cell>
          <cell r="U292">
            <v>0.60416666666666663</v>
          </cell>
          <cell r="V292">
            <v>37890</v>
          </cell>
          <cell r="W292">
            <v>0.60416666666666663</v>
          </cell>
          <cell r="X292">
            <v>6.9444444444444198E-3</v>
          </cell>
          <cell r="Y292">
            <v>6.9444444420191376E-3</v>
          </cell>
          <cell r="AB292">
            <v>9</v>
          </cell>
          <cell r="AC292">
            <v>7</v>
          </cell>
          <cell r="AD292">
            <v>0</v>
          </cell>
          <cell r="BF292">
            <v>0</v>
          </cell>
          <cell r="BG292">
            <v>0</v>
          </cell>
          <cell r="BH292">
            <v>0</v>
          </cell>
          <cell r="BI292">
            <v>0</v>
          </cell>
          <cell r="BJ292">
            <v>0</v>
          </cell>
          <cell r="BK292">
            <v>0</v>
          </cell>
          <cell r="BL292">
            <v>0</v>
          </cell>
          <cell r="BM292">
            <v>0</v>
          </cell>
          <cell r="BN292">
            <v>0</v>
          </cell>
          <cell r="BO292">
            <v>0</v>
          </cell>
          <cell r="BP292">
            <v>0</v>
          </cell>
          <cell r="BQ292">
            <v>0</v>
          </cell>
          <cell r="BR292">
            <v>0</v>
          </cell>
          <cell r="BS292">
            <v>0</v>
          </cell>
          <cell r="BT292">
            <v>0</v>
          </cell>
          <cell r="BU292">
            <v>9</v>
          </cell>
          <cell r="BV292">
            <v>0</v>
          </cell>
          <cell r="BW292">
            <v>0</v>
          </cell>
          <cell r="BX292">
            <v>0</v>
          </cell>
          <cell r="BY292">
            <v>0</v>
          </cell>
          <cell r="BZ292">
            <v>0</v>
          </cell>
          <cell r="CA292">
            <v>0</v>
          </cell>
          <cell r="CB292">
            <v>0</v>
          </cell>
          <cell r="CC292">
            <v>0</v>
          </cell>
          <cell r="CD292">
            <v>0</v>
          </cell>
        </row>
        <row r="293">
          <cell r="C293">
            <v>37825</v>
          </cell>
          <cell r="D293">
            <v>37900</v>
          </cell>
          <cell r="E293">
            <v>37894</v>
          </cell>
          <cell r="F293">
            <v>0.29166666666666669</v>
          </cell>
          <cell r="G293" t="str">
            <v>Perfiladora Fagor Montantes</v>
          </cell>
          <cell r="H293" t="str">
            <v>Porcelana de Solda quebrada</v>
          </cell>
          <cell r="I293" t="str">
            <v>Corretiva</v>
          </cell>
          <cell r="J293" t="str">
            <v>Não</v>
          </cell>
          <cell r="K293" t="str">
            <v>Mecânica</v>
          </cell>
          <cell r="L293" t="str">
            <v>Substituição do(s) Componente(s)</v>
          </cell>
          <cell r="M293" t="str">
            <v>Desgaste / Fadiga</v>
          </cell>
          <cell r="N293">
            <v>37894</v>
          </cell>
          <cell r="O293">
            <v>0.29166666666666669</v>
          </cell>
          <cell r="P293">
            <v>37894</v>
          </cell>
          <cell r="Q293">
            <v>0.29166666666666669</v>
          </cell>
          <cell r="T293">
            <v>37894</v>
          </cell>
          <cell r="U293">
            <v>0.30208333333333331</v>
          </cell>
          <cell r="V293">
            <v>37894</v>
          </cell>
          <cell r="W293">
            <v>0.30208333333333331</v>
          </cell>
          <cell r="X293">
            <v>1.0416666669091967E-2</v>
          </cell>
          <cell r="Y293">
            <v>1.0416666669091967E-2</v>
          </cell>
          <cell r="AB293">
            <v>9</v>
          </cell>
          <cell r="AC293">
            <v>7</v>
          </cell>
          <cell r="AD293">
            <v>0</v>
          </cell>
          <cell r="BF293">
            <v>0</v>
          </cell>
          <cell r="BG293">
            <v>0</v>
          </cell>
          <cell r="BH293">
            <v>0</v>
          </cell>
          <cell r="BI293">
            <v>0</v>
          </cell>
          <cell r="BJ293">
            <v>0</v>
          </cell>
          <cell r="BK293">
            <v>0</v>
          </cell>
          <cell r="BL293">
            <v>0</v>
          </cell>
          <cell r="BM293">
            <v>0</v>
          </cell>
          <cell r="BN293">
            <v>0</v>
          </cell>
          <cell r="BO293">
            <v>0</v>
          </cell>
          <cell r="BP293">
            <v>0</v>
          </cell>
          <cell r="BQ293">
            <v>0</v>
          </cell>
          <cell r="BR293">
            <v>0</v>
          </cell>
          <cell r="BS293">
            <v>0</v>
          </cell>
          <cell r="BT293">
            <v>0</v>
          </cell>
          <cell r="BU293">
            <v>9</v>
          </cell>
          <cell r="BV293">
            <v>0</v>
          </cell>
          <cell r="BW293">
            <v>0</v>
          </cell>
          <cell r="BX293">
            <v>0</v>
          </cell>
          <cell r="BY293">
            <v>0</v>
          </cell>
          <cell r="BZ293">
            <v>0</v>
          </cell>
          <cell r="CA293">
            <v>0</v>
          </cell>
          <cell r="CB293">
            <v>0</v>
          </cell>
          <cell r="CC293">
            <v>0</v>
          </cell>
          <cell r="CD293">
            <v>0</v>
          </cell>
        </row>
        <row r="294">
          <cell r="C294">
            <v>37825</v>
          </cell>
          <cell r="I294">
            <v>0</v>
          </cell>
          <cell r="N294">
            <v>0</v>
          </cell>
          <cell r="P294">
            <v>0</v>
          </cell>
          <cell r="T294">
            <v>0</v>
          </cell>
          <cell r="V294">
            <v>0</v>
          </cell>
          <cell r="W294">
            <v>0</v>
          </cell>
          <cell r="X294">
            <v>0</v>
          </cell>
          <cell r="Y294">
            <v>0</v>
          </cell>
          <cell r="AB294">
            <v>0</v>
          </cell>
          <cell r="AC294">
            <v>7</v>
          </cell>
          <cell r="AD294">
            <v>0</v>
          </cell>
          <cell r="BF294">
            <v>0</v>
          </cell>
          <cell r="BG294">
            <v>0</v>
          </cell>
          <cell r="BH294">
            <v>0</v>
          </cell>
          <cell r="BI294">
            <v>0</v>
          </cell>
          <cell r="BJ294">
            <v>0</v>
          </cell>
          <cell r="BK294">
            <v>0</v>
          </cell>
          <cell r="BL294">
            <v>0</v>
          </cell>
          <cell r="BM294">
            <v>0</v>
          </cell>
          <cell r="BN294">
            <v>0</v>
          </cell>
          <cell r="BO294">
            <v>0</v>
          </cell>
          <cell r="BP294">
            <v>0</v>
          </cell>
          <cell r="BQ294">
            <v>0</v>
          </cell>
          <cell r="BR294">
            <v>0</v>
          </cell>
          <cell r="BS294">
            <v>0</v>
          </cell>
          <cell r="BT294">
            <v>0</v>
          </cell>
          <cell r="BU294">
            <v>0</v>
          </cell>
          <cell r="BV294">
            <v>0</v>
          </cell>
          <cell r="BW294">
            <v>0</v>
          </cell>
          <cell r="BX294">
            <v>0</v>
          </cell>
          <cell r="BY294">
            <v>0</v>
          </cell>
          <cell r="BZ294">
            <v>0</v>
          </cell>
          <cell r="CA294">
            <v>0</v>
          </cell>
          <cell r="CB294">
            <v>0</v>
          </cell>
          <cell r="CC294">
            <v>0</v>
          </cell>
          <cell r="CD294">
            <v>0</v>
          </cell>
        </row>
        <row r="295">
          <cell r="C295">
            <v>37825</v>
          </cell>
          <cell r="D295">
            <v>37902</v>
          </cell>
          <cell r="E295">
            <v>37896</v>
          </cell>
          <cell r="F295">
            <v>0.33333333333333331</v>
          </cell>
          <cell r="G295" t="str">
            <v>Perfiladora Fagor Montantes</v>
          </cell>
          <cell r="H295" t="str">
            <v>Acoplamento do Redutor está solto</v>
          </cell>
          <cell r="I295" t="str">
            <v>Corretiva</v>
          </cell>
          <cell r="J295" t="str">
            <v>Sim</v>
          </cell>
          <cell r="K295" t="str">
            <v>Mecânica</v>
          </cell>
          <cell r="L295" t="str">
            <v>Reparo</v>
          </cell>
          <cell r="M295" t="str">
            <v>Vibração</v>
          </cell>
          <cell r="N295">
            <v>37896</v>
          </cell>
          <cell r="O295">
            <v>0.47916666666666669</v>
          </cell>
          <cell r="P295">
            <v>37896</v>
          </cell>
          <cell r="Q295">
            <v>0.47916666666666669</v>
          </cell>
          <cell r="T295">
            <v>37896</v>
          </cell>
          <cell r="U295">
            <v>0.54166666666666663</v>
          </cell>
          <cell r="V295">
            <v>37896</v>
          </cell>
          <cell r="W295">
            <v>0.54166666666666663</v>
          </cell>
          <cell r="X295">
            <v>6.2499999999999944E-2</v>
          </cell>
          <cell r="Y295">
            <v>6.2499999997574662E-2</v>
          </cell>
          <cell r="AB295">
            <v>10</v>
          </cell>
          <cell r="AC295">
            <v>7</v>
          </cell>
          <cell r="AD295">
            <v>0</v>
          </cell>
          <cell r="BF295">
            <v>0</v>
          </cell>
          <cell r="BG295">
            <v>0</v>
          </cell>
          <cell r="BH295">
            <v>0</v>
          </cell>
          <cell r="BI295">
            <v>0</v>
          </cell>
          <cell r="BJ295">
            <v>0</v>
          </cell>
          <cell r="BK295">
            <v>0</v>
          </cell>
          <cell r="BL295">
            <v>0</v>
          </cell>
          <cell r="BM295">
            <v>0</v>
          </cell>
          <cell r="BN295">
            <v>0</v>
          </cell>
          <cell r="BO295">
            <v>0</v>
          </cell>
          <cell r="BP295">
            <v>0</v>
          </cell>
          <cell r="BQ295">
            <v>0</v>
          </cell>
          <cell r="BR295">
            <v>0</v>
          </cell>
          <cell r="BS295">
            <v>0</v>
          </cell>
          <cell r="BT295">
            <v>0</v>
          </cell>
          <cell r="BU295">
            <v>10</v>
          </cell>
          <cell r="BV295">
            <v>0</v>
          </cell>
          <cell r="BW295">
            <v>0</v>
          </cell>
          <cell r="BX295">
            <v>0</v>
          </cell>
          <cell r="BY295">
            <v>0</v>
          </cell>
          <cell r="BZ295">
            <v>0</v>
          </cell>
          <cell r="CA295">
            <v>0</v>
          </cell>
          <cell r="CB295">
            <v>0</v>
          </cell>
          <cell r="CC295">
            <v>0</v>
          </cell>
          <cell r="CD295">
            <v>0</v>
          </cell>
        </row>
        <row r="296">
          <cell r="C296">
            <v>37825</v>
          </cell>
          <cell r="D296">
            <v>37902</v>
          </cell>
          <cell r="E296">
            <v>37895</v>
          </cell>
          <cell r="F296">
            <v>0.38194444444444442</v>
          </cell>
          <cell r="G296" t="str">
            <v>Perfiladora Fagor Montantes</v>
          </cell>
          <cell r="H296" t="str">
            <v>Eixo regulador de altura travado</v>
          </cell>
          <cell r="I296" t="str">
            <v>Corretiva</v>
          </cell>
          <cell r="J296" t="str">
            <v>Sim</v>
          </cell>
          <cell r="K296" t="str">
            <v>Mecânica</v>
          </cell>
          <cell r="L296" t="str">
            <v>Reparo</v>
          </cell>
          <cell r="M296" t="str">
            <v>Desgaste / Fadiga</v>
          </cell>
          <cell r="N296">
            <v>37895</v>
          </cell>
          <cell r="O296">
            <v>0.39583333333333331</v>
          </cell>
          <cell r="P296">
            <v>37895</v>
          </cell>
          <cell r="Q296">
            <v>0.39583333333333331</v>
          </cell>
          <cell r="T296">
            <v>37895</v>
          </cell>
          <cell r="U296">
            <v>0.45833333333333331</v>
          </cell>
          <cell r="V296">
            <v>37895</v>
          </cell>
          <cell r="W296">
            <v>0.45833333333333331</v>
          </cell>
          <cell r="X296">
            <v>6.25E-2</v>
          </cell>
          <cell r="Y296">
            <v>6.2500000002425338E-2</v>
          </cell>
          <cell r="AB296">
            <v>10</v>
          </cell>
          <cell r="AC296">
            <v>7</v>
          </cell>
          <cell r="AD296">
            <v>0</v>
          </cell>
          <cell r="BF296">
            <v>0</v>
          </cell>
          <cell r="BG296">
            <v>0</v>
          </cell>
          <cell r="BH296">
            <v>0</v>
          </cell>
          <cell r="BI296">
            <v>0</v>
          </cell>
          <cell r="BJ296">
            <v>0</v>
          </cell>
          <cell r="BK296">
            <v>0</v>
          </cell>
          <cell r="BL296">
            <v>0</v>
          </cell>
          <cell r="BM296">
            <v>0</v>
          </cell>
          <cell r="BN296">
            <v>0</v>
          </cell>
          <cell r="BO296">
            <v>0</v>
          </cell>
          <cell r="BP296">
            <v>0</v>
          </cell>
          <cell r="BQ296">
            <v>0</v>
          </cell>
          <cell r="BR296">
            <v>0</v>
          </cell>
          <cell r="BS296">
            <v>0</v>
          </cell>
          <cell r="BT296">
            <v>0</v>
          </cell>
          <cell r="BU296">
            <v>10</v>
          </cell>
          <cell r="BV296">
            <v>0</v>
          </cell>
          <cell r="BW296">
            <v>0</v>
          </cell>
          <cell r="BX296">
            <v>0</v>
          </cell>
          <cell r="BY296">
            <v>0</v>
          </cell>
          <cell r="BZ296">
            <v>0</v>
          </cell>
          <cell r="CA296">
            <v>0</v>
          </cell>
          <cell r="CB296">
            <v>0</v>
          </cell>
          <cell r="CC296">
            <v>0</v>
          </cell>
          <cell r="CD296">
            <v>0</v>
          </cell>
        </row>
        <row r="297">
          <cell r="C297">
            <v>37826</v>
          </cell>
          <cell r="D297">
            <v>37831</v>
          </cell>
          <cell r="E297">
            <v>37825</v>
          </cell>
          <cell r="F297">
            <v>0.70833333333333337</v>
          </cell>
          <cell r="G297" t="str">
            <v>Células de Solda Automática</v>
          </cell>
          <cell r="H297" t="str">
            <v>Engate rápido de ar da mesa quebrado</v>
          </cell>
          <cell r="I297" t="str">
            <v>Corretiva</v>
          </cell>
          <cell r="J297" t="str">
            <v>Sim</v>
          </cell>
          <cell r="K297" t="str">
            <v>Mecânica</v>
          </cell>
          <cell r="L297" t="str">
            <v>Substituição do(s) Componente(s)</v>
          </cell>
          <cell r="M297" t="str">
            <v>Falha de Projeto</v>
          </cell>
          <cell r="N297">
            <v>37825</v>
          </cell>
          <cell r="O297">
            <v>0.70833333333333337</v>
          </cell>
          <cell r="P297">
            <v>37825</v>
          </cell>
          <cell r="Q297">
            <v>0.70833333333333337</v>
          </cell>
          <cell r="T297">
            <v>37825</v>
          </cell>
          <cell r="U297">
            <v>0.73611111111111116</v>
          </cell>
          <cell r="V297">
            <v>37825</v>
          </cell>
          <cell r="W297">
            <v>0.73611111111111116</v>
          </cell>
          <cell r="X297">
            <v>2.777777777777779E-2</v>
          </cell>
          <cell r="Y297">
            <v>2.7777777776160861E-2</v>
          </cell>
          <cell r="AB297">
            <v>7</v>
          </cell>
          <cell r="AC297">
            <v>7</v>
          </cell>
          <cell r="AD297">
            <v>0</v>
          </cell>
          <cell r="BF297">
            <v>7</v>
          </cell>
          <cell r="BG297">
            <v>0</v>
          </cell>
          <cell r="BH297">
            <v>0</v>
          </cell>
          <cell r="BI297">
            <v>0</v>
          </cell>
          <cell r="BJ297">
            <v>0</v>
          </cell>
          <cell r="BK297">
            <v>0</v>
          </cell>
          <cell r="BL297">
            <v>0</v>
          </cell>
          <cell r="BM297">
            <v>0</v>
          </cell>
          <cell r="BN297">
            <v>0</v>
          </cell>
          <cell r="BO297">
            <v>0</v>
          </cell>
          <cell r="BP297">
            <v>0</v>
          </cell>
          <cell r="BQ297">
            <v>0</v>
          </cell>
          <cell r="BR297">
            <v>0</v>
          </cell>
          <cell r="BS297">
            <v>0</v>
          </cell>
          <cell r="BT297">
            <v>0</v>
          </cell>
          <cell r="BU297">
            <v>0</v>
          </cell>
          <cell r="BV297">
            <v>0</v>
          </cell>
          <cell r="BW297">
            <v>0</v>
          </cell>
          <cell r="BX297">
            <v>0</v>
          </cell>
          <cell r="BY297">
            <v>0</v>
          </cell>
          <cell r="BZ297">
            <v>0</v>
          </cell>
          <cell r="CA297">
            <v>0</v>
          </cell>
          <cell r="CB297">
            <v>0</v>
          </cell>
          <cell r="CC297">
            <v>0</v>
          </cell>
          <cell r="CD297">
            <v>0</v>
          </cell>
        </row>
        <row r="298">
          <cell r="C298">
            <v>37826</v>
          </cell>
          <cell r="D298">
            <v>37838</v>
          </cell>
          <cell r="E298">
            <v>37833</v>
          </cell>
          <cell r="F298">
            <v>0.4548611111111111</v>
          </cell>
          <cell r="G298" t="str">
            <v>Células de Solda Automática</v>
          </cell>
          <cell r="H298" t="str">
            <v>Vazamento de ar (mangueira furada) interferindo na qualidade da solda (poros)</v>
          </cell>
          <cell r="I298" t="str">
            <v>Corretiva</v>
          </cell>
          <cell r="J298" t="str">
            <v>Sim</v>
          </cell>
          <cell r="K298" t="str">
            <v>Mecânica</v>
          </cell>
          <cell r="L298" t="str">
            <v>Problema encaminhado para o Fabricante</v>
          </cell>
          <cell r="M298" t="str">
            <v>Falha de Projeto</v>
          </cell>
          <cell r="N298">
            <v>37833</v>
          </cell>
          <cell r="O298">
            <v>0.54166666666666663</v>
          </cell>
          <cell r="P298">
            <v>37833</v>
          </cell>
          <cell r="Q298">
            <v>0.54166666666666663</v>
          </cell>
          <cell r="T298">
            <v>37833</v>
          </cell>
          <cell r="U298">
            <v>0.58333333333333337</v>
          </cell>
          <cell r="V298">
            <v>37833</v>
          </cell>
          <cell r="W298">
            <v>0.58333333333333337</v>
          </cell>
          <cell r="X298">
            <v>4.1666666666666741E-2</v>
          </cell>
          <cell r="Y298">
            <v>4.1666666669092023E-2</v>
          </cell>
          <cell r="AB298">
            <v>7</v>
          </cell>
          <cell r="AC298">
            <v>7</v>
          </cell>
          <cell r="AD298">
            <v>0</v>
          </cell>
          <cell r="BF298">
            <v>7</v>
          </cell>
          <cell r="BG298">
            <v>0</v>
          </cell>
          <cell r="BH298">
            <v>0</v>
          </cell>
          <cell r="BI298">
            <v>0</v>
          </cell>
          <cell r="BJ298">
            <v>0</v>
          </cell>
          <cell r="BK298">
            <v>0</v>
          </cell>
          <cell r="BL298">
            <v>0</v>
          </cell>
          <cell r="BM298">
            <v>0</v>
          </cell>
          <cell r="BN298">
            <v>0</v>
          </cell>
          <cell r="BO298">
            <v>0</v>
          </cell>
          <cell r="BP298">
            <v>0</v>
          </cell>
          <cell r="BQ298">
            <v>0</v>
          </cell>
          <cell r="BR298">
            <v>0</v>
          </cell>
          <cell r="BS298">
            <v>0</v>
          </cell>
          <cell r="BT298">
            <v>0</v>
          </cell>
          <cell r="BU298">
            <v>0</v>
          </cell>
          <cell r="BV298">
            <v>0</v>
          </cell>
          <cell r="BW298">
            <v>0</v>
          </cell>
          <cell r="BX298">
            <v>0</v>
          </cell>
          <cell r="BY298">
            <v>0</v>
          </cell>
          <cell r="BZ298">
            <v>0</v>
          </cell>
          <cell r="CA298">
            <v>0</v>
          </cell>
          <cell r="CB298">
            <v>0</v>
          </cell>
          <cell r="CC298">
            <v>0</v>
          </cell>
          <cell r="CD298">
            <v>0</v>
          </cell>
        </row>
        <row r="299">
          <cell r="C299">
            <v>37826</v>
          </cell>
          <cell r="I299">
            <v>0</v>
          </cell>
          <cell r="N299">
            <v>0</v>
          </cell>
          <cell r="P299">
            <v>0</v>
          </cell>
          <cell r="T299">
            <v>0</v>
          </cell>
          <cell r="V299">
            <v>0</v>
          </cell>
          <cell r="W299">
            <v>0</v>
          </cell>
          <cell r="X299">
            <v>0</v>
          </cell>
          <cell r="Y299">
            <v>0</v>
          </cell>
          <cell r="AB299">
            <v>0</v>
          </cell>
          <cell r="AC299">
            <v>7</v>
          </cell>
          <cell r="AD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row>
        <row r="300">
          <cell r="C300">
            <v>37826</v>
          </cell>
          <cell r="D300">
            <v>37858</v>
          </cell>
          <cell r="E300">
            <v>37851</v>
          </cell>
          <cell r="F300">
            <v>0.44444444444444442</v>
          </cell>
          <cell r="G300" t="str">
            <v>Células de Solda Automática</v>
          </cell>
          <cell r="H300" t="str">
            <v>Pistão da mesa não aciona</v>
          </cell>
          <cell r="I300" t="str">
            <v>Corretiva</v>
          </cell>
          <cell r="J300" t="str">
            <v>Sim</v>
          </cell>
          <cell r="K300" t="str">
            <v>Mecânica</v>
          </cell>
          <cell r="L300" t="str">
            <v>Limpeza do Equipamento / Componente</v>
          </cell>
          <cell r="M300" t="str">
            <v>Sujeira em excesso</v>
          </cell>
          <cell r="N300">
            <v>37851</v>
          </cell>
          <cell r="O300">
            <v>0.44444444444444442</v>
          </cell>
          <cell r="P300">
            <v>37851</v>
          </cell>
          <cell r="Q300">
            <v>0.44444444444444442</v>
          </cell>
          <cell r="T300">
            <v>37851</v>
          </cell>
          <cell r="U300">
            <v>0.46875</v>
          </cell>
          <cell r="V300">
            <v>37851</v>
          </cell>
          <cell r="W300">
            <v>0.46875</v>
          </cell>
          <cell r="X300">
            <v>2.430555555555558E-2</v>
          </cell>
          <cell r="Y300">
            <v>2.430555555555558E-2</v>
          </cell>
          <cell r="AB300">
            <v>8</v>
          </cell>
          <cell r="AC300">
            <v>7</v>
          </cell>
          <cell r="AD300">
            <v>0</v>
          </cell>
          <cell r="BF300">
            <v>8</v>
          </cell>
          <cell r="BG300">
            <v>0</v>
          </cell>
          <cell r="BH300">
            <v>0</v>
          </cell>
          <cell r="BI300">
            <v>0</v>
          </cell>
          <cell r="BJ300">
            <v>0</v>
          </cell>
          <cell r="BK300">
            <v>0</v>
          </cell>
          <cell r="BL300">
            <v>0</v>
          </cell>
          <cell r="BM300">
            <v>0</v>
          </cell>
          <cell r="BN300">
            <v>0</v>
          </cell>
          <cell r="BO300">
            <v>0</v>
          </cell>
          <cell r="BP300">
            <v>0</v>
          </cell>
          <cell r="BQ300">
            <v>0</v>
          </cell>
          <cell r="BR300">
            <v>0</v>
          </cell>
          <cell r="BS300">
            <v>0</v>
          </cell>
          <cell r="BT300">
            <v>0</v>
          </cell>
          <cell r="BU300">
            <v>0</v>
          </cell>
          <cell r="BV300">
            <v>0</v>
          </cell>
          <cell r="BW300">
            <v>0</v>
          </cell>
          <cell r="BX300">
            <v>0</v>
          </cell>
          <cell r="BY300">
            <v>0</v>
          </cell>
          <cell r="BZ300">
            <v>0</v>
          </cell>
          <cell r="CA300">
            <v>0</v>
          </cell>
          <cell r="CB300">
            <v>0</v>
          </cell>
          <cell r="CC300">
            <v>0</v>
          </cell>
          <cell r="CD300">
            <v>0</v>
          </cell>
        </row>
        <row r="301">
          <cell r="C301">
            <v>37826</v>
          </cell>
          <cell r="D301">
            <v>37858</v>
          </cell>
          <cell r="E301">
            <v>37853</v>
          </cell>
          <cell r="F301">
            <v>0.54166666666666663</v>
          </cell>
          <cell r="G301" t="str">
            <v>Células de Solda Automática</v>
          </cell>
          <cell r="H301" t="str">
            <v>Vazamento na Conexão</v>
          </cell>
          <cell r="I301" t="str">
            <v>Corretiva</v>
          </cell>
          <cell r="J301" t="str">
            <v>Sim</v>
          </cell>
          <cell r="K301" t="str">
            <v>Mecânica</v>
          </cell>
          <cell r="L301" t="str">
            <v>Substituição do(s) Componente(s)</v>
          </cell>
          <cell r="M301" t="str">
            <v>Defeito de Fabricação</v>
          </cell>
          <cell r="N301">
            <v>37853</v>
          </cell>
          <cell r="O301">
            <v>0.54166666666666663</v>
          </cell>
          <cell r="P301">
            <v>37853</v>
          </cell>
          <cell r="Q301">
            <v>0.54166666666666663</v>
          </cell>
          <cell r="T301">
            <v>37853</v>
          </cell>
          <cell r="U301">
            <v>0.5625</v>
          </cell>
          <cell r="V301">
            <v>37853</v>
          </cell>
          <cell r="W301">
            <v>0.5625</v>
          </cell>
          <cell r="X301">
            <v>2.083333333333337E-2</v>
          </cell>
          <cell r="Y301">
            <v>2.083333333333337E-2</v>
          </cell>
          <cell r="AB301">
            <v>8</v>
          </cell>
          <cell r="AC301">
            <v>7</v>
          </cell>
          <cell r="AD301">
            <v>0</v>
          </cell>
          <cell r="BF301">
            <v>8</v>
          </cell>
          <cell r="BG301">
            <v>0</v>
          </cell>
          <cell r="BH301">
            <v>0</v>
          </cell>
          <cell r="BI301">
            <v>0</v>
          </cell>
          <cell r="BJ301">
            <v>0</v>
          </cell>
          <cell r="BK301">
            <v>0</v>
          </cell>
          <cell r="BL301">
            <v>0</v>
          </cell>
          <cell r="BM301">
            <v>0</v>
          </cell>
          <cell r="BN301">
            <v>0</v>
          </cell>
          <cell r="BO301">
            <v>0</v>
          </cell>
          <cell r="BP301">
            <v>0</v>
          </cell>
          <cell r="BQ301">
            <v>0</v>
          </cell>
          <cell r="BR301">
            <v>0</v>
          </cell>
          <cell r="BS301">
            <v>0</v>
          </cell>
          <cell r="BT301">
            <v>0</v>
          </cell>
          <cell r="BU301">
            <v>0</v>
          </cell>
          <cell r="BV301">
            <v>0</v>
          </cell>
          <cell r="BW301">
            <v>0</v>
          </cell>
          <cell r="BX301">
            <v>0</v>
          </cell>
          <cell r="BY301">
            <v>0</v>
          </cell>
          <cell r="BZ301">
            <v>0</v>
          </cell>
          <cell r="CA301">
            <v>0</v>
          </cell>
          <cell r="CB301">
            <v>0</v>
          </cell>
          <cell r="CC301">
            <v>0</v>
          </cell>
          <cell r="CD301">
            <v>0</v>
          </cell>
        </row>
        <row r="302">
          <cell r="C302">
            <v>37826</v>
          </cell>
          <cell r="I302">
            <v>0</v>
          </cell>
          <cell r="N302">
            <v>0</v>
          </cell>
          <cell r="P302">
            <v>0</v>
          </cell>
          <cell r="T302">
            <v>0</v>
          </cell>
          <cell r="V302">
            <v>0</v>
          </cell>
          <cell r="W302">
            <v>0</v>
          </cell>
          <cell r="X302">
            <v>0</v>
          </cell>
          <cell r="Y302">
            <v>0</v>
          </cell>
          <cell r="AB302">
            <v>0</v>
          </cell>
          <cell r="AC302">
            <v>7</v>
          </cell>
          <cell r="AD302">
            <v>0</v>
          </cell>
          <cell r="BF302">
            <v>0</v>
          </cell>
          <cell r="BG302">
            <v>0</v>
          </cell>
          <cell r="BH302">
            <v>0</v>
          </cell>
          <cell r="BI302">
            <v>0</v>
          </cell>
          <cell r="BJ302">
            <v>0</v>
          </cell>
          <cell r="BK302">
            <v>0</v>
          </cell>
          <cell r="BL302">
            <v>0</v>
          </cell>
          <cell r="BM302">
            <v>0</v>
          </cell>
          <cell r="BN302">
            <v>0</v>
          </cell>
          <cell r="BO302">
            <v>0</v>
          </cell>
          <cell r="BP302">
            <v>0</v>
          </cell>
          <cell r="BQ302">
            <v>0</v>
          </cell>
          <cell r="BR302">
            <v>0</v>
          </cell>
          <cell r="BS302">
            <v>0</v>
          </cell>
          <cell r="BT302">
            <v>0</v>
          </cell>
          <cell r="BU302">
            <v>0</v>
          </cell>
          <cell r="BV302">
            <v>0</v>
          </cell>
          <cell r="BW302">
            <v>0</v>
          </cell>
          <cell r="BX302">
            <v>0</v>
          </cell>
          <cell r="BY302">
            <v>0</v>
          </cell>
          <cell r="BZ302">
            <v>0</v>
          </cell>
          <cell r="CA302">
            <v>0</v>
          </cell>
          <cell r="CB302">
            <v>0</v>
          </cell>
          <cell r="CC302">
            <v>0</v>
          </cell>
          <cell r="CD302">
            <v>0</v>
          </cell>
        </row>
        <row r="303">
          <cell r="C303">
            <v>37826</v>
          </cell>
          <cell r="I303">
            <v>0</v>
          </cell>
          <cell r="N303">
            <v>0</v>
          </cell>
          <cell r="P303">
            <v>0</v>
          </cell>
          <cell r="T303">
            <v>0</v>
          </cell>
          <cell r="V303">
            <v>0</v>
          </cell>
          <cell r="W303">
            <v>0</v>
          </cell>
          <cell r="X303">
            <v>0</v>
          </cell>
          <cell r="Y303">
            <v>0</v>
          </cell>
          <cell r="AB303">
            <v>0</v>
          </cell>
          <cell r="AC303">
            <v>7</v>
          </cell>
          <cell r="AD303">
            <v>0</v>
          </cell>
          <cell r="BF303">
            <v>0</v>
          </cell>
          <cell r="BG303">
            <v>0</v>
          </cell>
          <cell r="BH303">
            <v>0</v>
          </cell>
          <cell r="BI303">
            <v>0</v>
          </cell>
          <cell r="BJ303">
            <v>0</v>
          </cell>
          <cell r="BK303">
            <v>0</v>
          </cell>
          <cell r="BL303">
            <v>0</v>
          </cell>
          <cell r="BM303">
            <v>0</v>
          </cell>
          <cell r="BN303">
            <v>0</v>
          </cell>
          <cell r="BO303">
            <v>0</v>
          </cell>
          <cell r="BP303">
            <v>0</v>
          </cell>
          <cell r="BQ303">
            <v>0</v>
          </cell>
          <cell r="BR303">
            <v>0</v>
          </cell>
          <cell r="BS303">
            <v>0</v>
          </cell>
          <cell r="BT303">
            <v>0</v>
          </cell>
          <cell r="BU303">
            <v>0</v>
          </cell>
          <cell r="BV303">
            <v>0</v>
          </cell>
          <cell r="BW303">
            <v>0</v>
          </cell>
          <cell r="BX303">
            <v>0</v>
          </cell>
          <cell r="BY303">
            <v>0</v>
          </cell>
          <cell r="BZ303">
            <v>0</v>
          </cell>
          <cell r="CA303">
            <v>0</v>
          </cell>
          <cell r="CB303">
            <v>0</v>
          </cell>
          <cell r="CC303">
            <v>0</v>
          </cell>
          <cell r="CD303">
            <v>0</v>
          </cell>
        </row>
        <row r="304">
          <cell r="C304">
            <v>37826</v>
          </cell>
          <cell r="D304">
            <v>37881</v>
          </cell>
          <cell r="E304">
            <v>37874</v>
          </cell>
          <cell r="F304">
            <v>0.58333333333333337</v>
          </cell>
          <cell r="G304" t="str">
            <v>Células de Solda Automática</v>
          </cell>
          <cell r="H304" t="str">
            <v>Válvula pneumática da fresa de limpeza do bocal travada</v>
          </cell>
          <cell r="I304" t="str">
            <v>Corretiva</v>
          </cell>
          <cell r="J304" t="str">
            <v>Não</v>
          </cell>
          <cell r="K304" t="str">
            <v>Mecânica</v>
          </cell>
          <cell r="L304" t="str">
            <v>Reparo</v>
          </cell>
          <cell r="M304" t="str">
            <v>Desgaste / Fadiga</v>
          </cell>
          <cell r="N304">
            <v>37875</v>
          </cell>
          <cell r="O304">
            <v>0.41666666666666669</v>
          </cell>
          <cell r="P304">
            <v>37875</v>
          </cell>
          <cell r="Q304">
            <v>0.41666666666666669</v>
          </cell>
          <cell r="T304">
            <v>37875</v>
          </cell>
          <cell r="U304">
            <v>0.4375</v>
          </cell>
          <cell r="V304">
            <v>37875</v>
          </cell>
          <cell r="W304">
            <v>0.4375</v>
          </cell>
          <cell r="X304">
            <v>2.0833333333333315E-2</v>
          </cell>
          <cell r="Y304">
            <v>2.0833333333333315E-2</v>
          </cell>
          <cell r="AB304">
            <v>9</v>
          </cell>
          <cell r="AC304">
            <v>7</v>
          </cell>
          <cell r="AD304">
            <v>0</v>
          </cell>
          <cell r="BF304">
            <v>9</v>
          </cell>
          <cell r="BG304">
            <v>0</v>
          </cell>
          <cell r="BH304">
            <v>0</v>
          </cell>
          <cell r="BI304">
            <v>0</v>
          </cell>
          <cell r="BJ304">
            <v>0</v>
          </cell>
          <cell r="BK304">
            <v>0</v>
          </cell>
          <cell r="BL304">
            <v>0</v>
          </cell>
          <cell r="BM304">
            <v>0</v>
          </cell>
          <cell r="BN304">
            <v>0</v>
          </cell>
          <cell r="BO304">
            <v>0</v>
          </cell>
          <cell r="BP304">
            <v>0</v>
          </cell>
          <cell r="BQ304">
            <v>0</v>
          </cell>
          <cell r="BR304">
            <v>0</v>
          </cell>
          <cell r="BS304">
            <v>0</v>
          </cell>
          <cell r="BT304">
            <v>0</v>
          </cell>
          <cell r="BU304">
            <v>0</v>
          </cell>
          <cell r="BV304">
            <v>0</v>
          </cell>
          <cell r="BW304">
            <v>0</v>
          </cell>
          <cell r="BX304">
            <v>0</v>
          </cell>
          <cell r="BY304">
            <v>0</v>
          </cell>
          <cell r="BZ304">
            <v>0</v>
          </cell>
          <cell r="CA304">
            <v>0</v>
          </cell>
          <cell r="CB304">
            <v>0</v>
          </cell>
          <cell r="CC304">
            <v>0</v>
          </cell>
          <cell r="CD304">
            <v>0</v>
          </cell>
        </row>
        <row r="305">
          <cell r="C305">
            <v>37826</v>
          </cell>
          <cell r="D305">
            <v>37881</v>
          </cell>
          <cell r="E305">
            <v>37876</v>
          </cell>
          <cell r="F305">
            <v>0.625</v>
          </cell>
          <cell r="G305" t="str">
            <v>Células de Solda Automática</v>
          </cell>
          <cell r="H305" t="str">
            <v>Sensor da garra não aciona</v>
          </cell>
          <cell r="I305" t="str">
            <v>Corretiva</v>
          </cell>
          <cell r="J305" t="str">
            <v>Não</v>
          </cell>
          <cell r="K305" t="str">
            <v>Elétrica</v>
          </cell>
          <cell r="L305" t="str">
            <v>Regulagem do Componente</v>
          </cell>
          <cell r="M305" t="str">
            <v>Vibração</v>
          </cell>
          <cell r="N305">
            <v>37876</v>
          </cell>
          <cell r="O305">
            <v>0.66666666666666663</v>
          </cell>
          <cell r="P305">
            <v>37876</v>
          </cell>
          <cell r="Q305">
            <v>0.66666666666666663</v>
          </cell>
          <cell r="T305">
            <v>37876</v>
          </cell>
          <cell r="U305">
            <v>0.85416666666666663</v>
          </cell>
          <cell r="V305">
            <v>37876</v>
          </cell>
          <cell r="W305">
            <v>0.85416666666666663</v>
          </cell>
          <cell r="X305">
            <v>0.18749999999757472</v>
          </cell>
          <cell r="Y305">
            <v>0.18749999999757472</v>
          </cell>
          <cell r="AB305">
            <v>9</v>
          </cell>
          <cell r="AC305">
            <v>7</v>
          </cell>
          <cell r="AD305">
            <v>0</v>
          </cell>
          <cell r="BF305">
            <v>9</v>
          </cell>
          <cell r="BG305">
            <v>0</v>
          </cell>
          <cell r="BH305">
            <v>0</v>
          </cell>
          <cell r="BI305">
            <v>0</v>
          </cell>
          <cell r="BJ305">
            <v>0</v>
          </cell>
          <cell r="BK305">
            <v>0</v>
          </cell>
          <cell r="BL305">
            <v>0</v>
          </cell>
          <cell r="BM305">
            <v>0</v>
          </cell>
          <cell r="BN305">
            <v>0</v>
          </cell>
          <cell r="BO305">
            <v>0</v>
          </cell>
          <cell r="BP305">
            <v>0</v>
          </cell>
          <cell r="BQ305">
            <v>0</v>
          </cell>
          <cell r="BR305">
            <v>0</v>
          </cell>
          <cell r="BS305">
            <v>0</v>
          </cell>
          <cell r="BT305">
            <v>0</v>
          </cell>
          <cell r="BU305">
            <v>0</v>
          </cell>
          <cell r="BV305">
            <v>0</v>
          </cell>
          <cell r="BW305">
            <v>0</v>
          </cell>
          <cell r="BX305">
            <v>0</v>
          </cell>
          <cell r="BY305">
            <v>0</v>
          </cell>
          <cell r="BZ305">
            <v>0</v>
          </cell>
          <cell r="CA305">
            <v>0</v>
          </cell>
          <cell r="CB305">
            <v>0</v>
          </cell>
          <cell r="CC305">
            <v>0</v>
          </cell>
          <cell r="CD305">
            <v>0</v>
          </cell>
        </row>
        <row r="306">
          <cell r="C306">
            <v>37826</v>
          </cell>
          <cell r="I306">
            <v>0</v>
          </cell>
          <cell r="N306">
            <v>0</v>
          </cell>
          <cell r="P306">
            <v>0</v>
          </cell>
          <cell r="T306">
            <v>0</v>
          </cell>
          <cell r="V306">
            <v>0</v>
          </cell>
          <cell r="W306">
            <v>0</v>
          </cell>
          <cell r="X306">
            <v>0</v>
          </cell>
          <cell r="Y306">
            <v>0</v>
          </cell>
          <cell r="AB306">
            <v>0</v>
          </cell>
          <cell r="AC306">
            <v>7</v>
          </cell>
          <cell r="AD306">
            <v>0</v>
          </cell>
          <cell r="BF306">
            <v>0</v>
          </cell>
          <cell r="BG306">
            <v>0</v>
          </cell>
          <cell r="BH306">
            <v>0</v>
          </cell>
          <cell r="BI306">
            <v>0</v>
          </cell>
          <cell r="BJ306">
            <v>0</v>
          </cell>
          <cell r="BK306">
            <v>0</v>
          </cell>
          <cell r="BL306">
            <v>0</v>
          </cell>
          <cell r="BM306">
            <v>0</v>
          </cell>
          <cell r="BN306">
            <v>0</v>
          </cell>
          <cell r="BO306">
            <v>0</v>
          </cell>
          <cell r="BP306">
            <v>0</v>
          </cell>
          <cell r="BQ306">
            <v>0</v>
          </cell>
          <cell r="BR306">
            <v>0</v>
          </cell>
          <cell r="BS306">
            <v>0</v>
          </cell>
          <cell r="BT306">
            <v>0</v>
          </cell>
          <cell r="BU306">
            <v>0</v>
          </cell>
          <cell r="BV306">
            <v>0</v>
          </cell>
          <cell r="BW306">
            <v>0</v>
          </cell>
          <cell r="BX306">
            <v>0</v>
          </cell>
          <cell r="BY306">
            <v>0</v>
          </cell>
          <cell r="BZ306">
            <v>0</v>
          </cell>
          <cell r="CA306">
            <v>0</v>
          </cell>
          <cell r="CB306">
            <v>0</v>
          </cell>
          <cell r="CC306">
            <v>0</v>
          </cell>
          <cell r="CD306">
            <v>0</v>
          </cell>
        </row>
        <row r="307">
          <cell r="C307">
            <v>37826</v>
          </cell>
          <cell r="D307">
            <v>37900</v>
          </cell>
          <cell r="E307">
            <v>37879</v>
          </cell>
          <cell r="F307">
            <v>0.83333333333333337</v>
          </cell>
          <cell r="G307" t="str">
            <v>Células de Solda Automática</v>
          </cell>
          <cell r="H307" t="str">
            <v>Pistão do parô está torto</v>
          </cell>
          <cell r="I307" t="str">
            <v>Corretiva</v>
          </cell>
          <cell r="J307" t="str">
            <v>Sim</v>
          </cell>
          <cell r="K307" t="str">
            <v>Mecânica</v>
          </cell>
          <cell r="L307" t="str">
            <v>Substituição do(s) Componente(s)</v>
          </cell>
          <cell r="M307" t="str">
            <v>Falha Operacional</v>
          </cell>
          <cell r="N307">
            <v>37879</v>
          </cell>
          <cell r="O307">
            <v>0.83333333333333337</v>
          </cell>
          <cell r="P307">
            <v>37879</v>
          </cell>
          <cell r="Q307">
            <v>0.83333333333333337</v>
          </cell>
          <cell r="T307">
            <v>37879</v>
          </cell>
          <cell r="U307">
            <v>0.875</v>
          </cell>
          <cell r="V307">
            <v>37879</v>
          </cell>
          <cell r="W307">
            <v>0.875</v>
          </cell>
          <cell r="X307">
            <v>4.166666666666663E-2</v>
          </cell>
          <cell r="Y307">
            <v>4.166666666666663E-2</v>
          </cell>
          <cell r="AB307">
            <v>9</v>
          </cell>
          <cell r="AC307">
            <v>7</v>
          </cell>
          <cell r="AD307">
            <v>0</v>
          </cell>
          <cell r="BF307">
            <v>9</v>
          </cell>
          <cell r="BG307">
            <v>0</v>
          </cell>
          <cell r="BH307">
            <v>0</v>
          </cell>
          <cell r="BI307">
            <v>0</v>
          </cell>
          <cell r="BJ307">
            <v>0</v>
          </cell>
          <cell r="BK307">
            <v>0</v>
          </cell>
          <cell r="BL307">
            <v>0</v>
          </cell>
          <cell r="BM307">
            <v>0</v>
          </cell>
          <cell r="BN307">
            <v>0</v>
          </cell>
          <cell r="BO307">
            <v>0</v>
          </cell>
          <cell r="BP307">
            <v>0</v>
          </cell>
          <cell r="BQ307">
            <v>0</v>
          </cell>
          <cell r="BR307">
            <v>0</v>
          </cell>
          <cell r="BS307">
            <v>0</v>
          </cell>
          <cell r="BT307">
            <v>0</v>
          </cell>
          <cell r="BU307">
            <v>0</v>
          </cell>
          <cell r="BV307">
            <v>0</v>
          </cell>
          <cell r="BW307">
            <v>0</v>
          </cell>
          <cell r="BX307">
            <v>0</v>
          </cell>
          <cell r="BY307">
            <v>0</v>
          </cell>
          <cell r="BZ307">
            <v>0</v>
          </cell>
          <cell r="CA307">
            <v>0</v>
          </cell>
          <cell r="CB307">
            <v>0</v>
          </cell>
          <cell r="CC307">
            <v>0</v>
          </cell>
          <cell r="CD307">
            <v>0</v>
          </cell>
        </row>
        <row r="308">
          <cell r="C308">
            <v>37826</v>
          </cell>
          <cell r="I308">
            <v>0</v>
          </cell>
          <cell r="N308">
            <v>0</v>
          </cell>
          <cell r="P308">
            <v>0</v>
          </cell>
          <cell r="T308">
            <v>0</v>
          </cell>
          <cell r="V308">
            <v>0</v>
          </cell>
          <cell r="W308">
            <v>0</v>
          </cell>
          <cell r="X308">
            <v>0</v>
          </cell>
          <cell r="Y308">
            <v>0</v>
          </cell>
          <cell r="AB308">
            <v>0</v>
          </cell>
          <cell r="AC308">
            <v>7</v>
          </cell>
          <cell r="AD308">
            <v>0</v>
          </cell>
          <cell r="BF308">
            <v>0</v>
          </cell>
          <cell r="BG308">
            <v>0</v>
          </cell>
          <cell r="BH308">
            <v>0</v>
          </cell>
          <cell r="BI308">
            <v>0</v>
          </cell>
          <cell r="BJ308">
            <v>0</v>
          </cell>
          <cell r="BK308">
            <v>0</v>
          </cell>
          <cell r="BL308">
            <v>0</v>
          </cell>
          <cell r="BM308">
            <v>0</v>
          </cell>
          <cell r="BN308">
            <v>0</v>
          </cell>
          <cell r="BO308">
            <v>0</v>
          </cell>
          <cell r="BP308">
            <v>0</v>
          </cell>
          <cell r="BQ308">
            <v>0</v>
          </cell>
          <cell r="BR308">
            <v>0</v>
          </cell>
          <cell r="BS308">
            <v>0</v>
          </cell>
          <cell r="BT308">
            <v>0</v>
          </cell>
          <cell r="BU308">
            <v>0</v>
          </cell>
          <cell r="BV308">
            <v>0</v>
          </cell>
          <cell r="BW308">
            <v>0</v>
          </cell>
          <cell r="BX308">
            <v>0</v>
          </cell>
          <cell r="BY308">
            <v>0</v>
          </cell>
          <cell r="BZ308">
            <v>0</v>
          </cell>
          <cell r="CA308">
            <v>0</v>
          </cell>
          <cell r="CB308">
            <v>0</v>
          </cell>
          <cell r="CC308">
            <v>0</v>
          </cell>
          <cell r="CD308">
            <v>0</v>
          </cell>
        </row>
        <row r="309">
          <cell r="C309">
            <v>37826</v>
          </cell>
          <cell r="I309">
            <v>0</v>
          </cell>
          <cell r="N309">
            <v>0</v>
          </cell>
          <cell r="P309">
            <v>0</v>
          </cell>
          <cell r="T309">
            <v>0</v>
          </cell>
          <cell r="V309">
            <v>0</v>
          </cell>
          <cell r="W309">
            <v>0</v>
          </cell>
          <cell r="X309">
            <v>0</v>
          </cell>
          <cell r="Y309">
            <v>0</v>
          </cell>
          <cell r="AB309">
            <v>0</v>
          </cell>
          <cell r="AC309">
            <v>7</v>
          </cell>
          <cell r="AD309">
            <v>0</v>
          </cell>
          <cell r="BF309">
            <v>0</v>
          </cell>
          <cell r="BG309">
            <v>0</v>
          </cell>
          <cell r="BH309">
            <v>0</v>
          </cell>
          <cell r="BI309">
            <v>0</v>
          </cell>
          <cell r="BJ309">
            <v>0</v>
          </cell>
          <cell r="BK309">
            <v>0</v>
          </cell>
          <cell r="BL309">
            <v>0</v>
          </cell>
          <cell r="BM309">
            <v>0</v>
          </cell>
          <cell r="BN309">
            <v>0</v>
          </cell>
          <cell r="BO309">
            <v>0</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row>
        <row r="310">
          <cell r="C310">
            <v>37826</v>
          </cell>
          <cell r="D310">
            <v>37900</v>
          </cell>
          <cell r="E310">
            <v>37880</v>
          </cell>
          <cell r="F310">
            <v>0.47916666666666669</v>
          </cell>
          <cell r="G310" t="str">
            <v>Células de Solda Automática</v>
          </cell>
          <cell r="H310" t="str">
            <v>Dispositivo apresenta variação durante a fixação</v>
          </cell>
          <cell r="I310" t="str">
            <v>Corretiva</v>
          </cell>
          <cell r="J310" t="str">
            <v>Sim</v>
          </cell>
          <cell r="K310" t="str">
            <v>Mecânica</v>
          </cell>
          <cell r="L310" t="str">
            <v>Limpeza e ajuste do Componente</v>
          </cell>
          <cell r="M310" t="str">
            <v>Sujeira em excesso</v>
          </cell>
          <cell r="N310">
            <v>37880</v>
          </cell>
          <cell r="O310">
            <v>0.625</v>
          </cell>
          <cell r="P310">
            <v>37880</v>
          </cell>
          <cell r="Q310">
            <v>0.625</v>
          </cell>
          <cell r="T310">
            <v>37880</v>
          </cell>
          <cell r="U310">
            <v>0.6875</v>
          </cell>
          <cell r="V310">
            <v>37880</v>
          </cell>
          <cell r="W310">
            <v>0.6875</v>
          </cell>
          <cell r="X310">
            <v>6.25E-2</v>
          </cell>
          <cell r="Y310">
            <v>6.25E-2</v>
          </cell>
          <cell r="AB310">
            <v>9</v>
          </cell>
          <cell r="AC310">
            <v>7</v>
          </cell>
          <cell r="AD310">
            <v>0</v>
          </cell>
          <cell r="BF310">
            <v>9</v>
          </cell>
          <cell r="BG310">
            <v>0</v>
          </cell>
          <cell r="BH310">
            <v>0</v>
          </cell>
          <cell r="BI310">
            <v>0</v>
          </cell>
          <cell r="BJ310">
            <v>0</v>
          </cell>
          <cell r="BK310">
            <v>0</v>
          </cell>
          <cell r="BL310">
            <v>0</v>
          </cell>
          <cell r="BM310">
            <v>0</v>
          </cell>
          <cell r="BN310">
            <v>0</v>
          </cell>
          <cell r="BO310">
            <v>0</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row>
        <row r="311">
          <cell r="C311">
            <v>37826</v>
          </cell>
          <cell r="D311">
            <v>37918</v>
          </cell>
          <cell r="E311">
            <v>37888</v>
          </cell>
          <cell r="F311">
            <v>0.625</v>
          </cell>
          <cell r="G311" t="str">
            <v>Células de Solda Automática</v>
          </cell>
          <cell r="H311" t="str">
            <v>Robô de manipulação pára durante o processo, e não recebe sinal para partir</v>
          </cell>
          <cell r="I311" t="str">
            <v>Corretiva</v>
          </cell>
          <cell r="J311" t="str">
            <v>Sim</v>
          </cell>
          <cell r="K311" t="str">
            <v>Elétrica</v>
          </cell>
          <cell r="L311" t="str">
            <v>Substituição do(s) Componente(s)</v>
          </cell>
          <cell r="M311" t="str">
            <v>Desgaste / Fadiga</v>
          </cell>
          <cell r="N311">
            <v>37888</v>
          </cell>
          <cell r="O311">
            <v>0.625</v>
          </cell>
          <cell r="P311">
            <v>37888</v>
          </cell>
          <cell r="Q311">
            <v>0.625</v>
          </cell>
          <cell r="T311">
            <v>37888</v>
          </cell>
          <cell r="U311">
            <v>0.70138888888888884</v>
          </cell>
          <cell r="V311">
            <v>37888</v>
          </cell>
          <cell r="W311">
            <v>0.70138888888888884</v>
          </cell>
          <cell r="X311">
            <v>7.638888888888884E-2</v>
          </cell>
          <cell r="Y311">
            <v>7.6388888890505768E-2</v>
          </cell>
          <cell r="AB311">
            <v>9</v>
          </cell>
          <cell r="AC311">
            <v>7</v>
          </cell>
          <cell r="AD311">
            <v>0</v>
          </cell>
          <cell r="BF311">
            <v>9</v>
          </cell>
          <cell r="BG311">
            <v>0</v>
          </cell>
          <cell r="BH311">
            <v>0</v>
          </cell>
          <cell r="BI311">
            <v>0</v>
          </cell>
          <cell r="BJ311">
            <v>0</v>
          </cell>
          <cell r="BK311">
            <v>0</v>
          </cell>
          <cell r="BL311">
            <v>0</v>
          </cell>
          <cell r="BM311">
            <v>0</v>
          </cell>
          <cell r="BN311">
            <v>0</v>
          </cell>
          <cell r="BO311">
            <v>0</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row>
        <row r="312">
          <cell r="C312">
            <v>37826</v>
          </cell>
          <cell r="D312">
            <v>37900</v>
          </cell>
          <cell r="E312">
            <v>37867</v>
          </cell>
          <cell r="F312">
            <v>0.59722222222222221</v>
          </cell>
          <cell r="G312" t="str">
            <v>Células de Solda Automática</v>
          </cell>
          <cell r="H312" t="str">
            <v>Parô da 2ª esteira está com a chapa torta</v>
          </cell>
          <cell r="I312" t="str">
            <v>Corretiva</v>
          </cell>
          <cell r="J312" t="str">
            <v>Não</v>
          </cell>
          <cell r="K312" t="str">
            <v>Mecânica</v>
          </cell>
          <cell r="L312" t="str">
            <v>Regulagem do Componente</v>
          </cell>
          <cell r="M312" t="str">
            <v>Falha de Comando / Sistema</v>
          </cell>
          <cell r="N312">
            <v>37867</v>
          </cell>
          <cell r="O312">
            <v>0.70833333333333337</v>
          </cell>
          <cell r="P312">
            <v>37867</v>
          </cell>
          <cell r="Q312">
            <v>0.70833333333333337</v>
          </cell>
          <cell r="T312">
            <v>37867</v>
          </cell>
          <cell r="U312">
            <v>0.79166666666666663</v>
          </cell>
          <cell r="V312">
            <v>37867</v>
          </cell>
          <cell r="W312">
            <v>0.79166666666666663</v>
          </cell>
          <cell r="X312">
            <v>8.3333333330907977E-2</v>
          </cell>
          <cell r="Y312">
            <v>8.3333333330907977E-2</v>
          </cell>
          <cell r="AB312">
            <v>9</v>
          </cell>
          <cell r="AC312">
            <v>7</v>
          </cell>
          <cell r="AD312">
            <v>0</v>
          </cell>
          <cell r="BF312">
            <v>9</v>
          </cell>
          <cell r="BG312">
            <v>0</v>
          </cell>
          <cell r="BH312">
            <v>0</v>
          </cell>
          <cell r="BI312">
            <v>0</v>
          </cell>
          <cell r="BJ312">
            <v>0</v>
          </cell>
          <cell r="BK312">
            <v>0</v>
          </cell>
          <cell r="BL312">
            <v>0</v>
          </cell>
          <cell r="BM312">
            <v>0</v>
          </cell>
          <cell r="BN312">
            <v>0</v>
          </cell>
          <cell r="BO312">
            <v>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row>
        <row r="313">
          <cell r="C313">
            <v>37826</v>
          </cell>
          <cell r="D313">
            <v>37868</v>
          </cell>
          <cell r="E313">
            <v>37867</v>
          </cell>
          <cell r="F313">
            <v>0.54166666666666663</v>
          </cell>
          <cell r="G313" t="str">
            <v>Células de Solda Automática</v>
          </cell>
          <cell r="H313" t="str">
            <v>Pistão do parô da 1ª esteira está torto</v>
          </cell>
          <cell r="I313" t="str">
            <v>Corretiva</v>
          </cell>
          <cell r="J313" t="str">
            <v>Não</v>
          </cell>
          <cell r="K313" t="str">
            <v>Mecânica</v>
          </cell>
          <cell r="L313" t="str">
            <v>Substituição do(s) Componente(s)</v>
          </cell>
          <cell r="M313" t="str">
            <v>Falha de Comando / Sistema</v>
          </cell>
          <cell r="N313">
            <v>37867</v>
          </cell>
          <cell r="O313">
            <v>0.57291666666666663</v>
          </cell>
          <cell r="P313">
            <v>37867</v>
          </cell>
          <cell r="Q313">
            <v>0.57291666666666663</v>
          </cell>
          <cell r="T313">
            <v>37867</v>
          </cell>
          <cell r="U313">
            <v>0.60763888888888895</v>
          </cell>
          <cell r="V313">
            <v>37867</v>
          </cell>
          <cell r="W313">
            <v>0.60763888888888895</v>
          </cell>
          <cell r="X313">
            <v>3.4722222223839139E-2</v>
          </cell>
          <cell r="Y313">
            <v>3.4722222223839139E-2</v>
          </cell>
          <cell r="AB313">
            <v>9</v>
          </cell>
          <cell r="AC313">
            <v>7</v>
          </cell>
          <cell r="AD313">
            <v>0</v>
          </cell>
          <cell r="BF313">
            <v>9</v>
          </cell>
          <cell r="BG313">
            <v>0</v>
          </cell>
          <cell r="BH313">
            <v>0</v>
          </cell>
          <cell r="BI313">
            <v>0</v>
          </cell>
          <cell r="BJ313">
            <v>0</v>
          </cell>
          <cell r="BK313">
            <v>0</v>
          </cell>
          <cell r="BL313">
            <v>0</v>
          </cell>
          <cell r="BM313">
            <v>0</v>
          </cell>
          <cell r="BN313">
            <v>0</v>
          </cell>
          <cell r="BO313">
            <v>0</v>
          </cell>
          <cell r="BP313">
            <v>0</v>
          </cell>
          <cell r="BQ313">
            <v>0</v>
          </cell>
          <cell r="BR313">
            <v>0</v>
          </cell>
          <cell r="BS313">
            <v>0</v>
          </cell>
          <cell r="BT313">
            <v>0</v>
          </cell>
          <cell r="BU313">
            <v>0</v>
          </cell>
          <cell r="BV313">
            <v>0</v>
          </cell>
          <cell r="BW313">
            <v>0</v>
          </cell>
          <cell r="BX313">
            <v>0</v>
          </cell>
          <cell r="BY313">
            <v>0</v>
          </cell>
          <cell r="BZ313">
            <v>0</v>
          </cell>
          <cell r="CA313">
            <v>0</v>
          </cell>
          <cell r="CB313">
            <v>0</v>
          </cell>
          <cell r="CC313">
            <v>0</v>
          </cell>
          <cell r="CD313">
            <v>0</v>
          </cell>
        </row>
        <row r="314">
          <cell r="C314">
            <v>37826</v>
          </cell>
          <cell r="D314">
            <v>37868</v>
          </cell>
          <cell r="E314">
            <v>37866</v>
          </cell>
          <cell r="F314">
            <v>0.33333333333333331</v>
          </cell>
          <cell r="G314" t="str">
            <v>Células de Solda Automática</v>
          </cell>
          <cell r="H314" t="str">
            <v>Plug incompatível com a tomada da linha da Solda Manual</v>
          </cell>
          <cell r="I314" t="str">
            <v>Corretiva</v>
          </cell>
          <cell r="J314" t="str">
            <v>Sim</v>
          </cell>
          <cell r="K314" t="str">
            <v>Elétrica</v>
          </cell>
          <cell r="L314" t="str">
            <v>Substituição do(s) Componente(s)</v>
          </cell>
          <cell r="M314" t="str">
            <v>Alteração na Localização da Máquina</v>
          </cell>
          <cell r="N314">
            <v>0</v>
          </cell>
          <cell r="O314" t="str">
            <v>Alteração na Localização da Máquina</v>
          </cell>
          <cell r="P314">
            <v>0</v>
          </cell>
          <cell r="T314">
            <v>0</v>
          </cell>
          <cell r="V314">
            <v>0</v>
          </cell>
          <cell r="W314">
            <v>0</v>
          </cell>
          <cell r="X314">
            <v>0</v>
          </cell>
          <cell r="Y314">
            <v>0</v>
          </cell>
          <cell r="AB314">
            <v>0</v>
          </cell>
          <cell r="AC314">
            <v>7</v>
          </cell>
          <cell r="AD314">
            <v>0</v>
          </cell>
          <cell r="BF314">
            <v>1</v>
          </cell>
          <cell r="BG314">
            <v>0</v>
          </cell>
          <cell r="BH314">
            <v>0</v>
          </cell>
          <cell r="BI314">
            <v>0</v>
          </cell>
          <cell r="BJ314">
            <v>0</v>
          </cell>
          <cell r="BK314">
            <v>0</v>
          </cell>
          <cell r="BL314">
            <v>0</v>
          </cell>
          <cell r="BM314">
            <v>0</v>
          </cell>
          <cell r="BN314">
            <v>0</v>
          </cell>
          <cell r="BO314">
            <v>0</v>
          </cell>
          <cell r="BP314">
            <v>0</v>
          </cell>
          <cell r="BQ314">
            <v>0</v>
          </cell>
          <cell r="BR314">
            <v>0</v>
          </cell>
          <cell r="BS314">
            <v>0</v>
          </cell>
          <cell r="BT314">
            <v>0</v>
          </cell>
          <cell r="BU314">
            <v>0</v>
          </cell>
          <cell r="BV314">
            <v>0</v>
          </cell>
          <cell r="BW314">
            <v>0</v>
          </cell>
          <cell r="BX314">
            <v>0</v>
          </cell>
          <cell r="BY314">
            <v>0</v>
          </cell>
          <cell r="BZ314">
            <v>0</v>
          </cell>
          <cell r="CA314">
            <v>0</v>
          </cell>
          <cell r="CB314">
            <v>0</v>
          </cell>
          <cell r="CC314">
            <v>0</v>
          </cell>
          <cell r="CD314">
            <v>0</v>
          </cell>
        </row>
        <row r="315">
          <cell r="C315">
            <v>37826</v>
          </cell>
          <cell r="D315">
            <v>37867</v>
          </cell>
          <cell r="E315">
            <v>37865</v>
          </cell>
          <cell r="F315">
            <v>0.45833333333333331</v>
          </cell>
          <cell r="G315" t="str">
            <v>Células de Solda Automática</v>
          </cell>
          <cell r="H315" t="str">
            <v>Bocal da tocha dos robôs desgastado</v>
          </cell>
          <cell r="I315" t="str">
            <v>Corretiva</v>
          </cell>
          <cell r="J315" t="str">
            <v>Não</v>
          </cell>
          <cell r="K315" t="str">
            <v>Mecânica</v>
          </cell>
          <cell r="L315" t="str">
            <v>Substituição do(s) Componente(s)</v>
          </cell>
          <cell r="M315" t="str">
            <v>Desgaste / Fadiga</v>
          </cell>
          <cell r="N315">
            <v>37865</v>
          </cell>
          <cell r="O315">
            <v>0.45833333333333331</v>
          </cell>
          <cell r="P315">
            <v>37865</v>
          </cell>
          <cell r="Q315">
            <v>0.45833333333333331</v>
          </cell>
          <cell r="T315">
            <v>37865</v>
          </cell>
          <cell r="U315">
            <v>0.47916666666666669</v>
          </cell>
          <cell r="V315">
            <v>37865</v>
          </cell>
          <cell r="W315">
            <v>0.47916666666666669</v>
          </cell>
          <cell r="X315">
            <v>2.0833333330908033E-2</v>
          </cell>
          <cell r="Y315">
            <v>2.0833333330908033E-2</v>
          </cell>
          <cell r="AB315">
            <v>9</v>
          </cell>
          <cell r="AC315">
            <v>7</v>
          </cell>
          <cell r="AD315">
            <v>0</v>
          </cell>
          <cell r="BF315">
            <v>9</v>
          </cell>
          <cell r="BG315">
            <v>0</v>
          </cell>
          <cell r="BH315">
            <v>0</v>
          </cell>
          <cell r="BI315">
            <v>0</v>
          </cell>
          <cell r="BJ315">
            <v>0</v>
          </cell>
          <cell r="BK315">
            <v>0</v>
          </cell>
          <cell r="BL315">
            <v>0</v>
          </cell>
          <cell r="BM315">
            <v>0</v>
          </cell>
          <cell r="BN315">
            <v>0</v>
          </cell>
          <cell r="BO315">
            <v>0</v>
          </cell>
          <cell r="BP315">
            <v>0</v>
          </cell>
          <cell r="BQ315">
            <v>0</v>
          </cell>
          <cell r="BR315">
            <v>0</v>
          </cell>
          <cell r="BS315">
            <v>0</v>
          </cell>
          <cell r="BT315">
            <v>0</v>
          </cell>
          <cell r="BU315">
            <v>0</v>
          </cell>
          <cell r="BV315">
            <v>0</v>
          </cell>
          <cell r="BW315">
            <v>0</v>
          </cell>
          <cell r="BX315">
            <v>0</v>
          </cell>
          <cell r="BY315">
            <v>0</v>
          </cell>
          <cell r="BZ315">
            <v>0</v>
          </cell>
          <cell r="CA315">
            <v>0</v>
          </cell>
          <cell r="CB315">
            <v>0</v>
          </cell>
          <cell r="CC315">
            <v>0</v>
          </cell>
          <cell r="CD315">
            <v>0</v>
          </cell>
        </row>
        <row r="316">
          <cell r="C316">
            <v>37826</v>
          </cell>
          <cell r="D316">
            <v>37865</v>
          </cell>
          <cell r="E316">
            <v>37708</v>
          </cell>
          <cell r="F316">
            <v>0.625</v>
          </cell>
          <cell r="G316" t="str">
            <v>Células de Solda Automática</v>
          </cell>
          <cell r="H316" t="str">
            <v>Fios da Fresa soltos</v>
          </cell>
          <cell r="I316" t="str">
            <v>Corretiva</v>
          </cell>
          <cell r="J316" t="str">
            <v>Não</v>
          </cell>
          <cell r="K316" t="str">
            <v>Elétrica</v>
          </cell>
          <cell r="L316" t="str">
            <v>Reparo</v>
          </cell>
          <cell r="M316" t="str">
            <v>Vibração</v>
          </cell>
          <cell r="N316">
            <v>37708</v>
          </cell>
          <cell r="O316">
            <v>0.64583333333333337</v>
          </cell>
          <cell r="P316">
            <v>37708</v>
          </cell>
          <cell r="Q316">
            <v>0.64583333333333337</v>
          </cell>
          <cell r="T316">
            <v>37708</v>
          </cell>
          <cell r="U316">
            <v>0.6875</v>
          </cell>
          <cell r="V316">
            <v>37708</v>
          </cell>
          <cell r="W316">
            <v>0.6875</v>
          </cell>
          <cell r="X316">
            <v>4.166666666666663E-2</v>
          </cell>
          <cell r="Y316">
            <v>4.166666666666663E-2</v>
          </cell>
          <cell r="AB316">
            <v>3</v>
          </cell>
          <cell r="AC316">
            <v>7</v>
          </cell>
          <cell r="AD316">
            <v>0</v>
          </cell>
          <cell r="BF316">
            <v>3</v>
          </cell>
          <cell r="BG316">
            <v>0</v>
          </cell>
          <cell r="BH316">
            <v>0</v>
          </cell>
          <cell r="BI316">
            <v>0</v>
          </cell>
          <cell r="BJ316">
            <v>0</v>
          </cell>
          <cell r="BK316">
            <v>0</v>
          </cell>
          <cell r="BL316">
            <v>0</v>
          </cell>
          <cell r="BM316">
            <v>0</v>
          </cell>
          <cell r="BN316">
            <v>0</v>
          </cell>
          <cell r="BO316">
            <v>0</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C316">
            <v>0</v>
          </cell>
          <cell r="CD316">
            <v>0</v>
          </cell>
        </row>
        <row r="317">
          <cell r="C317">
            <v>37826</v>
          </cell>
          <cell r="D317">
            <v>37838</v>
          </cell>
          <cell r="E317">
            <v>37837</v>
          </cell>
          <cell r="F317">
            <v>0.4861111111111111</v>
          </cell>
          <cell r="G317" t="str">
            <v>Máquina de Solda MIG</v>
          </cell>
          <cell r="H317" t="str">
            <v>Necessidade de substituição do Bocal</v>
          </cell>
          <cell r="I317" t="str">
            <v>Corretiva</v>
          </cell>
          <cell r="J317" t="str">
            <v>Sim</v>
          </cell>
          <cell r="K317" t="str">
            <v>Mecânica</v>
          </cell>
          <cell r="L317" t="str">
            <v>Substituição do(s) Componente(s)</v>
          </cell>
          <cell r="M317" t="str">
            <v>Desgaste / Fadiga</v>
          </cell>
          <cell r="N317">
            <v>37837</v>
          </cell>
          <cell r="O317">
            <v>0.4861111111111111</v>
          </cell>
          <cell r="P317">
            <v>37837</v>
          </cell>
          <cell r="Q317">
            <v>0.4861111111111111</v>
          </cell>
          <cell r="T317">
            <v>37837</v>
          </cell>
          <cell r="U317">
            <v>0.5</v>
          </cell>
          <cell r="V317">
            <v>37837</v>
          </cell>
          <cell r="W317">
            <v>0.5</v>
          </cell>
          <cell r="X317">
            <v>1.3888888888888895E-2</v>
          </cell>
          <cell r="Y317">
            <v>1.3888888888888895E-2</v>
          </cell>
          <cell r="AB317">
            <v>8</v>
          </cell>
          <cell r="AC317">
            <v>7</v>
          </cell>
          <cell r="AD317">
            <v>0</v>
          </cell>
          <cell r="BF317">
            <v>0</v>
          </cell>
          <cell r="BG317">
            <v>0</v>
          </cell>
          <cell r="BH317">
            <v>0</v>
          </cell>
          <cell r="BI317">
            <v>0</v>
          </cell>
          <cell r="BJ317">
            <v>0</v>
          </cell>
          <cell r="BK317">
            <v>0</v>
          </cell>
          <cell r="BL317">
            <v>0</v>
          </cell>
          <cell r="BM317">
            <v>0</v>
          </cell>
          <cell r="BN317">
            <v>0</v>
          </cell>
          <cell r="BO317">
            <v>0</v>
          </cell>
          <cell r="BP317">
            <v>0</v>
          </cell>
          <cell r="BQ317">
            <v>0</v>
          </cell>
          <cell r="BR317">
            <v>8</v>
          </cell>
          <cell r="BS317">
            <v>0</v>
          </cell>
          <cell r="BT317">
            <v>0</v>
          </cell>
          <cell r="BU317">
            <v>0</v>
          </cell>
          <cell r="BV317">
            <v>0</v>
          </cell>
          <cell r="BW317">
            <v>0</v>
          </cell>
          <cell r="BX317">
            <v>0</v>
          </cell>
          <cell r="BY317">
            <v>0</v>
          </cell>
          <cell r="BZ317">
            <v>0</v>
          </cell>
          <cell r="CA317">
            <v>0</v>
          </cell>
          <cell r="CB317">
            <v>0</v>
          </cell>
          <cell r="CC317">
            <v>0</v>
          </cell>
          <cell r="CD317">
            <v>0</v>
          </cell>
        </row>
        <row r="318">
          <cell r="C318">
            <v>37826</v>
          </cell>
          <cell r="I318">
            <v>0</v>
          </cell>
          <cell r="N318">
            <v>0</v>
          </cell>
          <cell r="P318">
            <v>0</v>
          </cell>
          <cell r="T318">
            <v>0</v>
          </cell>
          <cell r="V318">
            <v>0</v>
          </cell>
          <cell r="W318">
            <v>0</v>
          </cell>
          <cell r="X318">
            <v>0</v>
          </cell>
          <cell r="Y318">
            <v>0</v>
          </cell>
          <cell r="AB318">
            <v>0</v>
          </cell>
          <cell r="AC318">
            <v>7</v>
          </cell>
          <cell r="AD318">
            <v>0</v>
          </cell>
          <cell r="BF318">
            <v>0</v>
          </cell>
          <cell r="BG318">
            <v>0</v>
          </cell>
          <cell r="BH318">
            <v>0</v>
          </cell>
          <cell r="BI318">
            <v>0</v>
          </cell>
          <cell r="BJ318">
            <v>0</v>
          </cell>
          <cell r="BK318">
            <v>0</v>
          </cell>
          <cell r="BL318">
            <v>0</v>
          </cell>
          <cell r="BM318">
            <v>0</v>
          </cell>
          <cell r="BN318">
            <v>0</v>
          </cell>
          <cell r="BO318">
            <v>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row>
        <row r="319">
          <cell r="C319">
            <v>37826</v>
          </cell>
          <cell r="D319">
            <v>37858</v>
          </cell>
          <cell r="E319">
            <v>37840</v>
          </cell>
          <cell r="F319">
            <v>0.47916666666666669</v>
          </cell>
          <cell r="G319" t="str">
            <v>Máquina de Solda MIG</v>
          </cell>
          <cell r="H319" t="str">
            <v>Mau contato no Plug de Alimentação</v>
          </cell>
          <cell r="I319" t="str">
            <v>Corretiva</v>
          </cell>
          <cell r="J319" t="str">
            <v>Sim</v>
          </cell>
          <cell r="K319" t="str">
            <v>Elétrica</v>
          </cell>
          <cell r="L319" t="str">
            <v>Correção de mau contato</v>
          </cell>
          <cell r="M319" t="str">
            <v>Desgaste / Fadiga</v>
          </cell>
          <cell r="N319">
            <v>37840</v>
          </cell>
          <cell r="O319">
            <v>0.47916666666666669</v>
          </cell>
          <cell r="P319">
            <v>37840</v>
          </cell>
          <cell r="Q319">
            <v>0.47916666666666669</v>
          </cell>
          <cell r="T319">
            <v>37840</v>
          </cell>
          <cell r="U319">
            <v>0.48958333333333331</v>
          </cell>
          <cell r="V319">
            <v>37840</v>
          </cell>
          <cell r="W319">
            <v>0.48958333333333331</v>
          </cell>
          <cell r="X319">
            <v>1.041666666666663E-2</v>
          </cell>
          <cell r="Y319">
            <v>1.0416666669091967E-2</v>
          </cell>
          <cell r="AB319">
            <v>8</v>
          </cell>
          <cell r="AC319">
            <v>7</v>
          </cell>
          <cell r="AD319">
            <v>0</v>
          </cell>
          <cell r="BF319">
            <v>0</v>
          </cell>
          <cell r="BG319">
            <v>0</v>
          </cell>
          <cell r="BH319">
            <v>0</v>
          </cell>
          <cell r="BI319">
            <v>0</v>
          </cell>
          <cell r="BJ319">
            <v>0</v>
          </cell>
          <cell r="BK319">
            <v>0</v>
          </cell>
          <cell r="BL319">
            <v>0</v>
          </cell>
          <cell r="BM319">
            <v>0</v>
          </cell>
          <cell r="BN319">
            <v>0</v>
          </cell>
          <cell r="BO319">
            <v>0</v>
          </cell>
          <cell r="BP319">
            <v>0</v>
          </cell>
          <cell r="BQ319">
            <v>0</v>
          </cell>
          <cell r="BR319">
            <v>8</v>
          </cell>
          <cell r="BS319">
            <v>0</v>
          </cell>
          <cell r="BT319">
            <v>0</v>
          </cell>
          <cell r="BU319">
            <v>0</v>
          </cell>
          <cell r="BV319">
            <v>0</v>
          </cell>
          <cell r="BW319">
            <v>0</v>
          </cell>
          <cell r="BX319">
            <v>0</v>
          </cell>
          <cell r="BY319">
            <v>0</v>
          </cell>
          <cell r="BZ319">
            <v>0</v>
          </cell>
          <cell r="CA319">
            <v>0</v>
          </cell>
          <cell r="CB319">
            <v>0</v>
          </cell>
          <cell r="CC319">
            <v>0</v>
          </cell>
          <cell r="CD319">
            <v>0</v>
          </cell>
        </row>
        <row r="320">
          <cell r="C320">
            <v>37826</v>
          </cell>
          <cell r="D320">
            <v>37858</v>
          </cell>
          <cell r="E320">
            <v>37844</v>
          </cell>
          <cell r="F320">
            <v>0.34236111111111112</v>
          </cell>
          <cell r="G320" t="str">
            <v>Células de Solda Manual</v>
          </cell>
          <cell r="H320" t="str">
            <v>Chave não funciona</v>
          </cell>
          <cell r="I320" t="str">
            <v>Corretiva</v>
          </cell>
          <cell r="J320" t="str">
            <v>Sim</v>
          </cell>
          <cell r="K320" t="str">
            <v>Elétrica</v>
          </cell>
          <cell r="L320" t="str">
            <v>Reaperto dos componentes</v>
          </cell>
          <cell r="M320" t="str">
            <v>Mau contato</v>
          </cell>
          <cell r="N320">
            <v>37844</v>
          </cell>
          <cell r="O320">
            <v>0.34722222222222227</v>
          </cell>
          <cell r="P320">
            <v>37844</v>
          </cell>
          <cell r="Q320">
            <v>0.34722222222222227</v>
          </cell>
          <cell r="T320">
            <v>37844</v>
          </cell>
          <cell r="U320">
            <v>0.35416666666666669</v>
          </cell>
          <cell r="V320">
            <v>37844</v>
          </cell>
          <cell r="W320">
            <v>0.35416666666666669</v>
          </cell>
          <cell r="X320">
            <v>6.9444444444444198E-3</v>
          </cell>
          <cell r="Y320">
            <v>6.9444444420190821E-3</v>
          </cell>
          <cell r="AB320">
            <v>8</v>
          </cell>
          <cell r="AC320">
            <v>7</v>
          </cell>
          <cell r="AD320">
            <v>0</v>
          </cell>
          <cell r="BF320">
            <v>0</v>
          </cell>
          <cell r="BG320">
            <v>8</v>
          </cell>
          <cell r="BH320">
            <v>0</v>
          </cell>
          <cell r="BI320">
            <v>0</v>
          </cell>
          <cell r="BJ320">
            <v>0</v>
          </cell>
          <cell r="BK320">
            <v>0</v>
          </cell>
          <cell r="BL320">
            <v>0</v>
          </cell>
          <cell r="BM320">
            <v>0</v>
          </cell>
          <cell r="BN320">
            <v>0</v>
          </cell>
          <cell r="BO320">
            <v>0</v>
          </cell>
          <cell r="BP320">
            <v>0</v>
          </cell>
          <cell r="BQ320">
            <v>0</v>
          </cell>
          <cell r="BR320">
            <v>0</v>
          </cell>
          <cell r="BS320">
            <v>0</v>
          </cell>
          <cell r="BT320">
            <v>0</v>
          </cell>
          <cell r="BU320">
            <v>0</v>
          </cell>
          <cell r="BV320">
            <v>0</v>
          </cell>
          <cell r="BW320">
            <v>0</v>
          </cell>
          <cell r="BX320">
            <v>0</v>
          </cell>
          <cell r="BY320">
            <v>0</v>
          </cell>
          <cell r="BZ320">
            <v>0</v>
          </cell>
          <cell r="CA320">
            <v>0</v>
          </cell>
          <cell r="CB320">
            <v>0</v>
          </cell>
          <cell r="CC320">
            <v>0</v>
          </cell>
          <cell r="CD320">
            <v>0</v>
          </cell>
        </row>
        <row r="321">
          <cell r="C321">
            <v>37826</v>
          </cell>
          <cell r="D321">
            <v>37858</v>
          </cell>
          <cell r="E321">
            <v>37853</v>
          </cell>
          <cell r="F321">
            <v>0.42708333333333331</v>
          </cell>
          <cell r="G321" t="str">
            <v>Serra de Fita</v>
          </cell>
          <cell r="H321" t="str">
            <v>Máquina não funciona</v>
          </cell>
          <cell r="I321" t="str">
            <v>Corretiva</v>
          </cell>
          <cell r="J321" t="str">
            <v>Sim</v>
          </cell>
          <cell r="K321" t="str">
            <v>Elétrica</v>
          </cell>
          <cell r="L321" t="str">
            <v>Correção de mau contato</v>
          </cell>
          <cell r="M321" t="str">
            <v>Vibração</v>
          </cell>
          <cell r="N321">
            <v>37853</v>
          </cell>
          <cell r="O321">
            <v>0.4375</v>
          </cell>
          <cell r="P321">
            <v>37853</v>
          </cell>
          <cell r="Q321">
            <v>0.4375</v>
          </cell>
          <cell r="T321">
            <v>37853</v>
          </cell>
          <cell r="U321">
            <v>0.44444444444444442</v>
          </cell>
          <cell r="V321">
            <v>37853</v>
          </cell>
          <cell r="W321">
            <v>0.44444444444444442</v>
          </cell>
          <cell r="X321">
            <v>6.9444444444444198E-3</v>
          </cell>
          <cell r="Y321">
            <v>6.9444444452528842E-3</v>
          </cell>
          <cell r="AB321">
            <v>8</v>
          </cell>
          <cell r="AC321">
            <v>7</v>
          </cell>
          <cell r="AD321">
            <v>0</v>
          </cell>
          <cell r="BF321">
            <v>0</v>
          </cell>
          <cell r="BG321">
            <v>0</v>
          </cell>
          <cell r="BH321">
            <v>0</v>
          </cell>
          <cell r="BI321">
            <v>0</v>
          </cell>
          <cell r="BJ321">
            <v>0</v>
          </cell>
          <cell r="BK321">
            <v>0</v>
          </cell>
          <cell r="BL321">
            <v>0</v>
          </cell>
          <cell r="BM321">
            <v>0</v>
          </cell>
          <cell r="BN321">
            <v>0</v>
          </cell>
          <cell r="BO321">
            <v>0</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C321">
            <v>8</v>
          </cell>
          <cell r="CD321">
            <v>0</v>
          </cell>
        </row>
        <row r="322">
          <cell r="C322">
            <v>37826</v>
          </cell>
          <cell r="D322">
            <v>37858</v>
          </cell>
          <cell r="E322">
            <v>37853</v>
          </cell>
          <cell r="F322">
            <v>0.42708333333333331</v>
          </cell>
          <cell r="G322" t="str">
            <v>Células de Solda Manual</v>
          </cell>
          <cell r="H322" t="str">
            <v>Nível de óleo baixo</v>
          </cell>
          <cell r="I322" t="str">
            <v>Corretiva</v>
          </cell>
          <cell r="J322" t="str">
            <v>Não</v>
          </cell>
          <cell r="K322" t="str">
            <v>Mecânica</v>
          </cell>
          <cell r="L322" t="str">
            <v>Foi verificado o nível, que estava normal</v>
          </cell>
          <cell r="M322" t="str">
            <v>Falha Operacional</v>
          </cell>
          <cell r="N322">
            <v>37853</v>
          </cell>
          <cell r="O322">
            <v>0.66666666666666663</v>
          </cell>
          <cell r="P322">
            <v>37853</v>
          </cell>
          <cell r="Q322">
            <v>0.66666666666666663</v>
          </cell>
          <cell r="T322">
            <v>37853</v>
          </cell>
          <cell r="U322">
            <v>0.6875</v>
          </cell>
          <cell r="V322">
            <v>37853</v>
          </cell>
          <cell r="W322">
            <v>0.6875</v>
          </cell>
          <cell r="X322">
            <v>2.083333333333337E-2</v>
          </cell>
          <cell r="Y322">
            <v>2.083333333333337E-2</v>
          </cell>
          <cell r="AB322">
            <v>8</v>
          </cell>
          <cell r="AC322">
            <v>7</v>
          </cell>
          <cell r="AD322">
            <v>0</v>
          </cell>
          <cell r="BF322">
            <v>0</v>
          </cell>
          <cell r="BG322">
            <v>8</v>
          </cell>
          <cell r="BH322">
            <v>0</v>
          </cell>
          <cell r="BI322">
            <v>0</v>
          </cell>
          <cell r="BJ322">
            <v>0</v>
          </cell>
          <cell r="BK322">
            <v>0</v>
          </cell>
          <cell r="BL322">
            <v>0</v>
          </cell>
          <cell r="BM322">
            <v>0</v>
          </cell>
          <cell r="BN322">
            <v>0</v>
          </cell>
          <cell r="BO322">
            <v>0</v>
          </cell>
          <cell r="BP322">
            <v>0</v>
          </cell>
          <cell r="BQ322">
            <v>0</v>
          </cell>
          <cell r="BR322">
            <v>0</v>
          </cell>
          <cell r="BS322">
            <v>0</v>
          </cell>
          <cell r="BT322">
            <v>0</v>
          </cell>
          <cell r="BU322">
            <v>0</v>
          </cell>
          <cell r="BV322">
            <v>0</v>
          </cell>
          <cell r="BW322">
            <v>0</v>
          </cell>
          <cell r="BX322">
            <v>0</v>
          </cell>
          <cell r="BY322">
            <v>0</v>
          </cell>
          <cell r="BZ322">
            <v>0</v>
          </cell>
          <cell r="CA322">
            <v>0</v>
          </cell>
          <cell r="CB322">
            <v>0</v>
          </cell>
          <cell r="CC322">
            <v>0</v>
          </cell>
          <cell r="CD322">
            <v>0</v>
          </cell>
        </row>
        <row r="323">
          <cell r="C323">
            <v>37826</v>
          </cell>
          <cell r="D323">
            <v>37858</v>
          </cell>
          <cell r="E323">
            <v>37854</v>
          </cell>
          <cell r="F323">
            <v>0.33333333333333331</v>
          </cell>
          <cell r="G323" t="str">
            <v>Células de Solda Manual</v>
          </cell>
          <cell r="H323" t="str">
            <v>A fresa de limpeza da tocha não está jogando óleo (anti-respingos)</v>
          </cell>
          <cell r="I323" t="str">
            <v>Corretiva</v>
          </cell>
          <cell r="J323" t="str">
            <v>Não</v>
          </cell>
          <cell r="K323" t="str">
            <v>Mecânica</v>
          </cell>
          <cell r="L323" t="str">
            <v>Ajuste / Regulagem</v>
          </cell>
          <cell r="M323" t="str">
            <v>Desgaste / Fadiga</v>
          </cell>
          <cell r="N323">
            <v>37854</v>
          </cell>
          <cell r="O323">
            <v>0.33333333333333331</v>
          </cell>
          <cell r="P323">
            <v>37854</v>
          </cell>
          <cell r="Q323">
            <v>0.33333333333333331</v>
          </cell>
          <cell r="T323">
            <v>37854</v>
          </cell>
          <cell r="U323">
            <v>0.41666666666666669</v>
          </cell>
          <cell r="V323">
            <v>37854</v>
          </cell>
          <cell r="W323">
            <v>0.41666666666666669</v>
          </cell>
          <cell r="X323">
            <v>8.3333333330908033E-2</v>
          </cell>
          <cell r="Y323">
            <v>8.3333333330908033E-2</v>
          </cell>
          <cell r="AB323">
            <v>8</v>
          </cell>
          <cell r="AC323">
            <v>7</v>
          </cell>
          <cell r="AD323">
            <v>0</v>
          </cell>
          <cell r="BF323">
            <v>0</v>
          </cell>
          <cell r="BG323">
            <v>8</v>
          </cell>
          <cell r="BH323">
            <v>0</v>
          </cell>
          <cell r="BI323">
            <v>0</v>
          </cell>
          <cell r="BJ323">
            <v>0</v>
          </cell>
          <cell r="BK323">
            <v>0</v>
          </cell>
          <cell r="BL323">
            <v>0</v>
          </cell>
          <cell r="BM323">
            <v>0</v>
          </cell>
          <cell r="BN323">
            <v>0</v>
          </cell>
          <cell r="BO323">
            <v>0</v>
          </cell>
          <cell r="BP323">
            <v>0</v>
          </cell>
          <cell r="BQ323">
            <v>0</v>
          </cell>
          <cell r="BR323">
            <v>0</v>
          </cell>
          <cell r="BS323">
            <v>0</v>
          </cell>
          <cell r="BT323">
            <v>0</v>
          </cell>
          <cell r="BU323">
            <v>0</v>
          </cell>
          <cell r="BV323">
            <v>0</v>
          </cell>
          <cell r="BW323">
            <v>0</v>
          </cell>
          <cell r="BX323">
            <v>0</v>
          </cell>
          <cell r="BY323">
            <v>0</v>
          </cell>
          <cell r="BZ323">
            <v>0</v>
          </cell>
          <cell r="CA323">
            <v>0</v>
          </cell>
          <cell r="CB323">
            <v>0</v>
          </cell>
          <cell r="CC323">
            <v>0</v>
          </cell>
          <cell r="CD323">
            <v>0</v>
          </cell>
        </row>
        <row r="324">
          <cell r="C324">
            <v>37826</v>
          </cell>
          <cell r="D324">
            <v>37858</v>
          </cell>
          <cell r="E324">
            <v>37854</v>
          </cell>
          <cell r="F324">
            <v>0.375</v>
          </cell>
          <cell r="G324" t="str">
            <v>Máquina de Solda MIG</v>
          </cell>
          <cell r="H324" t="str">
            <v>Plug incompatível com a tomada da linha da Solda Manual</v>
          </cell>
          <cell r="I324" t="str">
            <v>Corretiva</v>
          </cell>
          <cell r="J324" t="str">
            <v>Sim</v>
          </cell>
          <cell r="K324" t="str">
            <v>Elétrica</v>
          </cell>
          <cell r="L324" t="str">
            <v>Substituição do(s) Componente(s)</v>
          </cell>
          <cell r="M324" t="str">
            <v>Alteração na Localização da Máquina</v>
          </cell>
          <cell r="N324">
            <v>37854</v>
          </cell>
          <cell r="O324">
            <v>0.41666666666666669</v>
          </cell>
          <cell r="P324">
            <v>37854</v>
          </cell>
          <cell r="Q324">
            <v>0.41666666666666669</v>
          </cell>
          <cell r="T324">
            <v>37854</v>
          </cell>
          <cell r="U324">
            <v>0.42708333333333331</v>
          </cell>
          <cell r="V324">
            <v>37854</v>
          </cell>
          <cell r="W324">
            <v>0.42708333333333331</v>
          </cell>
          <cell r="X324">
            <v>1.041666666666663E-2</v>
          </cell>
          <cell r="Y324">
            <v>1.0416666669091967E-2</v>
          </cell>
          <cell r="AB324">
            <v>8</v>
          </cell>
          <cell r="AC324">
            <v>7</v>
          </cell>
          <cell r="AD324">
            <v>0</v>
          </cell>
          <cell r="BF324">
            <v>0</v>
          </cell>
          <cell r="BG324">
            <v>0</v>
          </cell>
          <cell r="BH324">
            <v>0</v>
          </cell>
          <cell r="BI324">
            <v>0</v>
          </cell>
          <cell r="BJ324">
            <v>0</v>
          </cell>
          <cell r="BK324">
            <v>0</v>
          </cell>
          <cell r="BL324">
            <v>0</v>
          </cell>
          <cell r="BM324">
            <v>0</v>
          </cell>
          <cell r="BN324">
            <v>0</v>
          </cell>
          <cell r="BO324">
            <v>0</v>
          </cell>
          <cell r="BP324">
            <v>0</v>
          </cell>
          <cell r="BQ324">
            <v>0</v>
          </cell>
          <cell r="BR324">
            <v>8</v>
          </cell>
          <cell r="BS324">
            <v>0</v>
          </cell>
          <cell r="BT324">
            <v>0</v>
          </cell>
          <cell r="BU324">
            <v>0</v>
          </cell>
          <cell r="BV324">
            <v>0</v>
          </cell>
          <cell r="BW324">
            <v>0</v>
          </cell>
          <cell r="BX324">
            <v>0</v>
          </cell>
          <cell r="BY324">
            <v>0</v>
          </cell>
          <cell r="BZ324">
            <v>0</v>
          </cell>
          <cell r="CA324">
            <v>0</v>
          </cell>
          <cell r="CB324">
            <v>0</v>
          </cell>
          <cell r="CC324">
            <v>0</v>
          </cell>
          <cell r="CD324">
            <v>0</v>
          </cell>
        </row>
        <row r="325">
          <cell r="C325">
            <v>37826</v>
          </cell>
          <cell r="D325">
            <v>37865</v>
          </cell>
          <cell r="E325">
            <v>37855</v>
          </cell>
          <cell r="F325">
            <v>0.39027777777777778</v>
          </cell>
          <cell r="G325" t="str">
            <v>Células de Solda Manual</v>
          </cell>
          <cell r="H325" t="str">
            <v>Plug incompatível com a tomada da linha da Solda Manual</v>
          </cell>
          <cell r="I325" t="str">
            <v>Corretiva</v>
          </cell>
          <cell r="J325" t="str">
            <v>Sim</v>
          </cell>
          <cell r="K325" t="str">
            <v>Elétrica</v>
          </cell>
          <cell r="L325" t="str">
            <v>Substituição do(s) Componente(s)</v>
          </cell>
          <cell r="M325" t="str">
            <v>Causa não especificada</v>
          </cell>
          <cell r="N325">
            <v>37855</v>
          </cell>
          <cell r="O325">
            <v>0.41666666666666669</v>
          </cell>
          <cell r="P325">
            <v>37855</v>
          </cell>
          <cell r="Q325">
            <v>0.41666666666666669</v>
          </cell>
          <cell r="T325">
            <v>37855</v>
          </cell>
          <cell r="U325">
            <v>0.4236111111111111</v>
          </cell>
          <cell r="V325">
            <v>37855</v>
          </cell>
          <cell r="W325">
            <v>0.4236111111111111</v>
          </cell>
          <cell r="X325">
            <v>6.9444444444444198E-3</v>
          </cell>
          <cell r="Y325">
            <v>6.9444444428275465E-3</v>
          </cell>
          <cell r="AB325">
            <v>8</v>
          </cell>
          <cell r="AC325">
            <v>7</v>
          </cell>
          <cell r="AD325">
            <v>0</v>
          </cell>
          <cell r="BF325">
            <v>0</v>
          </cell>
          <cell r="BG325">
            <v>8</v>
          </cell>
          <cell r="BH325">
            <v>0</v>
          </cell>
          <cell r="BI325">
            <v>0</v>
          </cell>
          <cell r="BJ325">
            <v>0</v>
          </cell>
          <cell r="BK325">
            <v>0</v>
          </cell>
          <cell r="BL325">
            <v>0</v>
          </cell>
          <cell r="BM325">
            <v>0</v>
          </cell>
          <cell r="BN325">
            <v>0</v>
          </cell>
          <cell r="BO325">
            <v>0</v>
          </cell>
          <cell r="BP325">
            <v>0</v>
          </cell>
          <cell r="BQ325">
            <v>0</v>
          </cell>
          <cell r="BR325">
            <v>0</v>
          </cell>
          <cell r="BS325">
            <v>0</v>
          </cell>
          <cell r="BT325">
            <v>0</v>
          </cell>
          <cell r="BU325">
            <v>0</v>
          </cell>
          <cell r="BV325">
            <v>0</v>
          </cell>
          <cell r="BW325">
            <v>0</v>
          </cell>
          <cell r="BX325">
            <v>0</v>
          </cell>
          <cell r="BY325">
            <v>0</v>
          </cell>
          <cell r="BZ325">
            <v>0</v>
          </cell>
          <cell r="CA325">
            <v>0</v>
          </cell>
          <cell r="CB325">
            <v>0</v>
          </cell>
          <cell r="CC325">
            <v>0</v>
          </cell>
          <cell r="CD325">
            <v>0</v>
          </cell>
        </row>
        <row r="326">
          <cell r="C326">
            <v>37826</v>
          </cell>
          <cell r="D326">
            <v>37868</v>
          </cell>
          <cell r="E326">
            <v>37862</v>
          </cell>
          <cell r="F326">
            <v>0.31041666666666667</v>
          </cell>
          <cell r="G326" t="str">
            <v>Máquina de Solda MIG</v>
          </cell>
          <cell r="H326" t="str">
            <v>Plug incompatível com a tomada da linha da Solda Manual</v>
          </cell>
          <cell r="I326" t="str">
            <v>Corretiva</v>
          </cell>
          <cell r="J326" t="str">
            <v>Sim</v>
          </cell>
          <cell r="K326" t="str">
            <v>Elétrica</v>
          </cell>
          <cell r="L326" t="str">
            <v>Substituição do(s) Componente(s)</v>
          </cell>
          <cell r="M326" t="str">
            <v>Alteração na Localização da Máquina</v>
          </cell>
          <cell r="N326">
            <v>37862</v>
          </cell>
          <cell r="O326">
            <v>0.3125</v>
          </cell>
          <cell r="P326">
            <v>37862</v>
          </cell>
          <cell r="Q326">
            <v>0.3125</v>
          </cell>
          <cell r="T326">
            <v>37862</v>
          </cell>
          <cell r="U326">
            <v>0.31944444444444448</v>
          </cell>
          <cell r="V326">
            <v>37862</v>
          </cell>
          <cell r="W326">
            <v>0.31944444444444448</v>
          </cell>
          <cell r="X326">
            <v>6.9444444444444753E-3</v>
          </cell>
          <cell r="Y326">
            <v>6.9444444452528842E-3</v>
          </cell>
          <cell r="AB326">
            <v>8</v>
          </cell>
          <cell r="AC326">
            <v>7</v>
          </cell>
          <cell r="AD326">
            <v>0</v>
          </cell>
          <cell r="BF326">
            <v>0</v>
          </cell>
          <cell r="BG326">
            <v>0</v>
          </cell>
          <cell r="BH326">
            <v>0</v>
          </cell>
          <cell r="BI326">
            <v>0</v>
          </cell>
          <cell r="BJ326">
            <v>0</v>
          </cell>
          <cell r="BK326">
            <v>0</v>
          </cell>
          <cell r="BL326">
            <v>0</v>
          </cell>
          <cell r="BM326">
            <v>0</v>
          </cell>
          <cell r="BN326">
            <v>0</v>
          </cell>
          <cell r="BO326">
            <v>0</v>
          </cell>
          <cell r="BP326">
            <v>0</v>
          </cell>
          <cell r="BQ326">
            <v>0</v>
          </cell>
          <cell r="BR326">
            <v>8</v>
          </cell>
          <cell r="BS326">
            <v>0</v>
          </cell>
          <cell r="BT326">
            <v>0</v>
          </cell>
          <cell r="BU326">
            <v>0</v>
          </cell>
          <cell r="BV326">
            <v>0</v>
          </cell>
          <cell r="BW326">
            <v>0</v>
          </cell>
          <cell r="BX326">
            <v>0</v>
          </cell>
          <cell r="BY326">
            <v>0</v>
          </cell>
          <cell r="BZ326">
            <v>0</v>
          </cell>
          <cell r="CA326">
            <v>0</v>
          </cell>
          <cell r="CB326">
            <v>0</v>
          </cell>
          <cell r="CC326">
            <v>0</v>
          </cell>
          <cell r="CD326">
            <v>0</v>
          </cell>
        </row>
        <row r="327">
          <cell r="C327">
            <v>37826</v>
          </cell>
          <cell r="D327">
            <v>37868</v>
          </cell>
          <cell r="E327">
            <v>37862</v>
          </cell>
          <cell r="F327">
            <v>0.95833333333333337</v>
          </cell>
          <cell r="G327" t="str">
            <v>Células de Solda Manual</v>
          </cell>
          <cell r="H327" t="str">
            <v>Balancim travado</v>
          </cell>
          <cell r="I327" t="str">
            <v>Corretiva</v>
          </cell>
          <cell r="J327" t="str">
            <v>Não</v>
          </cell>
          <cell r="K327" t="str">
            <v>Mecânica</v>
          </cell>
          <cell r="L327" t="str">
            <v>Ajuste / Regulagem</v>
          </cell>
          <cell r="M327" t="str">
            <v>Travamento de Componente</v>
          </cell>
          <cell r="N327">
            <v>37865</v>
          </cell>
          <cell r="O327">
            <v>0.625</v>
          </cell>
          <cell r="P327">
            <v>37865</v>
          </cell>
          <cell r="Q327">
            <v>0.625</v>
          </cell>
          <cell r="T327">
            <v>37865</v>
          </cell>
          <cell r="U327">
            <v>0.70833333333333337</v>
          </cell>
          <cell r="V327">
            <v>37865</v>
          </cell>
          <cell r="W327">
            <v>0.70833333333333337</v>
          </cell>
          <cell r="X327">
            <v>8.3333333335758653E-2</v>
          </cell>
          <cell r="Y327">
            <v>8.3333333335758653E-2</v>
          </cell>
          <cell r="AB327">
            <v>9</v>
          </cell>
          <cell r="AC327">
            <v>7</v>
          </cell>
          <cell r="AD327">
            <v>0</v>
          </cell>
          <cell r="BF327">
            <v>0</v>
          </cell>
          <cell r="BG327">
            <v>9</v>
          </cell>
          <cell r="BH327">
            <v>0</v>
          </cell>
          <cell r="BI327">
            <v>0</v>
          </cell>
          <cell r="BJ327">
            <v>0</v>
          </cell>
          <cell r="BK327">
            <v>0</v>
          </cell>
          <cell r="BL327">
            <v>0</v>
          </cell>
          <cell r="BM327">
            <v>0</v>
          </cell>
          <cell r="BN327">
            <v>0</v>
          </cell>
          <cell r="BO327">
            <v>0</v>
          </cell>
          <cell r="BP327">
            <v>0</v>
          </cell>
          <cell r="BQ327">
            <v>0</v>
          </cell>
          <cell r="BR327">
            <v>0</v>
          </cell>
          <cell r="BS327">
            <v>0</v>
          </cell>
          <cell r="BT327">
            <v>0</v>
          </cell>
          <cell r="BU327">
            <v>0</v>
          </cell>
          <cell r="BV327">
            <v>0</v>
          </cell>
          <cell r="BW327">
            <v>0</v>
          </cell>
          <cell r="BX327">
            <v>0</v>
          </cell>
          <cell r="BY327">
            <v>0</v>
          </cell>
          <cell r="BZ327">
            <v>0</v>
          </cell>
          <cell r="CA327">
            <v>0</v>
          </cell>
          <cell r="CB327">
            <v>0</v>
          </cell>
          <cell r="CC327">
            <v>0</v>
          </cell>
          <cell r="CD327">
            <v>0</v>
          </cell>
        </row>
        <row r="328">
          <cell r="C328">
            <v>37826</v>
          </cell>
          <cell r="D328">
            <v>37868</v>
          </cell>
          <cell r="E328">
            <v>37867</v>
          </cell>
          <cell r="F328">
            <v>0.4201388888888889</v>
          </cell>
          <cell r="G328" t="str">
            <v>Células de Solda Manual</v>
          </cell>
          <cell r="H328" t="str">
            <v>Plug incompatível com a tomada da linha da Solda Manual</v>
          </cell>
          <cell r="I328" t="str">
            <v>Corretiva</v>
          </cell>
          <cell r="J328" t="str">
            <v>Sim</v>
          </cell>
          <cell r="K328" t="str">
            <v>Elétrica</v>
          </cell>
          <cell r="L328" t="str">
            <v>Substituição do(s) Componente(s)</v>
          </cell>
          <cell r="M328" t="str">
            <v>Alteração na Localização da Máquina</v>
          </cell>
          <cell r="N328">
            <v>37867</v>
          </cell>
          <cell r="O328">
            <v>0.4236111111111111</v>
          </cell>
          <cell r="P328">
            <v>37867</v>
          </cell>
          <cell r="Q328">
            <v>0.4236111111111111</v>
          </cell>
          <cell r="T328">
            <v>37867</v>
          </cell>
          <cell r="U328">
            <v>0.43055555555555558</v>
          </cell>
          <cell r="V328">
            <v>37867</v>
          </cell>
          <cell r="W328">
            <v>0.43055555555555558</v>
          </cell>
          <cell r="X328">
            <v>6.9444444444444753E-3</v>
          </cell>
          <cell r="Y328">
            <v>6.9444444436360109E-3</v>
          </cell>
          <cell r="AB328">
            <v>9</v>
          </cell>
          <cell r="AC328">
            <v>7</v>
          </cell>
          <cell r="AD328">
            <v>0</v>
          </cell>
          <cell r="BF328">
            <v>0</v>
          </cell>
          <cell r="BG328">
            <v>9</v>
          </cell>
          <cell r="BH328">
            <v>0</v>
          </cell>
          <cell r="BI328">
            <v>0</v>
          </cell>
          <cell r="BJ328">
            <v>0</v>
          </cell>
          <cell r="BK328">
            <v>0</v>
          </cell>
          <cell r="BL328">
            <v>0</v>
          </cell>
          <cell r="BM328">
            <v>0</v>
          </cell>
          <cell r="BN328">
            <v>0</v>
          </cell>
          <cell r="BO328">
            <v>0</v>
          </cell>
          <cell r="BP328">
            <v>0</v>
          </cell>
          <cell r="BQ328">
            <v>0</v>
          </cell>
          <cell r="BR328">
            <v>0</v>
          </cell>
          <cell r="BS328">
            <v>0</v>
          </cell>
          <cell r="BT328">
            <v>0</v>
          </cell>
          <cell r="BU328">
            <v>0</v>
          </cell>
          <cell r="BV328">
            <v>0</v>
          </cell>
          <cell r="BW328">
            <v>0</v>
          </cell>
          <cell r="BX328">
            <v>0</v>
          </cell>
          <cell r="BY328">
            <v>0</v>
          </cell>
          <cell r="BZ328">
            <v>0</v>
          </cell>
          <cell r="CA328">
            <v>0</v>
          </cell>
          <cell r="CB328">
            <v>0</v>
          </cell>
          <cell r="CC328">
            <v>0</v>
          </cell>
          <cell r="CD328">
            <v>0</v>
          </cell>
        </row>
        <row r="329">
          <cell r="C329">
            <v>37826</v>
          </cell>
          <cell r="D329">
            <v>37881</v>
          </cell>
          <cell r="E329">
            <v>37876</v>
          </cell>
          <cell r="F329">
            <v>0.55833333333333335</v>
          </cell>
          <cell r="G329" t="str">
            <v>Máquina de Solda MIG</v>
          </cell>
          <cell r="H329" t="str">
            <v>Tomada apresenta defeito</v>
          </cell>
          <cell r="I329" t="str">
            <v>Corretiva</v>
          </cell>
          <cell r="J329" t="str">
            <v>Sim</v>
          </cell>
          <cell r="K329" t="str">
            <v>Elétrica</v>
          </cell>
          <cell r="L329" t="str">
            <v>Reinicialização do Equipamento / Componente</v>
          </cell>
          <cell r="M329" t="str">
            <v>Sobrecarga</v>
          </cell>
          <cell r="N329">
            <v>37876</v>
          </cell>
          <cell r="O329">
            <v>0.57638888888888895</v>
          </cell>
          <cell r="P329">
            <v>37876</v>
          </cell>
          <cell r="Q329">
            <v>0.57638888888888895</v>
          </cell>
          <cell r="T329">
            <v>37876</v>
          </cell>
          <cell r="U329">
            <v>0.58333333333333337</v>
          </cell>
          <cell r="V329">
            <v>37876</v>
          </cell>
          <cell r="W329">
            <v>0.58333333333333337</v>
          </cell>
          <cell r="X329">
            <v>6.9444444444444198E-3</v>
          </cell>
          <cell r="Y329">
            <v>6.944444446869702E-3</v>
          </cell>
          <cell r="AB329">
            <v>9</v>
          </cell>
          <cell r="AC329">
            <v>7</v>
          </cell>
          <cell r="AD329">
            <v>0</v>
          </cell>
          <cell r="BF329">
            <v>0</v>
          </cell>
          <cell r="BG329">
            <v>0</v>
          </cell>
          <cell r="BH329">
            <v>0</v>
          </cell>
          <cell r="BI329">
            <v>0</v>
          </cell>
          <cell r="BJ329">
            <v>0</v>
          </cell>
          <cell r="BK329">
            <v>0</v>
          </cell>
          <cell r="BL329">
            <v>0</v>
          </cell>
          <cell r="BM329">
            <v>0</v>
          </cell>
          <cell r="BN329">
            <v>0</v>
          </cell>
          <cell r="BO329">
            <v>0</v>
          </cell>
          <cell r="BP329">
            <v>0</v>
          </cell>
          <cell r="BQ329">
            <v>0</v>
          </cell>
          <cell r="BR329">
            <v>9</v>
          </cell>
          <cell r="BS329">
            <v>0</v>
          </cell>
          <cell r="BT329">
            <v>0</v>
          </cell>
          <cell r="BU329">
            <v>0</v>
          </cell>
          <cell r="BV329">
            <v>0</v>
          </cell>
          <cell r="BW329">
            <v>0</v>
          </cell>
          <cell r="BX329">
            <v>0</v>
          </cell>
          <cell r="BY329">
            <v>0</v>
          </cell>
          <cell r="BZ329">
            <v>0</v>
          </cell>
          <cell r="CA329">
            <v>0</v>
          </cell>
          <cell r="CB329">
            <v>0</v>
          </cell>
          <cell r="CC329">
            <v>0</v>
          </cell>
          <cell r="CD329">
            <v>0</v>
          </cell>
        </row>
        <row r="330">
          <cell r="C330">
            <v>37826</v>
          </cell>
          <cell r="D330">
            <v>37900</v>
          </cell>
          <cell r="E330">
            <v>37879</v>
          </cell>
          <cell r="F330">
            <v>0.59722222222222221</v>
          </cell>
          <cell r="G330" t="str">
            <v>Células de Solda Manual</v>
          </cell>
          <cell r="H330" t="str">
            <v>Máquina não Solda</v>
          </cell>
          <cell r="I330" t="str">
            <v>Corretiva</v>
          </cell>
          <cell r="J330" t="str">
            <v>Sim</v>
          </cell>
          <cell r="K330" t="str">
            <v>Elétrica</v>
          </cell>
          <cell r="L330" t="str">
            <v>Substituição do(s) Componente(s)</v>
          </cell>
          <cell r="M330" t="str">
            <v>Defeito de Fabricação</v>
          </cell>
          <cell r="N330">
            <v>37879</v>
          </cell>
          <cell r="O330">
            <v>0.625</v>
          </cell>
          <cell r="P330">
            <v>37879</v>
          </cell>
          <cell r="Q330">
            <v>0.625</v>
          </cell>
          <cell r="T330">
            <v>37879</v>
          </cell>
          <cell r="U330">
            <v>0.99652777777777779</v>
          </cell>
          <cell r="V330">
            <v>37879</v>
          </cell>
          <cell r="W330">
            <v>0.99652777777777779</v>
          </cell>
          <cell r="X330">
            <v>0.37152777777777779</v>
          </cell>
          <cell r="Y330">
            <v>0.37152777778101154</v>
          </cell>
          <cell r="AB330">
            <v>9</v>
          </cell>
          <cell r="AC330">
            <v>7</v>
          </cell>
          <cell r="AD330">
            <v>0</v>
          </cell>
          <cell r="BF330">
            <v>0</v>
          </cell>
          <cell r="BG330">
            <v>9</v>
          </cell>
          <cell r="BH330">
            <v>0</v>
          </cell>
          <cell r="BI330">
            <v>0</v>
          </cell>
          <cell r="BJ330">
            <v>0</v>
          </cell>
          <cell r="BK330">
            <v>0</v>
          </cell>
          <cell r="BL330">
            <v>0</v>
          </cell>
          <cell r="BM330">
            <v>0</v>
          </cell>
          <cell r="BN330">
            <v>0</v>
          </cell>
          <cell r="BO330">
            <v>0</v>
          </cell>
          <cell r="BP330">
            <v>0</v>
          </cell>
          <cell r="BQ330">
            <v>0</v>
          </cell>
          <cell r="BR330">
            <v>0</v>
          </cell>
          <cell r="BS330">
            <v>0</v>
          </cell>
          <cell r="BT330">
            <v>0</v>
          </cell>
          <cell r="BU330">
            <v>0</v>
          </cell>
          <cell r="BV330">
            <v>0</v>
          </cell>
          <cell r="BW330">
            <v>0</v>
          </cell>
          <cell r="BX330">
            <v>0</v>
          </cell>
          <cell r="BY330">
            <v>0</v>
          </cell>
          <cell r="BZ330">
            <v>0</v>
          </cell>
          <cell r="CA330">
            <v>0</v>
          </cell>
          <cell r="CB330">
            <v>0</v>
          </cell>
          <cell r="CC330">
            <v>0</v>
          </cell>
          <cell r="CD330">
            <v>0</v>
          </cell>
        </row>
        <row r="331">
          <cell r="C331">
            <v>37826</v>
          </cell>
          <cell r="D331">
            <v>37900</v>
          </cell>
          <cell r="E331">
            <v>37881</v>
          </cell>
          <cell r="F331">
            <v>0.97916666666666663</v>
          </cell>
          <cell r="G331" t="str">
            <v>Células de Solda Manual</v>
          </cell>
          <cell r="H331" t="str">
            <v>Vazamento d'água na tocha do robô</v>
          </cell>
          <cell r="I331" t="str">
            <v>Corretiva</v>
          </cell>
          <cell r="J331" t="str">
            <v>Sim</v>
          </cell>
          <cell r="K331" t="str">
            <v>Mecânica</v>
          </cell>
          <cell r="L331" t="str">
            <v>Substituição do(s) Componente(s)</v>
          </cell>
          <cell r="M331" t="str">
            <v>Defeito de Fabricação</v>
          </cell>
          <cell r="N331">
            <v>37881</v>
          </cell>
          <cell r="O331">
            <v>0.97916666666666663</v>
          </cell>
          <cell r="P331">
            <v>37881</v>
          </cell>
          <cell r="Q331">
            <v>0.97916666666666663</v>
          </cell>
          <cell r="T331">
            <v>37882</v>
          </cell>
          <cell r="U331">
            <v>0.47916666666666669</v>
          </cell>
          <cell r="V331">
            <v>37882</v>
          </cell>
          <cell r="W331">
            <v>0.47916666666666669</v>
          </cell>
          <cell r="X331">
            <v>0.5</v>
          </cell>
          <cell r="Y331">
            <v>0.49999999999757472</v>
          </cell>
          <cell r="AB331">
            <v>9</v>
          </cell>
          <cell r="AC331">
            <v>7</v>
          </cell>
          <cell r="AD331">
            <v>0</v>
          </cell>
          <cell r="BF331">
            <v>0</v>
          </cell>
          <cell r="BG331">
            <v>9</v>
          </cell>
          <cell r="BH331">
            <v>0</v>
          </cell>
          <cell r="BI331">
            <v>0</v>
          </cell>
          <cell r="BJ331">
            <v>0</v>
          </cell>
          <cell r="BK331">
            <v>0</v>
          </cell>
          <cell r="BL331">
            <v>0</v>
          </cell>
          <cell r="BM331">
            <v>0</v>
          </cell>
          <cell r="BN331">
            <v>0</v>
          </cell>
          <cell r="BO331">
            <v>0</v>
          </cell>
          <cell r="BP331">
            <v>0</v>
          </cell>
          <cell r="BQ331">
            <v>0</v>
          </cell>
          <cell r="BR331">
            <v>0</v>
          </cell>
          <cell r="BS331">
            <v>0</v>
          </cell>
          <cell r="BT331">
            <v>0</v>
          </cell>
          <cell r="BU331">
            <v>0</v>
          </cell>
          <cell r="BV331">
            <v>0</v>
          </cell>
          <cell r="BW331">
            <v>0</v>
          </cell>
          <cell r="BX331">
            <v>0</v>
          </cell>
          <cell r="BY331">
            <v>0</v>
          </cell>
          <cell r="BZ331">
            <v>0</v>
          </cell>
          <cell r="CA331">
            <v>0</v>
          </cell>
          <cell r="CB331">
            <v>0</v>
          </cell>
          <cell r="CC331">
            <v>0</v>
          </cell>
          <cell r="CD331">
            <v>0</v>
          </cell>
        </row>
        <row r="332">
          <cell r="C332">
            <v>37826</v>
          </cell>
          <cell r="I332">
            <v>0</v>
          </cell>
          <cell r="N332">
            <v>0</v>
          </cell>
          <cell r="P332">
            <v>0</v>
          </cell>
          <cell r="T332">
            <v>0</v>
          </cell>
          <cell r="V332">
            <v>0</v>
          </cell>
          <cell r="W332">
            <v>0</v>
          </cell>
          <cell r="X332">
            <v>0</v>
          </cell>
          <cell r="Y332">
            <v>0</v>
          </cell>
          <cell r="AB332">
            <v>0</v>
          </cell>
          <cell r="AC332">
            <v>7</v>
          </cell>
          <cell r="AD332">
            <v>0</v>
          </cell>
          <cell r="BF332">
            <v>0</v>
          </cell>
          <cell r="BG332">
            <v>0</v>
          </cell>
          <cell r="BH332">
            <v>0</v>
          </cell>
          <cell r="BI332">
            <v>0</v>
          </cell>
          <cell r="BJ332">
            <v>0</v>
          </cell>
          <cell r="BK332">
            <v>0</v>
          </cell>
          <cell r="BL332">
            <v>0</v>
          </cell>
          <cell r="BM332">
            <v>0</v>
          </cell>
          <cell r="BN332">
            <v>0</v>
          </cell>
          <cell r="BO332">
            <v>0</v>
          </cell>
          <cell r="BP332">
            <v>0</v>
          </cell>
          <cell r="BQ332">
            <v>0</v>
          </cell>
          <cell r="BR332">
            <v>0</v>
          </cell>
          <cell r="BS332">
            <v>0</v>
          </cell>
          <cell r="BT332">
            <v>0</v>
          </cell>
          <cell r="BU332">
            <v>0</v>
          </cell>
          <cell r="BV332">
            <v>0</v>
          </cell>
          <cell r="BW332">
            <v>0</v>
          </cell>
          <cell r="BX332">
            <v>0</v>
          </cell>
          <cell r="BY332">
            <v>0</v>
          </cell>
          <cell r="BZ332">
            <v>0</v>
          </cell>
          <cell r="CA332">
            <v>0</v>
          </cell>
          <cell r="CB332">
            <v>0</v>
          </cell>
          <cell r="CC332">
            <v>0</v>
          </cell>
          <cell r="CD332">
            <v>0</v>
          </cell>
        </row>
        <row r="333">
          <cell r="C333">
            <v>37826</v>
          </cell>
          <cell r="D333">
            <v>37868</v>
          </cell>
          <cell r="E333">
            <v>37867</v>
          </cell>
          <cell r="F333">
            <v>0.4861111111111111</v>
          </cell>
          <cell r="G333" t="str">
            <v>Células de Solda Manual</v>
          </cell>
          <cell r="H333" t="str">
            <v>Mangueira d'água para refrigeração da tocha apresenta vazamento</v>
          </cell>
          <cell r="I333" t="str">
            <v>Corretiva</v>
          </cell>
          <cell r="J333" t="str">
            <v>Sim</v>
          </cell>
          <cell r="K333" t="str">
            <v>Mecânica</v>
          </cell>
          <cell r="L333" t="str">
            <v>Reparo</v>
          </cell>
          <cell r="M333" t="str">
            <v>Desgaste / Fadiga</v>
          </cell>
          <cell r="N333">
            <v>37867</v>
          </cell>
          <cell r="O333">
            <v>0.54166666666666663</v>
          </cell>
          <cell r="P333">
            <v>37867</v>
          </cell>
          <cell r="Q333">
            <v>0.54166666666666663</v>
          </cell>
          <cell r="T333">
            <v>37867</v>
          </cell>
          <cell r="U333">
            <v>0.57986111111111105</v>
          </cell>
          <cell r="V333">
            <v>37867</v>
          </cell>
          <cell r="W333">
            <v>0.57986111111111105</v>
          </cell>
          <cell r="X333">
            <v>3.819444444444442E-2</v>
          </cell>
          <cell r="Y333">
            <v>3.8194444442827602E-2</v>
          </cell>
          <cell r="AB333">
            <v>9</v>
          </cell>
          <cell r="AC333">
            <v>7</v>
          </cell>
          <cell r="AD333">
            <v>0</v>
          </cell>
          <cell r="BF333">
            <v>0</v>
          </cell>
          <cell r="BG333">
            <v>9</v>
          </cell>
          <cell r="BH333">
            <v>0</v>
          </cell>
          <cell r="BI333">
            <v>0</v>
          </cell>
          <cell r="BJ333">
            <v>0</v>
          </cell>
          <cell r="BK333">
            <v>0</v>
          </cell>
          <cell r="BL333">
            <v>0</v>
          </cell>
          <cell r="BM333">
            <v>0</v>
          </cell>
          <cell r="BN333">
            <v>0</v>
          </cell>
          <cell r="BO333">
            <v>0</v>
          </cell>
          <cell r="BP333">
            <v>0</v>
          </cell>
          <cell r="BQ333">
            <v>0</v>
          </cell>
          <cell r="BR333">
            <v>0</v>
          </cell>
          <cell r="BS333">
            <v>0</v>
          </cell>
          <cell r="BT333">
            <v>0</v>
          </cell>
          <cell r="BU333">
            <v>0</v>
          </cell>
          <cell r="BV333">
            <v>0</v>
          </cell>
          <cell r="BW333">
            <v>0</v>
          </cell>
          <cell r="BX333">
            <v>0</v>
          </cell>
          <cell r="BY333">
            <v>0</v>
          </cell>
          <cell r="BZ333">
            <v>0</v>
          </cell>
          <cell r="CA333">
            <v>0</v>
          </cell>
          <cell r="CB333">
            <v>0</v>
          </cell>
          <cell r="CC333">
            <v>0</v>
          </cell>
          <cell r="CD333">
            <v>0</v>
          </cell>
        </row>
        <row r="334">
          <cell r="C334">
            <v>37826</v>
          </cell>
          <cell r="D334">
            <v>37918</v>
          </cell>
          <cell r="E334">
            <v>37888</v>
          </cell>
          <cell r="F334">
            <v>0.33333333333333331</v>
          </cell>
          <cell r="G334" t="str">
            <v>Células de Solda Manual</v>
          </cell>
          <cell r="H334" t="str">
            <v>Máquina não liga</v>
          </cell>
          <cell r="I334" t="str">
            <v>Corretiva</v>
          </cell>
          <cell r="J334" t="str">
            <v>Sim</v>
          </cell>
          <cell r="K334" t="str">
            <v>Elétrica</v>
          </cell>
          <cell r="L334" t="str">
            <v>Reparo</v>
          </cell>
          <cell r="M334" t="str">
            <v>Falha Operacional</v>
          </cell>
          <cell r="N334">
            <v>37888</v>
          </cell>
          <cell r="O334">
            <v>0.34375</v>
          </cell>
          <cell r="P334">
            <v>37888</v>
          </cell>
          <cell r="Q334">
            <v>0.34375</v>
          </cell>
          <cell r="T334">
            <v>37888</v>
          </cell>
          <cell r="U334">
            <v>0.3576388888888889</v>
          </cell>
          <cell r="V334">
            <v>37888</v>
          </cell>
          <cell r="W334">
            <v>0.3576388888888889</v>
          </cell>
          <cell r="X334">
            <v>1.3888888888888895E-2</v>
          </cell>
          <cell r="Y334">
            <v>1.3888888890505768E-2</v>
          </cell>
          <cell r="AB334">
            <v>9</v>
          </cell>
          <cell r="AC334">
            <v>7</v>
          </cell>
          <cell r="AD334">
            <v>0</v>
          </cell>
          <cell r="BF334">
            <v>0</v>
          </cell>
          <cell r="BG334">
            <v>9</v>
          </cell>
          <cell r="BH334">
            <v>0</v>
          </cell>
          <cell r="BI334">
            <v>0</v>
          </cell>
          <cell r="BJ334">
            <v>0</v>
          </cell>
          <cell r="BK334">
            <v>0</v>
          </cell>
          <cell r="BL334">
            <v>0</v>
          </cell>
          <cell r="BM334">
            <v>0</v>
          </cell>
          <cell r="BN334">
            <v>0</v>
          </cell>
          <cell r="BO334">
            <v>0</v>
          </cell>
          <cell r="BP334">
            <v>0</v>
          </cell>
          <cell r="BQ334">
            <v>0</v>
          </cell>
          <cell r="BR334">
            <v>0</v>
          </cell>
          <cell r="BS334">
            <v>0</v>
          </cell>
          <cell r="BT334">
            <v>0</v>
          </cell>
          <cell r="BU334">
            <v>0</v>
          </cell>
          <cell r="BV334">
            <v>0</v>
          </cell>
          <cell r="BW334">
            <v>0</v>
          </cell>
          <cell r="BX334">
            <v>0</v>
          </cell>
          <cell r="BY334">
            <v>0</v>
          </cell>
          <cell r="BZ334">
            <v>0</v>
          </cell>
          <cell r="CA334">
            <v>0</v>
          </cell>
          <cell r="CB334">
            <v>0</v>
          </cell>
          <cell r="CC334">
            <v>0</v>
          </cell>
          <cell r="CD334">
            <v>0</v>
          </cell>
        </row>
        <row r="335">
          <cell r="C335">
            <v>37826</v>
          </cell>
          <cell r="D335">
            <v>37928</v>
          </cell>
          <cell r="E335">
            <v>37889</v>
          </cell>
          <cell r="F335">
            <v>0.54166666666666663</v>
          </cell>
          <cell r="G335" t="str">
            <v>Células de Solda Manual</v>
          </cell>
          <cell r="H335" t="str">
            <v>Rolamento do Exaustor Travado</v>
          </cell>
          <cell r="I335" t="str">
            <v>Corretiva</v>
          </cell>
          <cell r="J335" t="str">
            <v>Sim</v>
          </cell>
          <cell r="K335" t="str">
            <v>Mecânica</v>
          </cell>
          <cell r="L335" t="str">
            <v>Lubrificação do Componente</v>
          </cell>
          <cell r="M335" t="str">
            <v>Falta de Lubrificação</v>
          </cell>
          <cell r="N335">
            <v>37889</v>
          </cell>
          <cell r="O335">
            <v>0.54166666666666663</v>
          </cell>
          <cell r="P335">
            <v>37889</v>
          </cell>
          <cell r="Q335">
            <v>0.54166666666666663</v>
          </cell>
          <cell r="T335">
            <v>37889</v>
          </cell>
          <cell r="U335">
            <v>0.5625</v>
          </cell>
          <cell r="V335">
            <v>37889</v>
          </cell>
          <cell r="W335">
            <v>0.5625</v>
          </cell>
          <cell r="X335">
            <v>2.083333333333337E-2</v>
          </cell>
          <cell r="Y335">
            <v>2.083333333333337E-2</v>
          </cell>
          <cell r="AB335">
            <v>9</v>
          </cell>
          <cell r="AC335">
            <v>7</v>
          </cell>
          <cell r="AD335">
            <v>0</v>
          </cell>
          <cell r="BF335">
            <v>0</v>
          </cell>
          <cell r="BG335">
            <v>9</v>
          </cell>
          <cell r="BH335">
            <v>0</v>
          </cell>
          <cell r="BI335">
            <v>0</v>
          </cell>
          <cell r="BJ335">
            <v>0</v>
          </cell>
          <cell r="BK335">
            <v>0</v>
          </cell>
          <cell r="BL335">
            <v>0</v>
          </cell>
          <cell r="BM335">
            <v>0</v>
          </cell>
          <cell r="BN335">
            <v>0</v>
          </cell>
          <cell r="BO335">
            <v>0</v>
          </cell>
          <cell r="BP335">
            <v>0</v>
          </cell>
          <cell r="BQ335">
            <v>0</v>
          </cell>
          <cell r="BR335">
            <v>0</v>
          </cell>
          <cell r="BS335">
            <v>0</v>
          </cell>
          <cell r="BT335">
            <v>0</v>
          </cell>
          <cell r="BU335">
            <v>0</v>
          </cell>
          <cell r="BV335">
            <v>0</v>
          </cell>
          <cell r="BW335">
            <v>0</v>
          </cell>
          <cell r="BX335">
            <v>0</v>
          </cell>
          <cell r="BY335">
            <v>0</v>
          </cell>
          <cell r="BZ335">
            <v>0</v>
          </cell>
          <cell r="CA335">
            <v>0</v>
          </cell>
          <cell r="CB335">
            <v>0</v>
          </cell>
          <cell r="CC335">
            <v>0</v>
          </cell>
          <cell r="CD335">
            <v>0</v>
          </cell>
        </row>
        <row r="336">
          <cell r="C336">
            <v>37826</v>
          </cell>
          <cell r="D336">
            <v>37970</v>
          </cell>
          <cell r="E336">
            <v>37839</v>
          </cell>
          <cell r="F336">
            <v>0.70833333333333337</v>
          </cell>
          <cell r="G336" t="str">
            <v>Células de Solda Manual</v>
          </cell>
          <cell r="H336" t="str">
            <v>Lâmpadas não acendem</v>
          </cell>
          <cell r="I336">
            <v>0</v>
          </cell>
          <cell r="J336" t="str">
            <v>Não</v>
          </cell>
          <cell r="K336" t="str">
            <v>Elétrica</v>
          </cell>
          <cell r="L336" t="str">
            <v>Substituição do(s) Componente(s)</v>
          </cell>
          <cell r="M336" t="str">
            <v>Desgaste / Fadiga</v>
          </cell>
          <cell r="N336">
            <v>37839</v>
          </cell>
          <cell r="O336">
            <v>0.70833333333333337</v>
          </cell>
          <cell r="P336">
            <v>0</v>
          </cell>
          <cell r="Q336">
            <v>0.71875</v>
          </cell>
          <cell r="R336">
            <v>37881</v>
          </cell>
          <cell r="S336">
            <v>0.66666666666666663</v>
          </cell>
          <cell r="T336">
            <v>37881</v>
          </cell>
          <cell r="U336">
            <v>0.75555555555555554</v>
          </cell>
          <cell r="V336">
            <v>0</v>
          </cell>
          <cell r="W336">
            <v>9.9305555555555536E-2</v>
          </cell>
          <cell r="X336">
            <v>0</v>
          </cell>
          <cell r="Y336">
            <v>0</v>
          </cell>
          <cell r="AB336">
            <v>9</v>
          </cell>
          <cell r="AC336">
            <v>7</v>
          </cell>
          <cell r="AD336">
            <v>0</v>
          </cell>
          <cell r="BF336">
            <v>0</v>
          </cell>
          <cell r="BG336">
            <v>9</v>
          </cell>
          <cell r="BH336">
            <v>0</v>
          </cell>
          <cell r="BI336">
            <v>0</v>
          </cell>
          <cell r="BJ336">
            <v>0</v>
          </cell>
          <cell r="BK336">
            <v>0</v>
          </cell>
          <cell r="BL336">
            <v>0</v>
          </cell>
          <cell r="BM336">
            <v>0</v>
          </cell>
          <cell r="BN336">
            <v>0</v>
          </cell>
          <cell r="BO336">
            <v>0</v>
          </cell>
          <cell r="BP336">
            <v>0</v>
          </cell>
          <cell r="BQ336">
            <v>0</v>
          </cell>
          <cell r="BR336">
            <v>0</v>
          </cell>
          <cell r="BS336">
            <v>0</v>
          </cell>
          <cell r="BT336">
            <v>0</v>
          </cell>
          <cell r="BU336">
            <v>0</v>
          </cell>
          <cell r="BV336">
            <v>0</v>
          </cell>
          <cell r="BW336">
            <v>0</v>
          </cell>
          <cell r="BX336">
            <v>0</v>
          </cell>
          <cell r="BY336">
            <v>0</v>
          </cell>
          <cell r="BZ336">
            <v>0</v>
          </cell>
          <cell r="CA336">
            <v>0</v>
          </cell>
          <cell r="CB336">
            <v>0</v>
          </cell>
          <cell r="CC336">
            <v>0</v>
          </cell>
          <cell r="CD336">
            <v>0</v>
          </cell>
        </row>
        <row r="337">
          <cell r="C337">
            <v>37826</v>
          </cell>
          <cell r="D337">
            <v>37858</v>
          </cell>
          <cell r="E337">
            <v>37832</v>
          </cell>
          <cell r="F337">
            <v>0.41666666666666669</v>
          </cell>
          <cell r="G337" t="str">
            <v>Linha de Pintura 8,5m</v>
          </cell>
          <cell r="H337" t="str">
            <v>Pistolas manuais 07 e 14 apresentam mau contato</v>
          </cell>
          <cell r="I337" t="str">
            <v>Corretiva</v>
          </cell>
          <cell r="J337" t="str">
            <v>Não</v>
          </cell>
          <cell r="K337" t="str">
            <v>Elétrica</v>
          </cell>
          <cell r="L337" t="str">
            <v>Correção de mau contato</v>
          </cell>
          <cell r="M337" t="str">
            <v>Desgaste / Fadiga</v>
          </cell>
          <cell r="N337">
            <v>37834</v>
          </cell>
          <cell r="O337">
            <v>0.375</v>
          </cell>
          <cell r="P337">
            <v>37834</v>
          </cell>
          <cell r="Q337">
            <v>0.375</v>
          </cell>
          <cell r="T337">
            <v>37834</v>
          </cell>
          <cell r="U337">
            <v>0.43611111111111112</v>
          </cell>
          <cell r="V337">
            <v>37834</v>
          </cell>
          <cell r="W337">
            <v>0.43611111111111112</v>
          </cell>
          <cell r="X337">
            <v>6.1111111113859806E-2</v>
          </cell>
          <cell r="Y337">
            <v>6.1111111113859806E-2</v>
          </cell>
          <cell r="AB337">
            <v>8</v>
          </cell>
          <cell r="AC337">
            <v>7</v>
          </cell>
          <cell r="AD337">
            <v>0</v>
          </cell>
          <cell r="BF337">
            <v>0</v>
          </cell>
          <cell r="BG337">
            <v>0</v>
          </cell>
          <cell r="BH337">
            <v>0</v>
          </cell>
          <cell r="BI337">
            <v>0</v>
          </cell>
          <cell r="BJ337">
            <v>0</v>
          </cell>
          <cell r="BK337">
            <v>0</v>
          </cell>
          <cell r="BL337">
            <v>0</v>
          </cell>
          <cell r="BM337">
            <v>0</v>
          </cell>
          <cell r="BN337">
            <v>0</v>
          </cell>
          <cell r="BO337">
            <v>0</v>
          </cell>
          <cell r="BP337">
            <v>8</v>
          </cell>
          <cell r="BQ337">
            <v>0</v>
          </cell>
          <cell r="BR337">
            <v>0</v>
          </cell>
          <cell r="BS337">
            <v>0</v>
          </cell>
          <cell r="BT337">
            <v>0</v>
          </cell>
          <cell r="BU337">
            <v>0</v>
          </cell>
          <cell r="BV337">
            <v>0</v>
          </cell>
          <cell r="BW337">
            <v>0</v>
          </cell>
          <cell r="BX337">
            <v>0</v>
          </cell>
          <cell r="BY337">
            <v>0</v>
          </cell>
          <cell r="BZ337">
            <v>0</v>
          </cell>
          <cell r="CA337">
            <v>0</v>
          </cell>
          <cell r="CB337">
            <v>0</v>
          </cell>
          <cell r="CC337">
            <v>0</v>
          </cell>
          <cell r="CD337">
            <v>0</v>
          </cell>
        </row>
        <row r="338">
          <cell r="C338">
            <v>37826</v>
          </cell>
          <cell r="D338">
            <v>37838</v>
          </cell>
          <cell r="E338">
            <v>37832</v>
          </cell>
          <cell r="F338">
            <v>0.60416666666666663</v>
          </cell>
          <cell r="G338" t="str">
            <v>Linha de Pintura 8,5m</v>
          </cell>
          <cell r="H338" t="str">
            <v>Movimentação simultânea de 02 bastidores, ocasionando colisão</v>
          </cell>
          <cell r="I338" t="str">
            <v>Corretiva</v>
          </cell>
          <cell r="J338" t="str">
            <v>Sim</v>
          </cell>
          <cell r="K338" t="str">
            <v>Mecânica</v>
          </cell>
          <cell r="L338" t="str">
            <v>Destravamento dos Componentes</v>
          </cell>
          <cell r="M338" t="str">
            <v>Falha de Comando / Sistema</v>
          </cell>
          <cell r="N338">
            <v>37832</v>
          </cell>
          <cell r="O338">
            <v>0.60416666666666663</v>
          </cell>
          <cell r="P338">
            <v>37832</v>
          </cell>
          <cell r="Q338">
            <v>0.60416666666666663</v>
          </cell>
          <cell r="T338">
            <v>37832</v>
          </cell>
          <cell r="U338">
            <v>0.63888888888888895</v>
          </cell>
          <cell r="V338">
            <v>37832</v>
          </cell>
          <cell r="W338">
            <v>0.63888888888888895</v>
          </cell>
          <cell r="X338">
            <v>3.4722222222222321E-2</v>
          </cell>
          <cell r="Y338">
            <v>3.4722222223839139E-2</v>
          </cell>
          <cell r="AB338">
            <v>7</v>
          </cell>
          <cell r="AC338">
            <v>7</v>
          </cell>
          <cell r="AD338">
            <v>0</v>
          </cell>
          <cell r="BF338">
            <v>0</v>
          </cell>
          <cell r="BG338">
            <v>0</v>
          </cell>
          <cell r="BH338">
            <v>0</v>
          </cell>
          <cell r="BI338">
            <v>0</v>
          </cell>
          <cell r="BJ338">
            <v>0</v>
          </cell>
          <cell r="BK338">
            <v>0</v>
          </cell>
          <cell r="BL338">
            <v>0</v>
          </cell>
          <cell r="BM338">
            <v>0</v>
          </cell>
          <cell r="BN338">
            <v>0</v>
          </cell>
          <cell r="BO338">
            <v>0</v>
          </cell>
          <cell r="BP338">
            <v>7</v>
          </cell>
          <cell r="BQ338">
            <v>0</v>
          </cell>
          <cell r="BR338">
            <v>0</v>
          </cell>
          <cell r="BS338">
            <v>0</v>
          </cell>
          <cell r="BT338">
            <v>0</v>
          </cell>
          <cell r="BU338">
            <v>0</v>
          </cell>
          <cell r="BV338">
            <v>0</v>
          </cell>
          <cell r="BW338">
            <v>0</v>
          </cell>
          <cell r="BX338">
            <v>0</v>
          </cell>
          <cell r="BY338">
            <v>0</v>
          </cell>
          <cell r="BZ338">
            <v>0</v>
          </cell>
          <cell r="CA338">
            <v>0</v>
          </cell>
          <cell r="CB338">
            <v>0</v>
          </cell>
          <cell r="CC338">
            <v>0</v>
          </cell>
          <cell r="CD338">
            <v>0</v>
          </cell>
        </row>
        <row r="339">
          <cell r="C339">
            <v>37826</v>
          </cell>
          <cell r="D339">
            <v>37865</v>
          </cell>
          <cell r="E339">
            <v>37844</v>
          </cell>
          <cell r="F339">
            <v>0.54861111111111105</v>
          </cell>
          <cell r="G339" t="str">
            <v>Linha de Pintura 8,5m</v>
          </cell>
          <cell r="H339" t="str">
            <v>Sobrecarga nos motores de enxágüe 01,02 e 03</v>
          </cell>
          <cell r="I339" t="str">
            <v>Corretiva</v>
          </cell>
          <cell r="J339" t="str">
            <v>Sim</v>
          </cell>
          <cell r="K339" t="str">
            <v>Elétrica</v>
          </cell>
          <cell r="L339" t="str">
            <v>Substituição do(s) Componente(s)</v>
          </cell>
          <cell r="M339" t="str">
            <v>Aquecimento</v>
          </cell>
          <cell r="N339">
            <v>37844</v>
          </cell>
          <cell r="O339">
            <v>0.5625</v>
          </cell>
          <cell r="P339">
            <v>37844</v>
          </cell>
          <cell r="Q339">
            <v>0.5625</v>
          </cell>
          <cell r="T339">
            <v>37845</v>
          </cell>
          <cell r="U339">
            <v>0.35416666666666669</v>
          </cell>
          <cell r="V339">
            <v>37845</v>
          </cell>
          <cell r="W339">
            <v>0.35416666666666669</v>
          </cell>
          <cell r="X339">
            <v>0.54166666666666674</v>
          </cell>
          <cell r="Y339">
            <v>0.54166666666424135</v>
          </cell>
          <cell r="AB339">
            <v>8</v>
          </cell>
          <cell r="AC339">
            <v>7</v>
          </cell>
          <cell r="AD339">
            <v>0</v>
          </cell>
          <cell r="BF339">
            <v>0</v>
          </cell>
          <cell r="BG339">
            <v>0</v>
          </cell>
          <cell r="BH339">
            <v>0</v>
          </cell>
          <cell r="BI339">
            <v>0</v>
          </cell>
          <cell r="BJ339">
            <v>0</v>
          </cell>
          <cell r="BK339">
            <v>0</v>
          </cell>
          <cell r="BL339">
            <v>0</v>
          </cell>
          <cell r="BM339">
            <v>0</v>
          </cell>
          <cell r="BN339">
            <v>0</v>
          </cell>
          <cell r="BO339">
            <v>0</v>
          </cell>
          <cell r="BP339">
            <v>8</v>
          </cell>
          <cell r="BQ339">
            <v>0</v>
          </cell>
          <cell r="BR339">
            <v>0</v>
          </cell>
          <cell r="BS339">
            <v>0</v>
          </cell>
          <cell r="BT339">
            <v>0</v>
          </cell>
          <cell r="BU339">
            <v>0</v>
          </cell>
          <cell r="BV339">
            <v>0</v>
          </cell>
          <cell r="BW339">
            <v>0</v>
          </cell>
          <cell r="BX339">
            <v>0</v>
          </cell>
          <cell r="BY339">
            <v>0</v>
          </cell>
          <cell r="BZ339">
            <v>0</v>
          </cell>
          <cell r="CA339">
            <v>0</v>
          </cell>
          <cell r="CB339">
            <v>0</v>
          </cell>
          <cell r="CC339">
            <v>0</v>
          </cell>
          <cell r="CD339">
            <v>0</v>
          </cell>
        </row>
        <row r="340">
          <cell r="C340">
            <v>37826</v>
          </cell>
          <cell r="D340">
            <v>37865</v>
          </cell>
          <cell r="E340">
            <v>37860</v>
          </cell>
          <cell r="F340">
            <v>0.52083333333333337</v>
          </cell>
          <cell r="G340" t="str">
            <v>Linha de Pintura 8,5m</v>
          </cell>
          <cell r="H340" t="str">
            <v>Falha no elevador 01 de descarga</v>
          </cell>
          <cell r="I340" t="str">
            <v>Corretiva</v>
          </cell>
          <cell r="J340" t="str">
            <v>Sim</v>
          </cell>
          <cell r="K340" t="str">
            <v>Mecânica</v>
          </cell>
          <cell r="L340" t="str">
            <v>Ajuste / Regulagem</v>
          </cell>
          <cell r="M340" t="str">
            <v>Vibração</v>
          </cell>
          <cell r="N340">
            <v>37860</v>
          </cell>
          <cell r="O340">
            <v>0.53472222222222221</v>
          </cell>
          <cell r="P340">
            <v>37860</v>
          </cell>
          <cell r="Q340">
            <v>0.53472222222222221</v>
          </cell>
          <cell r="T340">
            <v>37860</v>
          </cell>
          <cell r="U340">
            <v>0.54861111111111105</v>
          </cell>
          <cell r="V340">
            <v>37860</v>
          </cell>
          <cell r="W340">
            <v>0.54861111111111105</v>
          </cell>
          <cell r="X340">
            <v>1.388888888888884E-2</v>
          </cell>
          <cell r="Y340">
            <v>1.3888888887272022E-2</v>
          </cell>
          <cell r="AB340">
            <v>8</v>
          </cell>
          <cell r="AC340">
            <v>7</v>
          </cell>
          <cell r="AD340">
            <v>0</v>
          </cell>
          <cell r="BF340">
            <v>0</v>
          </cell>
          <cell r="BG340">
            <v>0</v>
          </cell>
          <cell r="BH340">
            <v>0</v>
          </cell>
          <cell r="BI340">
            <v>0</v>
          </cell>
          <cell r="BJ340">
            <v>0</v>
          </cell>
          <cell r="BK340">
            <v>0</v>
          </cell>
          <cell r="BL340">
            <v>0</v>
          </cell>
          <cell r="BM340">
            <v>0</v>
          </cell>
          <cell r="BN340">
            <v>0</v>
          </cell>
          <cell r="BO340">
            <v>0</v>
          </cell>
          <cell r="BP340">
            <v>8</v>
          </cell>
          <cell r="BQ340">
            <v>0</v>
          </cell>
          <cell r="BR340">
            <v>0</v>
          </cell>
          <cell r="BS340">
            <v>0</v>
          </cell>
          <cell r="BT340">
            <v>0</v>
          </cell>
          <cell r="BU340">
            <v>0</v>
          </cell>
          <cell r="BV340">
            <v>0</v>
          </cell>
          <cell r="BW340">
            <v>0</v>
          </cell>
          <cell r="BX340">
            <v>0</v>
          </cell>
          <cell r="BY340">
            <v>0</v>
          </cell>
          <cell r="BZ340">
            <v>0</v>
          </cell>
          <cell r="CA340">
            <v>0</v>
          </cell>
          <cell r="CB340">
            <v>0</v>
          </cell>
          <cell r="CC340">
            <v>0</v>
          </cell>
          <cell r="CD340">
            <v>0</v>
          </cell>
        </row>
        <row r="341">
          <cell r="C341">
            <v>37826</v>
          </cell>
          <cell r="D341">
            <v>37868</v>
          </cell>
          <cell r="E341">
            <v>37862</v>
          </cell>
          <cell r="F341">
            <v>0.25</v>
          </cell>
          <cell r="G341" t="str">
            <v>Linha de Pintura 8,5m</v>
          </cell>
          <cell r="H341" t="str">
            <v>Puxador da tampa de fosfato está quebrado</v>
          </cell>
          <cell r="I341" t="str">
            <v>Corretiva</v>
          </cell>
          <cell r="J341" t="str">
            <v>Não</v>
          </cell>
          <cell r="K341" t="str">
            <v>Mecânica</v>
          </cell>
          <cell r="L341" t="str">
            <v>Substituição do(s) Componente(s)</v>
          </cell>
          <cell r="M341" t="str">
            <v>Defeito de Fabricação</v>
          </cell>
          <cell r="N341">
            <v>37862</v>
          </cell>
          <cell r="O341">
            <v>0.625</v>
          </cell>
          <cell r="P341">
            <v>37862</v>
          </cell>
          <cell r="Q341">
            <v>0.625</v>
          </cell>
          <cell r="T341">
            <v>37862</v>
          </cell>
          <cell r="U341">
            <v>0.66666666666666663</v>
          </cell>
          <cell r="V341">
            <v>37862</v>
          </cell>
          <cell r="W341">
            <v>0.66666666666666663</v>
          </cell>
          <cell r="X341">
            <v>4.1666666664241347E-2</v>
          </cell>
          <cell r="Y341">
            <v>4.1666666664241347E-2</v>
          </cell>
          <cell r="AB341">
            <v>8</v>
          </cell>
          <cell r="AC341">
            <v>7</v>
          </cell>
          <cell r="AD341">
            <v>0</v>
          </cell>
          <cell r="BF341">
            <v>0</v>
          </cell>
          <cell r="BG341">
            <v>0</v>
          </cell>
          <cell r="BH341">
            <v>0</v>
          </cell>
          <cell r="BI341">
            <v>0</v>
          </cell>
          <cell r="BJ341">
            <v>0</v>
          </cell>
          <cell r="BK341">
            <v>0</v>
          </cell>
          <cell r="BL341">
            <v>0</v>
          </cell>
          <cell r="BM341">
            <v>0</v>
          </cell>
          <cell r="BN341">
            <v>0</v>
          </cell>
          <cell r="BO341">
            <v>0</v>
          </cell>
          <cell r="BP341">
            <v>8</v>
          </cell>
          <cell r="BQ341">
            <v>0</v>
          </cell>
          <cell r="BR341">
            <v>0</v>
          </cell>
          <cell r="BS341">
            <v>0</v>
          </cell>
          <cell r="BT341">
            <v>0</v>
          </cell>
          <cell r="BU341">
            <v>0</v>
          </cell>
          <cell r="BV341">
            <v>0</v>
          </cell>
          <cell r="BW341">
            <v>0</v>
          </cell>
          <cell r="BX341">
            <v>0</v>
          </cell>
          <cell r="BY341">
            <v>0</v>
          </cell>
          <cell r="BZ341">
            <v>0</v>
          </cell>
          <cell r="CA341">
            <v>0</v>
          </cell>
          <cell r="CB341">
            <v>0</v>
          </cell>
          <cell r="CC341">
            <v>0</v>
          </cell>
          <cell r="CD341">
            <v>0</v>
          </cell>
        </row>
        <row r="342">
          <cell r="C342">
            <v>37826</v>
          </cell>
          <cell r="I342">
            <v>0</v>
          </cell>
          <cell r="N342">
            <v>0</v>
          </cell>
          <cell r="P342">
            <v>0</v>
          </cell>
          <cell r="T342">
            <v>0</v>
          </cell>
          <cell r="V342">
            <v>0</v>
          </cell>
          <cell r="W342">
            <v>0</v>
          </cell>
          <cell r="X342">
            <v>0</v>
          </cell>
          <cell r="Y342">
            <v>0</v>
          </cell>
          <cell r="AB342">
            <v>0</v>
          </cell>
          <cell r="AC342">
            <v>7</v>
          </cell>
          <cell r="AD342">
            <v>0</v>
          </cell>
          <cell r="BF342">
            <v>0</v>
          </cell>
          <cell r="BG342">
            <v>0</v>
          </cell>
          <cell r="BH342">
            <v>0</v>
          </cell>
          <cell r="BI342">
            <v>0</v>
          </cell>
          <cell r="BJ342">
            <v>0</v>
          </cell>
          <cell r="BK342">
            <v>0</v>
          </cell>
          <cell r="BL342">
            <v>0</v>
          </cell>
          <cell r="BM342">
            <v>0</v>
          </cell>
          <cell r="BN342">
            <v>0</v>
          </cell>
          <cell r="BO342">
            <v>0</v>
          </cell>
          <cell r="BP342">
            <v>0</v>
          </cell>
          <cell r="BQ342">
            <v>0</v>
          </cell>
          <cell r="BR342">
            <v>0</v>
          </cell>
          <cell r="BS342">
            <v>0</v>
          </cell>
          <cell r="BT342">
            <v>0</v>
          </cell>
          <cell r="BU342">
            <v>0</v>
          </cell>
          <cell r="BV342">
            <v>0</v>
          </cell>
          <cell r="BW342">
            <v>0</v>
          </cell>
          <cell r="BX342">
            <v>0</v>
          </cell>
          <cell r="BY342">
            <v>0</v>
          </cell>
          <cell r="BZ342">
            <v>0</v>
          </cell>
          <cell r="CA342">
            <v>0</v>
          </cell>
          <cell r="CB342">
            <v>0</v>
          </cell>
          <cell r="CC342">
            <v>0</v>
          </cell>
          <cell r="CD342">
            <v>0</v>
          </cell>
        </row>
        <row r="343">
          <cell r="C343">
            <v>37826</v>
          </cell>
          <cell r="D343">
            <v>37881</v>
          </cell>
          <cell r="E343">
            <v>37874</v>
          </cell>
          <cell r="F343">
            <v>0.5625</v>
          </cell>
          <cell r="G343" t="str">
            <v>Linha de Pintura 8,5m</v>
          </cell>
          <cell r="H343" t="str">
            <v>Sobrecarga nos motores</v>
          </cell>
          <cell r="I343" t="str">
            <v>Corretiva</v>
          </cell>
          <cell r="J343" t="str">
            <v>Sim</v>
          </cell>
          <cell r="K343" t="str">
            <v>Elétrica</v>
          </cell>
          <cell r="L343" t="str">
            <v>Substituição do(s) Componente(s)</v>
          </cell>
          <cell r="M343" t="str">
            <v>Mau contato</v>
          </cell>
          <cell r="N343">
            <v>37874</v>
          </cell>
          <cell r="O343">
            <v>0.63194444444444442</v>
          </cell>
          <cell r="P343">
            <v>37874</v>
          </cell>
          <cell r="Q343">
            <v>0.66666666666666663</v>
          </cell>
          <cell r="R343">
            <v>37874</v>
          </cell>
          <cell r="S343">
            <v>0.75</v>
          </cell>
          <cell r="T343">
            <v>37874</v>
          </cell>
          <cell r="U343">
            <v>0.82638888888888884</v>
          </cell>
          <cell r="V343">
            <v>6.944444444444442E-2</v>
          </cell>
          <cell r="W343">
            <v>0.18055555555555547</v>
          </cell>
          <cell r="X343">
            <v>0.11111111111111105</v>
          </cell>
          <cell r="Y343" t="str">
            <v>Havia cabo em curto. Substituição de terminais e parafusos</v>
          </cell>
          <cell r="AB343">
            <v>9</v>
          </cell>
          <cell r="AC343">
            <v>7</v>
          </cell>
          <cell r="AD343">
            <v>0</v>
          </cell>
          <cell r="BF343">
            <v>0</v>
          </cell>
          <cell r="BG343">
            <v>0</v>
          </cell>
          <cell r="BH343">
            <v>0</v>
          </cell>
          <cell r="BI343">
            <v>0</v>
          </cell>
          <cell r="BJ343">
            <v>0</v>
          </cell>
          <cell r="BK343">
            <v>0</v>
          </cell>
          <cell r="BL343">
            <v>0</v>
          </cell>
          <cell r="BM343">
            <v>0</v>
          </cell>
          <cell r="BN343">
            <v>0</v>
          </cell>
          <cell r="BO343">
            <v>0</v>
          </cell>
          <cell r="BP343">
            <v>9</v>
          </cell>
          <cell r="BQ343">
            <v>0</v>
          </cell>
          <cell r="BR343">
            <v>0</v>
          </cell>
          <cell r="BS343">
            <v>0</v>
          </cell>
          <cell r="BT343">
            <v>0</v>
          </cell>
          <cell r="BU343">
            <v>0</v>
          </cell>
          <cell r="BV343">
            <v>0</v>
          </cell>
          <cell r="BW343">
            <v>0</v>
          </cell>
          <cell r="BX343">
            <v>0</v>
          </cell>
          <cell r="BY343">
            <v>0</v>
          </cell>
          <cell r="BZ343">
            <v>0</v>
          </cell>
          <cell r="CA343">
            <v>0</v>
          </cell>
          <cell r="CB343">
            <v>0</v>
          </cell>
          <cell r="CC343">
            <v>0</v>
          </cell>
          <cell r="CD343">
            <v>0</v>
          </cell>
        </row>
        <row r="344">
          <cell r="C344">
            <v>37826</v>
          </cell>
          <cell r="D344">
            <v>37918</v>
          </cell>
          <cell r="E344">
            <v>37894</v>
          </cell>
          <cell r="F344">
            <v>0.58333333333333337</v>
          </cell>
          <cell r="G344" t="str">
            <v>Linha de Pintura 8,5m</v>
          </cell>
          <cell r="H344" t="str">
            <v>Exaustão não funciona</v>
          </cell>
          <cell r="I344" t="str">
            <v>Corretiva</v>
          </cell>
          <cell r="J344" t="str">
            <v>Sim</v>
          </cell>
          <cell r="K344" t="str">
            <v>Elétrica</v>
          </cell>
          <cell r="L344" t="str">
            <v>Substituição do(s) Componente(s)</v>
          </cell>
          <cell r="M344" t="str">
            <v>Sobrecarga</v>
          </cell>
          <cell r="N344">
            <v>37894</v>
          </cell>
          <cell r="O344">
            <v>0.59027777777777779</v>
          </cell>
          <cell r="P344">
            <v>37894</v>
          </cell>
          <cell r="Q344">
            <v>0.59027777777777779</v>
          </cell>
          <cell r="T344">
            <v>37894</v>
          </cell>
          <cell r="U344">
            <v>0.60416666666666663</v>
          </cell>
          <cell r="V344">
            <v>37894</v>
          </cell>
          <cell r="W344">
            <v>0.60416666666666663</v>
          </cell>
          <cell r="X344">
            <v>1.388888888888884E-2</v>
          </cell>
          <cell r="Y344">
            <v>1.3888888886463557E-2</v>
          </cell>
          <cell r="AB344">
            <v>9</v>
          </cell>
          <cell r="AC344">
            <v>7</v>
          </cell>
          <cell r="AD344">
            <v>0</v>
          </cell>
          <cell r="BF344">
            <v>0</v>
          </cell>
          <cell r="BG344">
            <v>0</v>
          </cell>
          <cell r="BH344">
            <v>0</v>
          </cell>
          <cell r="BI344">
            <v>0</v>
          </cell>
          <cell r="BJ344">
            <v>0</v>
          </cell>
          <cell r="BK344">
            <v>0</v>
          </cell>
          <cell r="BL344">
            <v>0</v>
          </cell>
          <cell r="BM344">
            <v>0</v>
          </cell>
          <cell r="BN344">
            <v>0</v>
          </cell>
          <cell r="BO344">
            <v>0</v>
          </cell>
          <cell r="BP344">
            <v>9</v>
          </cell>
          <cell r="BQ344">
            <v>0</v>
          </cell>
          <cell r="BR344">
            <v>0</v>
          </cell>
          <cell r="BS344">
            <v>0</v>
          </cell>
          <cell r="BT344">
            <v>0</v>
          </cell>
          <cell r="BU344">
            <v>0</v>
          </cell>
          <cell r="BV344">
            <v>0</v>
          </cell>
          <cell r="BW344">
            <v>0</v>
          </cell>
          <cell r="BX344">
            <v>0</v>
          </cell>
          <cell r="BY344">
            <v>0</v>
          </cell>
          <cell r="BZ344">
            <v>0</v>
          </cell>
          <cell r="CA344">
            <v>0</v>
          </cell>
          <cell r="CB344">
            <v>0</v>
          </cell>
          <cell r="CC344">
            <v>0</v>
          </cell>
          <cell r="CD344">
            <v>0</v>
          </cell>
        </row>
        <row r="345">
          <cell r="C345">
            <v>37826</v>
          </cell>
          <cell r="D345">
            <v>37902</v>
          </cell>
          <cell r="E345">
            <v>37896</v>
          </cell>
          <cell r="F345">
            <v>0.5</v>
          </cell>
          <cell r="G345" t="str">
            <v>Linha de Pintura 8,5m</v>
          </cell>
          <cell r="H345" t="str">
            <v>Mangueiras das pistolas danificadas</v>
          </cell>
          <cell r="I345" t="str">
            <v>Corretiva</v>
          </cell>
          <cell r="J345" t="str">
            <v>Não</v>
          </cell>
          <cell r="K345" t="str">
            <v>Mecânica</v>
          </cell>
          <cell r="L345" t="str">
            <v>Substituição do(s) Componente(s)</v>
          </cell>
          <cell r="M345" t="str">
            <v>Desgaste / Fadiga</v>
          </cell>
          <cell r="N345">
            <v>37900</v>
          </cell>
          <cell r="O345">
            <v>0.375</v>
          </cell>
          <cell r="P345">
            <v>37900</v>
          </cell>
          <cell r="Q345">
            <v>0.375</v>
          </cell>
          <cell r="T345">
            <v>37900</v>
          </cell>
          <cell r="U345">
            <v>0.57638888888888895</v>
          </cell>
          <cell r="V345">
            <v>37900</v>
          </cell>
          <cell r="W345">
            <v>0.57638888888888895</v>
          </cell>
          <cell r="X345">
            <v>0.20138888889050577</v>
          </cell>
          <cell r="Y345">
            <v>0.20138888889050577</v>
          </cell>
          <cell r="AB345">
            <v>10</v>
          </cell>
          <cell r="AC345">
            <v>7</v>
          </cell>
          <cell r="AD345">
            <v>0</v>
          </cell>
          <cell r="BF345">
            <v>0</v>
          </cell>
          <cell r="BG345">
            <v>0</v>
          </cell>
          <cell r="BH345">
            <v>0</v>
          </cell>
          <cell r="BI345">
            <v>0</v>
          </cell>
          <cell r="BJ345">
            <v>0</v>
          </cell>
          <cell r="BK345">
            <v>0</v>
          </cell>
          <cell r="BL345">
            <v>0</v>
          </cell>
          <cell r="BM345">
            <v>0</v>
          </cell>
          <cell r="BN345">
            <v>0</v>
          </cell>
          <cell r="BO345">
            <v>0</v>
          </cell>
          <cell r="BP345">
            <v>10</v>
          </cell>
          <cell r="BQ345">
            <v>0</v>
          </cell>
          <cell r="BR345">
            <v>0</v>
          </cell>
          <cell r="BS345">
            <v>0</v>
          </cell>
          <cell r="BT345">
            <v>0</v>
          </cell>
          <cell r="BU345">
            <v>0</v>
          </cell>
          <cell r="BV345">
            <v>0</v>
          </cell>
          <cell r="BW345">
            <v>0</v>
          </cell>
          <cell r="BX345">
            <v>0</v>
          </cell>
          <cell r="BY345">
            <v>0</v>
          </cell>
          <cell r="BZ345">
            <v>0</v>
          </cell>
          <cell r="CA345">
            <v>0</v>
          </cell>
          <cell r="CB345">
            <v>0</v>
          </cell>
          <cell r="CC345">
            <v>0</v>
          </cell>
          <cell r="CD345">
            <v>0</v>
          </cell>
        </row>
        <row r="346">
          <cell r="C346">
            <v>37826</v>
          </cell>
          <cell r="D346">
            <v>37970</v>
          </cell>
          <cell r="E346">
            <v>37898</v>
          </cell>
          <cell r="F346">
            <v>0.41666666666666669</v>
          </cell>
          <cell r="G346" t="str">
            <v>Linha de Pintura 15m</v>
          </cell>
          <cell r="H346" t="str">
            <v>Funcionamento com meia fase</v>
          </cell>
          <cell r="I346">
            <v>0</v>
          </cell>
          <cell r="J346" t="str">
            <v>Sim</v>
          </cell>
          <cell r="K346" t="str">
            <v>Elétrica</v>
          </cell>
          <cell r="L346" t="str">
            <v>Correção de mau contato</v>
          </cell>
          <cell r="M346" t="str">
            <v>Vibração</v>
          </cell>
          <cell r="N346">
            <v>37898</v>
          </cell>
          <cell r="O346">
            <v>0.41666666666666669</v>
          </cell>
          <cell r="P346">
            <v>0</v>
          </cell>
          <cell r="T346">
            <v>37898</v>
          </cell>
          <cell r="U346">
            <v>0.625</v>
          </cell>
          <cell r="V346">
            <v>0</v>
          </cell>
          <cell r="W346">
            <v>0.20833333333333331</v>
          </cell>
          <cell r="X346">
            <v>0</v>
          </cell>
          <cell r="Y346">
            <v>0</v>
          </cell>
          <cell r="AB346">
            <v>10</v>
          </cell>
          <cell r="AC346">
            <v>7</v>
          </cell>
          <cell r="AD346">
            <v>0</v>
          </cell>
          <cell r="BF346">
            <v>0</v>
          </cell>
          <cell r="BG346">
            <v>0</v>
          </cell>
          <cell r="BH346">
            <v>0</v>
          </cell>
          <cell r="BI346">
            <v>0</v>
          </cell>
          <cell r="BJ346">
            <v>0</v>
          </cell>
          <cell r="BK346">
            <v>0</v>
          </cell>
          <cell r="BL346">
            <v>0</v>
          </cell>
          <cell r="BM346">
            <v>0</v>
          </cell>
          <cell r="BN346">
            <v>10</v>
          </cell>
          <cell r="BO346">
            <v>0</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C346">
            <v>0</v>
          </cell>
          <cell r="CD346">
            <v>0</v>
          </cell>
        </row>
        <row r="347">
          <cell r="C347">
            <v>37826</v>
          </cell>
          <cell r="D347">
            <v>37918</v>
          </cell>
          <cell r="E347">
            <v>37902</v>
          </cell>
          <cell r="F347">
            <v>0.88194444444444453</v>
          </cell>
          <cell r="G347" t="str">
            <v>Linha de Pintura 15m</v>
          </cell>
          <cell r="H347" t="str">
            <v>Linha parou de funcionar</v>
          </cell>
          <cell r="I347" t="str">
            <v>Corretiva</v>
          </cell>
          <cell r="J347" t="str">
            <v>Sim</v>
          </cell>
          <cell r="K347" t="str">
            <v>Mecânica</v>
          </cell>
          <cell r="L347" t="str">
            <v>Substituição do(s) Componente(s)</v>
          </cell>
          <cell r="M347" t="str">
            <v>Sobrecarga</v>
          </cell>
          <cell r="N347">
            <v>37902</v>
          </cell>
          <cell r="O347">
            <v>0.89583333333333337</v>
          </cell>
          <cell r="P347">
            <v>37902</v>
          </cell>
          <cell r="Q347">
            <v>0.89583333333333337</v>
          </cell>
          <cell r="T347">
            <v>37902</v>
          </cell>
          <cell r="U347">
            <v>0.9375</v>
          </cell>
          <cell r="V347">
            <v>37902</v>
          </cell>
          <cell r="W347">
            <v>0.9375</v>
          </cell>
          <cell r="X347">
            <v>4.166666666666663E-2</v>
          </cell>
          <cell r="Y347">
            <v>4.166666666666663E-2</v>
          </cell>
          <cell r="AB347">
            <v>10</v>
          </cell>
          <cell r="AC347">
            <v>7</v>
          </cell>
          <cell r="AD347">
            <v>0</v>
          </cell>
          <cell r="BF347">
            <v>0</v>
          </cell>
          <cell r="BG347">
            <v>0</v>
          </cell>
          <cell r="BH347">
            <v>0</v>
          </cell>
          <cell r="BI347">
            <v>0</v>
          </cell>
          <cell r="BJ347">
            <v>0</v>
          </cell>
          <cell r="BK347">
            <v>0</v>
          </cell>
          <cell r="BL347">
            <v>0</v>
          </cell>
          <cell r="BM347">
            <v>0</v>
          </cell>
          <cell r="BN347">
            <v>10</v>
          </cell>
          <cell r="BO347">
            <v>0</v>
          </cell>
          <cell r="BP347">
            <v>0</v>
          </cell>
          <cell r="BQ347">
            <v>0</v>
          </cell>
          <cell r="BR347">
            <v>0</v>
          </cell>
          <cell r="BS347">
            <v>0</v>
          </cell>
          <cell r="BT347">
            <v>0</v>
          </cell>
          <cell r="BU347">
            <v>0</v>
          </cell>
          <cell r="BV347">
            <v>0</v>
          </cell>
          <cell r="BW347">
            <v>0</v>
          </cell>
          <cell r="BX347">
            <v>0</v>
          </cell>
          <cell r="BY347">
            <v>0</v>
          </cell>
          <cell r="BZ347">
            <v>0</v>
          </cell>
          <cell r="CA347">
            <v>0</v>
          </cell>
          <cell r="CB347">
            <v>0</v>
          </cell>
          <cell r="CC347">
            <v>0</v>
          </cell>
          <cell r="CD347">
            <v>0</v>
          </cell>
        </row>
        <row r="348">
          <cell r="C348">
            <v>37826</v>
          </cell>
          <cell r="D348">
            <v>37928</v>
          </cell>
          <cell r="E348">
            <v>37922</v>
          </cell>
          <cell r="F348">
            <v>0.41666666666666669</v>
          </cell>
          <cell r="G348" t="str">
            <v>Linha de Pintura 8,5m</v>
          </cell>
          <cell r="H348" t="str">
            <v>Bomba do Recuperador de pó necessita de Limpeza - Mangueira furada</v>
          </cell>
          <cell r="I348" t="str">
            <v>Corretiva</v>
          </cell>
          <cell r="J348" t="str">
            <v>Não</v>
          </cell>
          <cell r="K348" t="str">
            <v>Mecânica</v>
          </cell>
          <cell r="L348" t="str">
            <v>Limpeza do Equipamento / Componente</v>
          </cell>
          <cell r="M348" t="str">
            <v>Sujeira em excesso</v>
          </cell>
          <cell r="N348">
            <v>37922</v>
          </cell>
          <cell r="O348">
            <v>0.41666666666666669</v>
          </cell>
          <cell r="P348">
            <v>37922</v>
          </cell>
          <cell r="Q348">
            <v>0.41666666666666669</v>
          </cell>
          <cell r="T348">
            <v>37922</v>
          </cell>
          <cell r="U348">
            <v>0.45833333333333331</v>
          </cell>
          <cell r="V348">
            <v>37922</v>
          </cell>
          <cell r="W348">
            <v>0.45833333333333331</v>
          </cell>
          <cell r="X348">
            <v>4.1666666669091967E-2</v>
          </cell>
          <cell r="Y348">
            <v>4.1666666669091967E-2</v>
          </cell>
          <cell r="AB348">
            <v>10</v>
          </cell>
          <cell r="AC348">
            <v>7</v>
          </cell>
          <cell r="AD348">
            <v>0</v>
          </cell>
          <cell r="BF348">
            <v>0</v>
          </cell>
          <cell r="BG348">
            <v>0</v>
          </cell>
          <cell r="BH348">
            <v>0</v>
          </cell>
          <cell r="BI348">
            <v>0</v>
          </cell>
          <cell r="BJ348">
            <v>0</v>
          </cell>
          <cell r="BK348">
            <v>0</v>
          </cell>
          <cell r="BL348">
            <v>0</v>
          </cell>
          <cell r="BM348">
            <v>0</v>
          </cell>
          <cell r="BN348">
            <v>0</v>
          </cell>
          <cell r="BO348">
            <v>0</v>
          </cell>
          <cell r="BP348">
            <v>10</v>
          </cell>
          <cell r="BQ348">
            <v>0</v>
          </cell>
          <cell r="BR348">
            <v>0</v>
          </cell>
          <cell r="BS348">
            <v>0</v>
          </cell>
          <cell r="BT348">
            <v>0</v>
          </cell>
          <cell r="BU348">
            <v>0</v>
          </cell>
          <cell r="BV348">
            <v>0</v>
          </cell>
          <cell r="BW348">
            <v>0</v>
          </cell>
          <cell r="BX348">
            <v>0</v>
          </cell>
          <cell r="BY348">
            <v>0</v>
          </cell>
          <cell r="BZ348">
            <v>0</v>
          </cell>
          <cell r="CA348">
            <v>0</v>
          </cell>
          <cell r="CB348">
            <v>0</v>
          </cell>
          <cell r="CC348">
            <v>0</v>
          </cell>
          <cell r="CD348">
            <v>0</v>
          </cell>
        </row>
        <row r="349">
          <cell r="C349">
            <v>37826</v>
          </cell>
          <cell r="D349">
            <v>37970</v>
          </cell>
          <cell r="E349">
            <v>37953</v>
          </cell>
          <cell r="F349">
            <v>37953</v>
          </cell>
          <cell r="G349">
            <v>0.41666666666666669</v>
          </cell>
          <cell r="H349" t="str">
            <v>Anomalia no elevador de descarga</v>
          </cell>
          <cell r="I349">
            <v>0</v>
          </cell>
          <cell r="J349" t="str">
            <v>Sim</v>
          </cell>
          <cell r="K349" t="str">
            <v>Elétrica</v>
          </cell>
          <cell r="L349" t="str">
            <v>Sim</v>
          </cell>
          <cell r="M349" t="str">
            <v>Causa não especificada</v>
          </cell>
          <cell r="N349">
            <v>37953</v>
          </cell>
          <cell r="O349">
            <v>0.41666666666666669</v>
          </cell>
          <cell r="P349">
            <v>37953</v>
          </cell>
          <cell r="Q349">
            <v>0.41666666666666669</v>
          </cell>
          <cell r="T349">
            <v>37953</v>
          </cell>
          <cell r="U349">
            <v>0.4375</v>
          </cell>
          <cell r="V349">
            <v>37953</v>
          </cell>
          <cell r="W349">
            <v>0.4375</v>
          </cell>
          <cell r="X349">
            <v>2.0833333333333315E-2</v>
          </cell>
          <cell r="Y349">
            <v>2.0833333333333315E-2</v>
          </cell>
          <cell r="AB349">
            <v>11</v>
          </cell>
          <cell r="AC349">
            <v>7</v>
          </cell>
          <cell r="AD349">
            <v>0</v>
          </cell>
          <cell r="BF349">
            <v>0</v>
          </cell>
          <cell r="BG349">
            <v>0</v>
          </cell>
          <cell r="BH349">
            <v>0</v>
          </cell>
          <cell r="BI349">
            <v>0</v>
          </cell>
          <cell r="BJ349">
            <v>0</v>
          </cell>
          <cell r="BK349">
            <v>0</v>
          </cell>
          <cell r="BL349">
            <v>0</v>
          </cell>
          <cell r="BM349">
            <v>0</v>
          </cell>
          <cell r="BN349">
            <v>0</v>
          </cell>
          <cell r="BO349">
            <v>0</v>
          </cell>
          <cell r="BP349">
            <v>11</v>
          </cell>
          <cell r="BQ349">
            <v>0</v>
          </cell>
          <cell r="BR349">
            <v>0</v>
          </cell>
          <cell r="BS349">
            <v>0</v>
          </cell>
          <cell r="BT349">
            <v>0</v>
          </cell>
          <cell r="BU349">
            <v>0</v>
          </cell>
          <cell r="BV349">
            <v>0</v>
          </cell>
          <cell r="BW349">
            <v>0</v>
          </cell>
          <cell r="BX349">
            <v>0</v>
          </cell>
          <cell r="BY349">
            <v>0</v>
          </cell>
          <cell r="BZ349">
            <v>0</v>
          </cell>
          <cell r="CA349">
            <v>0</v>
          </cell>
          <cell r="CB349">
            <v>0</v>
          </cell>
          <cell r="CC349">
            <v>0</v>
          </cell>
          <cell r="CD349">
            <v>0</v>
          </cell>
        </row>
        <row r="350">
          <cell r="C350">
            <v>37826</v>
          </cell>
          <cell r="D350">
            <v>37928</v>
          </cell>
          <cell r="E350">
            <v>37926</v>
          </cell>
          <cell r="F350">
            <v>0.60902777777777783</v>
          </cell>
          <cell r="G350" t="str">
            <v>Linha de Pintura 8,5m</v>
          </cell>
          <cell r="H350" t="str">
            <v>Ssitema de Exaustão apresenta funcionamento inadequado</v>
          </cell>
          <cell r="I350" t="str">
            <v>Corretiva</v>
          </cell>
          <cell r="J350" t="str">
            <v>Sim</v>
          </cell>
          <cell r="K350" t="str">
            <v>Elétrica</v>
          </cell>
          <cell r="L350" t="str">
            <v>Substituição do(s) Componente(s)</v>
          </cell>
          <cell r="M350" t="str">
            <v>Sobrecarga</v>
          </cell>
          <cell r="N350">
            <v>37926</v>
          </cell>
          <cell r="O350">
            <v>0.61111111111111105</v>
          </cell>
          <cell r="P350">
            <v>37926</v>
          </cell>
          <cell r="Q350">
            <v>0.61111111111111105</v>
          </cell>
          <cell r="T350">
            <v>37926</v>
          </cell>
          <cell r="U350">
            <v>0.625</v>
          </cell>
          <cell r="V350">
            <v>37926</v>
          </cell>
          <cell r="W350">
            <v>0.625</v>
          </cell>
          <cell r="X350">
            <v>1.3888888888888951E-2</v>
          </cell>
          <cell r="Y350">
            <v>1.3888888888888951E-2</v>
          </cell>
          <cell r="AB350">
            <v>11</v>
          </cell>
          <cell r="AC350">
            <v>7</v>
          </cell>
          <cell r="AD350">
            <v>0</v>
          </cell>
          <cell r="BF350">
            <v>0</v>
          </cell>
          <cell r="BG350">
            <v>0</v>
          </cell>
          <cell r="BH350">
            <v>0</v>
          </cell>
          <cell r="BI350">
            <v>0</v>
          </cell>
          <cell r="BJ350">
            <v>0</v>
          </cell>
          <cell r="BK350">
            <v>0</v>
          </cell>
          <cell r="BL350">
            <v>0</v>
          </cell>
          <cell r="BM350">
            <v>0</v>
          </cell>
          <cell r="BN350">
            <v>0</v>
          </cell>
          <cell r="BO350">
            <v>0</v>
          </cell>
          <cell r="BP350">
            <v>11</v>
          </cell>
          <cell r="BQ350">
            <v>0</v>
          </cell>
          <cell r="BR350">
            <v>0</v>
          </cell>
          <cell r="BS350">
            <v>0</v>
          </cell>
          <cell r="BT350">
            <v>0</v>
          </cell>
          <cell r="BU350">
            <v>0</v>
          </cell>
          <cell r="BV350">
            <v>0</v>
          </cell>
          <cell r="BW350">
            <v>0</v>
          </cell>
          <cell r="BX350">
            <v>0</v>
          </cell>
          <cell r="BY350">
            <v>0</v>
          </cell>
          <cell r="BZ350">
            <v>0</v>
          </cell>
          <cell r="CA350">
            <v>0</v>
          </cell>
          <cell r="CB350">
            <v>0</v>
          </cell>
          <cell r="CC350">
            <v>0</v>
          </cell>
          <cell r="CD350">
            <v>0</v>
          </cell>
        </row>
        <row r="351">
          <cell r="C351">
            <v>37826</v>
          </cell>
          <cell r="D351">
            <v>37970</v>
          </cell>
          <cell r="E351">
            <v>37929</v>
          </cell>
          <cell r="F351">
            <v>37929</v>
          </cell>
          <cell r="G351">
            <v>0.41666666666666669</v>
          </cell>
          <cell r="H351" t="str">
            <v>Peneira do Recuperador de pó rompida</v>
          </cell>
          <cell r="I351">
            <v>0</v>
          </cell>
          <cell r="J351" t="str">
            <v>Não</v>
          </cell>
          <cell r="K351" t="str">
            <v>Mecânica</v>
          </cell>
          <cell r="L351" t="str">
            <v>Não</v>
          </cell>
          <cell r="M351" t="str">
            <v>Desgaste / Fadiga</v>
          </cell>
          <cell r="N351">
            <v>37930</v>
          </cell>
          <cell r="O351">
            <v>0.375</v>
          </cell>
          <cell r="P351">
            <v>37930</v>
          </cell>
          <cell r="Q351">
            <v>0.375</v>
          </cell>
          <cell r="T351">
            <v>37930</v>
          </cell>
          <cell r="U351">
            <v>0.58333333333333337</v>
          </cell>
          <cell r="V351">
            <v>37930</v>
          </cell>
          <cell r="W351">
            <v>0.58333333333333337</v>
          </cell>
          <cell r="X351">
            <v>0.20833333333575865</v>
          </cell>
          <cell r="Y351">
            <v>0.20833333333575865</v>
          </cell>
          <cell r="AB351">
            <v>11</v>
          </cell>
          <cell r="AC351">
            <v>7</v>
          </cell>
          <cell r="AD351">
            <v>0</v>
          </cell>
          <cell r="BF351">
            <v>0</v>
          </cell>
          <cell r="BG351">
            <v>0</v>
          </cell>
          <cell r="BH351">
            <v>0</v>
          </cell>
          <cell r="BI351">
            <v>0</v>
          </cell>
          <cell r="BJ351">
            <v>0</v>
          </cell>
          <cell r="BK351">
            <v>0</v>
          </cell>
          <cell r="BL351">
            <v>0</v>
          </cell>
          <cell r="BM351">
            <v>0</v>
          </cell>
          <cell r="BN351">
            <v>0</v>
          </cell>
          <cell r="BO351">
            <v>0</v>
          </cell>
          <cell r="BP351">
            <v>11</v>
          </cell>
          <cell r="BQ351">
            <v>0</v>
          </cell>
          <cell r="BR351">
            <v>0</v>
          </cell>
          <cell r="BS351">
            <v>0</v>
          </cell>
          <cell r="BT351">
            <v>0</v>
          </cell>
          <cell r="BU351">
            <v>0</v>
          </cell>
          <cell r="BV351">
            <v>0</v>
          </cell>
          <cell r="BW351">
            <v>0</v>
          </cell>
          <cell r="BX351">
            <v>0</v>
          </cell>
          <cell r="BY351">
            <v>0</v>
          </cell>
          <cell r="BZ351">
            <v>0</v>
          </cell>
          <cell r="CA351">
            <v>0</v>
          </cell>
          <cell r="CB351">
            <v>0</v>
          </cell>
          <cell r="CC351">
            <v>0</v>
          </cell>
          <cell r="CD351">
            <v>0</v>
          </cell>
        </row>
        <row r="352">
          <cell r="C352">
            <v>37826</v>
          </cell>
          <cell r="D352">
            <v>37970</v>
          </cell>
          <cell r="E352">
            <v>37929</v>
          </cell>
          <cell r="F352">
            <v>37929</v>
          </cell>
          <cell r="G352">
            <v>0.41666666666666669</v>
          </cell>
          <cell r="H352" t="str">
            <v>Mangueira da Pistola Manual danificada</v>
          </cell>
          <cell r="I352">
            <v>0</v>
          </cell>
          <cell r="J352" t="str">
            <v>Não</v>
          </cell>
          <cell r="K352" t="str">
            <v>Mecânica</v>
          </cell>
          <cell r="L352" t="str">
            <v>Não</v>
          </cell>
          <cell r="M352" t="str">
            <v>Sujeira em excesso</v>
          </cell>
          <cell r="N352">
            <v>37929</v>
          </cell>
          <cell r="O352">
            <v>0.45833333333333331</v>
          </cell>
          <cell r="P352">
            <v>37929</v>
          </cell>
          <cell r="Q352">
            <v>0.45833333333333331</v>
          </cell>
          <cell r="T352">
            <v>37929</v>
          </cell>
          <cell r="U352">
            <v>0.54166666666666663</v>
          </cell>
          <cell r="V352">
            <v>37929</v>
          </cell>
          <cell r="W352">
            <v>0.54166666666666663</v>
          </cell>
          <cell r="X352">
            <v>8.3333333330908033E-2</v>
          </cell>
          <cell r="Y352">
            <v>8.3333333330908033E-2</v>
          </cell>
          <cell r="AB352">
            <v>11</v>
          </cell>
          <cell r="AC352">
            <v>7</v>
          </cell>
          <cell r="AD352">
            <v>0</v>
          </cell>
          <cell r="BF352">
            <v>0</v>
          </cell>
          <cell r="BG352">
            <v>0</v>
          </cell>
          <cell r="BH352">
            <v>0</v>
          </cell>
          <cell r="BI352">
            <v>0</v>
          </cell>
          <cell r="BJ352">
            <v>0</v>
          </cell>
          <cell r="BK352">
            <v>0</v>
          </cell>
          <cell r="BL352">
            <v>0</v>
          </cell>
          <cell r="BM352">
            <v>0</v>
          </cell>
          <cell r="BN352">
            <v>0</v>
          </cell>
          <cell r="BO352">
            <v>0</v>
          </cell>
          <cell r="BP352">
            <v>11</v>
          </cell>
          <cell r="BQ352">
            <v>0</v>
          </cell>
          <cell r="BR352">
            <v>0</v>
          </cell>
          <cell r="BS352">
            <v>0</v>
          </cell>
          <cell r="BT352">
            <v>0</v>
          </cell>
          <cell r="BU352">
            <v>0</v>
          </cell>
          <cell r="BV352">
            <v>0</v>
          </cell>
          <cell r="BW352">
            <v>0</v>
          </cell>
          <cell r="BX352">
            <v>0</v>
          </cell>
          <cell r="BY352">
            <v>0</v>
          </cell>
          <cell r="BZ352">
            <v>0</v>
          </cell>
          <cell r="CA352">
            <v>0</v>
          </cell>
          <cell r="CB352">
            <v>0</v>
          </cell>
          <cell r="CC352">
            <v>0</v>
          </cell>
          <cell r="CD352">
            <v>0</v>
          </cell>
        </row>
        <row r="353">
          <cell r="C353">
            <v>37826</v>
          </cell>
          <cell r="D353">
            <v>37970</v>
          </cell>
          <cell r="E353">
            <v>37932</v>
          </cell>
          <cell r="F353">
            <v>0.625</v>
          </cell>
          <cell r="G353" t="str">
            <v>Linha de Pintura 8,5m</v>
          </cell>
          <cell r="H353" t="str">
            <v>Peças enroscadas no forno de secagem</v>
          </cell>
          <cell r="I353" t="str">
            <v>Corretiva</v>
          </cell>
          <cell r="J353" t="str">
            <v>Sim</v>
          </cell>
          <cell r="K353" t="str">
            <v>Mecânica</v>
          </cell>
          <cell r="L353" t="str">
            <v>Sim</v>
          </cell>
          <cell r="M353" t="str">
            <v>Falha Operacional</v>
          </cell>
          <cell r="N353">
            <v>37932</v>
          </cell>
          <cell r="O353">
            <v>0.625</v>
          </cell>
          <cell r="P353">
            <v>37932</v>
          </cell>
          <cell r="Q353">
            <v>0.625</v>
          </cell>
          <cell r="T353">
            <v>37932</v>
          </cell>
          <cell r="U353">
            <v>0.6875</v>
          </cell>
          <cell r="V353">
            <v>37932</v>
          </cell>
          <cell r="W353">
            <v>0.6875</v>
          </cell>
          <cell r="X353">
            <v>6.25E-2</v>
          </cell>
          <cell r="Y353">
            <v>6.25E-2</v>
          </cell>
          <cell r="AB353">
            <v>11</v>
          </cell>
          <cell r="AC353">
            <v>7</v>
          </cell>
          <cell r="AD353">
            <v>0</v>
          </cell>
          <cell r="BF353">
            <v>0</v>
          </cell>
          <cell r="BG353">
            <v>0</v>
          </cell>
          <cell r="BH353">
            <v>0</v>
          </cell>
          <cell r="BI353">
            <v>0</v>
          </cell>
          <cell r="BJ353">
            <v>0</v>
          </cell>
          <cell r="BK353">
            <v>0</v>
          </cell>
          <cell r="BL353">
            <v>0</v>
          </cell>
          <cell r="BM353">
            <v>0</v>
          </cell>
          <cell r="BN353">
            <v>0</v>
          </cell>
          <cell r="BO353">
            <v>0</v>
          </cell>
          <cell r="BP353">
            <v>11</v>
          </cell>
          <cell r="BQ353">
            <v>0</v>
          </cell>
          <cell r="BR353">
            <v>0</v>
          </cell>
          <cell r="BS353">
            <v>0</v>
          </cell>
          <cell r="BT353">
            <v>0</v>
          </cell>
          <cell r="BU353">
            <v>0</v>
          </cell>
          <cell r="BV353">
            <v>0</v>
          </cell>
          <cell r="BW353">
            <v>0</v>
          </cell>
          <cell r="BX353">
            <v>0</v>
          </cell>
          <cell r="BY353">
            <v>0</v>
          </cell>
          <cell r="BZ353">
            <v>0</v>
          </cell>
          <cell r="CA353">
            <v>0</v>
          </cell>
          <cell r="CB353">
            <v>0</v>
          </cell>
          <cell r="CC353">
            <v>0</v>
          </cell>
          <cell r="CD353">
            <v>0</v>
          </cell>
        </row>
        <row r="354">
          <cell r="C354">
            <v>37826</v>
          </cell>
          <cell r="D354">
            <v>37970</v>
          </cell>
          <cell r="E354">
            <v>37942</v>
          </cell>
          <cell r="F354">
            <v>0.3840277777777778</v>
          </cell>
          <cell r="G354" t="str">
            <v>Linha de Pintura 8,5m</v>
          </cell>
          <cell r="H354" t="str">
            <v>Anomalia na entrada do forno de secagem</v>
          </cell>
          <cell r="I354">
            <v>0</v>
          </cell>
          <cell r="J354" t="str">
            <v>Não</v>
          </cell>
          <cell r="K354" t="str">
            <v>Mecânica</v>
          </cell>
          <cell r="L354" t="str">
            <v>Ajuste / Regulagem</v>
          </cell>
          <cell r="M354" t="str">
            <v>Desgaste / Fadiga</v>
          </cell>
          <cell r="N354">
            <v>37942</v>
          </cell>
          <cell r="O354">
            <v>0.3888888888888889</v>
          </cell>
          <cell r="P354">
            <v>0</v>
          </cell>
          <cell r="T354">
            <v>37942</v>
          </cell>
          <cell r="U354">
            <v>0.41666666666666669</v>
          </cell>
          <cell r="V354">
            <v>0</v>
          </cell>
          <cell r="W354">
            <v>2.7777777775352452E-2</v>
          </cell>
          <cell r="X354">
            <v>0</v>
          </cell>
          <cell r="Y354">
            <v>0</v>
          </cell>
          <cell r="AB354">
            <v>11</v>
          </cell>
          <cell r="AC354">
            <v>7</v>
          </cell>
          <cell r="AD354">
            <v>0</v>
          </cell>
          <cell r="BF354">
            <v>0</v>
          </cell>
          <cell r="BG354">
            <v>0</v>
          </cell>
          <cell r="BH354">
            <v>0</v>
          </cell>
          <cell r="BI354">
            <v>0</v>
          </cell>
          <cell r="BJ354">
            <v>0</v>
          </cell>
          <cell r="BK354">
            <v>0</v>
          </cell>
          <cell r="BL354">
            <v>0</v>
          </cell>
          <cell r="BM354">
            <v>0</v>
          </cell>
          <cell r="BN354">
            <v>0</v>
          </cell>
          <cell r="BO354">
            <v>0</v>
          </cell>
          <cell r="BP354">
            <v>11</v>
          </cell>
          <cell r="BQ354">
            <v>0</v>
          </cell>
          <cell r="BR354">
            <v>0</v>
          </cell>
          <cell r="BS354">
            <v>0</v>
          </cell>
          <cell r="BT354">
            <v>0</v>
          </cell>
          <cell r="BU354">
            <v>0</v>
          </cell>
          <cell r="BV354">
            <v>0</v>
          </cell>
          <cell r="BW354">
            <v>0</v>
          </cell>
          <cell r="BX354">
            <v>0</v>
          </cell>
          <cell r="BY354">
            <v>0</v>
          </cell>
          <cell r="BZ354">
            <v>0</v>
          </cell>
          <cell r="CA354">
            <v>0</v>
          </cell>
          <cell r="CB354">
            <v>0</v>
          </cell>
          <cell r="CC354">
            <v>0</v>
          </cell>
          <cell r="CD354">
            <v>0</v>
          </cell>
        </row>
        <row r="355">
          <cell r="C355">
            <v>37826</v>
          </cell>
          <cell r="D355">
            <v>37970</v>
          </cell>
          <cell r="E355">
            <v>37932</v>
          </cell>
          <cell r="F355">
            <v>0.66666666666666663</v>
          </cell>
          <cell r="G355" t="str">
            <v>Linha de Pintura 8,5m</v>
          </cell>
          <cell r="H355" t="str">
            <v>Falha no exaustor da cabine 01</v>
          </cell>
          <cell r="I355">
            <v>0</v>
          </cell>
          <cell r="J355" t="str">
            <v>Sim</v>
          </cell>
          <cell r="K355" t="str">
            <v>Elétrica</v>
          </cell>
          <cell r="L355" t="str">
            <v>Substituição do(s) Componente(s)</v>
          </cell>
          <cell r="M355" t="str">
            <v>Sobrecarga</v>
          </cell>
          <cell r="N355">
            <v>37932</v>
          </cell>
          <cell r="O355">
            <v>0.70833333333333337</v>
          </cell>
          <cell r="P355">
            <v>0</v>
          </cell>
          <cell r="T355">
            <v>37932</v>
          </cell>
          <cell r="U355">
            <v>0.8125</v>
          </cell>
          <cell r="V355">
            <v>0</v>
          </cell>
          <cell r="W355">
            <v>0.14583333333333337</v>
          </cell>
          <cell r="X355">
            <v>0</v>
          </cell>
          <cell r="Y355">
            <v>0</v>
          </cell>
          <cell r="AB355">
            <v>11</v>
          </cell>
          <cell r="AC355">
            <v>7</v>
          </cell>
          <cell r="AD355">
            <v>0</v>
          </cell>
          <cell r="BF355">
            <v>0</v>
          </cell>
          <cell r="BG355">
            <v>0</v>
          </cell>
          <cell r="BH355">
            <v>0</v>
          </cell>
          <cell r="BI355">
            <v>0</v>
          </cell>
          <cell r="BJ355">
            <v>0</v>
          </cell>
          <cell r="BK355">
            <v>0</v>
          </cell>
          <cell r="BL355">
            <v>0</v>
          </cell>
          <cell r="BM355">
            <v>0</v>
          </cell>
          <cell r="BN355">
            <v>0</v>
          </cell>
          <cell r="BO355">
            <v>0</v>
          </cell>
          <cell r="BP355">
            <v>11</v>
          </cell>
          <cell r="BQ355">
            <v>0</v>
          </cell>
          <cell r="BR355">
            <v>0</v>
          </cell>
          <cell r="BS355">
            <v>0</v>
          </cell>
          <cell r="BT355">
            <v>0</v>
          </cell>
          <cell r="BU355">
            <v>0</v>
          </cell>
          <cell r="BV355">
            <v>0</v>
          </cell>
          <cell r="BW355">
            <v>0</v>
          </cell>
          <cell r="BX355">
            <v>0</v>
          </cell>
          <cell r="BY355">
            <v>0</v>
          </cell>
          <cell r="BZ355">
            <v>0</v>
          </cell>
          <cell r="CA355">
            <v>0</v>
          </cell>
          <cell r="CB355">
            <v>0</v>
          </cell>
          <cell r="CC355">
            <v>0</v>
          </cell>
          <cell r="CD355">
            <v>0</v>
          </cell>
        </row>
        <row r="356">
          <cell r="C356">
            <v>37826</v>
          </cell>
          <cell r="D356">
            <v>37970</v>
          </cell>
          <cell r="E356">
            <v>37932</v>
          </cell>
          <cell r="F356">
            <v>0.66666666666666663</v>
          </cell>
          <cell r="G356" t="str">
            <v>Linha de Pintura 8,5m</v>
          </cell>
          <cell r="H356" t="str">
            <v>Inserir plug no aspirador de pó</v>
          </cell>
          <cell r="I356">
            <v>0</v>
          </cell>
          <cell r="J356" t="str">
            <v>Sim</v>
          </cell>
          <cell r="K356" t="str">
            <v>Elétrica</v>
          </cell>
          <cell r="L356" t="str">
            <v>Substituição do(s) Componente(s)</v>
          </cell>
          <cell r="M356" t="str">
            <v>Falha Operacional</v>
          </cell>
          <cell r="N356">
            <v>37932</v>
          </cell>
          <cell r="O356">
            <v>0.70833333333333337</v>
          </cell>
          <cell r="P356">
            <v>0</v>
          </cell>
          <cell r="T356">
            <v>37932</v>
          </cell>
          <cell r="U356">
            <v>0.71875</v>
          </cell>
          <cell r="V356">
            <v>0</v>
          </cell>
          <cell r="W356">
            <v>5.208333333333337E-2</v>
          </cell>
          <cell r="X356">
            <v>0</v>
          </cell>
          <cell r="Y356">
            <v>0</v>
          </cell>
          <cell r="AB356">
            <v>11</v>
          </cell>
          <cell r="AC356">
            <v>7</v>
          </cell>
          <cell r="AD356">
            <v>0</v>
          </cell>
          <cell r="BF356">
            <v>0</v>
          </cell>
          <cell r="BG356">
            <v>0</v>
          </cell>
          <cell r="BH356">
            <v>0</v>
          </cell>
          <cell r="BI356">
            <v>0</v>
          </cell>
          <cell r="BJ356">
            <v>0</v>
          </cell>
          <cell r="BK356">
            <v>0</v>
          </cell>
          <cell r="BL356">
            <v>0</v>
          </cell>
          <cell r="BM356">
            <v>0</v>
          </cell>
          <cell r="BN356">
            <v>0</v>
          </cell>
          <cell r="BO356">
            <v>0</v>
          </cell>
          <cell r="BP356">
            <v>11</v>
          </cell>
          <cell r="BQ356">
            <v>0</v>
          </cell>
          <cell r="BR356">
            <v>0</v>
          </cell>
          <cell r="BS356">
            <v>0</v>
          </cell>
          <cell r="BT356">
            <v>0</v>
          </cell>
          <cell r="BU356">
            <v>0</v>
          </cell>
          <cell r="BV356">
            <v>0</v>
          </cell>
          <cell r="BW356">
            <v>0</v>
          </cell>
          <cell r="BX356">
            <v>0</v>
          </cell>
          <cell r="BY356">
            <v>0</v>
          </cell>
          <cell r="BZ356">
            <v>0</v>
          </cell>
          <cell r="CA356">
            <v>0</v>
          </cell>
          <cell r="CB356">
            <v>0</v>
          </cell>
          <cell r="CC356">
            <v>0</v>
          </cell>
          <cell r="CD356">
            <v>0</v>
          </cell>
        </row>
        <row r="357">
          <cell r="C357">
            <v>37826</v>
          </cell>
          <cell r="D357">
            <v>37858</v>
          </cell>
          <cell r="E357">
            <v>37838</v>
          </cell>
          <cell r="F357">
            <v>0.41666666666666669</v>
          </cell>
          <cell r="G357" t="str">
            <v>Prensa Jundiaí Conectores</v>
          </cell>
          <cell r="H357" t="str">
            <v>Indicador de curso não funciona</v>
          </cell>
          <cell r="I357" t="str">
            <v>Corretiva</v>
          </cell>
          <cell r="J357" t="str">
            <v>Sim</v>
          </cell>
          <cell r="K357" t="str">
            <v>Mecânica</v>
          </cell>
          <cell r="L357" t="str">
            <v>Substituição do(s) Componente(s)</v>
          </cell>
          <cell r="M357" t="str">
            <v>Vibração</v>
          </cell>
          <cell r="N357">
            <v>37838</v>
          </cell>
          <cell r="O357">
            <v>0.41666666666666669</v>
          </cell>
          <cell r="P357">
            <v>37838</v>
          </cell>
          <cell r="Q357">
            <v>0.41666666666666669</v>
          </cell>
          <cell r="T357">
            <v>37841</v>
          </cell>
          <cell r="U357">
            <v>0.60416666666666663</v>
          </cell>
          <cell r="V357">
            <v>37841</v>
          </cell>
          <cell r="W357">
            <v>0.60416666666666663</v>
          </cell>
          <cell r="X357">
            <v>0.60416666666666652</v>
          </cell>
          <cell r="Y357">
            <v>0.60416666666424135</v>
          </cell>
          <cell r="AB357">
            <v>8</v>
          </cell>
          <cell r="AC357">
            <v>7</v>
          </cell>
          <cell r="AD357">
            <v>0</v>
          </cell>
          <cell r="BF357">
            <v>0</v>
          </cell>
          <cell r="BG357">
            <v>0</v>
          </cell>
          <cell r="BH357">
            <v>0</v>
          </cell>
          <cell r="BI357">
            <v>0</v>
          </cell>
          <cell r="BJ357">
            <v>0</v>
          </cell>
          <cell r="BK357">
            <v>0</v>
          </cell>
          <cell r="BL357">
            <v>0</v>
          </cell>
          <cell r="BM357">
            <v>0</v>
          </cell>
          <cell r="BN357">
            <v>0</v>
          </cell>
          <cell r="BO357">
            <v>0</v>
          </cell>
          <cell r="BP357">
            <v>0</v>
          </cell>
          <cell r="BQ357">
            <v>0</v>
          </cell>
          <cell r="BR357">
            <v>0</v>
          </cell>
          <cell r="BS357">
            <v>0</v>
          </cell>
          <cell r="BT357">
            <v>0</v>
          </cell>
          <cell r="BU357">
            <v>0</v>
          </cell>
          <cell r="BV357">
            <v>0</v>
          </cell>
          <cell r="BW357">
            <v>0</v>
          </cell>
          <cell r="BX357">
            <v>0</v>
          </cell>
          <cell r="BY357">
            <v>0</v>
          </cell>
          <cell r="BZ357">
            <v>8</v>
          </cell>
          <cell r="CA357">
            <v>0</v>
          </cell>
          <cell r="CB357">
            <v>0</v>
          </cell>
          <cell r="CC357">
            <v>0</v>
          </cell>
          <cell r="CD357">
            <v>0</v>
          </cell>
        </row>
        <row r="358">
          <cell r="C358">
            <v>37826</v>
          </cell>
          <cell r="D358">
            <v>37970</v>
          </cell>
          <cell r="E358">
            <v>37858</v>
          </cell>
          <cell r="F358">
            <v>0.2673611111111111</v>
          </cell>
          <cell r="G358" t="str">
            <v>Prensa Jundiaí Conectores</v>
          </cell>
          <cell r="H358" t="str">
            <v>Chave do painel de ajuste está travada</v>
          </cell>
          <cell r="I358">
            <v>0</v>
          </cell>
          <cell r="J358" t="str">
            <v>Não</v>
          </cell>
          <cell r="K358" t="str">
            <v>Elétrica</v>
          </cell>
          <cell r="L358" t="str">
            <v>Substituição do(s) Componente(s)</v>
          </cell>
          <cell r="M358" t="str">
            <v>Desgaste / Fadiga</v>
          </cell>
          <cell r="N358">
            <v>37868</v>
          </cell>
          <cell r="O358">
            <v>0.41666666666666669</v>
          </cell>
          <cell r="P358">
            <v>0</v>
          </cell>
          <cell r="T358">
            <v>37868</v>
          </cell>
          <cell r="U358">
            <v>0.4375</v>
          </cell>
          <cell r="V358">
            <v>0</v>
          </cell>
          <cell r="W358">
            <v>2.0833333333333315E-2</v>
          </cell>
          <cell r="X358">
            <v>0</v>
          </cell>
          <cell r="Y358">
            <v>0</v>
          </cell>
          <cell r="AB358">
            <v>9</v>
          </cell>
          <cell r="AC358">
            <v>7</v>
          </cell>
          <cell r="AD358">
            <v>0</v>
          </cell>
          <cell r="BF358">
            <v>0</v>
          </cell>
          <cell r="BG358">
            <v>0</v>
          </cell>
          <cell r="BH358">
            <v>0</v>
          </cell>
          <cell r="BI358">
            <v>0</v>
          </cell>
          <cell r="BJ358">
            <v>0</v>
          </cell>
          <cell r="BK358">
            <v>0</v>
          </cell>
          <cell r="BL358">
            <v>0</v>
          </cell>
          <cell r="BM358">
            <v>0</v>
          </cell>
          <cell r="BN358">
            <v>0</v>
          </cell>
          <cell r="BO358">
            <v>0</v>
          </cell>
          <cell r="BP358">
            <v>0</v>
          </cell>
          <cell r="BQ358">
            <v>0</v>
          </cell>
          <cell r="BR358">
            <v>0</v>
          </cell>
          <cell r="BS358">
            <v>0</v>
          </cell>
          <cell r="BT358">
            <v>0</v>
          </cell>
          <cell r="BU358">
            <v>0</v>
          </cell>
          <cell r="BV358">
            <v>0</v>
          </cell>
          <cell r="BW358">
            <v>0</v>
          </cell>
          <cell r="BX358">
            <v>0</v>
          </cell>
          <cell r="BY358">
            <v>0</v>
          </cell>
          <cell r="BZ358">
            <v>9</v>
          </cell>
          <cell r="CA358">
            <v>0</v>
          </cell>
          <cell r="CB358">
            <v>0</v>
          </cell>
          <cell r="CC358">
            <v>0</v>
          </cell>
          <cell r="CD358">
            <v>0</v>
          </cell>
        </row>
        <row r="359">
          <cell r="C359">
            <v>37826</v>
          </cell>
          <cell r="D359">
            <v>37858</v>
          </cell>
          <cell r="E359">
            <v>37851</v>
          </cell>
          <cell r="F359">
            <v>0.61805555555555558</v>
          </cell>
          <cell r="G359" t="str">
            <v>Prensa Jundiaí Conectores</v>
          </cell>
          <cell r="H359" t="str">
            <v>Esteira permite a queda de cavacos no chão</v>
          </cell>
          <cell r="I359" t="str">
            <v>Melhoria</v>
          </cell>
          <cell r="J359" t="str">
            <v>Não</v>
          </cell>
          <cell r="K359" t="str">
            <v>Mecânica</v>
          </cell>
          <cell r="L359" t="str">
            <v>Substituição do(s) Componente(s)</v>
          </cell>
          <cell r="M359" t="str">
            <v>Falha de Projeto</v>
          </cell>
          <cell r="N359">
            <v>37852</v>
          </cell>
          <cell r="O359">
            <v>0.625</v>
          </cell>
          <cell r="P359">
            <v>37852</v>
          </cell>
          <cell r="Q359">
            <v>0.625</v>
          </cell>
          <cell r="T359">
            <v>37852</v>
          </cell>
          <cell r="U359">
            <v>0.75</v>
          </cell>
          <cell r="V359">
            <v>37852</v>
          </cell>
          <cell r="W359">
            <v>0.75</v>
          </cell>
          <cell r="X359">
            <v>0.125</v>
          </cell>
          <cell r="Y359">
            <v>0.125</v>
          </cell>
          <cell r="AB359">
            <v>8</v>
          </cell>
          <cell r="AC359">
            <v>7</v>
          </cell>
          <cell r="AD359">
            <v>0</v>
          </cell>
          <cell r="BF359">
            <v>0</v>
          </cell>
          <cell r="BG359">
            <v>0</v>
          </cell>
          <cell r="BH359">
            <v>0</v>
          </cell>
          <cell r="BI359">
            <v>0</v>
          </cell>
          <cell r="BJ359">
            <v>0</v>
          </cell>
          <cell r="BK359">
            <v>0</v>
          </cell>
          <cell r="BL359">
            <v>0</v>
          </cell>
          <cell r="BM359">
            <v>0</v>
          </cell>
          <cell r="BN359">
            <v>0</v>
          </cell>
          <cell r="BO359">
            <v>0</v>
          </cell>
          <cell r="BP359">
            <v>0</v>
          </cell>
          <cell r="BQ359">
            <v>0</v>
          </cell>
          <cell r="BR359">
            <v>0</v>
          </cell>
          <cell r="BS359">
            <v>0</v>
          </cell>
          <cell r="BT359">
            <v>0</v>
          </cell>
          <cell r="BU359">
            <v>0</v>
          </cell>
          <cell r="BV359">
            <v>0</v>
          </cell>
          <cell r="BW359">
            <v>0</v>
          </cell>
          <cell r="BX359">
            <v>0</v>
          </cell>
          <cell r="BY359">
            <v>0</v>
          </cell>
          <cell r="BZ359">
            <v>8</v>
          </cell>
          <cell r="CA359">
            <v>0</v>
          </cell>
          <cell r="CB359">
            <v>0</v>
          </cell>
          <cell r="CC359">
            <v>0</v>
          </cell>
          <cell r="CD359">
            <v>0</v>
          </cell>
        </row>
        <row r="360">
          <cell r="C360">
            <v>37826</v>
          </cell>
          <cell r="D360">
            <v>37874</v>
          </cell>
          <cell r="E360">
            <v>37872</v>
          </cell>
          <cell r="F360">
            <v>0.47916666666666669</v>
          </cell>
          <cell r="G360" t="str">
            <v>Prensa Jundiaí Conectores</v>
          </cell>
          <cell r="H360" t="str">
            <v>Rosca do suporte do micro da porta está espanada</v>
          </cell>
          <cell r="I360" t="str">
            <v>Corretiva</v>
          </cell>
          <cell r="J360" t="str">
            <v>Sim</v>
          </cell>
          <cell r="K360" t="str">
            <v>Mecânica</v>
          </cell>
          <cell r="L360" t="str">
            <v>Reparo</v>
          </cell>
          <cell r="M360" t="str">
            <v>Defeito de Fabricação</v>
          </cell>
          <cell r="N360">
            <v>37872</v>
          </cell>
          <cell r="O360">
            <v>0.47916666666666669</v>
          </cell>
          <cell r="P360">
            <v>37872</v>
          </cell>
          <cell r="Q360">
            <v>0.46527777777777773</v>
          </cell>
          <cell r="T360">
            <v>37872</v>
          </cell>
          <cell r="U360">
            <v>0.4861111111111111</v>
          </cell>
          <cell r="V360">
            <v>37872</v>
          </cell>
          <cell r="W360">
            <v>0.4861111111111111</v>
          </cell>
          <cell r="X360">
            <v>2.083333333333337E-2</v>
          </cell>
          <cell r="Y360">
            <v>2.0833333331716497E-2</v>
          </cell>
          <cell r="AB360">
            <v>9</v>
          </cell>
          <cell r="AC360">
            <v>7</v>
          </cell>
          <cell r="AD360">
            <v>0</v>
          </cell>
          <cell r="BF360">
            <v>0</v>
          </cell>
          <cell r="BG360">
            <v>0</v>
          </cell>
          <cell r="BH360">
            <v>0</v>
          </cell>
          <cell r="BI360">
            <v>0</v>
          </cell>
          <cell r="BJ360">
            <v>0</v>
          </cell>
          <cell r="BK360">
            <v>0</v>
          </cell>
          <cell r="BL360">
            <v>0</v>
          </cell>
          <cell r="BM360">
            <v>0</v>
          </cell>
          <cell r="BN360">
            <v>0</v>
          </cell>
          <cell r="BO360">
            <v>0</v>
          </cell>
          <cell r="BP360">
            <v>0</v>
          </cell>
          <cell r="BQ360">
            <v>0</v>
          </cell>
          <cell r="BR360">
            <v>0</v>
          </cell>
          <cell r="BS360">
            <v>0</v>
          </cell>
          <cell r="BT360">
            <v>0</v>
          </cell>
          <cell r="BU360">
            <v>0</v>
          </cell>
          <cell r="BV360">
            <v>0</v>
          </cell>
          <cell r="BW360">
            <v>0</v>
          </cell>
          <cell r="BX360">
            <v>0</v>
          </cell>
          <cell r="BY360">
            <v>0</v>
          </cell>
          <cell r="BZ360">
            <v>9</v>
          </cell>
          <cell r="CA360">
            <v>0</v>
          </cell>
          <cell r="CB360">
            <v>0</v>
          </cell>
          <cell r="CC360">
            <v>0</v>
          </cell>
          <cell r="CD360">
            <v>0</v>
          </cell>
        </row>
        <row r="361">
          <cell r="C361">
            <v>37826</v>
          </cell>
          <cell r="D361">
            <v>37900</v>
          </cell>
          <cell r="E361">
            <v>37885</v>
          </cell>
          <cell r="F361">
            <v>0.41666666666666669</v>
          </cell>
          <cell r="G361" t="str">
            <v>Prensa Jundiaí Conectores</v>
          </cell>
          <cell r="H361" t="str">
            <v>Esteira de cavacos não funciona</v>
          </cell>
          <cell r="I361" t="str">
            <v>Corretiva</v>
          </cell>
          <cell r="J361" t="str">
            <v>Sim</v>
          </cell>
          <cell r="K361" t="str">
            <v>Mecânica</v>
          </cell>
          <cell r="L361" t="str">
            <v>Limpeza do Equipamento / Componente</v>
          </cell>
          <cell r="M361" t="str">
            <v>Falha de Regulagem / Configuração / Dimensionamento</v>
          </cell>
          <cell r="N361">
            <v>37885</v>
          </cell>
          <cell r="O361">
            <v>0.41666666666666669</v>
          </cell>
          <cell r="P361">
            <v>37885</v>
          </cell>
          <cell r="Q361">
            <v>0.41666666666666669</v>
          </cell>
          <cell r="T361">
            <v>37885</v>
          </cell>
          <cell r="U361">
            <v>0.46180555555555558</v>
          </cell>
          <cell r="V361">
            <v>37885</v>
          </cell>
          <cell r="W361">
            <v>0.46180555555555558</v>
          </cell>
          <cell r="X361">
            <v>4.5138888888888895E-2</v>
          </cell>
          <cell r="Y361">
            <v>4.5138888888080431E-2</v>
          </cell>
          <cell r="AB361">
            <v>9</v>
          </cell>
          <cell r="AC361">
            <v>7</v>
          </cell>
          <cell r="AD361">
            <v>0</v>
          </cell>
          <cell r="BF361">
            <v>0</v>
          </cell>
          <cell r="BG361">
            <v>0</v>
          </cell>
          <cell r="BH361">
            <v>0</v>
          </cell>
          <cell r="BI361">
            <v>0</v>
          </cell>
          <cell r="BJ361">
            <v>0</v>
          </cell>
          <cell r="BK361">
            <v>0</v>
          </cell>
          <cell r="BL361">
            <v>0</v>
          </cell>
          <cell r="BM361">
            <v>0</v>
          </cell>
          <cell r="BN361">
            <v>0</v>
          </cell>
          <cell r="BO361">
            <v>0</v>
          </cell>
          <cell r="BP361">
            <v>0</v>
          </cell>
          <cell r="BQ361">
            <v>0</v>
          </cell>
          <cell r="BR361">
            <v>0</v>
          </cell>
          <cell r="BS361">
            <v>0</v>
          </cell>
          <cell r="BT361">
            <v>0</v>
          </cell>
          <cell r="BU361">
            <v>0</v>
          </cell>
          <cell r="BV361">
            <v>0</v>
          </cell>
          <cell r="BW361">
            <v>0</v>
          </cell>
          <cell r="BX361">
            <v>0</v>
          </cell>
          <cell r="BY361">
            <v>0</v>
          </cell>
          <cell r="BZ361">
            <v>9</v>
          </cell>
          <cell r="CA361">
            <v>0</v>
          </cell>
          <cell r="CB361">
            <v>0</v>
          </cell>
          <cell r="CC361">
            <v>0</v>
          </cell>
          <cell r="CD361">
            <v>0</v>
          </cell>
        </row>
        <row r="362">
          <cell r="C362">
            <v>37826</v>
          </cell>
          <cell r="D362">
            <v>37900</v>
          </cell>
          <cell r="E362">
            <v>37887</v>
          </cell>
          <cell r="F362">
            <v>0.41666666666666669</v>
          </cell>
          <cell r="G362" t="str">
            <v>Prensa Jundiaí Conectores</v>
          </cell>
          <cell r="H362" t="str">
            <v>Porca das Guias do Alimentador Quebrada</v>
          </cell>
          <cell r="I362" t="str">
            <v>Corretiva</v>
          </cell>
          <cell r="J362" t="str">
            <v>Sim</v>
          </cell>
          <cell r="K362" t="str">
            <v>Mecânica</v>
          </cell>
          <cell r="L362" t="str">
            <v>Substituição do(s) Componente(s)</v>
          </cell>
          <cell r="M362" t="str">
            <v>Defeito de Fabricação</v>
          </cell>
          <cell r="N362">
            <v>37887</v>
          </cell>
          <cell r="O362">
            <v>0.41666666666666669</v>
          </cell>
          <cell r="P362">
            <v>37887</v>
          </cell>
          <cell r="Q362">
            <v>0.41666666666666669</v>
          </cell>
          <cell r="T362">
            <v>37887</v>
          </cell>
          <cell r="U362">
            <v>0.47916666666666669</v>
          </cell>
          <cell r="V362">
            <v>37887</v>
          </cell>
          <cell r="W362">
            <v>0.47916666666666669</v>
          </cell>
          <cell r="X362">
            <v>6.25E-2</v>
          </cell>
          <cell r="Y362">
            <v>6.2499999997574662E-2</v>
          </cell>
          <cell r="AB362">
            <v>9</v>
          </cell>
          <cell r="AC362">
            <v>7</v>
          </cell>
          <cell r="AD362">
            <v>0</v>
          </cell>
          <cell r="BF362">
            <v>0</v>
          </cell>
          <cell r="BG362">
            <v>0</v>
          </cell>
          <cell r="BH362">
            <v>0</v>
          </cell>
          <cell r="BI362">
            <v>0</v>
          </cell>
          <cell r="BJ362">
            <v>0</v>
          </cell>
          <cell r="BK362">
            <v>0</v>
          </cell>
          <cell r="BL362">
            <v>0</v>
          </cell>
          <cell r="BM362">
            <v>0</v>
          </cell>
          <cell r="BN362">
            <v>0</v>
          </cell>
          <cell r="BO362">
            <v>0</v>
          </cell>
          <cell r="BP362">
            <v>0</v>
          </cell>
          <cell r="BQ362">
            <v>0</v>
          </cell>
          <cell r="BR362">
            <v>0</v>
          </cell>
          <cell r="BS362">
            <v>0</v>
          </cell>
          <cell r="BT362">
            <v>0</v>
          </cell>
          <cell r="BU362">
            <v>0</v>
          </cell>
          <cell r="BV362">
            <v>0</v>
          </cell>
          <cell r="BW362">
            <v>0</v>
          </cell>
          <cell r="BX362">
            <v>0</v>
          </cell>
          <cell r="BY362">
            <v>0</v>
          </cell>
          <cell r="BZ362">
            <v>9</v>
          </cell>
          <cell r="CA362">
            <v>0</v>
          </cell>
          <cell r="CB362">
            <v>0</v>
          </cell>
          <cell r="CC362">
            <v>0</v>
          </cell>
          <cell r="CD362">
            <v>0</v>
          </cell>
        </row>
        <row r="363">
          <cell r="C363">
            <v>37826</v>
          </cell>
          <cell r="D363">
            <v>37918</v>
          </cell>
          <cell r="E363">
            <v>37902</v>
          </cell>
          <cell r="F363">
            <v>0.33333333333333331</v>
          </cell>
          <cell r="G363" t="str">
            <v>Prensa Jundiaí Conectores</v>
          </cell>
          <cell r="H363" t="str">
            <v>Esteira permite a queda de cavacos no chão</v>
          </cell>
          <cell r="I363" t="str">
            <v>Corretiva</v>
          </cell>
          <cell r="J363" t="str">
            <v>Não</v>
          </cell>
          <cell r="K363" t="str">
            <v>Mecânica</v>
          </cell>
          <cell r="L363" t="str">
            <v>Alteração no sistema de transporte, acrescentando-se nova chapa</v>
          </cell>
          <cell r="M363" t="str">
            <v>Falha de Projeto</v>
          </cell>
          <cell r="N363">
            <v>37902</v>
          </cell>
          <cell r="O363">
            <v>0.35416666666666669</v>
          </cell>
          <cell r="P363">
            <v>37902</v>
          </cell>
          <cell r="Q363">
            <v>0.35416666666666669</v>
          </cell>
          <cell r="T363">
            <v>37902</v>
          </cell>
          <cell r="U363">
            <v>0.4375</v>
          </cell>
          <cell r="V363">
            <v>37902</v>
          </cell>
          <cell r="W363">
            <v>0.4375</v>
          </cell>
          <cell r="X363">
            <v>8.3333333333333315E-2</v>
          </cell>
          <cell r="Y363">
            <v>8.3333333333333315E-2</v>
          </cell>
          <cell r="AB363">
            <v>10</v>
          </cell>
          <cell r="AC363">
            <v>7</v>
          </cell>
          <cell r="AD363">
            <v>0</v>
          </cell>
          <cell r="BF363">
            <v>0</v>
          </cell>
          <cell r="BG363">
            <v>0</v>
          </cell>
          <cell r="BH363">
            <v>0</v>
          </cell>
          <cell r="BI363">
            <v>0</v>
          </cell>
          <cell r="BJ363">
            <v>0</v>
          </cell>
          <cell r="BK363">
            <v>0</v>
          </cell>
          <cell r="BL363">
            <v>0</v>
          </cell>
          <cell r="BM363">
            <v>0</v>
          </cell>
          <cell r="BN363">
            <v>0</v>
          </cell>
          <cell r="BO363">
            <v>0</v>
          </cell>
          <cell r="BP363">
            <v>0</v>
          </cell>
          <cell r="BQ363">
            <v>0</v>
          </cell>
          <cell r="BR363">
            <v>0</v>
          </cell>
          <cell r="BS363">
            <v>0</v>
          </cell>
          <cell r="BT363">
            <v>0</v>
          </cell>
          <cell r="BU363">
            <v>0</v>
          </cell>
          <cell r="BV363">
            <v>0</v>
          </cell>
          <cell r="BW363">
            <v>0</v>
          </cell>
          <cell r="BX363">
            <v>0</v>
          </cell>
          <cell r="BY363">
            <v>0</v>
          </cell>
          <cell r="BZ363">
            <v>10</v>
          </cell>
          <cell r="CA363">
            <v>0</v>
          </cell>
          <cell r="CB363">
            <v>0</v>
          </cell>
          <cell r="CC363">
            <v>0</v>
          </cell>
          <cell r="CD363">
            <v>0</v>
          </cell>
        </row>
        <row r="364">
          <cell r="C364">
            <v>37826</v>
          </cell>
          <cell r="D364">
            <v>37928</v>
          </cell>
          <cell r="E364">
            <v>37911</v>
          </cell>
          <cell r="F364">
            <v>0.31944444444444448</v>
          </cell>
          <cell r="G364" t="str">
            <v>Prensa Jundiaí Conectores</v>
          </cell>
          <cell r="H364" t="str">
            <v>Sensor de Segurança da Ferramenta acionando constantemente</v>
          </cell>
          <cell r="I364" t="str">
            <v>Corretiva</v>
          </cell>
          <cell r="J364" t="str">
            <v>Não</v>
          </cell>
          <cell r="K364" t="str">
            <v>Elétrica</v>
          </cell>
          <cell r="L364" t="str">
            <v>Regulagem do Componente</v>
          </cell>
          <cell r="M364" t="str">
            <v>Falha de Regulagem / Configuração / Dimensionamento</v>
          </cell>
          <cell r="N364">
            <v>37911</v>
          </cell>
          <cell r="O364">
            <v>0.33333333333333331</v>
          </cell>
          <cell r="P364">
            <v>37911</v>
          </cell>
          <cell r="Q364">
            <v>0.33333333333333331</v>
          </cell>
          <cell r="T364">
            <v>37911</v>
          </cell>
          <cell r="U364">
            <v>0.3611111111111111</v>
          </cell>
          <cell r="V364">
            <v>37911</v>
          </cell>
          <cell r="W364">
            <v>0.3611111111111111</v>
          </cell>
          <cell r="X364">
            <v>2.7777777776160917E-2</v>
          </cell>
          <cell r="Y364">
            <v>2.7777777776160917E-2</v>
          </cell>
          <cell r="AB364">
            <v>10</v>
          </cell>
          <cell r="AC364">
            <v>7</v>
          </cell>
          <cell r="AD364">
            <v>0</v>
          </cell>
          <cell r="BF364">
            <v>0</v>
          </cell>
          <cell r="BG364">
            <v>0</v>
          </cell>
          <cell r="BH364">
            <v>0</v>
          </cell>
          <cell r="BI364">
            <v>0</v>
          </cell>
          <cell r="BJ364">
            <v>0</v>
          </cell>
          <cell r="BK364">
            <v>0</v>
          </cell>
          <cell r="BL364">
            <v>0</v>
          </cell>
          <cell r="BM364">
            <v>0</v>
          </cell>
          <cell r="BN364">
            <v>0</v>
          </cell>
          <cell r="BO364">
            <v>0</v>
          </cell>
          <cell r="BP364">
            <v>0</v>
          </cell>
          <cell r="BQ364">
            <v>0</v>
          </cell>
          <cell r="BR364">
            <v>0</v>
          </cell>
          <cell r="BS364">
            <v>0</v>
          </cell>
          <cell r="BT364">
            <v>0</v>
          </cell>
          <cell r="BU364">
            <v>0</v>
          </cell>
          <cell r="BV364">
            <v>0</v>
          </cell>
          <cell r="BW364">
            <v>0</v>
          </cell>
          <cell r="BX364">
            <v>0</v>
          </cell>
          <cell r="BY364">
            <v>0</v>
          </cell>
          <cell r="BZ364">
            <v>10</v>
          </cell>
          <cell r="CA364">
            <v>0</v>
          </cell>
          <cell r="CB364">
            <v>0</v>
          </cell>
          <cell r="CC364">
            <v>0</v>
          </cell>
          <cell r="CD364">
            <v>0</v>
          </cell>
        </row>
        <row r="365">
          <cell r="C365">
            <v>37826</v>
          </cell>
          <cell r="D365">
            <v>37972</v>
          </cell>
          <cell r="E365">
            <v>37953</v>
          </cell>
          <cell r="F365">
            <v>0.3611111111111111</v>
          </cell>
          <cell r="G365" t="str">
            <v>Prensa Jundiaí Conectores</v>
          </cell>
          <cell r="H365" t="str">
            <v>Parafusos do alimentador quebrados</v>
          </cell>
          <cell r="I365">
            <v>0</v>
          </cell>
          <cell r="J365" t="str">
            <v>Não</v>
          </cell>
          <cell r="K365" t="str">
            <v>Mecânica</v>
          </cell>
          <cell r="L365" t="str">
            <v>Substituição do(s) Componente(s)</v>
          </cell>
          <cell r="M365" t="str">
            <v>Sobrecarga</v>
          </cell>
          <cell r="N365">
            <v>37965</v>
          </cell>
          <cell r="O365">
            <v>0.54166666666666663</v>
          </cell>
          <cell r="P365">
            <v>0</v>
          </cell>
          <cell r="T365">
            <v>37965</v>
          </cell>
          <cell r="U365">
            <v>0.83333333333333337</v>
          </cell>
          <cell r="V365">
            <v>0</v>
          </cell>
          <cell r="W365">
            <v>0.29166666666909202</v>
          </cell>
          <cell r="X365">
            <v>0</v>
          </cell>
          <cell r="Y365">
            <v>0</v>
          </cell>
          <cell r="AB365">
            <v>12</v>
          </cell>
          <cell r="AC365">
            <v>7</v>
          </cell>
          <cell r="AD365">
            <v>0</v>
          </cell>
          <cell r="BF365">
            <v>0</v>
          </cell>
          <cell r="BG365">
            <v>0</v>
          </cell>
          <cell r="BH365">
            <v>0</v>
          </cell>
          <cell r="BI365">
            <v>0</v>
          </cell>
          <cell r="BJ365">
            <v>0</v>
          </cell>
          <cell r="BK365">
            <v>0</v>
          </cell>
          <cell r="BL365">
            <v>0</v>
          </cell>
          <cell r="BM365">
            <v>0</v>
          </cell>
          <cell r="BN365">
            <v>0</v>
          </cell>
          <cell r="BO365">
            <v>0</v>
          </cell>
          <cell r="BP365">
            <v>0</v>
          </cell>
          <cell r="BQ365">
            <v>0</v>
          </cell>
          <cell r="BR365">
            <v>0</v>
          </cell>
          <cell r="BS365">
            <v>0</v>
          </cell>
          <cell r="BT365">
            <v>0</v>
          </cell>
          <cell r="BU365">
            <v>0</v>
          </cell>
          <cell r="BV365">
            <v>0</v>
          </cell>
          <cell r="BW365">
            <v>0</v>
          </cell>
          <cell r="BX365">
            <v>0</v>
          </cell>
          <cell r="BY365">
            <v>0</v>
          </cell>
          <cell r="BZ365">
            <v>12</v>
          </cell>
          <cell r="CA365">
            <v>0</v>
          </cell>
          <cell r="CB365">
            <v>0</v>
          </cell>
          <cell r="CC365">
            <v>0</v>
          </cell>
          <cell r="CD365">
            <v>0</v>
          </cell>
        </row>
        <row r="366">
          <cell r="C366">
            <v>37826</v>
          </cell>
          <cell r="D366">
            <v>37972</v>
          </cell>
          <cell r="E366">
            <v>37965</v>
          </cell>
          <cell r="F366">
            <v>0.45833333333333331</v>
          </cell>
          <cell r="G366" t="str">
            <v>Prensa Jundiaí Conectores</v>
          </cell>
          <cell r="H366" t="str">
            <v>Alimentador está solto</v>
          </cell>
          <cell r="I366">
            <v>0</v>
          </cell>
          <cell r="J366" t="str">
            <v>Sim</v>
          </cell>
          <cell r="K366" t="str">
            <v>Mecânica</v>
          </cell>
          <cell r="L366" t="str">
            <v>Reparo</v>
          </cell>
          <cell r="M366" t="str">
            <v>Vibração</v>
          </cell>
          <cell r="N366">
            <v>37965</v>
          </cell>
          <cell r="O366">
            <v>0.54166666666666663</v>
          </cell>
          <cell r="P366">
            <v>0</v>
          </cell>
          <cell r="T366">
            <v>37965</v>
          </cell>
          <cell r="U366">
            <v>0.83333333333333337</v>
          </cell>
          <cell r="V366">
            <v>0</v>
          </cell>
          <cell r="W366">
            <v>0.37500000000242534</v>
          </cell>
          <cell r="X366">
            <v>0</v>
          </cell>
          <cell r="Y366">
            <v>0</v>
          </cell>
          <cell r="AB366">
            <v>12</v>
          </cell>
          <cell r="AC366">
            <v>7</v>
          </cell>
          <cell r="AD366">
            <v>0</v>
          </cell>
          <cell r="BF366">
            <v>0</v>
          </cell>
          <cell r="BG366">
            <v>0</v>
          </cell>
          <cell r="BH366">
            <v>0</v>
          </cell>
          <cell r="BI366">
            <v>0</v>
          </cell>
          <cell r="BJ366">
            <v>0</v>
          </cell>
          <cell r="BK366">
            <v>0</v>
          </cell>
          <cell r="BL366">
            <v>0</v>
          </cell>
          <cell r="BM366">
            <v>0</v>
          </cell>
          <cell r="BN366">
            <v>0</v>
          </cell>
          <cell r="BO366">
            <v>0</v>
          </cell>
          <cell r="BP366">
            <v>0</v>
          </cell>
          <cell r="BQ366">
            <v>0</v>
          </cell>
          <cell r="BR366">
            <v>0</v>
          </cell>
          <cell r="BS366">
            <v>0</v>
          </cell>
          <cell r="BT366">
            <v>0</v>
          </cell>
          <cell r="BU366">
            <v>0</v>
          </cell>
          <cell r="BV366">
            <v>0</v>
          </cell>
          <cell r="BW366">
            <v>0</v>
          </cell>
          <cell r="BX366">
            <v>0</v>
          </cell>
          <cell r="BY366">
            <v>0</v>
          </cell>
          <cell r="BZ366">
            <v>12</v>
          </cell>
          <cell r="CA366">
            <v>0</v>
          </cell>
          <cell r="CB366">
            <v>0</v>
          </cell>
          <cell r="CC366">
            <v>0</v>
          </cell>
          <cell r="CD366">
            <v>0</v>
          </cell>
        </row>
        <row r="367">
          <cell r="C367">
            <v>37826</v>
          </cell>
          <cell r="D367">
            <v>37993</v>
          </cell>
          <cell r="E367">
            <v>37967</v>
          </cell>
          <cell r="F367">
            <v>0.625</v>
          </cell>
          <cell r="G367" t="str">
            <v>Prensa Jundiaí Conectores</v>
          </cell>
          <cell r="H367" t="str">
            <v>Máquina acusando falha de lubrificação</v>
          </cell>
          <cell r="I367">
            <v>0</v>
          </cell>
          <cell r="J367" t="str">
            <v>Não</v>
          </cell>
          <cell r="K367" t="str">
            <v>Mecânica</v>
          </cell>
          <cell r="L367" t="str">
            <v>Limpeza e Regulagem</v>
          </cell>
          <cell r="M367" t="str">
            <v>Falha de Regulagem / Configuração / Dimensionamento</v>
          </cell>
          <cell r="N367">
            <v>0</v>
          </cell>
          <cell r="O367">
            <v>0.625</v>
          </cell>
          <cell r="P367">
            <v>0</v>
          </cell>
          <cell r="T367">
            <v>0</v>
          </cell>
          <cell r="U367">
            <v>0.70833333333333337</v>
          </cell>
          <cell r="V367">
            <v>0</v>
          </cell>
          <cell r="W367">
            <v>0</v>
          </cell>
          <cell r="X367">
            <v>0</v>
          </cell>
          <cell r="Y367">
            <v>0</v>
          </cell>
          <cell r="AB367">
            <v>0</v>
          </cell>
          <cell r="AC367">
            <v>7</v>
          </cell>
          <cell r="AD367">
            <v>0</v>
          </cell>
          <cell r="BF367">
            <v>0</v>
          </cell>
          <cell r="BG367">
            <v>0</v>
          </cell>
          <cell r="BH367">
            <v>0</v>
          </cell>
          <cell r="BI367">
            <v>0</v>
          </cell>
          <cell r="BJ367">
            <v>0</v>
          </cell>
          <cell r="BK367">
            <v>0</v>
          </cell>
          <cell r="BL367">
            <v>0</v>
          </cell>
          <cell r="BM367">
            <v>0</v>
          </cell>
          <cell r="BN367">
            <v>0</v>
          </cell>
          <cell r="BO367">
            <v>0</v>
          </cell>
          <cell r="BP367">
            <v>0</v>
          </cell>
          <cell r="BQ367">
            <v>0</v>
          </cell>
          <cell r="BR367">
            <v>0</v>
          </cell>
          <cell r="BS367">
            <v>0</v>
          </cell>
          <cell r="BT367">
            <v>0</v>
          </cell>
          <cell r="BU367">
            <v>0</v>
          </cell>
          <cell r="BV367">
            <v>0</v>
          </cell>
          <cell r="BW367">
            <v>0</v>
          </cell>
          <cell r="BX367">
            <v>0</v>
          </cell>
          <cell r="BY367">
            <v>0</v>
          </cell>
          <cell r="BZ367">
            <v>0</v>
          </cell>
          <cell r="CA367">
            <v>0</v>
          </cell>
          <cell r="CB367">
            <v>0</v>
          </cell>
          <cell r="CC367">
            <v>0</v>
          </cell>
          <cell r="CD367">
            <v>0</v>
          </cell>
        </row>
        <row r="368">
          <cell r="C368">
            <v>37826</v>
          </cell>
          <cell r="D368">
            <v>37868</v>
          </cell>
          <cell r="E368">
            <v>37854</v>
          </cell>
          <cell r="F368">
            <v>0.40972222222222227</v>
          </cell>
          <cell r="G368" t="str">
            <v>Prensa Jundiaí Conectores</v>
          </cell>
          <cell r="H368" t="str">
            <v>Régua graduada do desbobinador está solta</v>
          </cell>
          <cell r="I368" t="str">
            <v>Corretiva</v>
          </cell>
          <cell r="J368" t="str">
            <v>Não</v>
          </cell>
          <cell r="K368" t="str">
            <v>Mecânica</v>
          </cell>
          <cell r="L368" t="str">
            <v>Reparo</v>
          </cell>
          <cell r="M368" t="str">
            <v>Desgaste / Fadiga</v>
          </cell>
          <cell r="N368">
            <v>37854</v>
          </cell>
          <cell r="O368">
            <v>0.40972222222222227</v>
          </cell>
          <cell r="P368">
            <v>37854</v>
          </cell>
          <cell r="Q368">
            <v>0.40972222222222227</v>
          </cell>
          <cell r="T368">
            <v>37854</v>
          </cell>
          <cell r="U368">
            <v>0.47916666666666669</v>
          </cell>
          <cell r="V368">
            <v>37854</v>
          </cell>
          <cell r="W368">
            <v>0.47916666666666669</v>
          </cell>
          <cell r="X368">
            <v>6.9444444442019082E-2</v>
          </cell>
          <cell r="Y368">
            <v>6.9444444442019082E-2</v>
          </cell>
          <cell r="AB368">
            <v>8</v>
          </cell>
          <cell r="AC368">
            <v>7</v>
          </cell>
          <cell r="AD368">
            <v>0</v>
          </cell>
          <cell r="BF368">
            <v>0</v>
          </cell>
          <cell r="BG368">
            <v>0</v>
          </cell>
          <cell r="BH368">
            <v>0</v>
          </cell>
          <cell r="BI368">
            <v>0</v>
          </cell>
          <cell r="BJ368">
            <v>0</v>
          </cell>
          <cell r="BK368">
            <v>0</v>
          </cell>
          <cell r="BL368">
            <v>0</v>
          </cell>
          <cell r="BM368">
            <v>0</v>
          </cell>
          <cell r="BN368">
            <v>0</v>
          </cell>
          <cell r="BO368">
            <v>0</v>
          </cell>
          <cell r="BP368">
            <v>0</v>
          </cell>
          <cell r="BQ368">
            <v>0</v>
          </cell>
          <cell r="BR368">
            <v>0</v>
          </cell>
          <cell r="BS368">
            <v>0</v>
          </cell>
          <cell r="BT368">
            <v>0</v>
          </cell>
          <cell r="BU368">
            <v>0</v>
          </cell>
          <cell r="BV368">
            <v>0</v>
          </cell>
          <cell r="BW368">
            <v>0</v>
          </cell>
          <cell r="BX368">
            <v>0</v>
          </cell>
          <cell r="BY368">
            <v>0</v>
          </cell>
          <cell r="BZ368">
            <v>8</v>
          </cell>
          <cell r="CA368">
            <v>0</v>
          </cell>
          <cell r="CB368">
            <v>0</v>
          </cell>
          <cell r="CC368">
            <v>0</v>
          </cell>
          <cell r="CD368">
            <v>0</v>
          </cell>
        </row>
        <row r="369">
          <cell r="C369">
            <v>37826</v>
          </cell>
          <cell r="I369">
            <v>0</v>
          </cell>
          <cell r="N369">
            <v>0</v>
          </cell>
          <cell r="P369">
            <v>0</v>
          </cell>
          <cell r="T369">
            <v>0</v>
          </cell>
          <cell r="V369">
            <v>0</v>
          </cell>
          <cell r="W369">
            <v>0</v>
          </cell>
          <cell r="X369">
            <v>0</v>
          </cell>
          <cell r="Y369">
            <v>0</v>
          </cell>
          <cell r="AB369">
            <v>0</v>
          </cell>
          <cell r="AC369">
            <v>7</v>
          </cell>
          <cell r="AD369">
            <v>0</v>
          </cell>
          <cell r="BF369">
            <v>0</v>
          </cell>
          <cell r="BG369">
            <v>0</v>
          </cell>
          <cell r="BH369">
            <v>0</v>
          </cell>
          <cell r="BI369">
            <v>0</v>
          </cell>
          <cell r="BJ369">
            <v>0</v>
          </cell>
          <cell r="BK369">
            <v>0</v>
          </cell>
          <cell r="BL369">
            <v>0</v>
          </cell>
          <cell r="BM369">
            <v>0</v>
          </cell>
          <cell r="BN369">
            <v>0</v>
          </cell>
          <cell r="BO369">
            <v>0</v>
          </cell>
          <cell r="BP369">
            <v>0</v>
          </cell>
          <cell r="BQ369">
            <v>0</v>
          </cell>
          <cell r="BR369">
            <v>0</v>
          </cell>
          <cell r="BS369">
            <v>0</v>
          </cell>
          <cell r="BT369">
            <v>0</v>
          </cell>
          <cell r="BU369">
            <v>0</v>
          </cell>
          <cell r="BV369">
            <v>0</v>
          </cell>
          <cell r="BW369">
            <v>0</v>
          </cell>
          <cell r="BX369">
            <v>0</v>
          </cell>
          <cell r="BY369">
            <v>0</v>
          </cell>
          <cell r="BZ369">
            <v>0</v>
          </cell>
          <cell r="CA369">
            <v>0</v>
          </cell>
          <cell r="CB369">
            <v>0</v>
          </cell>
          <cell r="CC369">
            <v>0</v>
          </cell>
          <cell r="CD369">
            <v>0</v>
          </cell>
        </row>
        <row r="370">
          <cell r="C370">
            <v>37826</v>
          </cell>
          <cell r="D370">
            <v>38008</v>
          </cell>
          <cell r="E370">
            <v>37977</v>
          </cell>
          <cell r="F370">
            <v>0.51388888888888895</v>
          </cell>
          <cell r="G370" t="str">
            <v>Prensa Jundiaí Conectores</v>
          </cell>
          <cell r="H370" t="str">
            <v>Esteira parada</v>
          </cell>
          <cell r="I370">
            <v>0</v>
          </cell>
          <cell r="J370" t="str">
            <v>Sim</v>
          </cell>
          <cell r="K370" t="str">
            <v>Mecânica</v>
          </cell>
          <cell r="L370" t="str">
            <v>Destravamento dos Componentes</v>
          </cell>
          <cell r="M370" t="str">
            <v>Desgaste / Fadiga</v>
          </cell>
          <cell r="N370">
            <v>0</v>
          </cell>
          <cell r="O370">
            <v>0.33333333333333331</v>
          </cell>
          <cell r="P370">
            <v>0</v>
          </cell>
          <cell r="T370">
            <v>0</v>
          </cell>
          <cell r="U370">
            <v>0.59375</v>
          </cell>
          <cell r="V370">
            <v>0</v>
          </cell>
          <cell r="W370">
            <v>0</v>
          </cell>
          <cell r="X370">
            <v>0</v>
          </cell>
          <cell r="Y370">
            <v>0</v>
          </cell>
          <cell r="AB370">
            <v>0</v>
          </cell>
          <cell r="AC370">
            <v>7</v>
          </cell>
          <cell r="AD370">
            <v>0</v>
          </cell>
          <cell r="BF370">
            <v>0</v>
          </cell>
          <cell r="BG370">
            <v>0</v>
          </cell>
          <cell r="BH370">
            <v>0</v>
          </cell>
          <cell r="BI370">
            <v>0</v>
          </cell>
          <cell r="BJ370">
            <v>0</v>
          </cell>
          <cell r="BK370">
            <v>0</v>
          </cell>
          <cell r="BL370">
            <v>0</v>
          </cell>
          <cell r="BM370">
            <v>0</v>
          </cell>
          <cell r="BN370">
            <v>0</v>
          </cell>
          <cell r="BO370">
            <v>0</v>
          </cell>
          <cell r="BP370">
            <v>0</v>
          </cell>
          <cell r="BQ370">
            <v>0</v>
          </cell>
          <cell r="BR370">
            <v>0</v>
          </cell>
          <cell r="BS370">
            <v>0</v>
          </cell>
          <cell r="BT370">
            <v>0</v>
          </cell>
          <cell r="BU370">
            <v>0</v>
          </cell>
          <cell r="BV370">
            <v>0</v>
          </cell>
          <cell r="BW370">
            <v>0</v>
          </cell>
          <cell r="BX370">
            <v>0</v>
          </cell>
          <cell r="BY370">
            <v>0</v>
          </cell>
          <cell r="BZ370">
            <v>0</v>
          </cell>
          <cell r="CA370">
            <v>0</v>
          </cell>
          <cell r="CB370">
            <v>0</v>
          </cell>
          <cell r="CC370">
            <v>0</v>
          </cell>
          <cell r="CD370">
            <v>0</v>
          </cell>
        </row>
        <row r="371">
          <cell r="C371">
            <v>37826</v>
          </cell>
          <cell r="I371">
            <v>0</v>
          </cell>
          <cell r="N371">
            <v>0</v>
          </cell>
          <cell r="P371">
            <v>0</v>
          </cell>
          <cell r="T371">
            <v>0</v>
          </cell>
          <cell r="V371">
            <v>0</v>
          </cell>
          <cell r="W371">
            <v>0</v>
          </cell>
          <cell r="X371">
            <v>0</v>
          </cell>
          <cell r="Y371">
            <v>0</v>
          </cell>
          <cell r="AB371">
            <v>0</v>
          </cell>
          <cell r="AC371">
            <v>7</v>
          </cell>
          <cell r="AD371">
            <v>0</v>
          </cell>
          <cell r="BF371">
            <v>0</v>
          </cell>
          <cell r="BG371">
            <v>0</v>
          </cell>
          <cell r="BH371">
            <v>0</v>
          </cell>
          <cell r="BI371">
            <v>0</v>
          </cell>
          <cell r="BJ371">
            <v>0</v>
          </cell>
          <cell r="BK371">
            <v>0</v>
          </cell>
          <cell r="BL371">
            <v>0</v>
          </cell>
          <cell r="BM371">
            <v>0</v>
          </cell>
          <cell r="BN371">
            <v>0</v>
          </cell>
          <cell r="BO371">
            <v>0</v>
          </cell>
          <cell r="BP371">
            <v>0</v>
          </cell>
          <cell r="BQ371">
            <v>0</v>
          </cell>
          <cell r="BR371">
            <v>0</v>
          </cell>
          <cell r="BS371">
            <v>0</v>
          </cell>
          <cell r="BT371">
            <v>0</v>
          </cell>
          <cell r="BU371">
            <v>0</v>
          </cell>
          <cell r="BV371">
            <v>0</v>
          </cell>
          <cell r="BW371">
            <v>0</v>
          </cell>
          <cell r="BX371">
            <v>0</v>
          </cell>
          <cell r="BY371">
            <v>0</v>
          </cell>
          <cell r="BZ371">
            <v>0</v>
          </cell>
          <cell r="CA371">
            <v>0</v>
          </cell>
          <cell r="CB371">
            <v>0</v>
          </cell>
          <cell r="CC371">
            <v>0</v>
          </cell>
          <cell r="CD371">
            <v>0</v>
          </cell>
        </row>
        <row r="372">
          <cell r="C372">
            <v>37826</v>
          </cell>
          <cell r="I372">
            <v>0</v>
          </cell>
          <cell r="N372">
            <v>0</v>
          </cell>
          <cell r="P372">
            <v>0</v>
          </cell>
          <cell r="T372">
            <v>0</v>
          </cell>
          <cell r="V372">
            <v>0</v>
          </cell>
          <cell r="W372">
            <v>0</v>
          </cell>
          <cell r="X372">
            <v>0</v>
          </cell>
          <cell r="Y372">
            <v>0</v>
          </cell>
          <cell r="AB372">
            <v>0</v>
          </cell>
          <cell r="AC372">
            <v>7</v>
          </cell>
          <cell r="AD372">
            <v>0</v>
          </cell>
          <cell r="BF372">
            <v>0</v>
          </cell>
          <cell r="BG372">
            <v>0</v>
          </cell>
          <cell r="BH372">
            <v>0</v>
          </cell>
          <cell r="BI372">
            <v>0</v>
          </cell>
          <cell r="BJ372">
            <v>0</v>
          </cell>
          <cell r="BK372">
            <v>0</v>
          </cell>
          <cell r="BL372">
            <v>0</v>
          </cell>
          <cell r="BM372">
            <v>0</v>
          </cell>
          <cell r="BN372">
            <v>0</v>
          </cell>
          <cell r="BO372">
            <v>0</v>
          </cell>
          <cell r="BP372">
            <v>0</v>
          </cell>
          <cell r="BQ372">
            <v>0</v>
          </cell>
          <cell r="BR372">
            <v>0</v>
          </cell>
          <cell r="BS372">
            <v>0</v>
          </cell>
          <cell r="BT372">
            <v>0</v>
          </cell>
          <cell r="BU372">
            <v>0</v>
          </cell>
          <cell r="BV372">
            <v>0</v>
          </cell>
          <cell r="BW372">
            <v>0</v>
          </cell>
          <cell r="BX372">
            <v>0</v>
          </cell>
          <cell r="BY372">
            <v>0</v>
          </cell>
          <cell r="BZ372">
            <v>0</v>
          </cell>
          <cell r="CA372">
            <v>0</v>
          </cell>
          <cell r="CB372">
            <v>0</v>
          </cell>
          <cell r="CC372">
            <v>0</v>
          </cell>
          <cell r="CD372">
            <v>0</v>
          </cell>
        </row>
        <row r="373">
          <cell r="C373">
            <v>37826</v>
          </cell>
          <cell r="I373">
            <v>0</v>
          </cell>
          <cell r="N373">
            <v>0</v>
          </cell>
          <cell r="P373">
            <v>0</v>
          </cell>
          <cell r="T373">
            <v>0</v>
          </cell>
          <cell r="V373">
            <v>0</v>
          </cell>
          <cell r="W373">
            <v>0</v>
          </cell>
          <cell r="X373">
            <v>0</v>
          </cell>
          <cell r="Y373">
            <v>0</v>
          </cell>
          <cell r="AB373">
            <v>0</v>
          </cell>
          <cell r="AC373">
            <v>7</v>
          </cell>
          <cell r="AD373">
            <v>0</v>
          </cell>
          <cell r="BF373">
            <v>0</v>
          </cell>
          <cell r="BG373">
            <v>0</v>
          </cell>
          <cell r="BH373">
            <v>0</v>
          </cell>
          <cell r="BI373">
            <v>0</v>
          </cell>
          <cell r="BJ373">
            <v>0</v>
          </cell>
          <cell r="BK373">
            <v>0</v>
          </cell>
          <cell r="BL373">
            <v>0</v>
          </cell>
          <cell r="BM373">
            <v>0</v>
          </cell>
          <cell r="BN373">
            <v>0</v>
          </cell>
          <cell r="BO373">
            <v>0</v>
          </cell>
          <cell r="BP373">
            <v>0</v>
          </cell>
          <cell r="BQ373">
            <v>0</v>
          </cell>
          <cell r="BR373">
            <v>0</v>
          </cell>
          <cell r="BS373">
            <v>0</v>
          </cell>
          <cell r="BT373">
            <v>0</v>
          </cell>
          <cell r="BU373">
            <v>0</v>
          </cell>
          <cell r="BV373">
            <v>0</v>
          </cell>
          <cell r="BW373">
            <v>0</v>
          </cell>
          <cell r="BX373">
            <v>0</v>
          </cell>
          <cell r="BY373">
            <v>0</v>
          </cell>
          <cell r="BZ373">
            <v>0</v>
          </cell>
          <cell r="CA373">
            <v>0</v>
          </cell>
          <cell r="CB373">
            <v>0</v>
          </cell>
          <cell r="CC373">
            <v>0</v>
          </cell>
          <cell r="CD373">
            <v>0</v>
          </cell>
        </row>
        <row r="374">
          <cell r="C374">
            <v>37826</v>
          </cell>
          <cell r="I374">
            <v>0</v>
          </cell>
          <cell r="N374">
            <v>0</v>
          </cell>
          <cell r="P374">
            <v>0</v>
          </cell>
          <cell r="T374">
            <v>0</v>
          </cell>
          <cell r="V374">
            <v>0</v>
          </cell>
          <cell r="W374">
            <v>0</v>
          </cell>
          <cell r="X374">
            <v>0</v>
          </cell>
          <cell r="Y374">
            <v>0</v>
          </cell>
          <cell r="AB374">
            <v>0</v>
          </cell>
          <cell r="AC374">
            <v>7</v>
          </cell>
          <cell r="AD374">
            <v>0</v>
          </cell>
          <cell r="BF374">
            <v>0</v>
          </cell>
          <cell r="BG374">
            <v>0</v>
          </cell>
          <cell r="BH374">
            <v>0</v>
          </cell>
          <cell r="BI374">
            <v>0</v>
          </cell>
          <cell r="BJ374">
            <v>0</v>
          </cell>
          <cell r="BK374">
            <v>0</v>
          </cell>
          <cell r="BL374">
            <v>0</v>
          </cell>
          <cell r="BM374">
            <v>0</v>
          </cell>
          <cell r="BN374">
            <v>0</v>
          </cell>
          <cell r="BO374">
            <v>0</v>
          </cell>
          <cell r="BP374">
            <v>0</v>
          </cell>
          <cell r="BQ374">
            <v>0</v>
          </cell>
          <cell r="BR374">
            <v>0</v>
          </cell>
          <cell r="BS374">
            <v>0</v>
          </cell>
          <cell r="BT374">
            <v>0</v>
          </cell>
          <cell r="BU374">
            <v>0</v>
          </cell>
          <cell r="BV374">
            <v>0</v>
          </cell>
          <cell r="BW374">
            <v>0</v>
          </cell>
          <cell r="BX374">
            <v>0</v>
          </cell>
          <cell r="BY374">
            <v>0</v>
          </cell>
          <cell r="BZ374">
            <v>0</v>
          </cell>
          <cell r="CA374">
            <v>0</v>
          </cell>
          <cell r="CB374">
            <v>0</v>
          </cell>
          <cell r="CC374">
            <v>0</v>
          </cell>
          <cell r="CD374">
            <v>0</v>
          </cell>
        </row>
        <row r="375">
          <cell r="C375">
            <v>37826</v>
          </cell>
          <cell r="I375">
            <v>0</v>
          </cell>
          <cell r="N375">
            <v>0</v>
          </cell>
          <cell r="P375">
            <v>0</v>
          </cell>
          <cell r="T375">
            <v>0</v>
          </cell>
          <cell r="V375">
            <v>0</v>
          </cell>
          <cell r="W375">
            <v>0</v>
          </cell>
          <cell r="X375">
            <v>0</v>
          </cell>
          <cell r="Y375">
            <v>0</v>
          </cell>
          <cell r="AB375">
            <v>0</v>
          </cell>
          <cell r="AC375">
            <v>7</v>
          </cell>
          <cell r="AD375">
            <v>0</v>
          </cell>
          <cell r="BF375">
            <v>0</v>
          </cell>
          <cell r="BG375">
            <v>0</v>
          </cell>
          <cell r="BH375">
            <v>0</v>
          </cell>
          <cell r="BI375">
            <v>0</v>
          </cell>
          <cell r="BJ375">
            <v>0</v>
          </cell>
          <cell r="BK375">
            <v>0</v>
          </cell>
          <cell r="BL375">
            <v>0</v>
          </cell>
          <cell r="BM375">
            <v>0</v>
          </cell>
          <cell r="BN375">
            <v>0</v>
          </cell>
          <cell r="BO375">
            <v>0</v>
          </cell>
          <cell r="BP375">
            <v>0</v>
          </cell>
          <cell r="BQ375">
            <v>0</v>
          </cell>
          <cell r="BR375">
            <v>0</v>
          </cell>
          <cell r="BS375">
            <v>0</v>
          </cell>
          <cell r="BT375">
            <v>0</v>
          </cell>
          <cell r="BU375">
            <v>0</v>
          </cell>
          <cell r="BV375">
            <v>0</v>
          </cell>
          <cell r="BW375">
            <v>0</v>
          </cell>
          <cell r="BX375">
            <v>0</v>
          </cell>
          <cell r="BY375">
            <v>0</v>
          </cell>
          <cell r="BZ375">
            <v>0</v>
          </cell>
          <cell r="CA375">
            <v>0</v>
          </cell>
          <cell r="CB375">
            <v>0</v>
          </cell>
          <cell r="CC375">
            <v>0</v>
          </cell>
          <cell r="CD375">
            <v>0</v>
          </cell>
        </row>
        <row r="376">
          <cell r="C376">
            <v>37826</v>
          </cell>
          <cell r="I376">
            <v>0</v>
          </cell>
          <cell r="N376">
            <v>0</v>
          </cell>
          <cell r="P376">
            <v>0</v>
          </cell>
          <cell r="T376">
            <v>0</v>
          </cell>
          <cell r="V376">
            <v>0</v>
          </cell>
          <cell r="W376">
            <v>0</v>
          </cell>
          <cell r="X376">
            <v>0</v>
          </cell>
          <cell r="Y376">
            <v>0</v>
          </cell>
          <cell r="AB376">
            <v>0</v>
          </cell>
          <cell r="AC376">
            <v>7</v>
          </cell>
          <cell r="AD376">
            <v>0</v>
          </cell>
          <cell r="BF376">
            <v>0</v>
          </cell>
          <cell r="BG376">
            <v>0</v>
          </cell>
          <cell r="BH376">
            <v>0</v>
          </cell>
          <cell r="BI376">
            <v>0</v>
          </cell>
          <cell r="BJ376">
            <v>0</v>
          </cell>
          <cell r="BK376">
            <v>0</v>
          </cell>
          <cell r="BL376">
            <v>0</v>
          </cell>
          <cell r="BM376">
            <v>0</v>
          </cell>
          <cell r="BN376">
            <v>0</v>
          </cell>
          <cell r="BO376">
            <v>0</v>
          </cell>
          <cell r="BP376">
            <v>0</v>
          </cell>
          <cell r="BQ376">
            <v>0</v>
          </cell>
          <cell r="BR376">
            <v>0</v>
          </cell>
          <cell r="BS376">
            <v>0</v>
          </cell>
          <cell r="BT376">
            <v>0</v>
          </cell>
          <cell r="BU376">
            <v>0</v>
          </cell>
          <cell r="BV376">
            <v>0</v>
          </cell>
          <cell r="BW376">
            <v>0</v>
          </cell>
          <cell r="BX376">
            <v>0</v>
          </cell>
          <cell r="BY376">
            <v>0</v>
          </cell>
          <cell r="BZ376">
            <v>0</v>
          </cell>
          <cell r="CA376">
            <v>0</v>
          </cell>
          <cell r="CB376">
            <v>0</v>
          </cell>
          <cell r="CC376">
            <v>0</v>
          </cell>
          <cell r="CD376">
            <v>0</v>
          </cell>
        </row>
        <row r="377">
          <cell r="C377">
            <v>37839</v>
          </cell>
          <cell r="D377">
            <v>37902</v>
          </cell>
          <cell r="E377">
            <v>37896</v>
          </cell>
          <cell r="F377">
            <v>0.25694444444444448</v>
          </cell>
          <cell r="G377" t="str">
            <v>Prensa Jundiaí</v>
          </cell>
          <cell r="H377" t="str">
            <v>Curso do Martelo não funciona</v>
          </cell>
          <cell r="I377" t="str">
            <v>Corretiva</v>
          </cell>
          <cell r="J377" t="str">
            <v>Sim</v>
          </cell>
          <cell r="K377" t="str">
            <v>Mecânica</v>
          </cell>
          <cell r="L377" t="str">
            <v>Reinicialização do Equipamento / Componente</v>
          </cell>
          <cell r="M377" t="str">
            <v>Sobrecarga</v>
          </cell>
          <cell r="N377">
            <v>37896</v>
          </cell>
          <cell r="O377">
            <v>0.25694444444444448</v>
          </cell>
          <cell r="P377">
            <v>37896</v>
          </cell>
          <cell r="Q377">
            <v>0.25694444444444448</v>
          </cell>
          <cell r="T377">
            <v>37896</v>
          </cell>
          <cell r="U377">
            <v>0.27083333333333331</v>
          </cell>
          <cell r="V377">
            <v>37896</v>
          </cell>
          <cell r="W377">
            <v>0.27083333333333331</v>
          </cell>
          <cell r="X377">
            <v>1.388888888888884E-2</v>
          </cell>
          <cell r="Y377">
            <v>1.3888888891314177E-2</v>
          </cell>
          <cell r="AB377">
            <v>10</v>
          </cell>
          <cell r="AC377">
            <v>8</v>
          </cell>
          <cell r="AD377">
            <v>0</v>
          </cell>
          <cell r="BF377">
            <v>0</v>
          </cell>
          <cell r="BG377">
            <v>0</v>
          </cell>
          <cell r="BH377">
            <v>0</v>
          </cell>
          <cell r="BI377">
            <v>0</v>
          </cell>
          <cell r="BJ377">
            <v>0</v>
          </cell>
          <cell r="BK377">
            <v>0</v>
          </cell>
          <cell r="BL377">
            <v>0</v>
          </cell>
          <cell r="BM377">
            <v>0</v>
          </cell>
          <cell r="BN377">
            <v>0</v>
          </cell>
          <cell r="BO377">
            <v>0</v>
          </cell>
          <cell r="BP377">
            <v>0</v>
          </cell>
          <cell r="BQ377">
            <v>0</v>
          </cell>
          <cell r="BR377">
            <v>0</v>
          </cell>
          <cell r="BS377">
            <v>0</v>
          </cell>
          <cell r="BT377">
            <v>0</v>
          </cell>
          <cell r="BU377">
            <v>0</v>
          </cell>
          <cell r="BV377">
            <v>0</v>
          </cell>
          <cell r="BW377">
            <v>0</v>
          </cell>
          <cell r="BX377">
            <v>0</v>
          </cell>
          <cell r="BY377">
            <v>10</v>
          </cell>
          <cell r="BZ377">
            <v>0</v>
          </cell>
          <cell r="CA377">
            <v>0</v>
          </cell>
          <cell r="CB377">
            <v>0</v>
          </cell>
          <cell r="CC377">
            <v>0</v>
          </cell>
          <cell r="CD377">
            <v>0</v>
          </cell>
        </row>
        <row r="378">
          <cell r="C378">
            <v>37839</v>
          </cell>
          <cell r="D378">
            <v>37918</v>
          </cell>
          <cell r="E378">
            <v>37904</v>
          </cell>
          <cell r="F378">
            <v>0.375</v>
          </cell>
          <cell r="G378" t="str">
            <v>Prensa Jundiaí</v>
          </cell>
          <cell r="H378" t="str">
            <v>Martelo apresenta ruído anormal e não se movimenta adequadamente</v>
          </cell>
          <cell r="I378" t="str">
            <v>Corretiva</v>
          </cell>
          <cell r="J378" t="str">
            <v>Sim</v>
          </cell>
          <cell r="K378" t="str">
            <v>Elétrica</v>
          </cell>
          <cell r="L378" t="str">
            <v>Substituição do(s) Componente(s)</v>
          </cell>
          <cell r="M378" t="str">
            <v>Vibração</v>
          </cell>
          <cell r="N378">
            <v>37904</v>
          </cell>
          <cell r="O378">
            <v>0.375</v>
          </cell>
          <cell r="P378">
            <v>37904</v>
          </cell>
          <cell r="Q378">
            <v>0.375</v>
          </cell>
          <cell r="T378">
            <v>37904</v>
          </cell>
          <cell r="U378">
            <v>0.55555555555555558</v>
          </cell>
          <cell r="V378">
            <v>37904</v>
          </cell>
          <cell r="W378">
            <v>0.55555555555555558</v>
          </cell>
          <cell r="X378">
            <v>0.18055555555555558</v>
          </cell>
          <cell r="Y378">
            <v>0.18055555555474712</v>
          </cell>
          <cell r="AB378">
            <v>10</v>
          </cell>
          <cell r="AC378">
            <v>8</v>
          </cell>
          <cell r="AD378">
            <v>0</v>
          </cell>
          <cell r="BF378">
            <v>0</v>
          </cell>
          <cell r="BG378">
            <v>0</v>
          </cell>
          <cell r="BH378">
            <v>0</v>
          </cell>
          <cell r="BI378">
            <v>0</v>
          </cell>
          <cell r="BJ378">
            <v>0</v>
          </cell>
          <cell r="BK378">
            <v>0</v>
          </cell>
          <cell r="BL378">
            <v>0</v>
          </cell>
          <cell r="BM378">
            <v>0</v>
          </cell>
          <cell r="BN378">
            <v>0</v>
          </cell>
          <cell r="BO378">
            <v>0</v>
          </cell>
          <cell r="BP378">
            <v>0</v>
          </cell>
          <cell r="BQ378">
            <v>0</v>
          </cell>
          <cell r="BR378">
            <v>0</v>
          </cell>
          <cell r="BS378">
            <v>0</v>
          </cell>
          <cell r="BT378">
            <v>0</v>
          </cell>
          <cell r="BU378">
            <v>0</v>
          </cell>
          <cell r="BV378">
            <v>0</v>
          </cell>
          <cell r="BW378">
            <v>0</v>
          </cell>
          <cell r="BX378">
            <v>0</v>
          </cell>
          <cell r="BY378">
            <v>10</v>
          </cell>
          <cell r="BZ378">
            <v>0</v>
          </cell>
          <cell r="CA378">
            <v>0</v>
          </cell>
          <cell r="CB378">
            <v>0</v>
          </cell>
          <cell r="CC378">
            <v>0</v>
          </cell>
          <cell r="CD378">
            <v>0</v>
          </cell>
        </row>
        <row r="379">
          <cell r="C379">
            <v>37839</v>
          </cell>
          <cell r="D379">
            <v>37918</v>
          </cell>
          <cell r="E379">
            <v>37907</v>
          </cell>
          <cell r="F379">
            <v>0.56597222222222221</v>
          </cell>
          <cell r="G379" t="str">
            <v>Dobradeira Sorg</v>
          </cell>
          <cell r="H379" t="str">
            <v>Punção está parando ao subir</v>
          </cell>
          <cell r="I379" t="str">
            <v>Corretiva</v>
          </cell>
          <cell r="J379" t="str">
            <v>Sim</v>
          </cell>
          <cell r="K379" t="str">
            <v>Elétrica</v>
          </cell>
          <cell r="L379" t="str">
            <v>Substituição do(s) Componente(s)</v>
          </cell>
          <cell r="M379" t="str">
            <v>Desgaste / Fadiga</v>
          </cell>
          <cell r="N379">
            <v>37907</v>
          </cell>
          <cell r="O379">
            <v>0.56944444444444442</v>
          </cell>
          <cell r="P379">
            <v>37907</v>
          </cell>
          <cell r="Q379">
            <v>0.56944444444444442</v>
          </cell>
          <cell r="T379">
            <v>37907</v>
          </cell>
          <cell r="U379">
            <v>0.59375</v>
          </cell>
          <cell r="V379">
            <v>37907</v>
          </cell>
          <cell r="W379">
            <v>0.59375</v>
          </cell>
          <cell r="X379">
            <v>2.430555555555558E-2</v>
          </cell>
          <cell r="Y379">
            <v>2.430555555555558E-2</v>
          </cell>
          <cell r="AB379">
            <v>10</v>
          </cell>
          <cell r="AC379">
            <v>8</v>
          </cell>
          <cell r="AD379">
            <v>0</v>
          </cell>
          <cell r="BF379">
            <v>0</v>
          </cell>
          <cell r="BG379">
            <v>0</v>
          </cell>
          <cell r="BH379">
            <v>10</v>
          </cell>
          <cell r="BI379">
            <v>0</v>
          </cell>
          <cell r="BJ379">
            <v>0</v>
          </cell>
          <cell r="BK379">
            <v>0</v>
          </cell>
          <cell r="BL379">
            <v>0</v>
          </cell>
          <cell r="BM379">
            <v>0</v>
          </cell>
          <cell r="BN379">
            <v>0</v>
          </cell>
          <cell r="BO379">
            <v>0</v>
          </cell>
          <cell r="BP379">
            <v>0</v>
          </cell>
          <cell r="BQ379">
            <v>0</v>
          </cell>
          <cell r="BR379">
            <v>0</v>
          </cell>
          <cell r="BS379">
            <v>0</v>
          </cell>
          <cell r="BT379">
            <v>0</v>
          </cell>
          <cell r="BU379">
            <v>0</v>
          </cell>
          <cell r="BV379">
            <v>0</v>
          </cell>
          <cell r="BW379">
            <v>0</v>
          </cell>
          <cell r="BX379">
            <v>0</v>
          </cell>
          <cell r="BY379">
            <v>0</v>
          </cell>
          <cell r="BZ379">
            <v>0</v>
          </cell>
          <cell r="CA379">
            <v>0</v>
          </cell>
          <cell r="CB379">
            <v>0</v>
          </cell>
          <cell r="CC379">
            <v>0</v>
          </cell>
          <cell r="CD379">
            <v>0</v>
          </cell>
        </row>
        <row r="380">
          <cell r="C380">
            <v>37839</v>
          </cell>
          <cell r="D380">
            <v>37970</v>
          </cell>
          <cell r="E380">
            <v>37931</v>
          </cell>
          <cell r="F380">
            <v>37931</v>
          </cell>
          <cell r="G380">
            <v>0.63888888888888895</v>
          </cell>
          <cell r="H380" t="str">
            <v>Vazamento de Óleo</v>
          </cell>
          <cell r="I380">
            <v>0</v>
          </cell>
          <cell r="J380" t="str">
            <v>Não</v>
          </cell>
          <cell r="K380" t="str">
            <v>Mecânica</v>
          </cell>
          <cell r="L380" t="str">
            <v>Não</v>
          </cell>
          <cell r="M380" t="str">
            <v>Desgaste / Fadiga</v>
          </cell>
          <cell r="N380">
            <v>37931</v>
          </cell>
          <cell r="O380">
            <v>0.63888888888888895</v>
          </cell>
          <cell r="P380">
            <v>37931</v>
          </cell>
          <cell r="Q380">
            <v>0.63888888888888895</v>
          </cell>
          <cell r="T380">
            <v>37931</v>
          </cell>
          <cell r="U380">
            <v>0.66666666666666663</v>
          </cell>
          <cell r="V380">
            <v>37931</v>
          </cell>
          <cell r="W380">
            <v>0.66666666666666663</v>
          </cell>
          <cell r="X380">
            <v>2.7777777775352397E-2</v>
          </cell>
          <cell r="Y380">
            <v>2.7777777775352397E-2</v>
          </cell>
          <cell r="AB380">
            <v>11</v>
          </cell>
          <cell r="AC380">
            <v>8</v>
          </cell>
          <cell r="AD380">
            <v>0</v>
          </cell>
          <cell r="BF380">
            <v>0</v>
          </cell>
          <cell r="BG380">
            <v>0</v>
          </cell>
          <cell r="BH380">
            <v>0</v>
          </cell>
          <cell r="BI380">
            <v>0</v>
          </cell>
          <cell r="BJ380">
            <v>0</v>
          </cell>
          <cell r="BK380">
            <v>0</v>
          </cell>
          <cell r="BL380">
            <v>0</v>
          </cell>
          <cell r="BM380">
            <v>11</v>
          </cell>
          <cell r="BN380">
            <v>0</v>
          </cell>
          <cell r="BO380">
            <v>0</v>
          </cell>
          <cell r="BP380">
            <v>0</v>
          </cell>
          <cell r="BQ380">
            <v>0</v>
          </cell>
          <cell r="BR380">
            <v>0</v>
          </cell>
          <cell r="BS380">
            <v>0</v>
          </cell>
          <cell r="BT380">
            <v>0</v>
          </cell>
          <cell r="BU380">
            <v>0</v>
          </cell>
          <cell r="BV380">
            <v>0</v>
          </cell>
          <cell r="BW380">
            <v>0</v>
          </cell>
          <cell r="BX380">
            <v>0</v>
          </cell>
          <cell r="BY380">
            <v>0</v>
          </cell>
          <cell r="BZ380">
            <v>0</v>
          </cell>
          <cell r="CA380">
            <v>0</v>
          </cell>
          <cell r="CB380">
            <v>0</v>
          </cell>
          <cell r="CC380">
            <v>0</v>
          </cell>
          <cell r="CD380">
            <v>0</v>
          </cell>
        </row>
        <row r="381">
          <cell r="C381">
            <v>37839</v>
          </cell>
          <cell r="D381">
            <v>37970</v>
          </cell>
          <cell r="E381">
            <v>37943</v>
          </cell>
          <cell r="F381">
            <v>37943</v>
          </cell>
          <cell r="G381">
            <v>0.86458333333333337</v>
          </cell>
          <cell r="H381" t="str">
            <v>Punção está parando ao descer</v>
          </cell>
          <cell r="I381">
            <v>0</v>
          </cell>
          <cell r="J381" t="str">
            <v>Sim</v>
          </cell>
          <cell r="K381" t="str">
            <v>Elétrica</v>
          </cell>
          <cell r="L381" t="str">
            <v>Sim</v>
          </cell>
          <cell r="M381" t="str">
            <v>Desgaste / Fadiga</v>
          </cell>
          <cell r="N381">
            <v>37943</v>
          </cell>
          <cell r="O381">
            <v>0.86458333333333337</v>
          </cell>
          <cell r="P381">
            <v>37943</v>
          </cell>
          <cell r="Q381">
            <v>0.86458333333333337</v>
          </cell>
          <cell r="T381">
            <v>37944</v>
          </cell>
          <cell r="U381">
            <v>0.34027777777777773</v>
          </cell>
          <cell r="V381">
            <v>37944</v>
          </cell>
          <cell r="W381">
            <v>0.34027777777777773</v>
          </cell>
          <cell r="X381">
            <v>0.47569444444444442</v>
          </cell>
          <cell r="Y381">
            <v>0.47569444444767817</v>
          </cell>
          <cell r="AB381">
            <v>11</v>
          </cell>
          <cell r="AC381">
            <v>8</v>
          </cell>
          <cell r="AD381">
            <v>0</v>
          </cell>
          <cell r="BF381">
            <v>0</v>
          </cell>
          <cell r="BG381">
            <v>0</v>
          </cell>
          <cell r="BH381">
            <v>0</v>
          </cell>
          <cell r="BI381">
            <v>0</v>
          </cell>
          <cell r="BJ381">
            <v>0</v>
          </cell>
          <cell r="BK381">
            <v>0</v>
          </cell>
          <cell r="BL381">
            <v>0</v>
          </cell>
          <cell r="BM381">
            <v>11</v>
          </cell>
          <cell r="BN381">
            <v>0</v>
          </cell>
          <cell r="BO381">
            <v>0</v>
          </cell>
          <cell r="BP381">
            <v>0</v>
          </cell>
          <cell r="BQ381">
            <v>0</v>
          </cell>
          <cell r="BR381">
            <v>0</v>
          </cell>
          <cell r="BS381">
            <v>0</v>
          </cell>
          <cell r="BT381">
            <v>0</v>
          </cell>
          <cell r="BU381">
            <v>0</v>
          </cell>
          <cell r="BV381">
            <v>0</v>
          </cell>
          <cell r="BW381">
            <v>0</v>
          </cell>
          <cell r="BX381">
            <v>0</v>
          </cell>
          <cell r="BY381">
            <v>0</v>
          </cell>
          <cell r="BZ381">
            <v>0</v>
          </cell>
          <cell r="CA381">
            <v>0</v>
          </cell>
          <cell r="CB381">
            <v>0</v>
          </cell>
          <cell r="CC381">
            <v>0</v>
          </cell>
          <cell r="CD381">
            <v>0</v>
          </cell>
        </row>
        <row r="382">
          <cell r="C382">
            <v>37839</v>
          </cell>
          <cell r="D382">
            <v>37970</v>
          </cell>
          <cell r="E382">
            <v>37945</v>
          </cell>
          <cell r="F382">
            <v>0.92708333333333337</v>
          </cell>
          <cell r="G382" t="str">
            <v>Prensa Jundiaí</v>
          </cell>
          <cell r="H382" t="str">
            <v>Martelo travado</v>
          </cell>
          <cell r="I382">
            <v>0</v>
          </cell>
          <cell r="J382" t="str">
            <v>Sim</v>
          </cell>
          <cell r="K382" t="str">
            <v>Elétrica</v>
          </cell>
          <cell r="L382" t="str">
            <v>Ajuste / Regulagem</v>
          </cell>
          <cell r="M382" t="str">
            <v>Falha Operacional</v>
          </cell>
          <cell r="N382">
            <v>37945</v>
          </cell>
          <cell r="O382">
            <v>0.92708333333333337</v>
          </cell>
          <cell r="P382">
            <v>0</v>
          </cell>
          <cell r="T382">
            <v>37945</v>
          </cell>
          <cell r="U382">
            <v>0.94444444444444453</v>
          </cell>
          <cell r="V382">
            <v>0</v>
          </cell>
          <cell r="W382">
            <v>1.7361111111919514E-2</v>
          </cell>
          <cell r="X382">
            <v>0</v>
          </cell>
          <cell r="Y382">
            <v>0</v>
          </cell>
          <cell r="AB382">
            <v>11</v>
          </cell>
          <cell r="AC382">
            <v>8</v>
          </cell>
          <cell r="AD382">
            <v>0</v>
          </cell>
          <cell r="BF382">
            <v>0</v>
          </cell>
          <cell r="BG382">
            <v>0</v>
          </cell>
          <cell r="BH382">
            <v>0</v>
          </cell>
          <cell r="BI382">
            <v>0</v>
          </cell>
          <cell r="BJ382">
            <v>0</v>
          </cell>
          <cell r="BK382">
            <v>0</v>
          </cell>
          <cell r="BL382">
            <v>0</v>
          </cell>
          <cell r="BM382">
            <v>0</v>
          </cell>
          <cell r="BN382">
            <v>0</v>
          </cell>
          <cell r="BO382">
            <v>0</v>
          </cell>
          <cell r="BP382">
            <v>0</v>
          </cell>
          <cell r="BQ382">
            <v>0</v>
          </cell>
          <cell r="BR382">
            <v>0</v>
          </cell>
          <cell r="BS382">
            <v>0</v>
          </cell>
          <cell r="BT382">
            <v>0</v>
          </cell>
          <cell r="BU382">
            <v>0</v>
          </cell>
          <cell r="BV382">
            <v>0</v>
          </cell>
          <cell r="BW382">
            <v>0</v>
          </cell>
          <cell r="BX382">
            <v>0</v>
          </cell>
          <cell r="BY382">
            <v>11</v>
          </cell>
          <cell r="BZ382">
            <v>0</v>
          </cell>
          <cell r="CA382">
            <v>0</v>
          </cell>
          <cell r="CB382">
            <v>0</v>
          </cell>
          <cell r="CC382">
            <v>0</v>
          </cell>
          <cell r="CD382">
            <v>0</v>
          </cell>
        </row>
        <row r="383">
          <cell r="C383">
            <v>37839</v>
          </cell>
          <cell r="D383">
            <v>37970</v>
          </cell>
          <cell r="E383">
            <v>37956</v>
          </cell>
          <cell r="F383">
            <v>0.70833333333333337</v>
          </cell>
          <cell r="G383" t="str">
            <v>Prensa Jundiaí</v>
          </cell>
          <cell r="H383" t="str">
            <v>Martelo travado</v>
          </cell>
          <cell r="I383">
            <v>0</v>
          </cell>
          <cell r="J383" t="str">
            <v>Sim</v>
          </cell>
          <cell r="K383" t="str">
            <v>Elétrica</v>
          </cell>
          <cell r="L383" t="str">
            <v>Ajuste / Regulagem</v>
          </cell>
          <cell r="M383" t="str">
            <v>Falha de Regulagem / Configuração / Dimensionamento</v>
          </cell>
          <cell r="N383">
            <v>37956</v>
          </cell>
          <cell r="O383">
            <v>0.70833333333333337</v>
          </cell>
          <cell r="P383">
            <v>0</v>
          </cell>
          <cell r="T383">
            <v>37956</v>
          </cell>
          <cell r="U383">
            <v>0.75</v>
          </cell>
          <cell r="V383">
            <v>0</v>
          </cell>
          <cell r="W383">
            <v>4.166666666666663E-2</v>
          </cell>
          <cell r="X383">
            <v>0</v>
          </cell>
          <cell r="Y383">
            <v>0</v>
          </cell>
          <cell r="AB383">
            <v>12</v>
          </cell>
          <cell r="AC383">
            <v>8</v>
          </cell>
          <cell r="AD383">
            <v>0</v>
          </cell>
          <cell r="BF383">
            <v>0</v>
          </cell>
          <cell r="BG383">
            <v>0</v>
          </cell>
          <cell r="BH383">
            <v>0</v>
          </cell>
          <cell r="BI383">
            <v>0</v>
          </cell>
          <cell r="BJ383">
            <v>0</v>
          </cell>
          <cell r="BK383">
            <v>0</v>
          </cell>
          <cell r="BL383">
            <v>0</v>
          </cell>
          <cell r="BM383">
            <v>0</v>
          </cell>
          <cell r="BN383">
            <v>0</v>
          </cell>
          <cell r="BO383">
            <v>0</v>
          </cell>
          <cell r="BP383">
            <v>0</v>
          </cell>
          <cell r="BQ383">
            <v>0</v>
          </cell>
          <cell r="BR383">
            <v>0</v>
          </cell>
          <cell r="BS383">
            <v>0</v>
          </cell>
          <cell r="BT383">
            <v>0</v>
          </cell>
          <cell r="BU383">
            <v>0</v>
          </cell>
          <cell r="BV383">
            <v>0</v>
          </cell>
          <cell r="BW383">
            <v>0</v>
          </cell>
          <cell r="BX383">
            <v>0</v>
          </cell>
          <cell r="BY383">
            <v>12</v>
          </cell>
          <cell r="BZ383">
            <v>0</v>
          </cell>
          <cell r="CA383">
            <v>0</v>
          </cell>
          <cell r="CB383">
            <v>0</v>
          </cell>
          <cell r="CC383">
            <v>0</v>
          </cell>
          <cell r="CD383">
            <v>0</v>
          </cell>
        </row>
        <row r="384">
          <cell r="C384">
            <v>37839</v>
          </cell>
          <cell r="D384">
            <v>38008</v>
          </cell>
          <cell r="E384">
            <v>37964</v>
          </cell>
          <cell r="F384">
            <v>0.71180555555555547</v>
          </cell>
          <cell r="G384" t="str">
            <v>Dobradeira Sorg</v>
          </cell>
          <cell r="H384" t="str">
            <v>Máquina apresenta ruído estranho</v>
          </cell>
          <cell r="I384">
            <v>0</v>
          </cell>
          <cell r="J384" t="str">
            <v>Sim</v>
          </cell>
          <cell r="K384" t="str">
            <v>Mecânica</v>
          </cell>
          <cell r="L384" t="str">
            <v>Reparo</v>
          </cell>
          <cell r="M384" t="str">
            <v>Desgaste / Fadiga</v>
          </cell>
          <cell r="N384">
            <v>0</v>
          </cell>
          <cell r="O384">
            <v>0.71527777777777779</v>
          </cell>
          <cell r="P384">
            <v>0</v>
          </cell>
          <cell r="T384">
            <v>0</v>
          </cell>
          <cell r="U384">
            <v>0.83333333333333337</v>
          </cell>
          <cell r="V384">
            <v>0</v>
          </cell>
          <cell r="W384">
            <v>0</v>
          </cell>
          <cell r="X384">
            <v>0</v>
          </cell>
          <cell r="Y384">
            <v>0</v>
          </cell>
          <cell r="AB384">
            <v>0</v>
          </cell>
          <cell r="AC384">
            <v>8</v>
          </cell>
          <cell r="AD384">
            <v>0</v>
          </cell>
          <cell r="BF384">
            <v>0</v>
          </cell>
          <cell r="BG384">
            <v>0</v>
          </cell>
          <cell r="BH384">
            <v>0</v>
          </cell>
          <cell r="BI384">
            <v>0</v>
          </cell>
          <cell r="BJ384">
            <v>0</v>
          </cell>
          <cell r="BK384">
            <v>0</v>
          </cell>
          <cell r="BL384">
            <v>0</v>
          </cell>
          <cell r="BM384">
            <v>0</v>
          </cell>
          <cell r="BN384">
            <v>0</v>
          </cell>
          <cell r="BO384">
            <v>0</v>
          </cell>
          <cell r="BP384">
            <v>0</v>
          </cell>
          <cell r="BQ384">
            <v>0</v>
          </cell>
          <cell r="BR384">
            <v>0</v>
          </cell>
          <cell r="BS384">
            <v>0</v>
          </cell>
          <cell r="BT384">
            <v>0</v>
          </cell>
          <cell r="BU384">
            <v>0</v>
          </cell>
          <cell r="BV384">
            <v>0</v>
          </cell>
          <cell r="BW384">
            <v>0</v>
          </cell>
          <cell r="BX384">
            <v>0</v>
          </cell>
          <cell r="BY384">
            <v>0</v>
          </cell>
          <cell r="BZ384">
            <v>0</v>
          </cell>
          <cell r="CA384">
            <v>0</v>
          </cell>
          <cell r="CB384">
            <v>0</v>
          </cell>
          <cell r="CC384">
            <v>0</v>
          </cell>
          <cell r="CD384">
            <v>0</v>
          </cell>
        </row>
        <row r="385">
          <cell r="C385">
            <v>37839</v>
          </cell>
          <cell r="D385">
            <v>37993</v>
          </cell>
          <cell r="E385">
            <v>37977</v>
          </cell>
          <cell r="F385">
            <v>0.81944444444444453</v>
          </cell>
          <cell r="G385" t="str">
            <v>Prensa Jundiaí</v>
          </cell>
          <cell r="H385" t="str">
            <v>Parafuso do encosto da ferramenta quebrado</v>
          </cell>
          <cell r="I385">
            <v>0</v>
          </cell>
          <cell r="J385" t="str">
            <v>Sim</v>
          </cell>
          <cell r="K385" t="str">
            <v>Mecânica</v>
          </cell>
          <cell r="L385" t="str">
            <v>Substituição do(s) Componente(s)</v>
          </cell>
          <cell r="M385" t="str">
            <v>Desgaste / Fadiga</v>
          </cell>
          <cell r="N385">
            <v>0</v>
          </cell>
          <cell r="O385">
            <v>0.81944444444444453</v>
          </cell>
          <cell r="P385">
            <v>0</v>
          </cell>
          <cell r="T385">
            <v>0</v>
          </cell>
          <cell r="U385">
            <v>0.86111111111111116</v>
          </cell>
          <cell r="V385">
            <v>0</v>
          </cell>
          <cell r="W385">
            <v>0</v>
          </cell>
          <cell r="X385">
            <v>0</v>
          </cell>
          <cell r="Y385">
            <v>0</v>
          </cell>
          <cell r="AB385">
            <v>0</v>
          </cell>
          <cell r="AC385">
            <v>8</v>
          </cell>
          <cell r="AD385">
            <v>0</v>
          </cell>
          <cell r="BF385">
            <v>0</v>
          </cell>
          <cell r="BG385">
            <v>0</v>
          </cell>
          <cell r="BH385">
            <v>0</v>
          </cell>
          <cell r="BI385">
            <v>0</v>
          </cell>
          <cell r="BJ385">
            <v>0</v>
          </cell>
          <cell r="BK385">
            <v>0</v>
          </cell>
          <cell r="BL385">
            <v>0</v>
          </cell>
          <cell r="BM385">
            <v>0</v>
          </cell>
          <cell r="BN385">
            <v>0</v>
          </cell>
          <cell r="BO385">
            <v>0</v>
          </cell>
          <cell r="BP385">
            <v>0</v>
          </cell>
          <cell r="BQ385">
            <v>0</v>
          </cell>
          <cell r="BR385">
            <v>0</v>
          </cell>
          <cell r="BS385">
            <v>0</v>
          </cell>
          <cell r="BT385">
            <v>0</v>
          </cell>
          <cell r="BU385">
            <v>0</v>
          </cell>
          <cell r="BV385">
            <v>0</v>
          </cell>
          <cell r="BW385">
            <v>0</v>
          </cell>
          <cell r="BX385">
            <v>0</v>
          </cell>
          <cell r="BY385">
            <v>0</v>
          </cell>
          <cell r="BZ385">
            <v>0</v>
          </cell>
          <cell r="CA385">
            <v>0</v>
          </cell>
          <cell r="CB385">
            <v>0</v>
          </cell>
          <cell r="CC385">
            <v>0</v>
          </cell>
          <cell r="CD385">
            <v>0</v>
          </cell>
        </row>
        <row r="386">
          <cell r="C386">
            <v>37839</v>
          </cell>
          <cell r="D386">
            <v>37993</v>
          </cell>
          <cell r="E386">
            <v>37977</v>
          </cell>
          <cell r="F386">
            <v>0.86111111111111116</v>
          </cell>
          <cell r="G386" t="str">
            <v>Prensa Jundiaí</v>
          </cell>
          <cell r="H386" t="str">
            <v>Problema no reparo do bico de ar</v>
          </cell>
          <cell r="I386">
            <v>0</v>
          </cell>
          <cell r="J386" t="str">
            <v>Sim</v>
          </cell>
          <cell r="K386" t="str">
            <v>Mecânica</v>
          </cell>
          <cell r="L386" t="str">
            <v>Substituição do(s) Componente(s)</v>
          </cell>
          <cell r="M386" t="str">
            <v>Desgaste / Fadiga</v>
          </cell>
          <cell r="N386">
            <v>0</v>
          </cell>
          <cell r="O386">
            <v>0.86111111111111116</v>
          </cell>
          <cell r="P386">
            <v>0</v>
          </cell>
          <cell r="T386">
            <v>0</v>
          </cell>
          <cell r="U386">
            <v>0.875</v>
          </cell>
          <cell r="V386">
            <v>0</v>
          </cell>
          <cell r="W386">
            <v>0</v>
          </cell>
          <cell r="X386">
            <v>0</v>
          </cell>
          <cell r="Y386">
            <v>0</v>
          </cell>
          <cell r="AB386">
            <v>0</v>
          </cell>
          <cell r="AC386">
            <v>8</v>
          </cell>
          <cell r="AD386">
            <v>0</v>
          </cell>
          <cell r="BF386">
            <v>0</v>
          </cell>
          <cell r="BG386">
            <v>0</v>
          </cell>
          <cell r="BH386">
            <v>0</v>
          </cell>
          <cell r="BI386">
            <v>0</v>
          </cell>
          <cell r="BJ386">
            <v>0</v>
          </cell>
          <cell r="BK386">
            <v>0</v>
          </cell>
          <cell r="BL386">
            <v>0</v>
          </cell>
          <cell r="BM386">
            <v>0</v>
          </cell>
          <cell r="BN386">
            <v>0</v>
          </cell>
          <cell r="BO386">
            <v>0</v>
          </cell>
          <cell r="BP386">
            <v>0</v>
          </cell>
          <cell r="BQ386">
            <v>0</v>
          </cell>
          <cell r="BR386">
            <v>0</v>
          </cell>
          <cell r="BS386">
            <v>0</v>
          </cell>
          <cell r="BT386">
            <v>0</v>
          </cell>
          <cell r="BU386">
            <v>0</v>
          </cell>
          <cell r="BV386">
            <v>0</v>
          </cell>
          <cell r="BW386">
            <v>0</v>
          </cell>
          <cell r="BX386">
            <v>0</v>
          </cell>
          <cell r="BY386">
            <v>0</v>
          </cell>
          <cell r="BZ386">
            <v>0</v>
          </cell>
          <cell r="CA386">
            <v>0</v>
          </cell>
          <cell r="CB386">
            <v>0</v>
          </cell>
          <cell r="CC386">
            <v>0</v>
          </cell>
          <cell r="CD386">
            <v>0</v>
          </cell>
        </row>
        <row r="387">
          <cell r="C387">
            <v>37839</v>
          </cell>
          <cell r="D387">
            <v>37977</v>
          </cell>
          <cell r="E387">
            <v>37965</v>
          </cell>
          <cell r="F387">
            <v>0.95833333333333337</v>
          </cell>
          <cell r="G387" t="str">
            <v>Prensa Jundiaí Conectores</v>
          </cell>
          <cell r="H387" t="str">
            <v>Martelo travado</v>
          </cell>
          <cell r="I387">
            <v>0</v>
          </cell>
          <cell r="J387" t="str">
            <v>Sim</v>
          </cell>
          <cell r="K387" t="str">
            <v>Elétrica</v>
          </cell>
          <cell r="L387" t="str">
            <v>Destravamento dos Componentes</v>
          </cell>
          <cell r="M387" t="str">
            <v>Falha Operacional</v>
          </cell>
          <cell r="N387">
            <v>37965</v>
          </cell>
          <cell r="O387">
            <v>0.95833333333333337</v>
          </cell>
          <cell r="P387">
            <v>0</v>
          </cell>
          <cell r="T387">
            <v>37965</v>
          </cell>
          <cell r="U387">
            <v>0.97916666666666663</v>
          </cell>
          <cell r="V387">
            <v>0</v>
          </cell>
          <cell r="W387">
            <v>2.0833333330907977E-2</v>
          </cell>
          <cell r="X387">
            <v>0</v>
          </cell>
          <cell r="Y387">
            <v>0</v>
          </cell>
          <cell r="AB387">
            <v>12</v>
          </cell>
          <cell r="AC387">
            <v>8</v>
          </cell>
          <cell r="AD387">
            <v>0</v>
          </cell>
          <cell r="BF387">
            <v>0</v>
          </cell>
          <cell r="BG387">
            <v>0</v>
          </cell>
          <cell r="BH387">
            <v>0</v>
          </cell>
          <cell r="BI387">
            <v>0</v>
          </cell>
          <cell r="BJ387">
            <v>0</v>
          </cell>
          <cell r="BK387">
            <v>0</v>
          </cell>
          <cell r="BL387">
            <v>0</v>
          </cell>
          <cell r="BM387">
            <v>0</v>
          </cell>
          <cell r="BN387">
            <v>0</v>
          </cell>
          <cell r="BO387">
            <v>0</v>
          </cell>
          <cell r="BP387">
            <v>0</v>
          </cell>
          <cell r="BQ387">
            <v>0</v>
          </cell>
          <cell r="BR387">
            <v>0</v>
          </cell>
          <cell r="BS387">
            <v>0</v>
          </cell>
          <cell r="BT387">
            <v>0</v>
          </cell>
          <cell r="BU387">
            <v>0</v>
          </cell>
          <cell r="BV387">
            <v>0</v>
          </cell>
          <cell r="BW387">
            <v>0</v>
          </cell>
          <cell r="BX387">
            <v>0</v>
          </cell>
          <cell r="BY387">
            <v>0</v>
          </cell>
          <cell r="BZ387">
            <v>12</v>
          </cell>
          <cell r="CA387">
            <v>0</v>
          </cell>
          <cell r="CB387">
            <v>0</v>
          </cell>
          <cell r="CC387">
            <v>0</v>
          </cell>
          <cell r="CD387">
            <v>0</v>
          </cell>
        </row>
        <row r="388">
          <cell r="C388">
            <v>37839</v>
          </cell>
          <cell r="D388">
            <v>38008</v>
          </cell>
          <cell r="E388">
            <v>37992</v>
          </cell>
          <cell r="F388">
            <v>0.85416666666666663</v>
          </cell>
          <cell r="G388" t="str">
            <v>Prensa Jundiaí</v>
          </cell>
          <cell r="H388" t="str">
            <v>Martelo travado</v>
          </cell>
          <cell r="I388">
            <v>0</v>
          </cell>
          <cell r="J388" t="str">
            <v>Sim</v>
          </cell>
          <cell r="K388" t="str">
            <v>Elétrica</v>
          </cell>
          <cell r="L388" t="str">
            <v>Destravamento dos Componentes</v>
          </cell>
          <cell r="M388" t="str">
            <v>Falha Operacional</v>
          </cell>
          <cell r="N388">
            <v>0</v>
          </cell>
          <cell r="O388">
            <v>0.85416666666666663</v>
          </cell>
          <cell r="P388">
            <v>0</v>
          </cell>
          <cell r="T388">
            <v>0</v>
          </cell>
          <cell r="U388">
            <v>0.89583333333333337</v>
          </cell>
          <cell r="V388">
            <v>0</v>
          </cell>
          <cell r="W388">
            <v>0</v>
          </cell>
          <cell r="X388">
            <v>0</v>
          </cell>
          <cell r="Y388">
            <v>0</v>
          </cell>
          <cell r="AB388">
            <v>0</v>
          </cell>
          <cell r="AC388">
            <v>8</v>
          </cell>
          <cell r="AD388">
            <v>0</v>
          </cell>
          <cell r="BF388">
            <v>0</v>
          </cell>
          <cell r="BG388">
            <v>0</v>
          </cell>
          <cell r="BH388">
            <v>0</v>
          </cell>
          <cell r="BI388">
            <v>0</v>
          </cell>
          <cell r="BJ388">
            <v>0</v>
          </cell>
          <cell r="BK388">
            <v>0</v>
          </cell>
          <cell r="BL388">
            <v>0</v>
          </cell>
          <cell r="BM388">
            <v>0</v>
          </cell>
          <cell r="BN388">
            <v>0</v>
          </cell>
          <cell r="BO388">
            <v>0</v>
          </cell>
          <cell r="BP388">
            <v>0</v>
          </cell>
          <cell r="BQ388">
            <v>0</v>
          </cell>
          <cell r="BR388">
            <v>0</v>
          </cell>
          <cell r="BS388">
            <v>0</v>
          </cell>
          <cell r="BT388">
            <v>0</v>
          </cell>
          <cell r="BU388">
            <v>0</v>
          </cell>
          <cell r="BV388">
            <v>0</v>
          </cell>
          <cell r="BW388">
            <v>0</v>
          </cell>
          <cell r="BX388">
            <v>0</v>
          </cell>
          <cell r="BY388">
            <v>0</v>
          </cell>
          <cell r="BZ388">
            <v>0</v>
          </cell>
          <cell r="CA388">
            <v>0</v>
          </cell>
          <cell r="CB388">
            <v>0</v>
          </cell>
          <cell r="CC388">
            <v>0</v>
          </cell>
          <cell r="CD388">
            <v>0</v>
          </cell>
        </row>
        <row r="389">
          <cell r="C389">
            <v>37839</v>
          </cell>
          <cell r="I389">
            <v>0</v>
          </cell>
          <cell r="N389">
            <v>0</v>
          </cell>
          <cell r="P389">
            <v>0</v>
          </cell>
          <cell r="T389">
            <v>0</v>
          </cell>
          <cell r="V389">
            <v>0</v>
          </cell>
          <cell r="W389">
            <v>0</v>
          </cell>
          <cell r="X389">
            <v>0</v>
          </cell>
          <cell r="Y389">
            <v>0</v>
          </cell>
          <cell r="AB389">
            <v>0</v>
          </cell>
          <cell r="AC389">
            <v>8</v>
          </cell>
          <cell r="AD389">
            <v>0</v>
          </cell>
          <cell r="BF389">
            <v>0</v>
          </cell>
          <cell r="BG389">
            <v>0</v>
          </cell>
          <cell r="BH389">
            <v>0</v>
          </cell>
          <cell r="BI389">
            <v>0</v>
          </cell>
          <cell r="BJ389">
            <v>0</v>
          </cell>
          <cell r="BK389">
            <v>0</v>
          </cell>
          <cell r="BL389">
            <v>0</v>
          </cell>
          <cell r="BM389">
            <v>0</v>
          </cell>
          <cell r="BN389">
            <v>0</v>
          </cell>
          <cell r="BO389">
            <v>0</v>
          </cell>
          <cell r="BP389">
            <v>0</v>
          </cell>
          <cell r="BQ389">
            <v>0</v>
          </cell>
          <cell r="BR389">
            <v>0</v>
          </cell>
          <cell r="BS389">
            <v>0</v>
          </cell>
          <cell r="BT389">
            <v>0</v>
          </cell>
          <cell r="BU389">
            <v>0</v>
          </cell>
          <cell r="BV389">
            <v>0</v>
          </cell>
          <cell r="BW389">
            <v>0</v>
          </cell>
          <cell r="BX389">
            <v>0</v>
          </cell>
          <cell r="BY389">
            <v>0</v>
          </cell>
          <cell r="BZ389">
            <v>0</v>
          </cell>
          <cell r="CA389">
            <v>0</v>
          </cell>
          <cell r="CB389">
            <v>0</v>
          </cell>
          <cell r="CC389">
            <v>0</v>
          </cell>
          <cell r="CD389">
            <v>0</v>
          </cell>
        </row>
        <row r="390">
          <cell r="C390">
            <v>37839</v>
          </cell>
          <cell r="D390">
            <v>37993</v>
          </cell>
          <cell r="E390">
            <v>37985</v>
          </cell>
          <cell r="F390">
            <v>0.46875</v>
          </cell>
          <cell r="G390" t="str">
            <v>Prensa Jundiaí</v>
          </cell>
          <cell r="H390" t="str">
            <v>Motor do Martelo quemado</v>
          </cell>
          <cell r="I390">
            <v>0</v>
          </cell>
          <cell r="J390" t="str">
            <v>Sim</v>
          </cell>
          <cell r="K390" t="str">
            <v>Elétrica</v>
          </cell>
          <cell r="L390" t="str">
            <v>Substituição do(s) Componente(s)</v>
          </cell>
          <cell r="M390" t="str">
            <v>Causa não especificada</v>
          </cell>
          <cell r="N390">
            <v>0</v>
          </cell>
          <cell r="O390">
            <v>0.46875</v>
          </cell>
          <cell r="P390">
            <v>0</v>
          </cell>
          <cell r="T390">
            <v>0</v>
          </cell>
          <cell r="U390">
            <v>0.58333333333333337</v>
          </cell>
          <cell r="V390">
            <v>0</v>
          </cell>
          <cell r="W390">
            <v>0</v>
          </cell>
          <cell r="X390">
            <v>0</v>
          </cell>
          <cell r="Y390">
            <v>0</v>
          </cell>
          <cell r="AB390">
            <v>0</v>
          </cell>
          <cell r="AC390">
            <v>8</v>
          </cell>
          <cell r="AD390">
            <v>0</v>
          </cell>
          <cell r="BF390">
            <v>0</v>
          </cell>
          <cell r="BG390">
            <v>0</v>
          </cell>
          <cell r="BH390">
            <v>0</v>
          </cell>
          <cell r="BI390">
            <v>0</v>
          </cell>
          <cell r="BJ390">
            <v>0</v>
          </cell>
          <cell r="BK390">
            <v>0</v>
          </cell>
          <cell r="BL390">
            <v>0</v>
          </cell>
          <cell r="BM390">
            <v>0</v>
          </cell>
          <cell r="BN390">
            <v>0</v>
          </cell>
          <cell r="BO390">
            <v>0</v>
          </cell>
          <cell r="BP390">
            <v>0</v>
          </cell>
          <cell r="BQ390">
            <v>0</v>
          </cell>
          <cell r="BR390">
            <v>0</v>
          </cell>
          <cell r="BS390">
            <v>0</v>
          </cell>
          <cell r="BT390">
            <v>0</v>
          </cell>
          <cell r="BU390">
            <v>0</v>
          </cell>
          <cell r="BV390">
            <v>0</v>
          </cell>
          <cell r="BW390">
            <v>0</v>
          </cell>
          <cell r="BX390">
            <v>0</v>
          </cell>
          <cell r="BY390">
            <v>0</v>
          </cell>
          <cell r="BZ390">
            <v>0</v>
          </cell>
          <cell r="CA390">
            <v>0</v>
          </cell>
          <cell r="CB390">
            <v>0</v>
          </cell>
          <cell r="CC390">
            <v>0</v>
          </cell>
          <cell r="CD390">
            <v>0</v>
          </cell>
        </row>
        <row r="391">
          <cell r="C391">
            <v>37839</v>
          </cell>
          <cell r="I391">
            <v>0</v>
          </cell>
          <cell r="N391">
            <v>0</v>
          </cell>
          <cell r="P391">
            <v>0</v>
          </cell>
          <cell r="T391">
            <v>0</v>
          </cell>
          <cell r="V391">
            <v>0</v>
          </cell>
          <cell r="W391">
            <v>0</v>
          </cell>
          <cell r="X391">
            <v>0</v>
          </cell>
          <cell r="Y391">
            <v>0</v>
          </cell>
          <cell r="AB391">
            <v>0</v>
          </cell>
          <cell r="AC391">
            <v>8</v>
          </cell>
          <cell r="AD391">
            <v>0</v>
          </cell>
          <cell r="BF391">
            <v>0</v>
          </cell>
          <cell r="BG391">
            <v>0</v>
          </cell>
          <cell r="BH391">
            <v>0</v>
          </cell>
          <cell r="BI391">
            <v>0</v>
          </cell>
          <cell r="BJ391">
            <v>0</v>
          </cell>
          <cell r="BK391">
            <v>0</v>
          </cell>
          <cell r="BL391">
            <v>0</v>
          </cell>
          <cell r="BM391">
            <v>0</v>
          </cell>
          <cell r="BN391">
            <v>0</v>
          </cell>
          <cell r="BO391">
            <v>0</v>
          </cell>
          <cell r="BP391">
            <v>0</v>
          </cell>
          <cell r="BQ391">
            <v>0</v>
          </cell>
          <cell r="BR391">
            <v>0</v>
          </cell>
          <cell r="BS391">
            <v>0</v>
          </cell>
          <cell r="BT391">
            <v>0</v>
          </cell>
          <cell r="BU391">
            <v>0</v>
          </cell>
          <cell r="BV391">
            <v>0</v>
          </cell>
          <cell r="BW391">
            <v>0</v>
          </cell>
          <cell r="BX391">
            <v>0</v>
          </cell>
          <cell r="BY391">
            <v>0</v>
          </cell>
          <cell r="BZ391">
            <v>0</v>
          </cell>
          <cell r="CA391">
            <v>0</v>
          </cell>
          <cell r="CB391">
            <v>0</v>
          </cell>
          <cell r="CC391">
            <v>0</v>
          </cell>
          <cell r="CD391">
            <v>0</v>
          </cell>
        </row>
        <row r="392">
          <cell r="C392">
            <v>37839</v>
          </cell>
          <cell r="D392">
            <v>37993</v>
          </cell>
          <cell r="E392">
            <v>37991</v>
          </cell>
          <cell r="F392">
            <v>0.49305555555555558</v>
          </cell>
          <cell r="G392" t="str">
            <v>Prensa Jundiaí</v>
          </cell>
          <cell r="H392" t="str">
            <v>Caixa do motor do martelo está solta</v>
          </cell>
          <cell r="I392">
            <v>0</v>
          </cell>
          <cell r="J392" t="str">
            <v>Sim</v>
          </cell>
          <cell r="K392" t="str">
            <v>Mecânica</v>
          </cell>
          <cell r="L392" t="str">
            <v>Reparo</v>
          </cell>
          <cell r="M392" t="str">
            <v>Vibração</v>
          </cell>
          <cell r="N392">
            <v>0</v>
          </cell>
          <cell r="O392">
            <v>0.49652777777777773</v>
          </cell>
          <cell r="P392">
            <v>0</v>
          </cell>
          <cell r="T392">
            <v>0</v>
          </cell>
          <cell r="U392">
            <v>0.66666666666666663</v>
          </cell>
          <cell r="V392">
            <v>0</v>
          </cell>
          <cell r="W392">
            <v>0</v>
          </cell>
          <cell r="X392">
            <v>0</v>
          </cell>
          <cell r="Y392">
            <v>0</v>
          </cell>
          <cell r="AB392">
            <v>0</v>
          </cell>
          <cell r="AC392">
            <v>8</v>
          </cell>
          <cell r="AD392">
            <v>0</v>
          </cell>
          <cell r="BF392">
            <v>0</v>
          </cell>
          <cell r="BG392">
            <v>0</v>
          </cell>
          <cell r="BH392">
            <v>0</v>
          </cell>
          <cell r="BI392">
            <v>0</v>
          </cell>
          <cell r="BJ392">
            <v>0</v>
          </cell>
          <cell r="BK392">
            <v>0</v>
          </cell>
          <cell r="BL392">
            <v>0</v>
          </cell>
          <cell r="BM392">
            <v>0</v>
          </cell>
          <cell r="BN392">
            <v>0</v>
          </cell>
          <cell r="BO392">
            <v>0</v>
          </cell>
          <cell r="BP392">
            <v>0</v>
          </cell>
          <cell r="BQ392">
            <v>0</v>
          </cell>
          <cell r="BR392">
            <v>0</v>
          </cell>
          <cell r="BS392">
            <v>0</v>
          </cell>
          <cell r="BT392">
            <v>0</v>
          </cell>
          <cell r="BU392">
            <v>0</v>
          </cell>
          <cell r="BV392">
            <v>0</v>
          </cell>
          <cell r="BW392">
            <v>0</v>
          </cell>
          <cell r="BX392">
            <v>0</v>
          </cell>
          <cell r="BY392">
            <v>0</v>
          </cell>
          <cell r="BZ392">
            <v>0</v>
          </cell>
          <cell r="CA392">
            <v>0</v>
          </cell>
          <cell r="CB392">
            <v>0</v>
          </cell>
          <cell r="CC392">
            <v>0</v>
          </cell>
          <cell r="CD392">
            <v>0</v>
          </cell>
        </row>
        <row r="393">
          <cell r="C393">
            <v>37839</v>
          </cell>
          <cell r="D393">
            <v>37993</v>
          </cell>
          <cell r="E393">
            <v>37991</v>
          </cell>
          <cell r="F393">
            <v>0.85416666666666663</v>
          </cell>
          <cell r="G393" t="str">
            <v>Dobradeira Sorg</v>
          </cell>
          <cell r="H393" t="str">
            <v>Prensa não retorna</v>
          </cell>
          <cell r="I393">
            <v>0</v>
          </cell>
          <cell r="J393" t="str">
            <v>Sim</v>
          </cell>
          <cell r="K393" t="str">
            <v>Elétrica</v>
          </cell>
          <cell r="L393" t="str">
            <v>Substituição do(s) Componente(s)</v>
          </cell>
          <cell r="M393" t="str">
            <v>Desgaste / Fadiga</v>
          </cell>
          <cell r="N393">
            <v>0</v>
          </cell>
          <cell r="O393">
            <v>0.85416666666666663</v>
          </cell>
          <cell r="P393">
            <v>0</v>
          </cell>
          <cell r="T393">
            <v>0</v>
          </cell>
          <cell r="U393">
            <v>0.89583333333333337</v>
          </cell>
          <cell r="V393">
            <v>0</v>
          </cell>
          <cell r="W393">
            <v>0</v>
          </cell>
          <cell r="X393">
            <v>0</v>
          </cell>
          <cell r="Y393">
            <v>0</v>
          </cell>
          <cell r="AB393">
            <v>0</v>
          </cell>
          <cell r="AC393">
            <v>8</v>
          </cell>
          <cell r="AD393">
            <v>0</v>
          </cell>
          <cell r="BF393">
            <v>0</v>
          </cell>
          <cell r="BG393">
            <v>0</v>
          </cell>
          <cell r="BH393">
            <v>0</v>
          </cell>
          <cell r="BI393">
            <v>0</v>
          </cell>
          <cell r="BJ393">
            <v>0</v>
          </cell>
          <cell r="BK393">
            <v>0</v>
          </cell>
          <cell r="BL393">
            <v>0</v>
          </cell>
          <cell r="BM393">
            <v>0</v>
          </cell>
          <cell r="BN393">
            <v>0</v>
          </cell>
          <cell r="BO393">
            <v>0</v>
          </cell>
          <cell r="BP393">
            <v>0</v>
          </cell>
          <cell r="BQ393">
            <v>0</v>
          </cell>
          <cell r="BR393">
            <v>0</v>
          </cell>
          <cell r="BS393">
            <v>0</v>
          </cell>
          <cell r="BT393">
            <v>0</v>
          </cell>
          <cell r="BU393">
            <v>0</v>
          </cell>
          <cell r="BV393">
            <v>0</v>
          </cell>
          <cell r="BW393">
            <v>0</v>
          </cell>
          <cell r="BX393">
            <v>0</v>
          </cell>
          <cell r="BY393">
            <v>0</v>
          </cell>
          <cell r="BZ393">
            <v>0</v>
          </cell>
          <cell r="CA393">
            <v>0</v>
          </cell>
          <cell r="CB393">
            <v>0</v>
          </cell>
          <cell r="CC393">
            <v>0</v>
          </cell>
          <cell r="CD393">
            <v>0</v>
          </cell>
        </row>
        <row r="394">
          <cell r="C394">
            <v>37839</v>
          </cell>
          <cell r="I394">
            <v>0</v>
          </cell>
          <cell r="N394">
            <v>0</v>
          </cell>
          <cell r="P394">
            <v>0</v>
          </cell>
          <cell r="T394">
            <v>0</v>
          </cell>
          <cell r="V394">
            <v>0</v>
          </cell>
          <cell r="W394">
            <v>0</v>
          </cell>
          <cell r="X394">
            <v>0</v>
          </cell>
          <cell r="Y394">
            <v>0</v>
          </cell>
          <cell r="AB394">
            <v>0</v>
          </cell>
          <cell r="AC394">
            <v>8</v>
          </cell>
          <cell r="AD394">
            <v>0</v>
          </cell>
          <cell r="BF394">
            <v>0</v>
          </cell>
          <cell r="BG394">
            <v>0</v>
          </cell>
          <cell r="BH394">
            <v>0</v>
          </cell>
          <cell r="BI394">
            <v>0</v>
          </cell>
          <cell r="BJ394">
            <v>0</v>
          </cell>
          <cell r="BK394">
            <v>0</v>
          </cell>
          <cell r="BL394">
            <v>0</v>
          </cell>
          <cell r="BM394">
            <v>0</v>
          </cell>
          <cell r="BN394">
            <v>0</v>
          </cell>
          <cell r="BO394">
            <v>0</v>
          </cell>
          <cell r="BP394">
            <v>0</v>
          </cell>
          <cell r="BQ394">
            <v>0</v>
          </cell>
          <cell r="BR394">
            <v>0</v>
          </cell>
          <cell r="BS394">
            <v>0</v>
          </cell>
          <cell r="BT394">
            <v>0</v>
          </cell>
          <cell r="BU394">
            <v>0</v>
          </cell>
          <cell r="BV394">
            <v>0</v>
          </cell>
          <cell r="BW394">
            <v>0</v>
          </cell>
          <cell r="BX394">
            <v>0</v>
          </cell>
          <cell r="BY394">
            <v>0</v>
          </cell>
          <cell r="BZ394">
            <v>0</v>
          </cell>
          <cell r="CA394">
            <v>0</v>
          </cell>
          <cell r="CB394">
            <v>0</v>
          </cell>
          <cell r="CC394">
            <v>0</v>
          </cell>
          <cell r="CD394">
            <v>0</v>
          </cell>
        </row>
        <row r="395">
          <cell r="C395">
            <v>37839</v>
          </cell>
          <cell r="I395">
            <v>0</v>
          </cell>
          <cell r="N395">
            <v>0</v>
          </cell>
          <cell r="P395">
            <v>0</v>
          </cell>
          <cell r="T395">
            <v>0</v>
          </cell>
          <cell r="V395">
            <v>0</v>
          </cell>
          <cell r="W395">
            <v>0</v>
          </cell>
          <cell r="X395">
            <v>0</v>
          </cell>
          <cell r="Y395">
            <v>0</v>
          </cell>
          <cell r="AB395">
            <v>0</v>
          </cell>
          <cell r="AC395">
            <v>8</v>
          </cell>
          <cell r="AD395">
            <v>0</v>
          </cell>
          <cell r="BF395">
            <v>0</v>
          </cell>
          <cell r="BG395">
            <v>0</v>
          </cell>
          <cell r="BH395">
            <v>0</v>
          </cell>
          <cell r="BI395">
            <v>0</v>
          </cell>
          <cell r="BJ395">
            <v>0</v>
          </cell>
          <cell r="BK395">
            <v>0</v>
          </cell>
          <cell r="BL395">
            <v>0</v>
          </cell>
          <cell r="BM395">
            <v>0</v>
          </cell>
          <cell r="BN395">
            <v>0</v>
          </cell>
          <cell r="BO395">
            <v>0</v>
          </cell>
          <cell r="BP395">
            <v>0</v>
          </cell>
          <cell r="BQ395">
            <v>0</v>
          </cell>
          <cell r="BR395">
            <v>0</v>
          </cell>
          <cell r="BS395">
            <v>0</v>
          </cell>
          <cell r="BT395">
            <v>0</v>
          </cell>
          <cell r="BU395">
            <v>0</v>
          </cell>
          <cell r="BV395">
            <v>0</v>
          </cell>
          <cell r="BW395">
            <v>0</v>
          </cell>
          <cell r="BX395">
            <v>0</v>
          </cell>
          <cell r="BY395">
            <v>0</v>
          </cell>
          <cell r="BZ395">
            <v>0</v>
          </cell>
          <cell r="CA395">
            <v>0</v>
          </cell>
          <cell r="CB395">
            <v>0</v>
          </cell>
          <cell r="CC395">
            <v>0</v>
          </cell>
          <cell r="CD395">
            <v>0</v>
          </cell>
        </row>
        <row r="396">
          <cell r="C396">
            <v>37839</v>
          </cell>
          <cell r="D396">
            <v>37865</v>
          </cell>
          <cell r="E396">
            <v>37859</v>
          </cell>
          <cell r="F396">
            <v>0.64583333333333337</v>
          </cell>
          <cell r="G396" t="str">
            <v>Guilhotina Sorg</v>
          </cell>
          <cell r="H396" t="str">
            <v>Máquina não referencia</v>
          </cell>
          <cell r="I396" t="str">
            <v>Corretiva</v>
          </cell>
          <cell r="J396" t="str">
            <v>Sim</v>
          </cell>
          <cell r="K396" t="str">
            <v>Elétrica</v>
          </cell>
          <cell r="L396" t="str">
            <v>Regulagem do Componente</v>
          </cell>
          <cell r="M396" t="str">
            <v>Falha Operacional</v>
          </cell>
          <cell r="N396">
            <v>37859</v>
          </cell>
          <cell r="O396">
            <v>0.75</v>
          </cell>
          <cell r="P396">
            <v>37859</v>
          </cell>
          <cell r="Q396">
            <v>0.75</v>
          </cell>
          <cell r="T396">
            <v>37859</v>
          </cell>
          <cell r="U396">
            <v>0.77777777777777779</v>
          </cell>
          <cell r="V396">
            <v>37859</v>
          </cell>
          <cell r="W396">
            <v>0.77777777777777779</v>
          </cell>
          <cell r="X396">
            <v>2.777777777777779E-2</v>
          </cell>
          <cell r="Y396">
            <v>2.7777777781011537E-2</v>
          </cell>
          <cell r="AB396">
            <v>8</v>
          </cell>
          <cell r="AC396">
            <v>8</v>
          </cell>
          <cell r="AD396">
            <v>0</v>
          </cell>
          <cell r="BF396">
            <v>0</v>
          </cell>
          <cell r="BG396">
            <v>0</v>
          </cell>
          <cell r="BH396">
            <v>0</v>
          </cell>
          <cell r="BI396">
            <v>0</v>
          </cell>
          <cell r="BJ396">
            <v>0</v>
          </cell>
          <cell r="BK396">
            <v>0</v>
          </cell>
          <cell r="BL396">
            <v>0</v>
          </cell>
          <cell r="BM396">
            <v>8</v>
          </cell>
          <cell r="BN396">
            <v>0</v>
          </cell>
          <cell r="BO396">
            <v>0</v>
          </cell>
          <cell r="BP396">
            <v>0</v>
          </cell>
          <cell r="BQ396">
            <v>0</v>
          </cell>
          <cell r="BR396">
            <v>0</v>
          </cell>
          <cell r="BS396">
            <v>0</v>
          </cell>
          <cell r="BT396">
            <v>0</v>
          </cell>
          <cell r="BU396">
            <v>0</v>
          </cell>
          <cell r="BV396">
            <v>0</v>
          </cell>
          <cell r="BW396">
            <v>0</v>
          </cell>
          <cell r="BX396">
            <v>0</v>
          </cell>
          <cell r="BY396">
            <v>0</v>
          </cell>
          <cell r="BZ396">
            <v>0</v>
          </cell>
          <cell r="CA396">
            <v>0</v>
          </cell>
          <cell r="CB396">
            <v>0</v>
          </cell>
          <cell r="CC396">
            <v>0</v>
          </cell>
          <cell r="CD396">
            <v>0</v>
          </cell>
        </row>
        <row r="397">
          <cell r="C397">
            <v>37848</v>
          </cell>
          <cell r="D397">
            <v>37858</v>
          </cell>
          <cell r="E397">
            <v>37855</v>
          </cell>
          <cell r="F397">
            <v>0.3840277777777778</v>
          </cell>
          <cell r="G397" t="str">
            <v>Perfiladora Dimeco Travesaños</v>
          </cell>
          <cell r="H397" t="str">
            <v>Necessidade de substituição do Disco de Serra</v>
          </cell>
          <cell r="I397" t="str">
            <v>Corretiva</v>
          </cell>
          <cell r="J397" t="str">
            <v>Sim</v>
          </cell>
          <cell r="K397" t="str">
            <v>Mecânica</v>
          </cell>
          <cell r="L397" t="str">
            <v>Substituição do(s) Componente(s)</v>
          </cell>
          <cell r="M397" t="str">
            <v>Desgaste / Fadiga</v>
          </cell>
          <cell r="N397">
            <v>37855</v>
          </cell>
          <cell r="O397">
            <v>0.3888888888888889</v>
          </cell>
          <cell r="P397">
            <v>37855</v>
          </cell>
          <cell r="Q397">
            <v>0.3888888888888889</v>
          </cell>
          <cell r="T397">
            <v>37855</v>
          </cell>
          <cell r="U397">
            <v>0.41666666666666669</v>
          </cell>
          <cell r="V397">
            <v>37855</v>
          </cell>
          <cell r="W397">
            <v>0.41666666666666669</v>
          </cell>
          <cell r="X397">
            <v>2.777777777777779E-2</v>
          </cell>
          <cell r="Y397">
            <v>2.7777777775352452E-2</v>
          </cell>
          <cell r="AB397">
            <v>8</v>
          </cell>
          <cell r="AC397">
            <v>8</v>
          </cell>
          <cell r="AD397">
            <v>0</v>
          </cell>
          <cell r="BF397">
            <v>0</v>
          </cell>
          <cell r="BG397">
            <v>0</v>
          </cell>
          <cell r="BH397">
            <v>0</v>
          </cell>
          <cell r="BI397">
            <v>0</v>
          </cell>
          <cell r="BJ397">
            <v>0</v>
          </cell>
          <cell r="BK397">
            <v>0</v>
          </cell>
          <cell r="BL397">
            <v>0</v>
          </cell>
          <cell r="BM397">
            <v>0</v>
          </cell>
          <cell r="BN397">
            <v>0</v>
          </cell>
          <cell r="BO397">
            <v>0</v>
          </cell>
          <cell r="BP397">
            <v>0</v>
          </cell>
          <cell r="BQ397">
            <v>0</v>
          </cell>
          <cell r="BR397">
            <v>0</v>
          </cell>
          <cell r="BS397">
            <v>8</v>
          </cell>
          <cell r="BT397">
            <v>0</v>
          </cell>
          <cell r="BU397">
            <v>0</v>
          </cell>
          <cell r="BV397">
            <v>0</v>
          </cell>
          <cell r="BW397">
            <v>0</v>
          </cell>
          <cell r="BX397">
            <v>0</v>
          </cell>
          <cell r="BY397">
            <v>0</v>
          </cell>
          <cell r="BZ397">
            <v>0</v>
          </cell>
          <cell r="CA397">
            <v>0</v>
          </cell>
          <cell r="CB397">
            <v>0</v>
          </cell>
          <cell r="CC397">
            <v>0</v>
          </cell>
          <cell r="CD397">
            <v>0</v>
          </cell>
        </row>
        <row r="398">
          <cell r="C398">
            <v>37848</v>
          </cell>
          <cell r="D398">
            <v>37867</v>
          </cell>
          <cell r="E398">
            <v>37865</v>
          </cell>
          <cell r="F398">
            <v>0.45833333333333331</v>
          </cell>
          <cell r="G398" t="str">
            <v>Perfiladora Dimeco Travesaños</v>
          </cell>
          <cell r="H398" t="str">
            <v>Eixo da cabeça de turco danificado, dificultando a retirada dos Rolamentos</v>
          </cell>
          <cell r="I398" t="str">
            <v>Corretiva</v>
          </cell>
          <cell r="J398" t="str">
            <v>Sim</v>
          </cell>
          <cell r="K398" t="str">
            <v>Mecânica</v>
          </cell>
          <cell r="L398" t="str">
            <v>Reparo</v>
          </cell>
          <cell r="M398" t="str">
            <v>Falha de Montagem / Preparação</v>
          </cell>
          <cell r="N398">
            <v>37865</v>
          </cell>
          <cell r="O398">
            <v>0.47916666666666669</v>
          </cell>
          <cell r="P398">
            <v>37865</v>
          </cell>
          <cell r="Q398">
            <v>0.47916666666666669</v>
          </cell>
          <cell r="T398">
            <v>37865</v>
          </cell>
          <cell r="U398">
            <v>0.52083333333333337</v>
          </cell>
          <cell r="V398">
            <v>37865</v>
          </cell>
          <cell r="W398">
            <v>0.52083333333333337</v>
          </cell>
          <cell r="X398">
            <v>4.1666666666666685E-2</v>
          </cell>
          <cell r="Y398">
            <v>4.1666666669091967E-2</v>
          </cell>
          <cell r="AB398">
            <v>9</v>
          </cell>
          <cell r="AC398">
            <v>8</v>
          </cell>
          <cell r="AD398">
            <v>0</v>
          </cell>
          <cell r="BF398">
            <v>0</v>
          </cell>
          <cell r="BG398">
            <v>0</v>
          </cell>
          <cell r="BH398">
            <v>0</v>
          </cell>
          <cell r="BI398">
            <v>0</v>
          </cell>
          <cell r="BJ398">
            <v>0</v>
          </cell>
          <cell r="BK398">
            <v>0</v>
          </cell>
          <cell r="BL398">
            <v>0</v>
          </cell>
          <cell r="BM398">
            <v>0</v>
          </cell>
          <cell r="BN398">
            <v>0</v>
          </cell>
          <cell r="BO398">
            <v>0</v>
          </cell>
          <cell r="BP398">
            <v>0</v>
          </cell>
          <cell r="BQ398">
            <v>0</v>
          </cell>
          <cell r="BR398">
            <v>0</v>
          </cell>
          <cell r="BS398">
            <v>9</v>
          </cell>
          <cell r="BT398">
            <v>0</v>
          </cell>
          <cell r="BU398">
            <v>0</v>
          </cell>
          <cell r="BV398">
            <v>0</v>
          </cell>
          <cell r="BW398">
            <v>0</v>
          </cell>
          <cell r="BX398">
            <v>0</v>
          </cell>
          <cell r="BY398">
            <v>0</v>
          </cell>
          <cell r="BZ398">
            <v>0</v>
          </cell>
          <cell r="CA398">
            <v>0</v>
          </cell>
          <cell r="CB398">
            <v>0</v>
          </cell>
          <cell r="CC398">
            <v>0</v>
          </cell>
          <cell r="CD398">
            <v>0</v>
          </cell>
        </row>
        <row r="399">
          <cell r="C399">
            <v>37848</v>
          </cell>
          <cell r="D399">
            <v>37868</v>
          </cell>
          <cell r="E399">
            <v>37865</v>
          </cell>
          <cell r="F399">
            <v>0.59722222222222221</v>
          </cell>
          <cell r="G399" t="str">
            <v>Prensa Gijón</v>
          </cell>
          <cell r="H399" t="str">
            <v>Barra roscada de Regulagem de distância está torta</v>
          </cell>
          <cell r="I399" t="str">
            <v>Corretiva</v>
          </cell>
          <cell r="J399" t="str">
            <v>Não</v>
          </cell>
          <cell r="K399" t="str">
            <v>Mecânica</v>
          </cell>
          <cell r="L399" t="str">
            <v>Reparo</v>
          </cell>
          <cell r="M399" t="str">
            <v>Falha Operacional</v>
          </cell>
          <cell r="N399">
            <v>37865</v>
          </cell>
          <cell r="O399">
            <v>0.70833333333333337</v>
          </cell>
          <cell r="P399">
            <v>37865</v>
          </cell>
          <cell r="Q399">
            <v>0.70833333333333337</v>
          </cell>
          <cell r="T399">
            <v>37865</v>
          </cell>
          <cell r="U399">
            <v>0.875</v>
          </cell>
          <cell r="V399">
            <v>37865</v>
          </cell>
          <cell r="W399">
            <v>0.875</v>
          </cell>
          <cell r="X399">
            <v>0.16666666666666663</v>
          </cell>
          <cell r="Y399">
            <v>0.16666666666666663</v>
          </cell>
          <cell r="AB399">
            <v>9</v>
          </cell>
          <cell r="AC399">
            <v>8</v>
          </cell>
          <cell r="AD399">
            <v>0</v>
          </cell>
          <cell r="BF399">
            <v>0</v>
          </cell>
          <cell r="BG399">
            <v>0</v>
          </cell>
          <cell r="BH399">
            <v>0</v>
          </cell>
          <cell r="BI399">
            <v>0</v>
          </cell>
          <cell r="BJ399">
            <v>0</v>
          </cell>
          <cell r="BK399">
            <v>0</v>
          </cell>
          <cell r="BL399">
            <v>0</v>
          </cell>
          <cell r="BM399">
            <v>0</v>
          </cell>
          <cell r="BN399">
            <v>0</v>
          </cell>
          <cell r="BO399">
            <v>0</v>
          </cell>
          <cell r="BP399">
            <v>0</v>
          </cell>
          <cell r="BQ399">
            <v>0</v>
          </cell>
          <cell r="BR399">
            <v>0</v>
          </cell>
          <cell r="BS399">
            <v>0</v>
          </cell>
          <cell r="BT399">
            <v>0</v>
          </cell>
          <cell r="BU399">
            <v>0</v>
          </cell>
          <cell r="BV399">
            <v>0</v>
          </cell>
          <cell r="BW399">
            <v>0</v>
          </cell>
          <cell r="BX399">
            <v>9</v>
          </cell>
          <cell r="BY399">
            <v>0</v>
          </cell>
          <cell r="BZ399">
            <v>0</v>
          </cell>
          <cell r="CA399">
            <v>0</v>
          </cell>
          <cell r="CB399">
            <v>0</v>
          </cell>
          <cell r="CC399">
            <v>0</v>
          </cell>
          <cell r="CD399">
            <v>0</v>
          </cell>
        </row>
        <row r="400">
          <cell r="C400">
            <v>37848</v>
          </cell>
          <cell r="D400">
            <v>37900</v>
          </cell>
          <cell r="E400">
            <v>37893</v>
          </cell>
          <cell r="F400">
            <v>0.44236111111111115</v>
          </cell>
          <cell r="G400" t="str">
            <v>Perfiladora Dimeco Travesaños</v>
          </cell>
          <cell r="H400" t="str">
            <v>Mangueira do Hidráulico furada</v>
          </cell>
          <cell r="I400" t="str">
            <v>Corretiva</v>
          </cell>
          <cell r="J400" t="str">
            <v>Sim</v>
          </cell>
          <cell r="K400" t="str">
            <v>Mecânica</v>
          </cell>
          <cell r="L400" t="str">
            <v>Substituição do(s) Componente(s)</v>
          </cell>
          <cell r="M400" t="str">
            <v>Desgaste / Fadiga</v>
          </cell>
          <cell r="N400">
            <v>37893</v>
          </cell>
          <cell r="O400">
            <v>0.44444444444444442</v>
          </cell>
          <cell r="P400">
            <v>37893</v>
          </cell>
          <cell r="Q400">
            <v>0.44444444444444442</v>
          </cell>
          <cell r="T400">
            <v>37893</v>
          </cell>
          <cell r="U400">
            <v>0.52777777777777779</v>
          </cell>
          <cell r="V400">
            <v>37893</v>
          </cell>
          <cell r="W400">
            <v>0.52777777777777779</v>
          </cell>
          <cell r="X400">
            <v>8.333333333333337E-2</v>
          </cell>
          <cell r="Y400">
            <v>8.3333333336567117E-2</v>
          </cell>
          <cell r="AB400">
            <v>9</v>
          </cell>
          <cell r="AC400">
            <v>8</v>
          </cell>
          <cell r="AD400">
            <v>0</v>
          </cell>
          <cell r="BF400">
            <v>0</v>
          </cell>
          <cell r="BG400">
            <v>0</v>
          </cell>
          <cell r="BH400">
            <v>0</v>
          </cell>
          <cell r="BI400">
            <v>0</v>
          </cell>
          <cell r="BJ400">
            <v>0</v>
          </cell>
          <cell r="BK400">
            <v>0</v>
          </cell>
          <cell r="BL400">
            <v>0</v>
          </cell>
          <cell r="BM400">
            <v>0</v>
          </cell>
          <cell r="BN400">
            <v>0</v>
          </cell>
          <cell r="BO400">
            <v>0</v>
          </cell>
          <cell r="BP400">
            <v>0</v>
          </cell>
          <cell r="BQ400">
            <v>0</v>
          </cell>
          <cell r="BR400">
            <v>0</v>
          </cell>
          <cell r="BS400">
            <v>9</v>
          </cell>
          <cell r="BT400">
            <v>0</v>
          </cell>
          <cell r="BU400">
            <v>0</v>
          </cell>
          <cell r="BV400">
            <v>0</v>
          </cell>
          <cell r="BW400">
            <v>0</v>
          </cell>
          <cell r="BX400">
            <v>0</v>
          </cell>
          <cell r="BY400">
            <v>0</v>
          </cell>
          <cell r="BZ400">
            <v>0</v>
          </cell>
          <cell r="CA400">
            <v>0</v>
          </cell>
          <cell r="CB400">
            <v>0</v>
          </cell>
          <cell r="CC400">
            <v>0</v>
          </cell>
          <cell r="CD400">
            <v>0</v>
          </cell>
        </row>
        <row r="401">
          <cell r="C401">
            <v>37848</v>
          </cell>
          <cell r="V401">
            <v>0</v>
          </cell>
          <cell r="W401">
            <v>0</v>
          </cell>
          <cell r="X401">
            <v>0</v>
          </cell>
          <cell r="AB401">
            <v>0</v>
          </cell>
          <cell r="AC401">
            <v>8</v>
          </cell>
          <cell r="AD401">
            <v>0</v>
          </cell>
          <cell r="BF401">
            <v>0</v>
          </cell>
          <cell r="BG401">
            <v>0</v>
          </cell>
          <cell r="BH401">
            <v>0</v>
          </cell>
          <cell r="BI401">
            <v>0</v>
          </cell>
          <cell r="BJ401">
            <v>0</v>
          </cell>
          <cell r="BK401">
            <v>0</v>
          </cell>
          <cell r="BL401">
            <v>0</v>
          </cell>
          <cell r="BM401">
            <v>0</v>
          </cell>
          <cell r="BN401">
            <v>0</v>
          </cell>
          <cell r="BO401">
            <v>0</v>
          </cell>
          <cell r="BP401">
            <v>0</v>
          </cell>
          <cell r="BQ401">
            <v>0</v>
          </cell>
          <cell r="BR401">
            <v>0</v>
          </cell>
          <cell r="BS401">
            <v>0</v>
          </cell>
          <cell r="BT401">
            <v>0</v>
          </cell>
          <cell r="BU401">
            <v>0</v>
          </cell>
          <cell r="BV401">
            <v>0</v>
          </cell>
          <cell r="BW401">
            <v>0</v>
          </cell>
          <cell r="BX401">
            <v>0</v>
          </cell>
          <cell r="BY401">
            <v>0</v>
          </cell>
          <cell r="BZ401">
            <v>0</v>
          </cell>
          <cell r="CA401">
            <v>0</v>
          </cell>
          <cell r="CB401">
            <v>0</v>
          </cell>
          <cell r="CC401">
            <v>0</v>
          </cell>
          <cell r="CD401">
            <v>0</v>
          </cell>
        </row>
        <row r="402">
          <cell r="C402">
            <v>37848</v>
          </cell>
          <cell r="D402">
            <v>37924</v>
          </cell>
          <cell r="E402">
            <v>37902</v>
          </cell>
          <cell r="F402">
            <v>0.70833333333333337</v>
          </cell>
          <cell r="G402" t="str">
            <v>Perfiladora Dimeco Travesaños</v>
          </cell>
          <cell r="H402" t="str">
            <v>Vazamento no pistão do cortante</v>
          </cell>
          <cell r="I402" t="str">
            <v>Corretiva</v>
          </cell>
          <cell r="J402" t="str">
            <v>Não</v>
          </cell>
          <cell r="K402" t="str">
            <v>Mecânica</v>
          </cell>
          <cell r="L402" t="str">
            <v>Reparo</v>
          </cell>
          <cell r="M402" t="str">
            <v>Desgaste / Fadiga</v>
          </cell>
          <cell r="N402">
            <v>37902</v>
          </cell>
          <cell r="O402">
            <v>0.70833333333333337</v>
          </cell>
          <cell r="P402">
            <v>37902</v>
          </cell>
          <cell r="Q402">
            <v>0.98958333333333337</v>
          </cell>
          <cell r="R402">
            <v>37908</v>
          </cell>
          <cell r="S402">
            <v>0.66666666666666663</v>
          </cell>
          <cell r="T402">
            <v>37908</v>
          </cell>
          <cell r="U402">
            <v>0.70833333333333337</v>
          </cell>
          <cell r="V402">
            <v>0</v>
          </cell>
          <cell r="W402">
            <v>0.32291666666666674</v>
          </cell>
          <cell r="X402">
            <v>0.32291666666666674</v>
          </cell>
          <cell r="Y402">
            <v>0.32291666666666674</v>
          </cell>
          <cell r="AB402">
            <v>10</v>
          </cell>
          <cell r="AC402">
            <v>8</v>
          </cell>
          <cell r="AD402">
            <v>0</v>
          </cell>
          <cell r="BF402">
            <v>0</v>
          </cell>
          <cell r="BG402">
            <v>0</v>
          </cell>
          <cell r="BH402">
            <v>0</v>
          </cell>
          <cell r="BI402">
            <v>0</v>
          </cell>
          <cell r="BJ402">
            <v>0</v>
          </cell>
          <cell r="BK402">
            <v>0</v>
          </cell>
          <cell r="BL402">
            <v>0</v>
          </cell>
          <cell r="BM402">
            <v>0</v>
          </cell>
          <cell r="BN402">
            <v>0</v>
          </cell>
          <cell r="BO402">
            <v>0</v>
          </cell>
          <cell r="BP402">
            <v>0</v>
          </cell>
          <cell r="BQ402">
            <v>0</v>
          </cell>
          <cell r="BR402">
            <v>0</v>
          </cell>
          <cell r="BS402">
            <v>10</v>
          </cell>
          <cell r="BT402">
            <v>0</v>
          </cell>
          <cell r="BU402">
            <v>0</v>
          </cell>
          <cell r="BV402">
            <v>0</v>
          </cell>
          <cell r="BW402">
            <v>0</v>
          </cell>
          <cell r="BX402">
            <v>0</v>
          </cell>
          <cell r="BY402">
            <v>0</v>
          </cell>
          <cell r="BZ402">
            <v>0</v>
          </cell>
          <cell r="CA402">
            <v>0</v>
          </cell>
          <cell r="CB402">
            <v>0</v>
          </cell>
          <cell r="CC402">
            <v>0</v>
          </cell>
          <cell r="CD402">
            <v>0</v>
          </cell>
        </row>
        <row r="403">
          <cell r="C403">
            <v>37848</v>
          </cell>
          <cell r="D403">
            <v>37918</v>
          </cell>
          <cell r="E403">
            <v>37907</v>
          </cell>
          <cell r="F403">
            <v>0.60416666666666663</v>
          </cell>
          <cell r="G403" t="str">
            <v>Perfiladora Dimeco Travesaños</v>
          </cell>
          <cell r="H403" t="str">
            <v>Funcionamento inadequado no grupo hidráulico</v>
          </cell>
          <cell r="I403" t="str">
            <v>Corretiva</v>
          </cell>
          <cell r="J403" t="str">
            <v>Sim</v>
          </cell>
          <cell r="K403" t="str">
            <v>Elétrica</v>
          </cell>
          <cell r="L403" t="str">
            <v>Ajuste / Regulagem</v>
          </cell>
          <cell r="M403" t="str">
            <v>Falha de Comando / Sistema</v>
          </cell>
          <cell r="N403">
            <v>37907</v>
          </cell>
          <cell r="O403">
            <v>0.625</v>
          </cell>
          <cell r="P403">
            <v>37907</v>
          </cell>
          <cell r="Q403">
            <v>0.625</v>
          </cell>
          <cell r="T403">
            <v>37907</v>
          </cell>
          <cell r="U403">
            <v>0.70833333333333337</v>
          </cell>
          <cell r="V403">
            <v>37907</v>
          </cell>
          <cell r="W403">
            <v>0.70833333333333337</v>
          </cell>
          <cell r="X403">
            <v>8.333333333333337E-2</v>
          </cell>
          <cell r="Y403">
            <v>8.3333333335758653E-2</v>
          </cell>
          <cell r="AB403">
            <v>10</v>
          </cell>
          <cell r="AC403">
            <v>8</v>
          </cell>
          <cell r="AD403">
            <v>0</v>
          </cell>
          <cell r="BF403">
            <v>0</v>
          </cell>
          <cell r="BG403">
            <v>0</v>
          </cell>
          <cell r="BH403">
            <v>0</v>
          </cell>
          <cell r="BI403">
            <v>0</v>
          </cell>
          <cell r="BJ403">
            <v>0</v>
          </cell>
          <cell r="BK403">
            <v>0</v>
          </cell>
          <cell r="BL403">
            <v>0</v>
          </cell>
          <cell r="BM403">
            <v>0</v>
          </cell>
          <cell r="BN403">
            <v>0</v>
          </cell>
          <cell r="BO403">
            <v>0</v>
          </cell>
          <cell r="BP403">
            <v>0</v>
          </cell>
          <cell r="BQ403">
            <v>0</v>
          </cell>
          <cell r="BR403">
            <v>0</v>
          </cell>
          <cell r="BS403">
            <v>10</v>
          </cell>
          <cell r="BT403">
            <v>0</v>
          </cell>
          <cell r="BU403">
            <v>0</v>
          </cell>
          <cell r="BV403">
            <v>0</v>
          </cell>
          <cell r="BW403">
            <v>0</v>
          </cell>
          <cell r="BX403">
            <v>0</v>
          </cell>
          <cell r="BY403">
            <v>0</v>
          </cell>
          <cell r="BZ403">
            <v>0</v>
          </cell>
          <cell r="CA403">
            <v>0</v>
          </cell>
          <cell r="CB403">
            <v>0</v>
          </cell>
          <cell r="CC403">
            <v>0</v>
          </cell>
          <cell r="CD403">
            <v>0</v>
          </cell>
        </row>
        <row r="404">
          <cell r="C404">
            <v>37848</v>
          </cell>
          <cell r="D404">
            <v>37928</v>
          </cell>
          <cell r="E404">
            <v>37902</v>
          </cell>
          <cell r="F404">
            <v>0.65833333333333333</v>
          </cell>
          <cell r="G404" t="str">
            <v>Perfiladora Dimeco Travesaños</v>
          </cell>
          <cell r="H404" t="str">
            <v>Carro de Corte não Funciona</v>
          </cell>
          <cell r="I404" t="str">
            <v>Corretiva</v>
          </cell>
          <cell r="J404" t="str">
            <v>Sim</v>
          </cell>
          <cell r="K404" t="str">
            <v>Elétrica</v>
          </cell>
          <cell r="L404" t="str">
            <v>Regulagem do Componente</v>
          </cell>
          <cell r="M404" t="str">
            <v>Causa não especificada</v>
          </cell>
          <cell r="N404">
            <v>37902</v>
          </cell>
          <cell r="O404">
            <v>0.65833333333333333</v>
          </cell>
          <cell r="P404">
            <v>37902</v>
          </cell>
          <cell r="Q404">
            <v>0.65833333333333333</v>
          </cell>
          <cell r="T404">
            <v>37902</v>
          </cell>
          <cell r="U404">
            <v>0.70138888888888884</v>
          </cell>
          <cell r="V404">
            <v>37902</v>
          </cell>
          <cell r="W404">
            <v>0.70138888888888884</v>
          </cell>
          <cell r="X404">
            <v>4.3055555555555514E-2</v>
          </cell>
          <cell r="Y404">
            <v>4.3055555557172442E-2</v>
          </cell>
          <cell r="AB404">
            <v>10</v>
          </cell>
          <cell r="AC404">
            <v>8</v>
          </cell>
          <cell r="AD404">
            <v>0</v>
          </cell>
          <cell r="BF404">
            <v>0</v>
          </cell>
          <cell r="BG404">
            <v>0</v>
          </cell>
          <cell r="BH404">
            <v>0</v>
          </cell>
          <cell r="BI404">
            <v>0</v>
          </cell>
          <cell r="BJ404">
            <v>0</v>
          </cell>
          <cell r="BK404">
            <v>0</v>
          </cell>
          <cell r="BL404">
            <v>0</v>
          </cell>
          <cell r="BM404">
            <v>0</v>
          </cell>
          <cell r="BN404">
            <v>0</v>
          </cell>
          <cell r="BO404">
            <v>0</v>
          </cell>
          <cell r="BP404">
            <v>0</v>
          </cell>
          <cell r="BQ404">
            <v>0</v>
          </cell>
          <cell r="BR404">
            <v>0</v>
          </cell>
          <cell r="BS404">
            <v>10</v>
          </cell>
          <cell r="BT404">
            <v>0</v>
          </cell>
          <cell r="BU404">
            <v>0</v>
          </cell>
          <cell r="BV404">
            <v>0</v>
          </cell>
          <cell r="BW404">
            <v>0</v>
          </cell>
          <cell r="BX404">
            <v>0</v>
          </cell>
          <cell r="BY404">
            <v>0</v>
          </cell>
          <cell r="BZ404">
            <v>0</v>
          </cell>
          <cell r="CA404">
            <v>0</v>
          </cell>
          <cell r="CB404">
            <v>0</v>
          </cell>
          <cell r="CC404">
            <v>0</v>
          </cell>
          <cell r="CD404">
            <v>0</v>
          </cell>
        </row>
        <row r="405">
          <cell r="C405">
            <v>37848</v>
          </cell>
          <cell r="D405">
            <v>37928</v>
          </cell>
          <cell r="E405">
            <v>37914</v>
          </cell>
          <cell r="F405">
            <v>0.45833333333333331</v>
          </cell>
          <cell r="G405" t="str">
            <v>Perfiladora Dimeco Travesaños</v>
          </cell>
          <cell r="H405" t="str">
            <v>Serra não funciona</v>
          </cell>
          <cell r="I405" t="str">
            <v>Corretiva</v>
          </cell>
          <cell r="J405" t="str">
            <v>Sim</v>
          </cell>
          <cell r="K405" t="str">
            <v>Elétrica</v>
          </cell>
          <cell r="L405" t="str">
            <v>Regulagem do Componente</v>
          </cell>
          <cell r="M405" t="str">
            <v>Vibração</v>
          </cell>
          <cell r="N405">
            <v>37914</v>
          </cell>
          <cell r="O405">
            <v>0.45833333333333331</v>
          </cell>
          <cell r="P405">
            <v>37914</v>
          </cell>
          <cell r="Q405">
            <v>0.45833333333333331</v>
          </cell>
          <cell r="T405">
            <v>37914</v>
          </cell>
          <cell r="U405">
            <v>0.4861111111111111</v>
          </cell>
          <cell r="V405">
            <v>37914</v>
          </cell>
          <cell r="W405">
            <v>0.4861111111111111</v>
          </cell>
          <cell r="X405">
            <v>2.777777777777779E-2</v>
          </cell>
          <cell r="Y405">
            <v>2.7777777776160917E-2</v>
          </cell>
          <cell r="AB405">
            <v>10</v>
          </cell>
          <cell r="AC405">
            <v>8</v>
          </cell>
          <cell r="AD405">
            <v>0</v>
          </cell>
          <cell r="BF405">
            <v>0</v>
          </cell>
          <cell r="BG405">
            <v>0</v>
          </cell>
          <cell r="BH405">
            <v>0</v>
          </cell>
          <cell r="BI405">
            <v>0</v>
          </cell>
          <cell r="BJ405">
            <v>0</v>
          </cell>
          <cell r="BK405">
            <v>0</v>
          </cell>
          <cell r="BL405">
            <v>0</v>
          </cell>
          <cell r="BM405">
            <v>0</v>
          </cell>
          <cell r="BN405">
            <v>0</v>
          </cell>
          <cell r="BO405">
            <v>0</v>
          </cell>
          <cell r="BP405">
            <v>0</v>
          </cell>
          <cell r="BQ405">
            <v>0</v>
          </cell>
          <cell r="BR405">
            <v>0</v>
          </cell>
          <cell r="BS405">
            <v>10</v>
          </cell>
          <cell r="BT405">
            <v>0</v>
          </cell>
          <cell r="BU405">
            <v>0</v>
          </cell>
          <cell r="BV405">
            <v>0</v>
          </cell>
          <cell r="BW405">
            <v>0</v>
          </cell>
          <cell r="BX405">
            <v>0</v>
          </cell>
          <cell r="BY405">
            <v>0</v>
          </cell>
          <cell r="BZ405">
            <v>0</v>
          </cell>
          <cell r="CA405">
            <v>0</v>
          </cell>
          <cell r="CB405">
            <v>0</v>
          </cell>
          <cell r="CC405">
            <v>0</v>
          </cell>
          <cell r="CD405">
            <v>0</v>
          </cell>
        </row>
        <row r="406">
          <cell r="C406">
            <v>37848</v>
          </cell>
          <cell r="D406">
            <v>37928</v>
          </cell>
          <cell r="E406">
            <v>37915</v>
          </cell>
          <cell r="F406">
            <v>0.41666666666666669</v>
          </cell>
          <cell r="G406" t="str">
            <v>Perfiladora Dimeco Travesaños</v>
          </cell>
          <cell r="H406" t="str">
            <v>Mordaça da serra enguiçando</v>
          </cell>
          <cell r="I406" t="str">
            <v>Corretiva</v>
          </cell>
          <cell r="J406" t="str">
            <v>Sim</v>
          </cell>
          <cell r="K406" t="str">
            <v>Elétrica</v>
          </cell>
          <cell r="L406" t="str">
            <v>Correção de mau contato</v>
          </cell>
          <cell r="M406" t="str">
            <v>Sujeira em excesso</v>
          </cell>
          <cell r="N406">
            <v>37915</v>
          </cell>
          <cell r="O406">
            <v>0.41666666666666669</v>
          </cell>
          <cell r="P406">
            <v>37915</v>
          </cell>
          <cell r="Q406">
            <v>0.41666666666666669</v>
          </cell>
          <cell r="T406">
            <v>37915</v>
          </cell>
          <cell r="U406">
            <v>0.44305555555555554</v>
          </cell>
          <cell r="V406">
            <v>37915</v>
          </cell>
          <cell r="W406">
            <v>0.44305555555555554</v>
          </cell>
          <cell r="X406">
            <v>2.6388888888888851E-2</v>
          </cell>
          <cell r="Y406">
            <v>2.6388888892446005E-2</v>
          </cell>
          <cell r="AB406">
            <v>10</v>
          </cell>
          <cell r="AC406">
            <v>8</v>
          </cell>
          <cell r="AD406">
            <v>0</v>
          </cell>
          <cell r="BF406">
            <v>0</v>
          </cell>
          <cell r="BG406">
            <v>0</v>
          </cell>
          <cell r="BH406">
            <v>0</v>
          </cell>
          <cell r="BI406">
            <v>0</v>
          </cell>
          <cell r="BJ406">
            <v>0</v>
          </cell>
          <cell r="BK406">
            <v>0</v>
          </cell>
          <cell r="BL406">
            <v>0</v>
          </cell>
          <cell r="BM406">
            <v>0</v>
          </cell>
          <cell r="BN406">
            <v>0</v>
          </cell>
          <cell r="BO406">
            <v>0</v>
          </cell>
          <cell r="BP406">
            <v>0</v>
          </cell>
          <cell r="BQ406">
            <v>0</v>
          </cell>
          <cell r="BR406">
            <v>0</v>
          </cell>
          <cell r="BS406">
            <v>10</v>
          </cell>
          <cell r="BT406">
            <v>0</v>
          </cell>
          <cell r="BU406">
            <v>0</v>
          </cell>
          <cell r="BV406">
            <v>0</v>
          </cell>
          <cell r="BW406">
            <v>0</v>
          </cell>
          <cell r="BX406">
            <v>0</v>
          </cell>
          <cell r="BY406">
            <v>0</v>
          </cell>
          <cell r="BZ406">
            <v>0</v>
          </cell>
          <cell r="CA406">
            <v>0</v>
          </cell>
          <cell r="CB406">
            <v>0</v>
          </cell>
          <cell r="CC406">
            <v>0</v>
          </cell>
          <cell r="CD406">
            <v>0</v>
          </cell>
        </row>
        <row r="407">
          <cell r="C407">
            <v>37848</v>
          </cell>
          <cell r="D407">
            <v>37928</v>
          </cell>
          <cell r="E407">
            <v>37915</v>
          </cell>
          <cell r="F407">
            <v>0.4513888888888889</v>
          </cell>
          <cell r="G407" t="str">
            <v>Perfiladora Dimeco Travesaños</v>
          </cell>
          <cell r="H407" t="str">
            <v>Disco de serra requer troca</v>
          </cell>
          <cell r="I407" t="str">
            <v>Corretiva</v>
          </cell>
          <cell r="J407" t="str">
            <v>Sim</v>
          </cell>
          <cell r="K407" t="str">
            <v>Mecânica</v>
          </cell>
          <cell r="L407" t="str">
            <v>Substituição do(s) Componente(s)</v>
          </cell>
          <cell r="M407" t="str">
            <v>Desgaste / Fadiga</v>
          </cell>
          <cell r="N407">
            <v>37915</v>
          </cell>
          <cell r="O407">
            <v>0.4513888888888889</v>
          </cell>
          <cell r="P407">
            <v>37915</v>
          </cell>
          <cell r="Q407">
            <v>0.4513888888888889</v>
          </cell>
          <cell r="T407">
            <v>37915</v>
          </cell>
          <cell r="U407">
            <v>0.5</v>
          </cell>
          <cell r="V407">
            <v>37915</v>
          </cell>
          <cell r="W407">
            <v>0.5</v>
          </cell>
          <cell r="X407">
            <v>4.8611111111111105E-2</v>
          </cell>
          <cell r="Y407">
            <v>4.8611111111111105E-2</v>
          </cell>
          <cell r="AB407">
            <v>10</v>
          </cell>
          <cell r="AC407">
            <v>8</v>
          </cell>
          <cell r="AD407">
            <v>0</v>
          </cell>
          <cell r="BF407">
            <v>0</v>
          </cell>
          <cell r="BG407">
            <v>0</v>
          </cell>
          <cell r="BH407">
            <v>0</v>
          </cell>
          <cell r="BI407">
            <v>0</v>
          </cell>
          <cell r="BJ407">
            <v>0</v>
          </cell>
          <cell r="BK407">
            <v>0</v>
          </cell>
          <cell r="BL407">
            <v>0</v>
          </cell>
          <cell r="BM407">
            <v>0</v>
          </cell>
          <cell r="BN407">
            <v>0</v>
          </cell>
          <cell r="BO407">
            <v>0</v>
          </cell>
          <cell r="BP407">
            <v>0</v>
          </cell>
          <cell r="BQ407">
            <v>0</v>
          </cell>
          <cell r="BR407">
            <v>0</v>
          </cell>
          <cell r="BS407">
            <v>10</v>
          </cell>
          <cell r="BT407">
            <v>0</v>
          </cell>
          <cell r="BU407">
            <v>0</v>
          </cell>
          <cell r="BV407">
            <v>0</v>
          </cell>
          <cell r="BW407">
            <v>0</v>
          </cell>
          <cell r="BX407">
            <v>0</v>
          </cell>
          <cell r="BY407">
            <v>0</v>
          </cell>
          <cell r="BZ407">
            <v>0</v>
          </cell>
          <cell r="CA407">
            <v>0</v>
          </cell>
          <cell r="CB407">
            <v>0</v>
          </cell>
          <cell r="CC407">
            <v>0</v>
          </cell>
          <cell r="CD407">
            <v>0</v>
          </cell>
        </row>
        <row r="408">
          <cell r="C408">
            <v>37848</v>
          </cell>
          <cell r="D408">
            <v>37928</v>
          </cell>
          <cell r="E408">
            <v>37918</v>
          </cell>
          <cell r="F408">
            <v>0.66666666666666663</v>
          </cell>
          <cell r="G408" t="str">
            <v>Perfiladora Dimeco Travesaños</v>
          </cell>
          <cell r="H408" t="str">
            <v>Disco de serra requer troca</v>
          </cell>
          <cell r="I408" t="str">
            <v>Corretiva</v>
          </cell>
          <cell r="J408" t="str">
            <v>Sim</v>
          </cell>
          <cell r="K408" t="str">
            <v>Mecânica</v>
          </cell>
          <cell r="L408" t="str">
            <v>Substituição do(s) Componente(s)</v>
          </cell>
          <cell r="M408" t="str">
            <v>Desgaste / Fadiga</v>
          </cell>
          <cell r="N408">
            <v>37918</v>
          </cell>
          <cell r="O408">
            <v>0.66666666666666663</v>
          </cell>
          <cell r="P408">
            <v>37918</v>
          </cell>
          <cell r="Q408">
            <v>0.66666666666666663</v>
          </cell>
          <cell r="T408">
            <v>37918</v>
          </cell>
          <cell r="U408">
            <v>0.69444444444444453</v>
          </cell>
          <cell r="V408">
            <v>37918</v>
          </cell>
          <cell r="W408">
            <v>0.69444444444444453</v>
          </cell>
          <cell r="X408">
            <v>2.7777777777777901E-2</v>
          </cell>
          <cell r="Y408">
            <v>2.7777777778586255E-2</v>
          </cell>
          <cell r="AB408">
            <v>10</v>
          </cell>
          <cell r="AC408">
            <v>8</v>
          </cell>
          <cell r="AD408">
            <v>0</v>
          </cell>
          <cell r="BF408">
            <v>0</v>
          </cell>
          <cell r="BG408">
            <v>0</v>
          </cell>
          <cell r="BH408">
            <v>0</v>
          </cell>
          <cell r="BI408">
            <v>0</v>
          </cell>
          <cell r="BJ408">
            <v>0</v>
          </cell>
          <cell r="BK408">
            <v>0</v>
          </cell>
          <cell r="BL408">
            <v>0</v>
          </cell>
          <cell r="BM408">
            <v>0</v>
          </cell>
          <cell r="BN408">
            <v>0</v>
          </cell>
          <cell r="BO408">
            <v>0</v>
          </cell>
          <cell r="BP408">
            <v>0</v>
          </cell>
          <cell r="BQ408">
            <v>0</v>
          </cell>
          <cell r="BR408">
            <v>0</v>
          </cell>
          <cell r="BS408">
            <v>10</v>
          </cell>
          <cell r="BT408">
            <v>0</v>
          </cell>
          <cell r="BU408">
            <v>0</v>
          </cell>
          <cell r="BV408">
            <v>0</v>
          </cell>
          <cell r="BW408">
            <v>0</v>
          </cell>
          <cell r="BX408">
            <v>0</v>
          </cell>
          <cell r="BY408">
            <v>0</v>
          </cell>
          <cell r="BZ408">
            <v>0</v>
          </cell>
          <cell r="CA408">
            <v>0</v>
          </cell>
          <cell r="CB408">
            <v>0</v>
          </cell>
          <cell r="CC408">
            <v>0</v>
          </cell>
          <cell r="CD408">
            <v>0</v>
          </cell>
        </row>
        <row r="409">
          <cell r="C409">
            <v>37848</v>
          </cell>
          <cell r="I409">
            <v>0</v>
          </cell>
          <cell r="N409">
            <v>0</v>
          </cell>
          <cell r="P409">
            <v>0</v>
          </cell>
          <cell r="T409">
            <v>0</v>
          </cell>
          <cell r="V409">
            <v>0</v>
          </cell>
          <cell r="W409">
            <v>0</v>
          </cell>
          <cell r="X409">
            <v>0</v>
          </cell>
          <cell r="Y409">
            <v>0</v>
          </cell>
          <cell r="AB409">
            <v>0</v>
          </cell>
          <cell r="AC409">
            <v>8</v>
          </cell>
          <cell r="AD409">
            <v>0</v>
          </cell>
          <cell r="BF409">
            <v>0</v>
          </cell>
          <cell r="BG409">
            <v>0</v>
          </cell>
          <cell r="BH409">
            <v>0</v>
          </cell>
          <cell r="BI409">
            <v>0</v>
          </cell>
          <cell r="BJ409">
            <v>0</v>
          </cell>
          <cell r="BK409">
            <v>0</v>
          </cell>
          <cell r="BL409">
            <v>0</v>
          </cell>
          <cell r="BM409">
            <v>0</v>
          </cell>
          <cell r="BN409">
            <v>0</v>
          </cell>
          <cell r="BO409">
            <v>0</v>
          </cell>
          <cell r="BP409">
            <v>0</v>
          </cell>
          <cell r="BQ409">
            <v>0</v>
          </cell>
          <cell r="BR409">
            <v>0</v>
          </cell>
          <cell r="BS409">
            <v>0</v>
          </cell>
          <cell r="BT409">
            <v>0</v>
          </cell>
          <cell r="BU409">
            <v>0</v>
          </cell>
          <cell r="BV409">
            <v>0</v>
          </cell>
          <cell r="BW409">
            <v>0</v>
          </cell>
          <cell r="BX409">
            <v>0</v>
          </cell>
          <cell r="BY409">
            <v>0</v>
          </cell>
          <cell r="BZ409">
            <v>0</v>
          </cell>
          <cell r="CA409">
            <v>0</v>
          </cell>
          <cell r="CB409">
            <v>0</v>
          </cell>
          <cell r="CC409">
            <v>0</v>
          </cell>
          <cell r="CD409">
            <v>0</v>
          </cell>
        </row>
        <row r="410">
          <cell r="C410">
            <v>37848</v>
          </cell>
          <cell r="D410">
            <v>37970</v>
          </cell>
          <cell r="E410">
            <v>37936</v>
          </cell>
          <cell r="F410">
            <v>37936</v>
          </cell>
          <cell r="G410">
            <v>0.37847222222222227</v>
          </cell>
          <cell r="H410" t="str">
            <v>Disco de serra requer troca</v>
          </cell>
          <cell r="I410">
            <v>0</v>
          </cell>
          <cell r="J410" t="str">
            <v>Sim</v>
          </cell>
          <cell r="K410" t="str">
            <v>Mecânica</v>
          </cell>
          <cell r="L410" t="str">
            <v>Sim</v>
          </cell>
          <cell r="M410" t="str">
            <v>Desgaste / Fadiga</v>
          </cell>
          <cell r="N410">
            <v>37936</v>
          </cell>
          <cell r="O410">
            <v>0.3888888888888889</v>
          </cell>
          <cell r="P410">
            <v>37936</v>
          </cell>
          <cell r="Q410">
            <v>0.3888888888888889</v>
          </cell>
          <cell r="T410">
            <v>37936</v>
          </cell>
          <cell r="U410">
            <v>0.41319444444444442</v>
          </cell>
          <cell r="V410">
            <v>37936</v>
          </cell>
          <cell r="W410">
            <v>0.41319444444444442</v>
          </cell>
          <cell r="X410">
            <v>2.4305555555555525E-2</v>
          </cell>
          <cell r="Y410">
            <v>2.4305555556363989E-2</v>
          </cell>
          <cell r="AB410">
            <v>11</v>
          </cell>
          <cell r="AC410">
            <v>8</v>
          </cell>
          <cell r="AD410">
            <v>0</v>
          </cell>
          <cell r="BF410">
            <v>0</v>
          </cell>
          <cell r="BG410">
            <v>0</v>
          </cell>
          <cell r="BH410">
            <v>0</v>
          </cell>
          <cell r="BI410">
            <v>0</v>
          </cell>
          <cell r="BJ410">
            <v>0</v>
          </cell>
          <cell r="BK410">
            <v>0</v>
          </cell>
          <cell r="BL410">
            <v>0</v>
          </cell>
          <cell r="BM410">
            <v>0</v>
          </cell>
          <cell r="BN410">
            <v>0</v>
          </cell>
          <cell r="BO410">
            <v>0</v>
          </cell>
          <cell r="BP410">
            <v>0</v>
          </cell>
          <cell r="BQ410">
            <v>0</v>
          </cell>
          <cell r="BR410">
            <v>0</v>
          </cell>
          <cell r="BS410">
            <v>11</v>
          </cell>
          <cell r="BT410">
            <v>0</v>
          </cell>
          <cell r="BU410">
            <v>0</v>
          </cell>
          <cell r="BV410">
            <v>0</v>
          </cell>
          <cell r="BW410">
            <v>0</v>
          </cell>
          <cell r="BX410">
            <v>0</v>
          </cell>
          <cell r="BY410">
            <v>0</v>
          </cell>
          <cell r="BZ410">
            <v>0</v>
          </cell>
          <cell r="CA410">
            <v>0</v>
          </cell>
          <cell r="CB410">
            <v>0</v>
          </cell>
          <cell r="CC410">
            <v>0</v>
          </cell>
          <cell r="CD410">
            <v>0</v>
          </cell>
        </row>
        <row r="411">
          <cell r="C411">
            <v>37848</v>
          </cell>
          <cell r="D411">
            <v>38008</v>
          </cell>
          <cell r="E411">
            <v>38000</v>
          </cell>
          <cell r="F411">
            <v>0.3263888888888889</v>
          </cell>
          <cell r="G411" t="str">
            <v>Prensa Gijón</v>
          </cell>
          <cell r="H411" t="str">
            <v>Não funciona</v>
          </cell>
          <cell r="I411">
            <v>0</v>
          </cell>
          <cell r="J411" t="str">
            <v>Sim</v>
          </cell>
          <cell r="K411" t="str">
            <v>Elétrica</v>
          </cell>
          <cell r="L411" t="str">
            <v>Ajuste / Regulagem</v>
          </cell>
          <cell r="M411" t="str">
            <v>Alteração na Localização da Máquina</v>
          </cell>
          <cell r="N411">
            <v>0</v>
          </cell>
          <cell r="O411">
            <v>0.33333333333333331</v>
          </cell>
          <cell r="P411">
            <v>0</v>
          </cell>
          <cell r="T411">
            <v>0</v>
          </cell>
          <cell r="U411">
            <v>0.35416666666666669</v>
          </cell>
          <cell r="V411">
            <v>0</v>
          </cell>
          <cell r="W411">
            <v>0</v>
          </cell>
          <cell r="X411">
            <v>0</v>
          </cell>
          <cell r="Y411">
            <v>0</v>
          </cell>
          <cell r="AB411">
            <v>0</v>
          </cell>
          <cell r="AC411">
            <v>8</v>
          </cell>
          <cell r="AD411">
            <v>0</v>
          </cell>
          <cell r="BF411">
            <v>0</v>
          </cell>
          <cell r="BG411">
            <v>0</v>
          </cell>
          <cell r="BH411">
            <v>0</v>
          </cell>
          <cell r="BI411">
            <v>0</v>
          </cell>
          <cell r="BJ411">
            <v>0</v>
          </cell>
          <cell r="BK411">
            <v>0</v>
          </cell>
          <cell r="BL411">
            <v>0</v>
          </cell>
          <cell r="BM411">
            <v>0</v>
          </cell>
          <cell r="BN411">
            <v>0</v>
          </cell>
          <cell r="BO411">
            <v>0</v>
          </cell>
          <cell r="BP411">
            <v>0</v>
          </cell>
          <cell r="BQ411">
            <v>0</v>
          </cell>
          <cell r="BR411">
            <v>0</v>
          </cell>
          <cell r="BS411">
            <v>0</v>
          </cell>
          <cell r="BT411">
            <v>0</v>
          </cell>
          <cell r="BU411">
            <v>0</v>
          </cell>
          <cell r="BV411">
            <v>0</v>
          </cell>
          <cell r="BW411">
            <v>0</v>
          </cell>
          <cell r="BX411">
            <v>0</v>
          </cell>
          <cell r="BY411">
            <v>0</v>
          </cell>
          <cell r="BZ411">
            <v>0</v>
          </cell>
          <cell r="CA411">
            <v>0</v>
          </cell>
          <cell r="CB411">
            <v>0</v>
          </cell>
          <cell r="CC411">
            <v>0</v>
          </cell>
          <cell r="CD411">
            <v>0</v>
          </cell>
        </row>
        <row r="412">
          <cell r="C412">
            <v>37848</v>
          </cell>
          <cell r="D412">
            <v>37970</v>
          </cell>
          <cell r="E412">
            <v>37946</v>
          </cell>
          <cell r="F412">
            <v>37946</v>
          </cell>
          <cell r="G412">
            <v>0.33333333333333331</v>
          </cell>
          <cell r="H412" t="str">
            <v>Suporte do sensor do carrinho da prensa quebrado</v>
          </cell>
          <cell r="I412">
            <v>0</v>
          </cell>
          <cell r="J412" t="str">
            <v>Não</v>
          </cell>
          <cell r="K412" t="str">
            <v>Mecânica</v>
          </cell>
          <cell r="L412" t="str">
            <v>Não</v>
          </cell>
          <cell r="M412" t="str">
            <v>Falha de Regulagem / Configuração / Dimensionamento</v>
          </cell>
          <cell r="N412">
            <v>37946</v>
          </cell>
          <cell r="O412">
            <v>0.41666666666666669</v>
          </cell>
          <cell r="P412">
            <v>37946</v>
          </cell>
          <cell r="Q412">
            <v>0.41666666666666669</v>
          </cell>
          <cell r="T412">
            <v>37946</v>
          </cell>
          <cell r="U412">
            <v>0.45833333333333331</v>
          </cell>
          <cell r="V412">
            <v>37946</v>
          </cell>
          <cell r="W412">
            <v>0.45833333333333331</v>
          </cell>
          <cell r="X412">
            <v>4.1666666669091967E-2</v>
          </cell>
          <cell r="Y412">
            <v>4.1666666669091967E-2</v>
          </cell>
          <cell r="AB412">
            <v>11</v>
          </cell>
          <cell r="AC412">
            <v>8</v>
          </cell>
          <cell r="AD412">
            <v>0</v>
          </cell>
          <cell r="BF412">
            <v>0</v>
          </cell>
          <cell r="BG412">
            <v>0</v>
          </cell>
          <cell r="BH412">
            <v>0</v>
          </cell>
          <cell r="BI412">
            <v>0</v>
          </cell>
          <cell r="BJ412">
            <v>0</v>
          </cell>
          <cell r="BK412">
            <v>0</v>
          </cell>
          <cell r="BL412">
            <v>0</v>
          </cell>
          <cell r="BM412">
            <v>0</v>
          </cell>
          <cell r="BN412">
            <v>0</v>
          </cell>
          <cell r="BO412">
            <v>0</v>
          </cell>
          <cell r="BP412">
            <v>0</v>
          </cell>
          <cell r="BQ412">
            <v>0</v>
          </cell>
          <cell r="BR412">
            <v>0</v>
          </cell>
          <cell r="BS412">
            <v>0</v>
          </cell>
          <cell r="BT412">
            <v>0</v>
          </cell>
          <cell r="BU412">
            <v>0</v>
          </cell>
          <cell r="BV412">
            <v>0</v>
          </cell>
          <cell r="BW412">
            <v>0</v>
          </cell>
          <cell r="BX412">
            <v>11</v>
          </cell>
          <cell r="BY412">
            <v>0</v>
          </cell>
          <cell r="BZ412">
            <v>0</v>
          </cell>
          <cell r="CA412">
            <v>0</v>
          </cell>
          <cell r="CB412">
            <v>0</v>
          </cell>
          <cell r="CC412">
            <v>0</v>
          </cell>
          <cell r="CD412">
            <v>0</v>
          </cell>
        </row>
        <row r="413">
          <cell r="C413">
            <v>37848</v>
          </cell>
          <cell r="D413">
            <v>37970</v>
          </cell>
          <cell r="E413">
            <v>37950</v>
          </cell>
          <cell r="F413">
            <v>37950</v>
          </cell>
          <cell r="G413">
            <v>0.7583333333333333</v>
          </cell>
          <cell r="H413" t="str">
            <v>Vazamento de óleo no varão do parafuso de fixação da máquina</v>
          </cell>
          <cell r="I413">
            <v>0</v>
          </cell>
          <cell r="J413" t="str">
            <v>Não</v>
          </cell>
          <cell r="K413" t="str">
            <v>Mecânica</v>
          </cell>
          <cell r="L413" t="str">
            <v>Não</v>
          </cell>
          <cell r="M413" t="str">
            <v>Vibração</v>
          </cell>
          <cell r="N413">
            <v>37950</v>
          </cell>
          <cell r="O413">
            <v>0.8125</v>
          </cell>
          <cell r="P413">
            <v>37950</v>
          </cell>
          <cell r="Q413">
            <v>0.8125</v>
          </cell>
          <cell r="T413">
            <v>37950</v>
          </cell>
          <cell r="U413">
            <v>0.83333333333333337</v>
          </cell>
          <cell r="V413">
            <v>37950</v>
          </cell>
          <cell r="W413">
            <v>0.83333333333333337</v>
          </cell>
          <cell r="X413">
            <v>2.0833333335758653E-2</v>
          </cell>
          <cell r="Y413">
            <v>2.0833333335758653E-2</v>
          </cell>
          <cell r="AB413">
            <v>11</v>
          </cell>
          <cell r="AC413">
            <v>8</v>
          </cell>
          <cell r="AD413">
            <v>0</v>
          </cell>
          <cell r="BF413">
            <v>0</v>
          </cell>
          <cell r="BG413">
            <v>0</v>
          </cell>
          <cell r="BH413">
            <v>0</v>
          </cell>
          <cell r="BI413">
            <v>0</v>
          </cell>
          <cell r="BJ413">
            <v>0</v>
          </cell>
          <cell r="BK413">
            <v>0</v>
          </cell>
          <cell r="BL413">
            <v>0</v>
          </cell>
          <cell r="BM413">
            <v>0</v>
          </cell>
          <cell r="BN413">
            <v>0</v>
          </cell>
          <cell r="BO413">
            <v>0</v>
          </cell>
          <cell r="BP413">
            <v>0</v>
          </cell>
          <cell r="BQ413">
            <v>0</v>
          </cell>
          <cell r="BR413">
            <v>0</v>
          </cell>
          <cell r="BS413">
            <v>11</v>
          </cell>
          <cell r="BT413">
            <v>0</v>
          </cell>
          <cell r="BU413">
            <v>0</v>
          </cell>
          <cell r="BV413">
            <v>0</v>
          </cell>
          <cell r="BW413">
            <v>0</v>
          </cell>
          <cell r="BX413">
            <v>0</v>
          </cell>
          <cell r="BY413">
            <v>0</v>
          </cell>
          <cell r="BZ413">
            <v>0</v>
          </cell>
          <cell r="CA413">
            <v>0</v>
          </cell>
          <cell r="CB413">
            <v>0</v>
          </cell>
          <cell r="CC413">
            <v>0</v>
          </cell>
          <cell r="CD413">
            <v>0</v>
          </cell>
        </row>
        <row r="414">
          <cell r="C414">
            <v>37848</v>
          </cell>
          <cell r="I414">
            <v>0</v>
          </cell>
          <cell r="N414">
            <v>0</v>
          </cell>
          <cell r="P414">
            <v>0</v>
          </cell>
          <cell r="T414">
            <v>0</v>
          </cell>
          <cell r="V414">
            <v>0</v>
          </cell>
          <cell r="W414">
            <v>0</v>
          </cell>
          <cell r="X414">
            <v>0</v>
          </cell>
          <cell r="Y414">
            <v>0</v>
          </cell>
          <cell r="AB414">
            <v>0</v>
          </cell>
          <cell r="AC414">
            <v>8</v>
          </cell>
          <cell r="AD414">
            <v>0</v>
          </cell>
          <cell r="BF414">
            <v>0</v>
          </cell>
          <cell r="BG414">
            <v>0</v>
          </cell>
          <cell r="BH414">
            <v>0</v>
          </cell>
          <cell r="BI414">
            <v>0</v>
          </cell>
          <cell r="BJ414">
            <v>0</v>
          </cell>
          <cell r="BK414">
            <v>0</v>
          </cell>
          <cell r="BL414">
            <v>0</v>
          </cell>
          <cell r="BM414">
            <v>0</v>
          </cell>
          <cell r="BN414">
            <v>0</v>
          </cell>
          <cell r="BO414">
            <v>0</v>
          </cell>
          <cell r="BP414">
            <v>0</v>
          </cell>
          <cell r="BQ414">
            <v>0</v>
          </cell>
          <cell r="BR414">
            <v>0</v>
          </cell>
          <cell r="BS414">
            <v>0</v>
          </cell>
          <cell r="BT414">
            <v>0</v>
          </cell>
          <cell r="BU414">
            <v>0</v>
          </cell>
          <cell r="BV414">
            <v>0</v>
          </cell>
          <cell r="BW414">
            <v>0</v>
          </cell>
          <cell r="BX414">
            <v>0</v>
          </cell>
          <cell r="BY414">
            <v>0</v>
          </cell>
          <cell r="BZ414">
            <v>0</v>
          </cell>
          <cell r="CA414">
            <v>0</v>
          </cell>
          <cell r="CB414">
            <v>0</v>
          </cell>
          <cell r="CC414">
            <v>0</v>
          </cell>
          <cell r="CD414">
            <v>0</v>
          </cell>
        </row>
        <row r="415">
          <cell r="C415">
            <v>37848</v>
          </cell>
          <cell r="I415">
            <v>0</v>
          </cell>
          <cell r="N415">
            <v>0</v>
          </cell>
          <cell r="P415">
            <v>0</v>
          </cell>
          <cell r="T415">
            <v>0</v>
          </cell>
          <cell r="V415">
            <v>0</v>
          </cell>
          <cell r="W415">
            <v>0</v>
          </cell>
          <cell r="X415">
            <v>0</v>
          </cell>
          <cell r="Y415">
            <v>0</v>
          </cell>
          <cell r="AB415">
            <v>0</v>
          </cell>
          <cell r="AC415">
            <v>8</v>
          </cell>
          <cell r="AD415">
            <v>0</v>
          </cell>
          <cell r="BF415">
            <v>0</v>
          </cell>
          <cell r="BG415">
            <v>0</v>
          </cell>
          <cell r="BH415">
            <v>0</v>
          </cell>
          <cell r="BI415">
            <v>0</v>
          </cell>
          <cell r="BJ415">
            <v>0</v>
          </cell>
          <cell r="BK415">
            <v>0</v>
          </cell>
          <cell r="BL415">
            <v>0</v>
          </cell>
          <cell r="BM415">
            <v>0</v>
          </cell>
          <cell r="BN415">
            <v>0</v>
          </cell>
          <cell r="BO415">
            <v>0</v>
          </cell>
          <cell r="BP415">
            <v>0</v>
          </cell>
          <cell r="BQ415">
            <v>0</v>
          </cell>
          <cell r="BR415">
            <v>0</v>
          </cell>
          <cell r="BS415">
            <v>0</v>
          </cell>
          <cell r="BT415">
            <v>0</v>
          </cell>
          <cell r="BU415">
            <v>0</v>
          </cell>
          <cell r="BV415">
            <v>0</v>
          </cell>
          <cell r="BW415">
            <v>0</v>
          </cell>
          <cell r="BX415">
            <v>0</v>
          </cell>
          <cell r="BY415">
            <v>0</v>
          </cell>
          <cell r="BZ415">
            <v>0</v>
          </cell>
          <cell r="CA415">
            <v>0</v>
          </cell>
          <cell r="CB415">
            <v>0</v>
          </cell>
          <cell r="CC415">
            <v>0</v>
          </cell>
          <cell r="CD415">
            <v>0</v>
          </cell>
        </row>
        <row r="416">
          <cell r="C416">
            <v>37848</v>
          </cell>
          <cell r="I416">
            <v>0</v>
          </cell>
          <cell r="N416">
            <v>0</v>
          </cell>
          <cell r="P416">
            <v>0</v>
          </cell>
          <cell r="T416">
            <v>0</v>
          </cell>
          <cell r="V416">
            <v>0</v>
          </cell>
          <cell r="W416">
            <v>0</v>
          </cell>
          <cell r="X416">
            <v>0</v>
          </cell>
          <cell r="Y416">
            <v>0</v>
          </cell>
          <cell r="AB416">
            <v>0</v>
          </cell>
          <cell r="AC416">
            <v>8</v>
          </cell>
          <cell r="AD416">
            <v>0</v>
          </cell>
          <cell r="BF416">
            <v>0</v>
          </cell>
          <cell r="BG416">
            <v>0</v>
          </cell>
          <cell r="BH416">
            <v>0</v>
          </cell>
          <cell r="BI416">
            <v>0</v>
          </cell>
          <cell r="BJ416">
            <v>0</v>
          </cell>
          <cell r="BK416">
            <v>0</v>
          </cell>
          <cell r="BL416">
            <v>0</v>
          </cell>
          <cell r="BM416">
            <v>0</v>
          </cell>
          <cell r="BN416">
            <v>0</v>
          </cell>
          <cell r="BO416">
            <v>0</v>
          </cell>
          <cell r="BP416">
            <v>0</v>
          </cell>
          <cell r="BQ416">
            <v>0</v>
          </cell>
          <cell r="BR416">
            <v>0</v>
          </cell>
          <cell r="BS416">
            <v>0</v>
          </cell>
          <cell r="BT416">
            <v>0</v>
          </cell>
          <cell r="BU416">
            <v>0</v>
          </cell>
          <cell r="BV416">
            <v>0</v>
          </cell>
          <cell r="BW416">
            <v>0</v>
          </cell>
          <cell r="BX416">
            <v>0</v>
          </cell>
          <cell r="BY416">
            <v>0</v>
          </cell>
          <cell r="BZ416">
            <v>0</v>
          </cell>
          <cell r="CA416">
            <v>0</v>
          </cell>
          <cell r="CB416">
            <v>0</v>
          </cell>
          <cell r="CC416">
            <v>0</v>
          </cell>
          <cell r="CD416">
            <v>0</v>
          </cell>
        </row>
        <row r="417">
          <cell r="C417">
            <v>37854</v>
          </cell>
          <cell r="I417">
            <v>0</v>
          </cell>
          <cell r="N417">
            <v>0</v>
          </cell>
          <cell r="P417">
            <v>0</v>
          </cell>
          <cell r="T417">
            <v>0</v>
          </cell>
          <cell r="V417">
            <v>0</v>
          </cell>
          <cell r="W417">
            <v>0</v>
          </cell>
          <cell r="X417">
            <v>0</v>
          </cell>
          <cell r="Y417">
            <v>0</v>
          </cell>
          <cell r="AB417">
            <v>0</v>
          </cell>
          <cell r="AC417">
            <v>8</v>
          </cell>
          <cell r="AD417">
            <v>0</v>
          </cell>
          <cell r="BF417">
            <v>0</v>
          </cell>
          <cell r="BG417">
            <v>0</v>
          </cell>
          <cell r="BH417">
            <v>0</v>
          </cell>
          <cell r="BI417">
            <v>0</v>
          </cell>
          <cell r="BJ417">
            <v>0</v>
          </cell>
          <cell r="BK417">
            <v>0</v>
          </cell>
          <cell r="BL417">
            <v>0</v>
          </cell>
          <cell r="BM417">
            <v>0</v>
          </cell>
          <cell r="BN417">
            <v>0</v>
          </cell>
          <cell r="BO417">
            <v>0</v>
          </cell>
          <cell r="BP417">
            <v>0</v>
          </cell>
          <cell r="BQ417">
            <v>0</v>
          </cell>
          <cell r="BR417">
            <v>0</v>
          </cell>
          <cell r="BS417">
            <v>0</v>
          </cell>
          <cell r="BT417">
            <v>0</v>
          </cell>
          <cell r="BU417">
            <v>0</v>
          </cell>
          <cell r="BV417">
            <v>0</v>
          </cell>
          <cell r="BW417">
            <v>0</v>
          </cell>
          <cell r="BX417">
            <v>0</v>
          </cell>
          <cell r="BY417">
            <v>0</v>
          </cell>
          <cell r="BZ417">
            <v>0</v>
          </cell>
          <cell r="CA417">
            <v>0</v>
          </cell>
          <cell r="CB417">
            <v>0</v>
          </cell>
          <cell r="CC417">
            <v>0</v>
          </cell>
          <cell r="CD417">
            <v>0</v>
          </cell>
        </row>
        <row r="418">
          <cell r="C418">
            <v>37854</v>
          </cell>
          <cell r="D418">
            <v>37970</v>
          </cell>
          <cell r="E418">
            <v>37959</v>
          </cell>
          <cell r="F418">
            <v>0.59027777777777779</v>
          </cell>
          <cell r="G418" t="str">
            <v>Linha de Pintura 8,5m</v>
          </cell>
          <cell r="H418" t="str">
            <v>Problema no carrinho hidráulico</v>
          </cell>
          <cell r="I418">
            <v>0</v>
          </cell>
          <cell r="J418" t="str">
            <v>Não</v>
          </cell>
          <cell r="K418" t="str">
            <v>Mecânica</v>
          </cell>
          <cell r="L418" t="str">
            <v>Reparo</v>
          </cell>
          <cell r="M418" t="str">
            <v>Falta de Lubrificação</v>
          </cell>
          <cell r="N418">
            <v>37959</v>
          </cell>
          <cell r="O418">
            <v>0.59375</v>
          </cell>
          <cell r="P418">
            <v>0</v>
          </cell>
          <cell r="T418">
            <v>37959</v>
          </cell>
          <cell r="U418">
            <v>0.63888888888888895</v>
          </cell>
          <cell r="V418">
            <v>0</v>
          </cell>
          <cell r="W418">
            <v>4.5138888890505768E-2</v>
          </cell>
          <cell r="X418">
            <v>0</v>
          </cell>
          <cell r="Y418">
            <v>0</v>
          </cell>
          <cell r="AB418">
            <v>12</v>
          </cell>
          <cell r="AC418">
            <v>8</v>
          </cell>
          <cell r="AD418">
            <v>0</v>
          </cell>
          <cell r="BF418">
            <v>0</v>
          </cell>
          <cell r="BG418">
            <v>0</v>
          </cell>
          <cell r="BH418">
            <v>0</v>
          </cell>
          <cell r="BI418">
            <v>0</v>
          </cell>
          <cell r="BJ418">
            <v>0</v>
          </cell>
          <cell r="BK418">
            <v>0</v>
          </cell>
          <cell r="BL418">
            <v>0</v>
          </cell>
          <cell r="BM418">
            <v>0</v>
          </cell>
          <cell r="BN418">
            <v>0</v>
          </cell>
          <cell r="BO418">
            <v>0</v>
          </cell>
          <cell r="BP418">
            <v>12</v>
          </cell>
          <cell r="BQ418">
            <v>0</v>
          </cell>
          <cell r="BR418">
            <v>0</v>
          </cell>
          <cell r="BS418">
            <v>0</v>
          </cell>
          <cell r="BT418">
            <v>0</v>
          </cell>
          <cell r="BU418">
            <v>0</v>
          </cell>
          <cell r="BV418">
            <v>0</v>
          </cell>
          <cell r="BW418">
            <v>0</v>
          </cell>
          <cell r="BX418">
            <v>0</v>
          </cell>
          <cell r="BY418">
            <v>0</v>
          </cell>
          <cell r="BZ418">
            <v>0</v>
          </cell>
          <cell r="CA418">
            <v>0</v>
          </cell>
          <cell r="CB418">
            <v>0</v>
          </cell>
          <cell r="CC418">
            <v>0</v>
          </cell>
          <cell r="CD418">
            <v>0</v>
          </cell>
        </row>
        <row r="419">
          <cell r="C419">
            <v>37854</v>
          </cell>
          <cell r="D419">
            <v>37970</v>
          </cell>
          <cell r="E419">
            <v>37937</v>
          </cell>
          <cell r="F419">
            <v>0.72569444444444453</v>
          </cell>
          <cell r="G419" t="str">
            <v>Linha de Pintura 8,5m</v>
          </cell>
          <cell r="H419" t="str">
            <v>Anomalia no Queimador do Fosfato</v>
          </cell>
          <cell r="I419">
            <v>0</v>
          </cell>
          <cell r="J419" t="str">
            <v>Sim</v>
          </cell>
          <cell r="K419" t="str">
            <v>Elétrica</v>
          </cell>
          <cell r="L419" t="str">
            <v>Limpeza do Equipamento / Componente</v>
          </cell>
          <cell r="M419" t="str">
            <v>Sujeira em excesso</v>
          </cell>
          <cell r="N419">
            <v>37937</v>
          </cell>
          <cell r="O419">
            <v>0.73611111111111116</v>
          </cell>
          <cell r="P419">
            <v>0</v>
          </cell>
          <cell r="T419">
            <v>37937</v>
          </cell>
          <cell r="U419">
            <v>0.75763888888888886</v>
          </cell>
          <cell r="V419">
            <v>0</v>
          </cell>
          <cell r="W419">
            <v>3.1944444447516429E-2</v>
          </cell>
          <cell r="X419">
            <v>0</v>
          </cell>
          <cell r="Y419">
            <v>0</v>
          </cell>
          <cell r="AB419">
            <v>11</v>
          </cell>
          <cell r="AC419">
            <v>8</v>
          </cell>
          <cell r="AD419">
            <v>0</v>
          </cell>
          <cell r="BF419">
            <v>0</v>
          </cell>
          <cell r="BG419">
            <v>0</v>
          </cell>
          <cell r="BH419">
            <v>0</v>
          </cell>
          <cell r="BI419">
            <v>0</v>
          </cell>
          <cell r="BJ419">
            <v>0</v>
          </cell>
          <cell r="BK419">
            <v>0</v>
          </cell>
          <cell r="BL419">
            <v>0</v>
          </cell>
          <cell r="BM419">
            <v>0</v>
          </cell>
          <cell r="BN419">
            <v>0</v>
          </cell>
          <cell r="BO419">
            <v>0</v>
          </cell>
          <cell r="BP419">
            <v>11</v>
          </cell>
          <cell r="BQ419">
            <v>0</v>
          </cell>
          <cell r="BR419">
            <v>0</v>
          </cell>
          <cell r="BS419">
            <v>0</v>
          </cell>
          <cell r="BT419">
            <v>0</v>
          </cell>
          <cell r="BU419">
            <v>0</v>
          </cell>
          <cell r="BV419">
            <v>0</v>
          </cell>
          <cell r="BW419">
            <v>0</v>
          </cell>
          <cell r="BX419">
            <v>0</v>
          </cell>
          <cell r="BY419">
            <v>0</v>
          </cell>
          <cell r="BZ419">
            <v>0</v>
          </cell>
          <cell r="CA419">
            <v>0</v>
          </cell>
          <cell r="CB419">
            <v>0</v>
          </cell>
          <cell r="CC419">
            <v>0</v>
          </cell>
          <cell r="CD419">
            <v>0</v>
          </cell>
        </row>
        <row r="420">
          <cell r="C420">
            <v>37854</v>
          </cell>
          <cell r="D420">
            <v>37970</v>
          </cell>
          <cell r="E420">
            <v>37956</v>
          </cell>
          <cell r="F420">
            <v>0.75</v>
          </cell>
          <cell r="G420" t="str">
            <v>Equipamentos diversos</v>
          </cell>
          <cell r="H420" t="str">
            <v>Problema na máquina de pressão WAP</v>
          </cell>
          <cell r="I420">
            <v>0</v>
          </cell>
          <cell r="J420" t="str">
            <v>Sim</v>
          </cell>
          <cell r="K420" t="str">
            <v>Elétrica</v>
          </cell>
          <cell r="L420" t="str">
            <v>Substituição do(s) Componente(s)</v>
          </cell>
          <cell r="M420" t="str">
            <v>Sobrecarga</v>
          </cell>
          <cell r="N420">
            <v>37956</v>
          </cell>
          <cell r="O420">
            <v>0.75</v>
          </cell>
          <cell r="P420">
            <v>0</v>
          </cell>
          <cell r="T420">
            <v>37956</v>
          </cell>
          <cell r="U420">
            <v>0.78125</v>
          </cell>
          <cell r="V420">
            <v>0</v>
          </cell>
          <cell r="W420">
            <v>3.125E-2</v>
          </cell>
          <cell r="X420">
            <v>0</v>
          </cell>
          <cell r="Y420">
            <v>0</v>
          </cell>
          <cell r="AB420">
            <v>12</v>
          </cell>
          <cell r="AC420">
            <v>8</v>
          </cell>
          <cell r="AD420">
            <v>0</v>
          </cell>
          <cell r="BF420">
            <v>0</v>
          </cell>
          <cell r="BG420">
            <v>0</v>
          </cell>
          <cell r="BH420">
            <v>0</v>
          </cell>
          <cell r="BI420">
            <v>0</v>
          </cell>
          <cell r="BJ420">
            <v>12</v>
          </cell>
          <cell r="BK420">
            <v>0</v>
          </cell>
          <cell r="BL420">
            <v>0</v>
          </cell>
          <cell r="BM420">
            <v>0</v>
          </cell>
          <cell r="BN420">
            <v>0</v>
          </cell>
          <cell r="BO420">
            <v>0</v>
          </cell>
          <cell r="BP420">
            <v>0</v>
          </cell>
          <cell r="BQ420">
            <v>0</v>
          </cell>
          <cell r="BR420">
            <v>0</v>
          </cell>
          <cell r="BS420">
            <v>0</v>
          </cell>
          <cell r="BT420">
            <v>0</v>
          </cell>
          <cell r="BU420">
            <v>0</v>
          </cell>
          <cell r="BV420">
            <v>0</v>
          </cell>
          <cell r="BW420">
            <v>0</v>
          </cell>
          <cell r="BX420">
            <v>0</v>
          </cell>
          <cell r="BY420">
            <v>0</v>
          </cell>
          <cell r="BZ420">
            <v>0</v>
          </cell>
          <cell r="CA420">
            <v>0</v>
          </cell>
          <cell r="CB420">
            <v>0</v>
          </cell>
          <cell r="CC420">
            <v>0</v>
          </cell>
          <cell r="CD420">
            <v>0</v>
          </cell>
        </row>
        <row r="421">
          <cell r="C421">
            <v>37854</v>
          </cell>
          <cell r="D421">
            <v>38008</v>
          </cell>
          <cell r="E421">
            <v>37957</v>
          </cell>
          <cell r="F421">
            <v>0.33333333333333331</v>
          </cell>
          <cell r="G421" t="str">
            <v>Linha de Pintura 8,5m</v>
          </cell>
          <cell r="H421" t="str">
            <v>Parada constante no elevador (Parô 03)</v>
          </cell>
          <cell r="I421">
            <v>0</v>
          </cell>
          <cell r="J421" t="str">
            <v>Não</v>
          </cell>
          <cell r="K421" t="str">
            <v>Mecânica</v>
          </cell>
          <cell r="L421" t="str">
            <v>Ajuste / Regulagem</v>
          </cell>
          <cell r="M421" t="str">
            <v>Falha de Ajuste / Parâmetros</v>
          </cell>
          <cell r="N421">
            <v>0</v>
          </cell>
          <cell r="O421">
            <v>0.35416666666666669</v>
          </cell>
          <cell r="P421">
            <v>0</v>
          </cell>
          <cell r="T421">
            <v>0</v>
          </cell>
          <cell r="U421">
            <v>0.39583333333333331</v>
          </cell>
          <cell r="V421">
            <v>0</v>
          </cell>
          <cell r="W421">
            <v>0</v>
          </cell>
          <cell r="X421">
            <v>0</v>
          </cell>
          <cell r="Y421">
            <v>0</v>
          </cell>
          <cell r="AB421">
            <v>0</v>
          </cell>
          <cell r="AC421">
            <v>8</v>
          </cell>
          <cell r="AD421">
            <v>0</v>
          </cell>
          <cell r="BF421">
            <v>0</v>
          </cell>
          <cell r="BG421">
            <v>0</v>
          </cell>
          <cell r="BH421">
            <v>0</v>
          </cell>
          <cell r="BI421">
            <v>0</v>
          </cell>
          <cell r="BJ421">
            <v>0</v>
          </cell>
          <cell r="BK421">
            <v>0</v>
          </cell>
          <cell r="BL421">
            <v>0</v>
          </cell>
          <cell r="BM421">
            <v>0</v>
          </cell>
          <cell r="BN421">
            <v>0</v>
          </cell>
          <cell r="BO421">
            <v>0</v>
          </cell>
          <cell r="BP421">
            <v>0</v>
          </cell>
          <cell r="BQ421">
            <v>0</v>
          </cell>
          <cell r="BR421">
            <v>0</v>
          </cell>
          <cell r="BS421">
            <v>0</v>
          </cell>
          <cell r="BT421">
            <v>0</v>
          </cell>
          <cell r="BU421">
            <v>0</v>
          </cell>
          <cell r="BV421">
            <v>0</v>
          </cell>
          <cell r="BW421">
            <v>0</v>
          </cell>
          <cell r="BX421">
            <v>0</v>
          </cell>
          <cell r="BY421">
            <v>0</v>
          </cell>
          <cell r="BZ421">
            <v>0</v>
          </cell>
          <cell r="CA421">
            <v>0</v>
          </cell>
          <cell r="CB421">
            <v>0</v>
          </cell>
          <cell r="CC421">
            <v>0</v>
          </cell>
          <cell r="CD421">
            <v>0</v>
          </cell>
        </row>
        <row r="422">
          <cell r="C422">
            <v>37854</v>
          </cell>
          <cell r="D422">
            <v>37970</v>
          </cell>
          <cell r="E422">
            <v>37935</v>
          </cell>
          <cell r="F422">
            <v>37935</v>
          </cell>
          <cell r="G422">
            <v>0.53125</v>
          </cell>
          <cell r="H422" t="str">
            <v>Parafuso do motor 01 quebrado</v>
          </cell>
          <cell r="I422">
            <v>0</v>
          </cell>
          <cell r="J422" t="str">
            <v>Sim</v>
          </cell>
          <cell r="K422" t="str">
            <v>Mecânica</v>
          </cell>
          <cell r="L422" t="str">
            <v>Sim</v>
          </cell>
          <cell r="M422" t="str">
            <v>Falha de Comando / Sistema</v>
          </cell>
          <cell r="N422">
            <v>37935</v>
          </cell>
          <cell r="O422">
            <v>0.53819444444444442</v>
          </cell>
          <cell r="P422">
            <v>37935</v>
          </cell>
          <cell r="Q422">
            <v>0.53819444444444442</v>
          </cell>
          <cell r="T422">
            <v>37935</v>
          </cell>
          <cell r="U422">
            <v>0.55208333333333337</v>
          </cell>
          <cell r="V422">
            <v>37935</v>
          </cell>
          <cell r="W422">
            <v>0.55208333333333337</v>
          </cell>
          <cell r="X422">
            <v>1.3888888888888951E-2</v>
          </cell>
          <cell r="Y422">
            <v>1.3888888891314233E-2</v>
          </cell>
          <cell r="AB422">
            <v>11</v>
          </cell>
          <cell r="AC422">
            <v>8</v>
          </cell>
          <cell r="AD422">
            <v>0</v>
          </cell>
          <cell r="BF422">
            <v>0</v>
          </cell>
          <cell r="BG422">
            <v>0</v>
          </cell>
          <cell r="BH422">
            <v>0</v>
          </cell>
          <cell r="BI422">
            <v>0</v>
          </cell>
          <cell r="BJ422">
            <v>0</v>
          </cell>
          <cell r="BK422">
            <v>0</v>
          </cell>
          <cell r="BL422">
            <v>0</v>
          </cell>
          <cell r="BM422">
            <v>0</v>
          </cell>
          <cell r="BN422">
            <v>0</v>
          </cell>
          <cell r="BO422">
            <v>0</v>
          </cell>
          <cell r="BP422">
            <v>11</v>
          </cell>
          <cell r="BQ422">
            <v>0</v>
          </cell>
          <cell r="BR422">
            <v>0</v>
          </cell>
          <cell r="BS422">
            <v>0</v>
          </cell>
          <cell r="BT422">
            <v>0</v>
          </cell>
          <cell r="BU422">
            <v>0</v>
          </cell>
          <cell r="BV422">
            <v>0</v>
          </cell>
          <cell r="BW422">
            <v>0</v>
          </cell>
          <cell r="BX422">
            <v>0</v>
          </cell>
          <cell r="BY422">
            <v>0</v>
          </cell>
          <cell r="BZ422">
            <v>0</v>
          </cell>
          <cell r="CA422">
            <v>0</v>
          </cell>
          <cell r="CB422">
            <v>0</v>
          </cell>
          <cell r="CC422">
            <v>0</v>
          </cell>
          <cell r="CD422">
            <v>0</v>
          </cell>
        </row>
        <row r="423">
          <cell r="C423">
            <v>37854</v>
          </cell>
          <cell r="D423">
            <v>37993</v>
          </cell>
          <cell r="E423">
            <v>37936</v>
          </cell>
          <cell r="F423">
            <v>0.625</v>
          </cell>
          <cell r="G423" t="str">
            <v>Linha de Pintura 8,5m</v>
          </cell>
          <cell r="H423" t="str">
            <v>Módulo apresenta mau contato</v>
          </cell>
          <cell r="I423">
            <v>0</v>
          </cell>
          <cell r="J423" t="str">
            <v>Não</v>
          </cell>
          <cell r="K423" t="str">
            <v>Elétrica</v>
          </cell>
          <cell r="L423" t="str">
            <v>Reaperto dos componentes</v>
          </cell>
          <cell r="M423" t="str">
            <v>Vibração</v>
          </cell>
          <cell r="N423">
            <v>0</v>
          </cell>
          <cell r="O423">
            <v>0.625</v>
          </cell>
          <cell r="P423">
            <v>0</v>
          </cell>
          <cell r="T423">
            <v>0</v>
          </cell>
          <cell r="U423">
            <v>0.66666666666666663</v>
          </cell>
          <cell r="V423">
            <v>0</v>
          </cell>
          <cell r="W423">
            <v>0</v>
          </cell>
          <cell r="X423">
            <v>0</v>
          </cell>
          <cell r="Y423">
            <v>0</v>
          </cell>
          <cell r="AB423">
            <v>0</v>
          </cell>
          <cell r="AC423">
            <v>8</v>
          </cell>
          <cell r="AD423">
            <v>0</v>
          </cell>
          <cell r="BF423">
            <v>0</v>
          </cell>
          <cell r="BG423">
            <v>0</v>
          </cell>
          <cell r="BH423">
            <v>0</v>
          </cell>
          <cell r="BI423">
            <v>0</v>
          </cell>
          <cell r="BJ423">
            <v>0</v>
          </cell>
          <cell r="BK423">
            <v>0</v>
          </cell>
          <cell r="BL423">
            <v>0</v>
          </cell>
          <cell r="BM423">
            <v>0</v>
          </cell>
          <cell r="BN423">
            <v>0</v>
          </cell>
          <cell r="BO423">
            <v>0</v>
          </cell>
          <cell r="BP423">
            <v>0</v>
          </cell>
          <cell r="BQ423">
            <v>0</v>
          </cell>
          <cell r="BR423">
            <v>0</v>
          </cell>
          <cell r="BS423">
            <v>0</v>
          </cell>
          <cell r="BT423">
            <v>0</v>
          </cell>
          <cell r="BU423">
            <v>0</v>
          </cell>
          <cell r="BV423">
            <v>0</v>
          </cell>
          <cell r="BW423">
            <v>0</v>
          </cell>
          <cell r="BX423">
            <v>0</v>
          </cell>
          <cell r="BY423">
            <v>0</v>
          </cell>
          <cell r="BZ423">
            <v>0</v>
          </cell>
          <cell r="CA423">
            <v>0</v>
          </cell>
          <cell r="CB423">
            <v>0</v>
          </cell>
          <cell r="CC423">
            <v>0</v>
          </cell>
          <cell r="CD423">
            <v>0</v>
          </cell>
        </row>
        <row r="424">
          <cell r="C424">
            <v>37854</v>
          </cell>
          <cell r="I424">
            <v>0</v>
          </cell>
          <cell r="N424">
            <v>0</v>
          </cell>
          <cell r="P424">
            <v>0</v>
          </cell>
          <cell r="T424">
            <v>0</v>
          </cell>
          <cell r="V424">
            <v>0</v>
          </cell>
          <cell r="W424">
            <v>0</v>
          </cell>
          <cell r="X424">
            <v>0</v>
          </cell>
          <cell r="Y424">
            <v>0</v>
          </cell>
          <cell r="AB424">
            <v>0</v>
          </cell>
          <cell r="AC424">
            <v>8</v>
          </cell>
          <cell r="AD424">
            <v>0</v>
          </cell>
          <cell r="BF424">
            <v>0</v>
          </cell>
          <cell r="BG424">
            <v>0</v>
          </cell>
          <cell r="BH424">
            <v>0</v>
          </cell>
          <cell r="BI424">
            <v>0</v>
          </cell>
          <cell r="BJ424">
            <v>0</v>
          </cell>
          <cell r="BK424">
            <v>0</v>
          </cell>
          <cell r="BL424">
            <v>0</v>
          </cell>
          <cell r="BM424">
            <v>0</v>
          </cell>
          <cell r="BN424">
            <v>0</v>
          </cell>
          <cell r="BO424">
            <v>0</v>
          </cell>
          <cell r="BP424">
            <v>0</v>
          </cell>
          <cell r="BQ424">
            <v>0</v>
          </cell>
          <cell r="BR424">
            <v>0</v>
          </cell>
          <cell r="BS424">
            <v>0</v>
          </cell>
          <cell r="BT424">
            <v>0</v>
          </cell>
          <cell r="BU424">
            <v>0</v>
          </cell>
          <cell r="BV424">
            <v>0</v>
          </cell>
          <cell r="BW424">
            <v>0</v>
          </cell>
          <cell r="BX424">
            <v>0</v>
          </cell>
          <cell r="BY424">
            <v>0</v>
          </cell>
          <cell r="BZ424">
            <v>0</v>
          </cell>
          <cell r="CA424">
            <v>0</v>
          </cell>
          <cell r="CB424">
            <v>0</v>
          </cell>
          <cell r="CC424">
            <v>0</v>
          </cell>
          <cell r="CD424">
            <v>0</v>
          </cell>
        </row>
        <row r="425">
          <cell r="C425">
            <v>37854</v>
          </cell>
          <cell r="D425">
            <v>37970</v>
          </cell>
          <cell r="E425">
            <v>37935</v>
          </cell>
          <cell r="F425">
            <v>37935</v>
          </cell>
          <cell r="G425">
            <v>0.77083333333333337</v>
          </cell>
          <cell r="H425" t="str">
            <v>Bastidor Travado</v>
          </cell>
          <cell r="I425">
            <v>0</v>
          </cell>
          <cell r="J425" t="str">
            <v>Sim</v>
          </cell>
          <cell r="K425" t="str">
            <v>Mecânica</v>
          </cell>
          <cell r="L425" t="str">
            <v>Sim</v>
          </cell>
          <cell r="M425" t="str">
            <v>Falha de Regulagem / Configuração / Dimensionamento</v>
          </cell>
          <cell r="N425">
            <v>37935</v>
          </cell>
          <cell r="O425">
            <v>0.77083333333333337</v>
          </cell>
          <cell r="P425">
            <v>37935</v>
          </cell>
          <cell r="Q425">
            <v>0.77083333333333337</v>
          </cell>
          <cell r="T425">
            <v>37935</v>
          </cell>
          <cell r="U425">
            <v>0.85416666666666663</v>
          </cell>
          <cell r="V425">
            <v>37935</v>
          </cell>
          <cell r="W425">
            <v>0.85416666666666663</v>
          </cell>
          <cell r="X425">
            <v>8.3333333333333259E-2</v>
          </cell>
          <cell r="Y425">
            <v>8.3333333330907977E-2</v>
          </cell>
          <cell r="AB425">
            <v>11</v>
          </cell>
          <cell r="AC425">
            <v>8</v>
          </cell>
          <cell r="AD425">
            <v>0</v>
          </cell>
          <cell r="BF425">
            <v>0</v>
          </cell>
          <cell r="BG425">
            <v>0</v>
          </cell>
          <cell r="BH425">
            <v>0</v>
          </cell>
          <cell r="BI425">
            <v>0</v>
          </cell>
          <cell r="BJ425">
            <v>0</v>
          </cell>
          <cell r="BK425">
            <v>0</v>
          </cell>
          <cell r="BL425">
            <v>0</v>
          </cell>
          <cell r="BM425">
            <v>0</v>
          </cell>
          <cell r="BN425">
            <v>11</v>
          </cell>
          <cell r="BO425">
            <v>0</v>
          </cell>
          <cell r="BP425">
            <v>0</v>
          </cell>
          <cell r="BQ425">
            <v>0</v>
          </cell>
          <cell r="BR425">
            <v>0</v>
          </cell>
          <cell r="BS425">
            <v>0</v>
          </cell>
          <cell r="BT425">
            <v>0</v>
          </cell>
          <cell r="BU425">
            <v>0</v>
          </cell>
          <cell r="BV425">
            <v>0</v>
          </cell>
          <cell r="BW425">
            <v>0</v>
          </cell>
          <cell r="BX425">
            <v>0</v>
          </cell>
          <cell r="BY425">
            <v>0</v>
          </cell>
          <cell r="BZ425">
            <v>0</v>
          </cell>
          <cell r="CA425">
            <v>0</v>
          </cell>
          <cell r="CB425">
            <v>0</v>
          </cell>
          <cell r="CC425">
            <v>0</v>
          </cell>
          <cell r="CD425">
            <v>0</v>
          </cell>
        </row>
        <row r="426">
          <cell r="C426">
            <v>37854</v>
          </cell>
          <cell r="D426">
            <v>37993</v>
          </cell>
          <cell r="E426">
            <v>37960</v>
          </cell>
          <cell r="F426">
            <v>0.58333333333333337</v>
          </cell>
          <cell r="G426" t="str">
            <v>Linha de Pintura 8,5m</v>
          </cell>
          <cell r="H426" t="str">
            <v>parada constante no elevador de descarga</v>
          </cell>
          <cell r="I426">
            <v>0</v>
          </cell>
          <cell r="J426" t="str">
            <v>Sim</v>
          </cell>
          <cell r="K426" t="str">
            <v>Mecânica</v>
          </cell>
          <cell r="L426" t="str">
            <v>Ajuste / Regulagem</v>
          </cell>
          <cell r="M426" t="str">
            <v>Falha de Regulagem / Configuração / Dimensionamento</v>
          </cell>
          <cell r="N426">
            <v>0</v>
          </cell>
          <cell r="O426">
            <v>0.58333333333333337</v>
          </cell>
          <cell r="P426">
            <v>0</v>
          </cell>
          <cell r="T426">
            <v>0</v>
          </cell>
          <cell r="U426">
            <v>0.625</v>
          </cell>
          <cell r="V426">
            <v>0</v>
          </cell>
          <cell r="W426">
            <v>0</v>
          </cell>
          <cell r="X426">
            <v>0</v>
          </cell>
          <cell r="Y426">
            <v>0</v>
          </cell>
          <cell r="AB426">
            <v>0</v>
          </cell>
          <cell r="AC426">
            <v>8</v>
          </cell>
          <cell r="AD426">
            <v>0</v>
          </cell>
          <cell r="BF426">
            <v>0</v>
          </cell>
          <cell r="BG426">
            <v>0</v>
          </cell>
          <cell r="BH426">
            <v>0</v>
          </cell>
          <cell r="BI426">
            <v>0</v>
          </cell>
          <cell r="BJ426">
            <v>0</v>
          </cell>
          <cell r="BK426">
            <v>0</v>
          </cell>
          <cell r="BL426">
            <v>0</v>
          </cell>
          <cell r="BM426">
            <v>0</v>
          </cell>
          <cell r="BN426">
            <v>0</v>
          </cell>
          <cell r="BO426">
            <v>0</v>
          </cell>
          <cell r="BP426">
            <v>0</v>
          </cell>
          <cell r="BQ426">
            <v>0</v>
          </cell>
          <cell r="BR426">
            <v>0</v>
          </cell>
          <cell r="BS426">
            <v>0</v>
          </cell>
          <cell r="BT426">
            <v>0</v>
          </cell>
          <cell r="BU426">
            <v>0</v>
          </cell>
          <cell r="BV426">
            <v>0</v>
          </cell>
          <cell r="BW426">
            <v>0</v>
          </cell>
          <cell r="BX426">
            <v>0</v>
          </cell>
          <cell r="BY426">
            <v>0</v>
          </cell>
          <cell r="BZ426">
            <v>0</v>
          </cell>
          <cell r="CA426">
            <v>0</v>
          </cell>
          <cell r="CB426">
            <v>0</v>
          </cell>
          <cell r="CC426">
            <v>0</v>
          </cell>
          <cell r="CD426">
            <v>0</v>
          </cell>
        </row>
        <row r="427">
          <cell r="C427">
            <v>37854</v>
          </cell>
          <cell r="D427">
            <v>37970</v>
          </cell>
          <cell r="E427">
            <v>37946</v>
          </cell>
          <cell r="F427">
            <v>0.33333333333333331</v>
          </cell>
          <cell r="G427" t="str">
            <v>Linha de Pintura 8,5m</v>
          </cell>
          <cell r="H427" t="str">
            <v>Problema no solenóide e bóia do tanque de fosfato</v>
          </cell>
          <cell r="I427">
            <v>0</v>
          </cell>
          <cell r="J427" t="str">
            <v>Não</v>
          </cell>
          <cell r="K427" t="str">
            <v>Mecânica</v>
          </cell>
          <cell r="L427" t="str">
            <v>Limpeza do Equipamento / Componente</v>
          </cell>
          <cell r="M427" t="str">
            <v>Sujeira em excesso</v>
          </cell>
          <cell r="N427">
            <v>37946</v>
          </cell>
          <cell r="O427">
            <v>0.34027777777777773</v>
          </cell>
          <cell r="P427">
            <v>0</v>
          </cell>
          <cell r="T427">
            <v>37946</v>
          </cell>
          <cell r="U427">
            <v>0.36805555555555558</v>
          </cell>
          <cell r="V427">
            <v>0</v>
          </cell>
          <cell r="W427">
            <v>2.7777777776969381E-2</v>
          </cell>
          <cell r="X427">
            <v>0</v>
          </cell>
          <cell r="Y427">
            <v>0</v>
          </cell>
          <cell r="AB427">
            <v>11</v>
          </cell>
          <cell r="AC427">
            <v>8</v>
          </cell>
          <cell r="AD427">
            <v>0</v>
          </cell>
          <cell r="BF427">
            <v>0</v>
          </cell>
          <cell r="BG427">
            <v>0</v>
          </cell>
          <cell r="BH427">
            <v>0</v>
          </cell>
          <cell r="BI427">
            <v>0</v>
          </cell>
          <cell r="BJ427">
            <v>0</v>
          </cell>
          <cell r="BK427">
            <v>0</v>
          </cell>
          <cell r="BL427">
            <v>0</v>
          </cell>
          <cell r="BM427">
            <v>0</v>
          </cell>
          <cell r="BN427">
            <v>0</v>
          </cell>
          <cell r="BO427">
            <v>0</v>
          </cell>
          <cell r="BP427">
            <v>11</v>
          </cell>
          <cell r="BQ427">
            <v>0</v>
          </cell>
          <cell r="BR427">
            <v>0</v>
          </cell>
          <cell r="BS427">
            <v>0</v>
          </cell>
          <cell r="BT427">
            <v>0</v>
          </cell>
          <cell r="BU427">
            <v>0</v>
          </cell>
          <cell r="BV427">
            <v>0</v>
          </cell>
          <cell r="BW427">
            <v>0</v>
          </cell>
          <cell r="BX427">
            <v>0</v>
          </cell>
          <cell r="BY427">
            <v>0</v>
          </cell>
          <cell r="BZ427">
            <v>0</v>
          </cell>
          <cell r="CA427">
            <v>0</v>
          </cell>
          <cell r="CB427">
            <v>0</v>
          </cell>
          <cell r="CC427">
            <v>0</v>
          </cell>
          <cell r="CD427">
            <v>0</v>
          </cell>
        </row>
        <row r="428">
          <cell r="C428">
            <v>37854</v>
          </cell>
          <cell r="I428">
            <v>0</v>
          </cell>
          <cell r="N428">
            <v>0</v>
          </cell>
          <cell r="P428">
            <v>0</v>
          </cell>
          <cell r="T428">
            <v>0</v>
          </cell>
          <cell r="V428">
            <v>0</v>
          </cell>
          <cell r="W428">
            <v>0</v>
          </cell>
          <cell r="X428">
            <v>0</v>
          </cell>
          <cell r="Y428">
            <v>0</v>
          </cell>
          <cell r="AB428">
            <v>0</v>
          </cell>
          <cell r="AC428">
            <v>8</v>
          </cell>
          <cell r="AD428">
            <v>0</v>
          </cell>
          <cell r="BF428">
            <v>0</v>
          </cell>
          <cell r="BG428">
            <v>0</v>
          </cell>
          <cell r="BH428">
            <v>0</v>
          </cell>
          <cell r="BI428">
            <v>0</v>
          </cell>
          <cell r="BJ428">
            <v>0</v>
          </cell>
          <cell r="BK428">
            <v>0</v>
          </cell>
          <cell r="BL428">
            <v>0</v>
          </cell>
          <cell r="BM428">
            <v>0</v>
          </cell>
          <cell r="BN428">
            <v>0</v>
          </cell>
          <cell r="BO428">
            <v>0</v>
          </cell>
          <cell r="BP428">
            <v>0</v>
          </cell>
          <cell r="BQ428">
            <v>0</v>
          </cell>
          <cell r="BR428">
            <v>0</v>
          </cell>
          <cell r="BS428">
            <v>0</v>
          </cell>
          <cell r="BT428">
            <v>0</v>
          </cell>
          <cell r="BU428">
            <v>0</v>
          </cell>
          <cell r="BV428">
            <v>0</v>
          </cell>
          <cell r="BW428">
            <v>0</v>
          </cell>
          <cell r="BX428">
            <v>0</v>
          </cell>
          <cell r="BY428">
            <v>0</v>
          </cell>
          <cell r="BZ428">
            <v>0</v>
          </cell>
          <cell r="CA428">
            <v>0</v>
          </cell>
          <cell r="CB428">
            <v>0</v>
          </cell>
          <cell r="CC428">
            <v>0</v>
          </cell>
          <cell r="CD428">
            <v>0</v>
          </cell>
        </row>
        <row r="429">
          <cell r="C429">
            <v>37854</v>
          </cell>
          <cell r="D429">
            <v>37970</v>
          </cell>
          <cell r="E429">
            <v>37950</v>
          </cell>
          <cell r="F429">
            <v>37950</v>
          </cell>
          <cell r="G429">
            <v>0.33333333333333331</v>
          </cell>
          <cell r="H429" t="str">
            <v>Eliminar vazamento de ar no transportador aéreo</v>
          </cell>
          <cell r="I429">
            <v>0</v>
          </cell>
          <cell r="J429" t="str">
            <v>Não</v>
          </cell>
          <cell r="K429" t="str">
            <v>Mecânica</v>
          </cell>
          <cell r="L429" t="str">
            <v>Não</v>
          </cell>
          <cell r="M429" t="str">
            <v>Desgaste / Fadiga</v>
          </cell>
          <cell r="N429">
            <v>37950</v>
          </cell>
          <cell r="O429">
            <v>0.34722222222222227</v>
          </cell>
          <cell r="P429">
            <v>37950</v>
          </cell>
          <cell r="Q429">
            <v>0.34722222222222227</v>
          </cell>
          <cell r="T429">
            <v>37950</v>
          </cell>
          <cell r="U429">
            <v>0.38194444444444442</v>
          </cell>
          <cell r="V429">
            <v>37950</v>
          </cell>
          <cell r="W429">
            <v>0.38194444444444442</v>
          </cell>
          <cell r="X429">
            <v>3.4722222223030619E-2</v>
          </cell>
          <cell r="Y429">
            <v>3.4722222223030619E-2</v>
          </cell>
          <cell r="AB429">
            <v>11</v>
          </cell>
          <cell r="AC429">
            <v>8</v>
          </cell>
          <cell r="AD429">
            <v>0</v>
          </cell>
          <cell r="BF429">
            <v>0</v>
          </cell>
          <cell r="BG429">
            <v>0</v>
          </cell>
          <cell r="BH429">
            <v>0</v>
          </cell>
          <cell r="BI429">
            <v>0</v>
          </cell>
          <cell r="BJ429">
            <v>0</v>
          </cell>
          <cell r="BK429">
            <v>0</v>
          </cell>
          <cell r="BL429">
            <v>0</v>
          </cell>
          <cell r="BM429">
            <v>0</v>
          </cell>
          <cell r="BN429">
            <v>0</v>
          </cell>
          <cell r="BO429">
            <v>0</v>
          </cell>
          <cell r="BP429">
            <v>11</v>
          </cell>
          <cell r="BQ429">
            <v>0</v>
          </cell>
          <cell r="BR429">
            <v>0</v>
          </cell>
          <cell r="BS429">
            <v>0</v>
          </cell>
          <cell r="BT429">
            <v>0</v>
          </cell>
          <cell r="BU429">
            <v>0</v>
          </cell>
          <cell r="BV429">
            <v>0</v>
          </cell>
          <cell r="BW429">
            <v>0</v>
          </cell>
          <cell r="BX429">
            <v>0</v>
          </cell>
          <cell r="BY429">
            <v>0</v>
          </cell>
          <cell r="BZ429">
            <v>0</v>
          </cell>
          <cell r="CA429">
            <v>0</v>
          </cell>
          <cell r="CB429">
            <v>0</v>
          </cell>
          <cell r="CC429">
            <v>0</v>
          </cell>
          <cell r="CD429">
            <v>0</v>
          </cell>
        </row>
        <row r="430">
          <cell r="C430">
            <v>37854</v>
          </cell>
          <cell r="D430">
            <v>37970</v>
          </cell>
          <cell r="E430">
            <v>37951</v>
          </cell>
          <cell r="F430">
            <v>37951</v>
          </cell>
          <cell r="G430">
            <v>0.41666666666666669</v>
          </cell>
          <cell r="H430" t="str">
            <v>Problema no engate rápido do Venturi</v>
          </cell>
          <cell r="I430">
            <v>0</v>
          </cell>
          <cell r="J430" t="str">
            <v>Não</v>
          </cell>
          <cell r="K430" t="str">
            <v>Mecânica</v>
          </cell>
          <cell r="L430" t="str">
            <v>Não</v>
          </cell>
          <cell r="M430" t="str">
            <v>Desgaste / Fadiga</v>
          </cell>
          <cell r="N430">
            <v>37951</v>
          </cell>
          <cell r="O430">
            <v>0.4236111111111111</v>
          </cell>
          <cell r="P430">
            <v>37951</v>
          </cell>
          <cell r="Q430">
            <v>0.4236111111111111</v>
          </cell>
          <cell r="T430">
            <v>37951</v>
          </cell>
          <cell r="U430">
            <v>0.44791666666666669</v>
          </cell>
          <cell r="V430">
            <v>37951</v>
          </cell>
          <cell r="W430">
            <v>0.44791666666666669</v>
          </cell>
          <cell r="X430">
            <v>2.4305555553130243E-2</v>
          </cell>
          <cell r="Y430">
            <v>2.4305555553130243E-2</v>
          </cell>
          <cell r="AB430">
            <v>11</v>
          </cell>
          <cell r="AC430">
            <v>8</v>
          </cell>
          <cell r="AD430">
            <v>0</v>
          </cell>
          <cell r="BF430">
            <v>0</v>
          </cell>
          <cell r="BG430">
            <v>0</v>
          </cell>
          <cell r="BH430">
            <v>0</v>
          </cell>
          <cell r="BI430">
            <v>0</v>
          </cell>
          <cell r="BJ430">
            <v>0</v>
          </cell>
          <cell r="BK430">
            <v>0</v>
          </cell>
          <cell r="BL430">
            <v>0</v>
          </cell>
          <cell r="BM430">
            <v>0</v>
          </cell>
          <cell r="BN430">
            <v>0</v>
          </cell>
          <cell r="BO430">
            <v>0</v>
          </cell>
          <cell r="BP430">
            <v>11</v>
          </cell>
          <cell r="BQ430">
            <v>0</v>
          </cell>
          <cell r="BR430">
            <v>0</v>
          </cell>
          <cell r="BS430">
            <v>0</v>
          </cell>
          <cell r="BT430">
            <v>0</v>
          </cell>
          <cell r="BU430">
            <v>0</v>
          </cell>
          <cell r="BV430">
            <v>0</v>
          </cell>
          <cell r="BW430">
            <v>0</v>
          </cell>
          <cell r="BX430">
            <v>0</v>
          </cell>
          <cell r="BY430">
            <v>0</v>
          </cell>
          <cell r="BZ430">
            <v>0</v>
          </cell>
          <cell r="CA430">
            <v>0</v>
          </cell>
          <cell r="CB430">
            <v>0</v>
          </cell>
          <cell r="CC430">
            <v>0</v>
          </cell>
          <cell r="CD430">
            <v>0</v>
          </cell>
        </row>
        <row r="431">
          <cell r="C431">
            <v>37854</v>
          </cell>
          <cell r="D431">
            <v>37993</v>
          </cell>
          <cell r="E431">
            <v>37901</v>
          </cell>
          <cell r="F431">
            <v>37901</v>
          </cell>
          <cell r="G431">
            <v>0.41666666666666669</v>
          </cell>
          <cell r="H431" t="str">
            <v>Mau contato na pistola manual</v>
          </cell>
          <cell r="I431">
            <v>0</v>
          </cell>
          <cell r="J431" t="str">
            <v>Não</v>
          </cell>
          <cell r="K431" t="str">
            <v>Elétrica</v>
          </cell>
          <cell r="L431" t="str">
            <v>Não</v>
          </cell>
          <cell r="M431" t="str">
            <v>Falha de Comando / Sistema</v>
          </cell>
          <cell r="N431">
            <v>37901</v>
          </cell>
          <cell r="O431">
            <v>0.41666666666666669</v>
          </cell>
          <cell r="P431">
            <v>0</v>
          </cell>
          <cell r="Q431">
            <v>0.45833333333333331</v>
          </cell>
          <cell r="R431">
            <v>37907</v>
          </cell>
          <cell r="S431">
            <v>0.41666666666666669</v>
          </cell>
          <cell r="T431">
            <v>0</v>
          </cell>
          <cell r="U431">
            <v>0.45833333333333331</v>
          </cell>
          <cell r="V431">
            <v>0</v>
          </cell>
          <cell r="W431">
            <v>0</v>
          </cell>
          <cell r="X431">
            <v>0</v>
          </cell>
          <cell r="Y431">
            <v>0</v>
          </cell>
          <cell r="AB431">
            <v>0</v>
          </cell>
          <cell r="AC431">
            <v>8</v>
          </cell>
          <cell r="AD431">
            <v>0</v>
          </cell>
          <cell r="BF431">
            <v>0</v>
          </cell>
          <cell r="BG431">
            <v>0</v>
          </cell>
          <cell r="BH431">
            <v>0</v>
          </cell>
          <cell r="BI431">
            <v>0</v>
          </cell>
          <cell r="BJ431">
            <v>0</v>
          </cell>
          <cell r="BK431">
            <v>0</v>
          </cell>
          <cell r="BL431">
            <v>0</v>
          </cell>
          <cell r="BM431">
            <v>0</v>
          </cell>
          <cell r="BN431">
            <v>0</v>
          </cell>
          <cell r="BO431">
            <v>0</v>
          </cell>
          <cell r="BP431">
            <v>1</v>
          </cell>
          <cell r="BQ431">
            <v>0</v>
          </cell>
          <cell r="BR431">
            <v>0</v>
          </cell>
          <cell r="BS431">
            <v>0</v>
          </cell>
          <cell r="BT431">
            <v>0</v>
          </cell>
          <cell r="BU431">
            <v>0</v>
          </cell>
          <cell r="BV431">
            <v>0</v>
          </cell>
          <cell r="BW431">
            <v>0</v>
          </cell>
          <cell r="BX431">
            <v>0</v>
          </cell>
          <cell r="BY431">
            <v>0</v>
          </cell>
          <cell r="BZ431">
            <v>0</v>
          </cell>
          <cell r="CA431">
            <v>0</v>
          </cell>
          <cell r="CB431">
            <v>0</v>
          </cell>
          <cell r="CC431">
            <v>0</v>
          </cell>
          <cell r="CD431">
            <v>0</v>
          </cell>
        </row>
        <row r="432">
          <cell r="C432">
            <v>37854</v>
          </cell>
          <cell r="I432">
            <v>0</v>
          </cell>
          <cell r="N432">
            <v>0</v>
          </cell>
          <cell r="P432">
            <v>0</v>
          </cell>
          <cell r="T432">
            <v>0</v>
          </cell>
          <cell r="V432">
            <v>0</v>
          </cell>
          <cell r="W432">
            <v>0</v>
          </cell>
          <cell r="X432">
            <v>0</v>
          </cell>
          <cell r="Y432">
            <v>0</v>
          </cell>
          <cell r="AB432">
            <v>0</v>
          </cell>
          <cell r="AC432">
            <v>8</v>
          </cell>
          <cell r="AD432">
            <v>0</v>
          </cell>
          <cell r="BF432">
            <v>0</v>
          </cell>
          <cell r="BG432">
            <v>0</v>
          </cell>
          <cell r="BH432">
            <v>0</v>
          </cell>
          <cell r="BI432">
            <v>0</v>
          </cell>
          <cell r="BJ432">
            <v>0</v>
          </cell>
          <cell r="BK432">
            <v>0</v>
          </cell>
          <cell r="BL432">
            <v>0</v>
          </cell>
          <cell r="BM432">
            <v>0</v>
          </cell>
          <cell r="BN432">
            <v>0</v>
          </cell>
          <cell r="BO432">
            <v>0</v>
          </cell>
          <cell r="BP432">
            <v>0</v>
          </cell>
          <cell r="BQ432">
            <v>0</v>
          </cell>
          <cell r="BR432">
            <v>0</v>
          </cell>
          <cell r="BS432">
            <v>0</v>
          </cell>
          <cell r="BT432">
            <v>0</v>
          </cell>
          <cell r="BU432">
            <v>0</v>
          </cell>
          <cell r="BV432">
            <v>0</v>
          </cell>
          <cell r="BW432">
            <v>0</v>
          </cell>
          <cell r="BX432">
            <v>0</v>
          </cell>
          <cell r="BY432">
            <v>0</v>
          </cell>
          <cell r="BZ432">
            <v>0</v>
          </cell>
          <cell r="CA432">
            <v>0</v>
          </cell>
          <cell r="CB432">
            <v>0</v>
          </cell>
          <cell r="CC432">
            <v>0</v>
          </cell>
          <cell r="CD432">
            <v>0</v>
          </cell>
        </row>
        <row r="433">
          <cell r="C433">
            <v>37854</v>
          </cell>
          <cell r="D433">
            <v>37970</v>
          </cell>
          <cell r="E433">
            <v>37952</v>
          </cell>
          <cell r="F433">
            <v>37952</v>
          </cell>
          <cell r="G433">
            <v>0.33333333333333331</v>
          </cell>
          <cell r="H433" t="str">
            <v>Rotâmetro do túnel de tratamento apresenta sujeira em excesso</v>
          </cell>
          <cell r="I433">
            <v>0</v>
          </cell>
          <cell r="J433" t="str">
            <v>Não</v>
          </cell>
          <cell r="K433" t="str">
            <v>Mecânica</v>
          </cell>
          <cell r="L433" t="str">
            <v>Sim</v>
          </cell>
          <cell r="M433" t="str">
            <v>Sujeira em excesso</v>
          </cell>
          <cell r="N433">
            <v>37953</v>
          </cell>
          <cell r="O433">
            <v>0.34375</v>
          </cell>
          <cell r="P433">
            <v>37953</v>
          </cell>
          <cell r="Q433">
            <v>0.34375</v>
          </cell>
          <cell r="T433">
            <v>37953</v>
          </cell>
          <cell r="U433">
            <v>0.375</v>
          </cell>
          <cell r="V433">
            <v>37953</v>
          </cell>
          <cell r="W433">
            <v>0.375</v>
          </cell>
          <cell r="X433">
            <v>3.125E-2</v>
          </cell>
          <cell r="Y433">
            <v>3.125E-2</v>
          </cell>
          <cell r="AB433">
            <v>11</v>
          </cell>
          <cell r="AC433">
            <v>8</v>
          </cell>
          <cell r="AD433">
            <v>0</v>
          </cell>
          <cell r="BF433">
            <v>0</v>
          </cell>
          <cell r="BG433">
            <v>0</v>
          </cell>
          <cell r="BH433">
            <v>0</v>
          </cell>
          <cell r="BI433">
            <v>0</v>
          </cell>
          <cell r="BJ433">
            <v>0</v>
          </cell>
          <cell r="BK433">
            <v>0</v>
          </cell>
          <cell r="BL433">
            <v>0</v>
          </cell>
          <cell r="BM433">
            <v>0</v>
          </cell>
          <cell r="BN433">
            <v>0</v>
          </cell>
          <cell r="BO433">
            <v>0</v>
          </cell>
          <cell r="BP433">
            <v>11</v>
          </cell>
          <cell r="BQ433">
            <v>0</v>
          </cell>
          <cell r="BR433">
            <v>0</v>
          </cell>
          <cell r="BS433">
            <v>0</v>
          </cell>
          <cell r="BT433">
            <v>0</v>
          </cell>
          <cell r="BU433">
            <v>0</v>
          </cell>
          <cell r="BV433">
            <v>0</v>
          </cell>
          <cell r="BW433">
            <v>0</v>
          </cell>
          <cell r="BX433">
            <v>0</v>
          </cell>
          <cell r="BY433">
            <v>0</v>
          </cell>
          <cell r="BZ433">
            <v>0</v>
          </cell>
          <cell r="CA433">
            <v>0</v>
          </cell>
          <cell r="CB433">
            <v>0</v>
          </cell>
          <cell r="CC433">
            <v>0</v>
          </cell>
          <cell r="CD433">
            <v>0</v>
          </cell>
        </row>
        <row r="434">
          <cell r="C434">
            <v>37854</v>
          </cell>
          <cell r="D434">
            <v>37970</v>
          </cell>
          <cell r="E434">
            <v>37953</v>
          </cell>
          <cell r="F434">
            <v>0.33333333333333331</v>
          </cell>
          <cell r="G434" t="str">
            <v>Linha de Pintura 8,5m</v>
          </cell>
          <cell r="H434" t="str">
            <v>Peneira do peneirador inadequada (muito fina)</v>
          </cell>
          <cell r="I434">
            <v>0</v>
          </cell>
          <cell r="J434" t="str">
            <v>Não</v>
          </cell>
          <cell r="K434" t="str">
            <v>Mecânica</v>
          </cell>
          <cell r="L434" t="str">
            <v>Substituição do(s) Componente(s)</v>
          </cell>
          <cell r="M434" t="str">
            <v>Umidade em excesso</v>
          </cell>
          <cell r="N434">
            <v>37957</v>
          </cell>
          <cell r="O434">
            <v>0.52777777777777779</v>
          </cell>
          <cell r="P434">
            <v>0</v>
          </cell>
          <cell r="T434">
            <v>37957</v>
          </cell>
          <cell r="U434">
            <v>0.55555555555555558</v>
          </cell>
          <cell r="V434">
            <v>0</v>
          </cell>
          <cell r="W434">
            <v>2.7777777776969326E-2</v>
          </cell>
          <cell r="X434">
            <v>0</v>
          </cell>
          <cell r="Y434">
            <v>0</v>
          </cell>
          <cell r="AB434">
            <v>12</v>
          </cell>
          <cell r="AC434">
            <v>8</v>
          </cell>
          <cell r="AD434">
            <v>0</v>
          </cell>
          <cell r="BF434">
            <v>0</v>
          </cell>
          <cell r="BG434">
            <v>0</v>
          </cell>
          <cell r="BH434">
            <v>0</v>
          </cell>
          <cell r="BI434">
            <v>0</v>
          </cell>
          <cell r="BJ434">
            <v>0</v>
          </cell>
          <cell r="BK434">
            <v>0</v>
          </cell>
          <cell r="BL434">
            <v>0</v>
          </cell>
          <cell r="BM434">
            <v>0</v>
          </cell>
          <cell r="BN434">
            <v>0</v>
          </cell>
          <cell r="BO434">
            <v>0</v>
          </cell>
          <cell r="BP434">
            <v>12</v>
          </cell>
          <cell r="BQ434">
            <v>0</v>
          </cell>
          <cell r="BR434">
            <v>0</v>
          </cell>
          <cell r="BS434">
            <v>0</v>
          </cell>
          <cell r="BT434">
            <v>0</v>
          </cell>
          <cell r="BU434">
            <v>0</v>
          </cell>
          <cell r="BV434">
            <v>0</v>
          </cell>
          <cell r="BW434">
            <v>0</v>
          </cell>
          <cell r="BX434">
            <v>0</v>
          </cell>
          <cell r="BY434">
            <v>0</v>
          </cell>
          <cell r="BZ434">
            <v>0</v>
          </cell>
          <cell r="CA434">
            <v>0</v>
          </cell>
          <cell r="CB434">
            <v>0</v>
          </cell>
          <cell r="CC434">
            <v>0</v>
          </cell>
          <cell r="CD434">
            <v>0</v>
          </cell>
        </row>
        <row r="435">
          <cell r="C435">
            <v>37854</v>
          </cell>
          <cell r="D435">
            <v>37970</v>
          </cell>
          <cell r="E435">
            <v>37953</v>
          </cell>
          <cell r="F435">
            <v>0.41666666666666669</v>
          </cell>
          <cell r="G435" t="str">
            <v>Linha de Pintura 8,5m</v>
          </cell>
          <cell r="H435" t="str">
            <v>Mau contato no módulo Nº 03</v>
          </cell>
          <cell r="I435">
            <v>0</v>
          </cell>
          <cell r="J435" t="str">
            <v>Não</v>
          </cell>
          <cell r="K435" t="str">
            <v>Elétrica</v>
          </cell>
          <cell r="L435" t="str">
            <v>Limpeza do Equipamento / Componente</v>
          </cell>
          <cell r="M435" t="str">
            <v>Sujeira em excesso</v>
          </cell>
          <cell r="N435">
            <v>37953</v>
          </cell>
          <cell r="O435">
            <v>0.4375</v>
          </cell>
          <cell r="P435">
            <v>0</v>
          </cell>
          <cell r="T435">
            <v>37953</v>
          </cell>
          <cell r="U435">
            <v>0.47222222222222227</v>
          </cell>
          <cell r="V435">
            <v>0</v>
          </cell>
          <cell r="W435">
            <v>3.4722222218988463E-2</v>
          </cell>
          <cell r="X435">
            <v>0</v>
          </cell>
          <cell r="Y435">
            <v>0</v>
          </cell>
          <cell r="AB435">
            <v>11</v>
          </cell>
          <cell r="AC435">
            <v>8</v>
          </cell>
          <cell r="AD435">
            <v>0</v>
          </cell>
          <cell r="BF435">
            <v>0</v>
          </cell>
          <cell r="BG435">
            <v>0</v>
          </cell>
          <cell r="BH435">
            <v>0</v>
          </cell>
          <cell r="BI435">
            <v>0</v>
          </cell>
          <cell r="BJ435">
            <v>0</v>
          </cell>
          <cell r="BK435">
            <v>0</v>
          </cell>
          <cell r="BL435">
            <v>0</v>
          </cell>
          <cell r="BM435">
            <v>0</v>
          </cell>
          <cell r="BN435">
            <v>0</v>
          </cell>
          <cell r="BO435">
            <v>0</v>
          </cell>
          <cell r="BP435">
            <v>11</v>
          </cell>
          <cell r="BQ435">
            <v>0</v>
          </cell>
          <cell r="BR435">
            <v>0</v>
          </cell>
          <cell r="BS435">
            <v>0</v>
          </cell>
          <cell r="BT435">
            <v>0</v>
          </cell>
          <cell r="BU435">
            <v>0</v>
          </cell>
          <cell r="BV435">
            <v>0</v>
          </cell>
          <cell r="BW435">
            <v>0</v>
          </cell>
          <cell r="BX435">
            <v>0</v>
          </cell>
          <cell r="BY435">
            <v>0</v>
          </cell>
          <cell r="BZ435">
            <v>0</v>
          </cell>
          <cell r="CA435">
            <v>0</v>
          </cell>
          <cell r="CB435">
            <v>0</v>
          </cell>
          <cell r="CC435">
            <v>0</v>
          </cell>
          <cell r="CD435">
            <v>0</v>
          </cell>
        </row>
        <row r="436">
          <cell r="C436">
            <v>37854</v>
          </cell>
          <cell r="D436">
            <v>37881</v>
          </cell>
          <cell r="E436">
            <v>37874</v>
          </cell>
          <cell r="F436">
            <v>0.375</v>
          </cell>
          <cell r="G436" t="str">
            <v>Linha de Pintura 8,5m</v>
          </cell>
          <cell r="H436" t="str">
            <v>Falha na chama do queimador do fosfato</v>
          </cell>
          <cell r="I436" t="str">
            <v>Corretiva</v>
          </cell>
          <cell r="J436" t="str">
            <v>Sim</v>
          </cell>
          <cell r="K436" t="str">
            <v>Elétrica</v>
          </cell>
          <cell r="L436" t="str">
            <v>Reinicialização do Equipamento / Componente</v>
          </cell>
          <cell r="M436" t="str">
            <v>Falha de Comando / Sistema</v>
          </cell>
          <cell r="N436">
            <v>37874</v>
          </cell>
          <cell r="O436">
            <v>0.38194444444444442</v>
          </cell>
          <cell r="P436">
            <v>37874</v>
          </cell>
          <cell r="Q436">
            <v>0.38194444444444442</v>
          </cell>
          <cell r="T436">
            <v>37874</v>
          </cell>
          <cell r="U436">
            <v>0.40277777777777773</v>
          </cell>
          <cell r="V436">
            <v>37874</v>
          </cell>
          <cell r="W436">
            <v>0.40277777777777773</v>
          </cell>
          <cell r="X436">
            <v>2.0833333333333315E-2</v>
          </cell>
          <cell r="Y436">
            <v>2.0833333336567117E-2</v>
          </cell>
          <cell r="AB436">
            <v>9</v>
          </cell>
          <cell r="AC436">
            <v>8</v>
          </cell>
          <cell r="AD436">
            <v>0</v>
          </cell>
          <cell r="BF436">
            <v>0</v>
          </cell>
          <cell r="BG436">
            <v>0</v>
          </cell>
          <cell r="BH436">
            <v>0</v>
          </cell>
          <cell r="BI436">
            <v>0</v>
          </cell>
          <cell r="BJ436">
            <v>0</v>
          </cell>
          <cell r="BK436">
            <v>0</v>
          </cell>
          <cell r="BL436">
            <v>0</v>
          </cell>
          <cell r="BM436">
            <v>0</v>
          </cell>
          <cell r="BN436">
            <v>0</v>
          </cell>
          <cell r="BO436">
            <v>0</v>
          </cell>
          <cell r="BP436">
            <v>9</v>
          </cell>
          <cell r="BQ436">
            <v>0</v>
          </cell>
          <cell r="BR436">
            <v>0</v>
          </cell>
          <cell r="BS436">
            <v>0</v>
          </cell>
          <cell r="BT436">
            <v>0</v>
          </cell>
          <cell r="BU436">
            <v>0</v>
          </cell>
          <cell r="BV436">
            <v>0</v>
          </cell>
          <cell r="BW436">
            <v>0</v>
          </cell>
          <cell r="BX436">
            <v>0</v>
          </cell>
          <cell r="BY436">
            <v>0</v>
          </cell>
          <cell r="BZ436">
            <v>0</v>
          </cell>
          <cell r="CA436">
            <v>0</v>
          </cell>
          <cell r="CB436">
            <v>0</v>
          </cell>
          <cell r="CC436">
            <v>0</v>
          </cell>
          <cell r="CD436">
            <v>0</v>
          </cell>
        </row>
        <row r="437">
          <cell r="C437">
            <v>37858</v>
          </cell>
          <cell r="D437">
            <v>37867</v>
          </cell>
          <cell r="E437">
            <v>37839</v>
          </cell>
          <cell r="F437">
            <v>0.25</v>
          </cell>
          <cell r="G437" t="str">
            <v>Linha de Pintura 15m</v>
          </cell>
          <cell r="H437" t="str">
            <v>Peneira do fosfato Rompida</v>
          </cell>
          <cell r="I437" t="str">
            <v>Corretiva</v>
          </cell>
          <cell r="J437" t="str">
            <v>Não</v>
          </cell>
          <cell r="K437" t="str">
            <v>Mecânica</v>
          </cell>
          <cell r="L437" t="str">
            <v>Reparo</v>
          </cell>
          <cell r="M437" t="str">
            <v>Desgaste / Fadiga</v>
          </cell>
          <cell r="N437">
            <v>37839</v>
          </cell>
          <cell r="O437">
            <v>0.25</v>
          </cell>
          <cell r="P437">
            <v>37839</v>
          </cell>
          <cell r="Q437">
            <v>0.25</v>
          </cell>
          <cell r="T437">
            <v>37839</v>
          </cell>
          <cell r="U437">
            <v>0.3125</v>
          </cell>
          <cell r="V437">
            <v>37839</v>
          </cell>
          <cell r="W437">
            <v>0.3125</v>
          </cell>
          <cell r="X437">
            <v>6.25E-2</v>
          </cell>
          <cell r="Y437">
            <v>6.25E-2</v>
          </cell>
          <cell r="AB437">
            <v>8</v>
          </cell>
          <cell r="AC437">
            <v>8</v>
          </cell>
          <cell r="AD437">
            <v>0</v>
          </cell>
          <cell r="BF437">
            <v>0</v>
          </cell>
          <cell r="BG437">
            <v>0</v>
          </cell>
          <cell r="BH437">
            <v>0</v>
          </cell>
          <cell r="BI437">
            <v>0</v>
          </cell>
          <cell r="BJ437">
            <v>0</v>
          </cell>
          <cell r="BK437">
            <v>0</v>
          </cell>
          <cell r="BL437">
            <v>0</v>
          </cell>
          <cell r="BM437">
            <v>0</v>
          </cell>
          <cell r="BN437">
            <v>8</v>
          </cell>
          <cell r="BO437">
            <v>0</v>
          </cell>
          <cell r="BP437">
            <v>0</v>
          </cell>
          <cell r="BQ437">
            <v>0</v>
          </cell>
          <cell r="BR437">
            <v>0</v>
          </cell>
          <cell r="BS437">
            <v>0</v>
          </cell>
          <cell r="BT437">
            <v>0</v>
          </cell>
          <cell r="BU437">
            <v>0</v>
          </cell>
          <cell r="BV437">
            <v>0</v>
          </cell>
          <cell r="BW437">
            <v>0</v>
          </cell>
          <cell r="BX437">
            <v>0</v>
          </cell>
          <cell r="BY437">
            <v>0</v>
          </cell>
          <cell r="BZ437">
            <v>0</v>
          </cell>
          <cell r="CA437">
            <v>0</v>
          </cell>
          <cell r="CB437">
            <v>0</v>
          </cell>
          <cell r="CC437">
            <v>0</v>
          </cell>
          <cell r="CD437">
            <v>0</v>
          </cell>
        </row>
        <row r="438">
          <cell r="C438">
            <v>37858</v>
          </cell>
          <cell r="D438">
            <v>37900</v>
          </cell>
          <cell r="E438">
            <v>37859</v>
          </cell>
          <cell r="F438">
            <v>0.41666666666666669</v>
          </cell>
          <cell r="G438" t="str">
            <v>Linha de Pintura 15m</v>
          </cell>
          <cell r="H438" t="str">
            <v>Pistola de Líquido parada</v>
          </cell>
          <cell r="I438" t="str">
            <v>Corretiva</v>
          </cell>
          <cell r="J438" t="str">
            <v>Não</v>
          </cell>
          <cell r="K438" t="str">
            <v>Mecânica</v>
          </cell>
          <cell r="L438" t="str">
            <v>Reparo</v>
          </cell>
          <cell r="M438" t="str">
            <v>Desgaste / Fadiga</v>
          </cell>
          <cell r="N438">
            <v>37859</v>
          </cell>
          <cell r="O438">
            <v>0.41666666666666669</v>
          </cell>
          <cell r="P438">
            <v>37859</v>
          </cell>
          <cell r="Q438">
            <v>0.4375</v>
          </cell>
          <cell r="R438">
            <v>37880</v>
          </cell>
          <cell r="S438">
            <v>0.375</v>
          </cell>
          <cell r="T438">
            <v>37881</v>
          </cell>
          <cell r="U438">
            <v>0.33333333333333331</v>
          </cell>
          <cell r="V438">
            <v>0</v>
          </cell>
          <cell r="W438">
            <v>0.97916666666666652</v>
          </cell>
          <cell r="X438">
            <v>0.97916666666666652</v>
          </cell>
          <cell r="Y438">
            <v>0.97916666666666652</v>
          </cell>
          <cell r="AB438">
            <v>9</v>
          </cell>
          <cell r="AC438">
            <v>8</v>
          </cell>
          <cell r="AD438">
            <v>0</v>
          </cell>
          <cell r="BF438">
            <v>0</v>
          </cell>
          <cell r="BG438">
            <v>0</v>
          </cell>
          <cell r="BH438">
            <v>0</v>
          </cell>
          <cell r="BI438">
            <v>0</v>
          </cell>
          <cell r="BJ438">
            <v>0</v>
          </cell>
          <cell r="BK438">
            <v>0</v>
          </cell>
          <cell r="BL438">
            <v>0</v>
          </cell>
          <cell r="BM438">
            <v>0</v>
          </cell>
          <cell r="BN438">
            <v>9</v>
          </cell>
          <cell r="BO438">
            <v>0</v>
          </cell>
          <cell r="BP438">
            <v>0</v>
          </cell>
          <cell r="BQ438">
            <v>0</v>
          </cell>
          <cell r="BR438">
            <v>0</v>
          </cell>
          <cell r="BS438">
            <v>0</v>
          </cell>
          <cell r="BT438">
            <v>0</v>
          </cell>
          <cell r="BU438">
            <v>0</v>
          </cell>
          <cell r="BV438">
            <v>0</v>
          </cell>
          <cell r="BW438">
            <v>0</v>
          </cell>
          <cell r="BX438">
            <v>0</v>
          </cell>
          <cell r="BY438">
            <v>0</v>
          </cell>
          <cell r="BZ438">
            <v>0</v>
          </cell>
          <cell r="CA438">
            <v>0</v>
          </cell>
          <cell r="CB438">
            <v>0</v>
          </cell>
          <cell r="CC438">
            <v>0</v>
          </cell>
          <cell r="CD438">
            <v>0</v>
          </cell>
        </row>
        <row r="439">
          <cell r="C439">
            <v>37858</v>
          </cell>
          <cell r="D439">
            <v>37900</v>
          </cell>
          <cell r="E439">
            <v>37873</v>
          </cell>
          <cell r="F439">
            <v>0.47916666666666669</v>
          </cell>
          <cell r="G439" t="str">
            <v>Linha de Pintura 15m</v>
          </cell>
          <cell r="H439" t="str">
            <v>Venturis do Recuperador de pó danificados</v>
          </cell>
          <cell r="I439" t="str">
            <v>Corretiva</v>
          </cell>
          <cell r="J439" t="str">
            <v>Não</v>
          </cell>
          <cell r="K439" t="str">
            <v>Mecânica</v>
          </cell>
          <cell r="L439" t="str">
            <v>Substituição do(s) Componente(s)</v>
          </cell>
          <cell r="M439" t="str">
            <v>Defeito de Fabricação</v>
          </cell>
          <cell r="N439">
            <v>37886</v>
          </cell>
          <cell r="O439">
            <v>0.41666666666666669</v>
          </cell>
          <cell r="P439">
            <v>37886</v>
          </cell>
          <cell r="Q439">
            <v>0.41666666666666669</v>
          </cell>
          <cell r="T439">
            <v>37886</v>
          </cell>
          <cell r="U439">
            <v>0.45833333333333331</v>
          </cell>
          <cell r="V439">
            <v>37886</v>
          </cell>
          <cell r="W439">
            <v>0.45833333333333331</v>
          </cell>
          <cell r="X439">
            <v>4.1666666669091967E-2</v>
          </cell>
          <cell r="Y439">
            <v>4.1666666669091967E-2</v>
          </cell>
          <cell r="AB439">
            <v>9</v>
          </cell>
          <cell r="AC439">
            <v>8</v>
          </cell>
          <cell r="AD439">
            <v>0</v>
          </cell>
          <cell r="BF439">
            <v>0</v>
          </cell>
          <cell r="BG439">
            <v>0</v>
          </cell>
          <cell r="BH439">
            <v>0</v>
          </cell>
          <cell r="BI439">
            <v>0</v>
          </cell>
          <cell r="BJ439">
            <v>0</v>
          </cell>
          <cell r="BK439">
            <v>0</v>
          </cell>
          <cell r="BL439">
            <v>0</v>
          </cell>
          <cell r="BM439">
            <v>0</v>
          </cell>
          <cell r="BN439">
            <v>9</v>
          </cell>
          <cell r="BO439">
            <v>0</v>
          </cell>
          <cell r="BP439">
            <v>0</v>
          </cell>
          <cell r="BQ439">
            <v>0</v>
          </cell>
          <cell r="BR439">
            <v>0</v>
          </cell>
          <cell r="BS439">
            <v>0</v>
          </cell>
          <cell r="BT439">
            <v>0</v>
          </cell>
          <cell r="BU439">
            <v>0</v>
          </cell>
          <cell r="BV439">
            <v>0</v>
          </cell>
          <cell r="BW439">
            <v>0</v>
          </cell>
          <cell r="BX439">
            <v>0</v>
          </cell>
          <cell r="BY439">
            <v>0</v>
          </cell>
          <cell r="BZ439">
            <v>0</v>
          </cell>
          <cell r="CA439">
            <v>0</v>
          </cell>
          <cell r="CB439">
            <v>0</v>
          </cell>
          <cell r="CC439">
            <v>0</v>
          </cell>
          <cell r="CD439">
            <v>0</v>
          </cell>
        </row>
        <row r="440">
          <cell r="C440">
            <v>37858</v>
          </cell>
          <cell r="D440">
            <v>37918</v>
          </cell>
          <cell r="E440">
            <v>37859</v>
          </cell>
          <cell r="F440">
            <v>0.58333333333333337</v>
          </cell>
          <cell r="G440" t="str">
            <v>Linha de Pintura 15m</v>
          </cell>
          <cell r="H440" t="str">
            <v>Há a necessidade se modificar a localização da botoeira de parada do transportador para a coluna pós-cabine</v>
          </cell>
          <cell r="I440" t="str">
            <v>Melhoria</v>
          </cell>
          <cell r="J440" t="str">
            <v>Não</v>
          </cell>
          <cell r="K440" t="str">
            <v>Elétrica</v>
          </cell>
          <cell r="L440" t="str">
            <v>Montagem / Instalação</v>
          </cell>
          <cell r="M440" t="str">
            <v>Melhoria Técnica</v>
          </cell>
          <cell r="N440">
            <v>37879</v>
          </cell>
          <cell r="O440">
            <v>0.95833333333333337</v>
          </cell>
          <cell r="P440">
            <v>37879</v>
          </cell>
          <cell r="Q440">
            <v>0.95833333333333337</v>
          </cell>
          <cell r="T440">
            <v>37880</v>
          </cell>
          <cell r="U440">
            <v>0.33333333333333331</v>
          </cell>
          <cell r="V440">
            <v>37880</v>
          </cell>
          <cell r="W440">
            <v>0.33333333333333331</v>
          </cell>
          <cell r="X440">
            <v>0.37500000000242528</v>
          </cell>
          <cell r="Y440">
            <v>0.37500000000242528</v>
          </cell>
          <cell r="AB440">
            <v>9</v>
          </cell>
          <cell r="AC440">
            <v>8</v>
          </cell>
          <cell r="AD440">
            <v>0</v>
          </cell>
          <cell r="BF440">
            <v>0</v>
          </cell>
          <cell r="BG440">
            <v>0</v>
          </cell>
          <cell r="BH440">
            <v>0</v>
          </cell>
          <cell r="BI440">
            <v>0</v>
          </cell>
          <cell r="BJ440">
            <v>0</v>
          </cell>
          <cell r="BK440">
            <v>0</v>
          </cell>
          <cell r="BL440">
            <v>0</v>
          </cell>
          <cell r="BM440">
            <v>0</v>
          </cell>
          <cell r="BN440">
            <v>9</v>
          </cell>
          <cell r="BO440">
            <v>0</v>
          </cell>
          <cell r="BP440">
            <v>0</v>
          </cell>
          <cell r="BQ440">
            <v>0</v>
          </cell>
          <cell r="BR440">
            <v>0</v>
          </cell>
          <cell r="BS440">
            <v>0</v>
          </cell>
          <cell r="BT440">
            <v>0</v>
          </cell>
          <cell r="BU440">
            <v>0</v>
          </cell>
          <cell r="BV440">
            <v>0</v>
          </cell>
          <cell r="BW440">
            <v>0</v>
          </cell>
          <cell r="BX440">
            <v>0</v>
          </cell>
          <cell r="BY440">
            <v>0</v>
          </cell>
          <cell r="BZ440">
            <v>0</v>
          </cell>
          <cell r="CA440">
            <v>0</v>
          </cell>
          <cell r="CB440">
            <v>0</v>
          </cell>
          <cell r="CC440">
            <v>0</v>
          </cell>
          <cell r="CD440">
            <v>0</v>
          </cell>
        </row>
        <row r="441">
          <cell r="C441">
            <v>37858</v>
          </cell>
          <cell r="D441">
            <v>37900</v>
          </cell>
          <cell r="E441">
            <v>37873</v>
          </cell>
          <cell r="F441">
            <v>0.47916666666666669</v>
          </cell>
          <cell r="G441" t="str">
            <v>Linha de Pintura 15m</v>
          </cell>
          <cell r="H441" t="str">
            <v>Falha na agulha da pistola líquida</v>
          </cell>
          <cell r="I441" t="str">
            <v>Corretiva</v>
          </cell>
          <cell r="J441" t="str">
            <v>Não</v>
          </cell>
          <cell r="K441" t="str">
            <v>Mecânica</v>
          </cell>
          <cell r="L441" t="str">
            <v>Limpeza e troca do Kit de Reparo</v>
          </cell>
          <cell r="M441" t="str">
            <v>Desgaste / Fadiga</v>
          </cell>
          <cell r="N441">
            <v>37888</v>
          </cell>
          <cell r="O441">
            <v>0.25</v>
          </cell>
          <cell r="P441">
            <v>37888</v>
          </cell>
          <cell r="Q441">
            <v>0.25</v>
          </cell>
          <cell r="T441">
            <v>37888</v>
          </cell>
          <cell r="U441">
            <v>0.5</v>
          </cell>
          <cell r="V441">
            <v>37888</v>
          </cell>
          <cell r="W441">
            <v>0.5</v>
          </cell>
          <cell r="X441">
            <v>0.25</v>
          </cell>
          <cell r="Y441">
            <v>0.25</v>
          </cell>
          <cell r="AB441">
            <v>9</v>
          </cell>
          <cell r="AC441">
            <v>8</v>
          </cell>
          <cell r="AD441">
            <v>0</v>
          </cell>
          <cell r="BF441">
            <v>0</v>
          </cell>
          <cell r="BG441">
            <v>0</v>
          </cell>
          <cell r="BH441">
            <v>0</v>
          </cell>
          <cell r="BI441">
            <v>0</v>
          </cell>
          <cell r="BJ441">
            <v>0</v>
          </cell>
          <cell r="BK441">
            <v>0</v>
          </cell>
          <cell r="BL441">
            <v>0</v>
          </cell>
          <cell r="BM441">
            <v>0</v>
          </cell>
          <cell r="BN441">
            <v>9</v>
          </cell>
          <cell r="BO441">
            <v>0</v>
          </cell>
          <cell r="BP441">
            <v>0</v>
          </cell>
          <cell r="BQ441">
            <v>0</v>
          </cell>
          <cell r="BR441">
            <v>0</v>
          </cell>
          <cell r="BS441">
            <v>0</v>
          </cell>
          <cell r="BT441">
            <v>0</v>
          </cell>
          <cell r="BU441">
            <v>0</v>
          </cell>
          <cell r="BV441">
            <v>0</v>
          </cell>
          <cell r="BW441">
            <v>0</v>
          </cell>
          <cell r="BX441">
            <v>0</v>
          </cell>
          <cell r="BY441">
            <v>0</v>
          </cell>
          <cell r="BZ441">
            <v>0</v>
          </cell>
          <cell r="CA441">
            <v>0</v>
          </cell>
          <cell r="CB441">
            <v>0</v>
          </cell>
          <cell r="CC441">
            <v>0</v>
          </cell>
          <cell r="CD441">
            <v>0</v>
          </cell>
        </row>
        <row r="442">
          <cell r="C442">
            <v>37858</v>
          </cell>
          <cell r="D442">
            <v>37900</v>
          </cell>
          <cell r="E442">
            <v>37889</v>
          </cell>
          <cell r="F442">
            <v>0.39583333333333331</v>
          </cell>
          <cell r="G442" t="str">
            <v>Linha de Pintura 15m</v>
          </cell>
          <cell r="H442" t="str">
            <v>Anomalia no variador VI</v>
          </cell>
          <cell r="I442" t="str">
            <v>Corretiva</v>
          </cell>
          <cell r="J442" t="str">
            <v>Sim</v>
          </cell>
          <cell r="K442" t="str">
            <v>Mecânica</v>
          </cell>
          <cell r="L442" t="str">
            <v>Reparo</v>
          </cell>
          <cell r="M442" t="str">
            <v>Falha de Comando / Sistema</v>
          </cell>
          <cell r="N442">
            <v>37889</v>
          </cell>
          <cell r="O442">
            <v>0.39583333333333331</v>
          </cell>
          <cell r="P442">
            <v>37889</v>
          </cell>
          <cell r="Q442">
            <v>0.39583333333333331</v>
          </cell>
          <cell r="T442">
            <v>37889</v>
          </cell>
          <cell r="U442">
            <v>0.40972222222222227</v>
          </cell>
          <cell r="V442">
            <v>37889</v>
          </cell>
          <cell r="W442">
            <v>0.40972222222222227</v>
          </cell>
          <cell r="X442">
            <v>1.3888888888888951E-2</v>
          </cell>
          <cell r="Y442">
            <v>1.3888888885655148E-2</v>
          </cell>
          <cell r="AB442">
            <v>9</v>
          </cell>
          <cell r="AC442">
            <v>8</v>
          </cell>
          <cell r="AD442">
            <v>0</v>
          </cell>
          <cell r="BF442">
            <v>0</v>
          </cell>
          <cell r="BG442">
            <v>0</v>
          </cell>
          <cell r="BH442">
            <v>0</v>
          </cell>
          <cell r="BI442">
            <v>0</v>
          </cell>
          <cell r="BJ442">
            <v>0</v>
          </cell>
          <cell r="BK442">
            <v>0</v>
          </cell>
          <cell r="BL442">
            <v>0</v>
          </cell>
          <cell r="BM442">
            <v>0</v>
          </cell>
          <cell r="BN442">
            <v>9</v>
          </cell>
          <cell r="BO442">
            <v>0</v>
          </cell>
          <cell r="BP442">
            <v>0</v>
          </cell>
          <cell r="BQ442">
            <v>0</v>
          </cell>
          <cell r="BR442">
            <v>0</v>
          </cell>
          <cell r="BS442">
            <v>0</v>
          </cell>
          <cell r="BT442">
            <v>0</v>
          </cell>
          <cell r="BU442">
            <v>0</v>
          </cell>
          <cell r="BV442">
            <v>0</v>
          </cell>
          <cell r="BW442">
            <v>0</v>
          </cell>
          <cell r="BX442">
            <v>0</v>
          </cell>
          <cell r="BY442">
            <v>0</v>
          </cell>
          <cell r="BZ442">
            <v>0</v>
          </cell>
          <cell r="CA442">
            <v>0</v>
          </cell>
          <cell r="CB442">
            <v>0</v>
          </cell>
          <cell r="CC442">
            <v>0</v>
          </cell>
          <cell r="CD442">
            <v>0</v>
          </cell>
        </row>
        <row r="443">
          <cell r="C443">
            <v>37858</v>
          </cell>
          <cell r="D443">
            <v>37918</v>
          </cell>
          <cell r="E443">
            <v>37908</v>
          </cell>
          <cell r="F443">
            <v>0.5</v>
          </cell>
          <cell r="G443" t="str">
            <v>Linha de Pintura 15m</v>
          </cell>
          <cell r="H443" t="str">
            <v>Problema no painel de regulagem de pó Nº 08</v>
          </cell>
          <cell r="I443" t="str">
            <v>Corretiva</v>
          </cell>
          <cell r="J443" t="str">
            <v>Sim</v>
          </cell>
          <cell r="K443" t="str">
            <v>Elétrica</v>
          </cell>
          <cell r="L443" t="str">
            <v>Substituição do(s) Componente(s)</v>
          </cell>
          <cell r="M443" t="str">
            <v>Desgaste / Fadiga</v>
          </cell>
          <cell r="N443">
            <v>37908</v>
          </cell>
          <cell r="O443">
            <v>0.5</v>
          </cell>
          <cell r="P443">
            <v>37908</v>
          </cell>
          <cell r="Q443">
            <v>0.5</v>
          </cell>
          <cell r="T443">
            <v>37908</v>
          </cell>
          <cell r="U443">
            <v>0.58333333333333337</v>
          </cell>
          <cell r="V443">
            <v>37908</v>
          </cell>
          <cell r="W443">
            <v>0.58333333333333337</v>
          </cell>
          <cell r="X443">
            <v>8.333333333333337E-2</v>
          </cell>
          <cell r="Y443">
            <v>8.3333333335758653E-2</v>
          </cell>
          <cell r="AB443">
            <v>10</v>
          </cell>
          <cell r="AC443">
            <v>8</v>
          </cell>
          <cell r="AD443">
            <v>0</v>
          </cell>
          <cell r="BF443">
            <v>0</v>
          </cell>
          <cell r="BG443">
            <v>0</v>
          </cell>
          <cell r="BH443">
            <v>0</v>
          </cell>
          <cell r="BI443">
            <v>0</v>
          </cell>
          <cell r="BJ443">
            <v>0</v>
          </cell>
          <cell r="BK443">
            <v>0</v>
          </cell>
          <cell r="BL443">
            <v>0</v>
          </cell>
          <cell r="BM443">
            <v>0</v>
          </cell>
          <cell r="BN443">
            <v>10</v>
          </cell>
          <cell r="BO443">
            <v>0</v>
          </cell>
          <cell r="BP443">
            <v>0</v>
          </cell>
          <cell r="BQ443">
            <v>0</v>
          </cell>
          <cell r="BR443">
            <v>0</v>
          </cell>
          <cell r="BS443">
            <v>0</v>
          </cell>
          <cell r="BT443">
            <v>0</v>
          </cell>
          <cell r="BU443">
            <v>0</v>
          </cell>
          <cell r="BV443">
            <v>0</v>
          </cell>
          <cell r="BW443">
            <v>0</v>
          </cell>
          <cell r="BX443">
            <v>0</v>
          </cell>
          <cell r="BY443">
            <v>0</v>
          </cell>
          <cell r="BZ443">
            <v>0</v>
          </cell>
          <cell r="CA443">
            <v>0</v>
          </cell>
          <cell r="CB443">
            <v>0</v>
          </cell>
          <cell r="CC443">
            <v>0</v>
          </cell>
          <cell r="CD443">
            <v>0</v>
          </cell>
        </row>
        <row r="444">
          <cell r="C444">
            <v>37858</v>
          </cell>
          <cell r="D444">
            <v>37928</v>
          </cell>
          <cell r="E444">
            <v>37911</v>
          </cell>
          <cell r="F444">
            <v>0.3125</v>
          </cell>
          <cell r="G444" t="str">
            <v>Linha de Pintura 15m</v>
          </cell>
          <cell r="H444" t="str">
            <v>Variador 01 de carga/descarga apresenta funcionamento inadequado</v>
          </cell>
          <cell r="I444" t="str">
            <v>Corretiva</v>
          </cell>
          <cell r="J444" t="str">
            <v>Sim</v>
          </cell>
          <cell r="K444" t="str">
            <v>Mecânica</v>
          </cell>
          <cell r="L444" t="str">
            <v>Reparo</v>
          </cell>
          <cell r="M444" t="str">
            <v>Travamento de Componente</v>
          </cell>
          <cell r="N444">
            <v>37911</v>
          </cell>
          <cell r="O444">
            <v>0.3611111111111111</v>
          </cell>
          <cell r="P444">
            <v>37911</v>
          </cell>
          <cell r="Q444">
            <v>0.3611111111111111</v>
          </cell>
          <cell r="T444">
            <v>37911</v>
          </cell>
          <cell r="U444">
            <v>0.3743055555555555</v>
          </cell>
          <cell r="V444">
            <v>37911</v>
          </cell>
          <cell r="W444">
            <v>0.3743055555555555</v>
          </cell>
          <cell r="X444">
            <v>1.3194444444444398E-2</v>
          </cell>
          <cell r="Y444">
            <v>1.3194444442180819E-2</v>
          </cell>
          <cell r="AB444">
            <v>10</v>
          </cell>
          <cell r="AC444">
            <v>8</v>
          </cell>
          <cell r="AD444">
            <v>0</v>
          </cell>
          <cell r="BF444">
            <v>0</v>
          </cell>
          <cell r="BG444">
            <v>0</v>
          </cell>
          <cell r="BH444">
            <v>0</v>
          </cell>
          <cell r="BI444">
            <v>0</v>
          </cell>
          <cell r="BJ444">
            <v>0</v>
          </cell>
          <cell r="BK444">
            <v>0</v>
          </cell>
          <cell r="BL444">
            <v>0</v>
          </cell>
          <cell r="BM444">
            <v>0</v>
          </cell>
          <cell r="BN444">
            <v>10</v>
          </cell>
          <cell r="BO444">
            <v>0</v>
          </cell>
          <cell r="BP444">
            <v>0</v>
          </cell>
          <cell r="BQ444">
            <v>0</v>
          </cell>
          <cell r="BR444">
            <v>0</v>
          </cell>
          <cell r="BS444">
            <v>0</v>
          </cell>
          <cell r="BT444">
            <v>0</v>
          </cell>
          <cell r="BU444">
            <v>0</v>
          </cell>
          <cell r="BV444">
            <v>0</v>
          </cell>
          <cell r="BW444">
            <v>0</v>
          </cell>
          <cell r="BX444">
            <v>0</v>
          </cell>
          <cell r="BY444">
            <v>0</v>
          </cell>
          <cell r="BZ444">
            <v>0</v>
          </cell>
          <cell r="CA444">
            <v>0</v>
          </cell>
          <cell r="CB444">
            <v>0</v>
          </cell>
          <cell r="CC444">
            <v>0</v>
          </cell>
          <cell r="CD444">
            <v>0</v>
          </cell>
        </row>
        <row r="445">
          <cell r="C445">
            <v>37858</v>
          </cell>
          <cell r="D445">
            <v>37928</v>
          </cell>
          <cell r="E445">
            <v>37909</v>
          </cell>
          <cell r="F445">
            <v>0.52083333333333337</v>
          </cell>
          <cell r="G445" t="str">
            <v>Linha de Pintura 15m</v>
          </cell>
          <cell r="H445" t="str">
            <v>Problema no parô do "Stock 05"</v>
          </cell>
          <cell r="I445" t="str">
            <v>Corretiva</v>
          </cell>
          <cell r="J445" t="str">
            <v>Sim</v>
          </cell>
          <cell r="K445" t="str">
            <v>Mecânica</v>
          </cell>
          <cell r="L445" t="str">
            <v>Regulagem do Componente</v>
          </cell>
          <cell r="M445" t="str">
            <v>Travamento de Componente</v>
          </cell>
          <cell r="N445">
            <v>37909</v>
          </cell>
          <cell r="O445">
            <v>0.52083333333333337</v>
          </cell>
          <cell r="P445">
            <v>37909</v>
          </cell>
          <cell r="Q445">
            <v>0.52083333333333337</v>
          </cell>
          <cell r="T445">
            <v>37909</v>
          </cell>
          <cell r="U445">
            <v>0.60416666666666663</v>
          </cell>
          <cell r="V445">
            <v>37909</v>
          </cell>
          <cell r="W445">
            <v>0.60416666666666663</v>
          </cell>
          <cell r="X445">
            <v>8.3333333333333259E-2</v>
          </cell>
          <cell r="Y445">
            <v>8.3333333330907977E-2</v>
          </cell>
          <cell r="AB445">
            <v>10</v>
          </cell>
          <cell r="AC445">
            <v>8</v>
          </cell>
          <cell r="AD445">
            <v>0</v>
          </cell>
          <cell r="BF445">
            <v>0</v>
          </cell>
          <cell r="BG445">
            <v>0</v>
          </cell>
          <cell r="BH445">
            <v>0</v>
          </cell>
          <cell r="BI445">
            <v>0</v>
          </cell>
          <cell r="BJ445">
            <v>0</v>
          </cell>
          <cell r="BK445">
            <v>0</v>
          </cell>
          <cell r="BL445">
            <v>0</v>
          </cell>
          <cell r="BM445">
            <v>0</v>
          </cell>
          <cell r="BN445">
            <v>10</v>
          </cell>
          <cell r="BO445">
            <v>0</v>
          </cell>
          <cell r="BP445">
            <v>0</v>
          </cell>
          <cell r="BQ445">
            <v>0</v>
          </cell>
          <cell r="BR445">
            <v>0</v>
          </cell>
          <cell r="BS445">
            <v>0</v>
          </cell>
          <cell r="BT445">
            <v>0</v>
          </cell>
          <cell r="BU445">
            <v>0</v>
          </cell>
          <cell r="BV445">
            <v>0</v>
          </cell>
          <cell r="BW445">
            <v>0</v>
          </cell>
          <cell r="BX445">
            <v>0</v>
          </cell>
          <cell r="BY445">
            <v>0</v>
          </cell>
          <cell r="BZ445">
            <v>0</v>
          </cell>
          <cell r="CA445">
            <v>0</v>
          </cell>
          <cell r="CB445">
            <v>0</v>
          </cell>
          <cell r="CC445">
            <v>0</v>
          </cell>
          <cell r="CD445">
            <v>0</v>
          </cell>
        </row>
        <row r="446">
          <cell r="C446">
            <v>37858</v>
          </cell>
          <cell r="D446">
            <v>37928</v>
          </cell>
          <cell r="E446">
            <v>37917</v>
          </cell>
          <cell r="F446">
            <v>0.58333333333333337</v>
          </cell>
          <cell r="G446" t="str">
            <v>Linha de Pintura 15m</v>
          </cell>
          <cell r="H446" t="str">
            <v>Abraçadeira do braço da pistola está quebrada</v>
          </cell>
          <cell r="I446" t="str">
            <v>Corretiva</v>
          </cell>
          <cell r="J446" t="str">
            <v>Não</v>
          </cell>
          <cell r="K446" t="str">
            <v>Mecânica</v>
          </cell>
          <cell r="L446" t="str">
            <v>Substituição do(s) Componente(s)</v>
          </cell>
          <cell r="M446" t="str">
            <v>Desgaste / Fadiga</v>
          </cell>
          <cell r="N446">
            <v>37917</v>
          </cell>
          <cell r="O446">
            <v>0.58333333333333337</v>
          </cell>
          <cell r="P446">
            <v>37917</v>
          </cell>
          <cell r="Q446">
            <v>0.58333333333333337</v>
          </cell>
          <cell r="T446">
            <v>37917</v>
          </cell>
          <cell r="U446">
            <v>0.60416666666666663</v>
          </cell>
          <cell r="V446">
            <v>37917</v>
          </cell>
          <cell r="W446">
            <v>0.60416666666666663</v>
          </cell>
          <cell r="X446">
            <v>2.0833333330907977E-2</v>
          </cell>
          <cell r="Y446">
            <v>2.0833333330907977E-2</v>
          </cell>
          <cell r="AB446">
            <v>10</v>
          </cell>
          <cell r="AC446">
            <v>8</v>
          </cell>
          <cell r="AD446">
            <v>0</v>
          </cell>
          <cell r="BF446">
            <v>0</v>
          </cell>
          <cell r="BG446">
            <v>0</v>
          </cell>
          <cell r="BH446">
            <v>0</v>
          </cell>
          <cell r="BI446">
            <v>0</v>
          </cell>
          <cell r="BJ446">
            <v>0</v>
          </cell>
          <cell r="BK446">
            <v>0</v>
          </cell>
          <cell r="BL446">
            <v>0</v>
          </cell>
          <cell r="BM446">
            <v>0</v>
          </cell>
          <cell r="BN446">
            <v>10</v>
          </cell>
          <cell r="BO446">
            <v>0</v>
          </cell>
          <cell r="BP446">
            <v>0</v>
          </cell>
          <cell r="BQ446">
            <v>0</v>
          </cell>
          <cell r="BR446">
            <v>0</v>
          </cell>
          <cell r="BS446">
            <v>0</v>
          </cell>
          <cell r="BT446">
            <v>0</v>
          </cell>
          <cell r="BU446">
            <v>0</v>
          </cell>
          <cell r="BV446">
            <v>0</v>
          </cell>
          <cell r="BW446">
            <v>0</v>
          </cell>
          <cell r="BX446">
            <v>0</v>
          </cell>
          <cell r="BY446">
            <v>0</v>
          </cell>
          <cell r="BZ446">
            <v>0</v>
          </cell>
          <cell r="CA446">
            <v>0</v>
          </cell>
          <cell r="CB446">
            <v>0</v>
          </cell>
          <cell r="CC446">
            <v>0</v>
          </cell>
          <cell r="CD446">
            <v>0</v>
          </cell>
        </row>
        <row r="447">
          <cell r="C447">
            <v>37858</v>
          </cell>
          <cell r="D447">
            <v>37970</v>
          </cell>
          <cell r="E447">
            <v>37925</v>
          </cell>
          <cell r="F447">
            <v>37925</v>
          </cell>
          <cell r="G447">
            <v>0.25</v>
          </cell>
          <cell r="H447" t="str">
            <v>03 Fusíveis do painel da cabine estão queimados</v>
          </cell>
          <cell r="I447">
            <v>0</v>
          </cell>
          <cell r="J447" t="str">
            <v>Sim</v>
          </cell>
          <cell r="K447" t="str">
            <v>Elétrica</v>
          </cell>
          <cell r="L447" t="str">
            <v>Sim</v>
          </cell>
          <cell r="M447" t="str">
            <v>Sobrecarga</v>
          </cell>
          <cell r="N447">
            <v>37925</v>
          </cell>
          <cell r="O447">
            <v>0.29166666666666669</v>
          </cell>
          <cell r="P447">
            <v>37925</v>
          </cell>
          <cell r="Q447">
            <v>0.29166666666666669</v>
          </cell>
          <cell r="T447">
            <v>37925</v>
          </cell>
          <cell r="U447">
            <v>0.30208333333333331</v>
          </cell>
          <cell r="V447">
            <v>37925</v>
          </cell>
          <cell r="W447">
            <v>0.30208333333333331</v>
          </cell>
          <cell r="X447">
            <v>1.041666666666663E-2</v>
          </cell>
          <cell r="Y447">
            <v>1.0416666669091967E-2</v>
          </cell>
          <cell r="AB447">
            <v>10</v>
          </cell>
          <cell r="AC447">
            <v>8</v>
          </cell>
          <cell r="AD447">
            <v>0</v>
          </cell>
          <cell r="BF447">
            <v>0</v>
          </cell>
          <cell r="BG447">
            <v>0</v>
          </cell>
          <cell r="BH447">
            <v>0</v>
          </cell>
          <cell r="BI447">
            <v>0</v>
          </cell>
          <cell r="BJ447">
            <v>0</v>
          </cell>
          <cell r="BK447">
            <v>0</v>
          </cell>
          <cell r="BL447">
            <v>0</v>
          </cell>
          <cell r="BM447">
            <v>0</v>
          </cell>
          <cell r="BN447">
            <v>10</v>
          </cell>
          <cell r="BO447">
            <v>0</v>
          </cell>
          <cell r="BP447">
            <v>0</v>
          </cell>
          <cell r="BQ447">
            <v>0</v>
          </cell>
          <cell r="BR447">
            <v>0</v>
          </cell>
          <cell r="BS447">
            <v>0</v>
          </cell>
          <cell r="BT447">
            <v>0</v>
          </cell>
          <cell r="BU447">
            <v>0</v>
          </cell>
          <cell r="BV447">
            <v>0</v>
          </cell>
          <cell r="BW447">
            <v>0</v>
          </cell>
          <cell r="BX447">
            <v>0</v>
          </cell>
          <cell r="BY447">
            <v>0</v>
          </cell>
          <cell r="BZ447">
            <v>0</v>
          </cell>
          <cell r="CA447">
            <v>0</v>
          </cell>
          <cell r="CB447">
            <v>0</v>
          </cell>
          <cell r="CC447">
            <v>0</v>
          </cell>
          <cell r="CD447">
            <v>0</v>
          </cell>
        </row>
        <row r="448">
          <cell r="C448">
            <v>37858</v>
          </cell>
          <cell r="D448">
            <v>37970</v>
          </cell>
          <cell r="E448">
            <v>37935</v>
          </cell>
          <cell r="F448">
            <v>37935</v>
          </cell>
          <cell r="G448">
            <v>0.3888888888888889</v>
          </cell>
          <cell r="H448" t="str">
            <v>Anomalia no variador VI</v>
          </cell>
          <cell r="I448">
            <v>0</v>
          </cell>
          <cell r="J448" t="str">
            <v>Sim</v>
          </cell>
          <cell r="K448" t="str">
            <v>Mecânica</v>
          </cell>
          <cell r="L448" t="str">
            <v>Sim</v>
          </cell>
          <cell r="M448" t="str">
            <v>Falha Operacional</v>
          </cell>
          <cell r="N448">
            <v>37935</v>
          </cell>
          <cell r="O448">
            <v>0.41666666666666669</v>
          </cell>
          <cell r="P448">
            <v>37935</v>
          </cell>
          <cell r="Q448">
            <v>0.41666666666666669</v>
          </cell>
          <cell r="T448">
            <v>37935</v>
          </cell>
          <cell r="U448">
            <v>0.70833333333333337</v>
          </cell>
          <cell r="V448">
            <v>37935</v>
          </cell>
          <cell r="W448">
            <v>0.70833333333333337</v>
          </cell>
          <cell r="X448">
            <v>0.29166666666666669</v>
          </cell>
          <cell r="Y448">
            <v>0.29166666666909197</v>
          </cell>
          <cell r="AB448">
            <v>11</v>
          </cell>
          <cell r="AC448">
            <v>8</v>
          </cell>
          <cell r="AD448">
            <v>0</v>
          </cell>
          <cell r="BF448">
            <v>0</v>
          </cell>
          <cell r="BG448">
            <v>0</v>
          </cell>
          <cell r="BH448">
            <v>0</v>
          </cell>
          <cell r="BI448">
            <v>0</v>
          </cell>
          <cell r="BJ448">
            <v>0</v>
          </cell>
          <cell r="BK448">
            <v>0</v>
          </cell>
          <cell r="BL448">
            <v>0</v>
          </cell>
          <cell r="BM448">
            <v>0</v>
          </cell>
          <cell r="BN448">
            <v>11</v>
          </cell>
          <cell r="BO448">
            <v>0</v>
          </cell>
          <cell r="BP448">
            <v>0</v>
          </cell>
          <cell r="BQ448">
            <v>0</v>
          </cell>
          <cell r="BR448">
            <v>0</v>
          </cell>
          <cell r="BS448">
            <v>0</v>
          </cell>
          <cell r="BT448">
            <v>0</v>
          </cell>
          <cell r="BU448">
            <v>0</v>
          </cell>
          <cell r="BV448">
            <v>0</v>
          </cell>
          <cell r="BW448">
            <v>0</v>
          </cell>
          <cell r="BX448">
            <v>0</v>
          </cell>
          <cell r="BY448">
            <v>0</v>
          </cell>
          <cell r="BZ448">
            <v>0</v>
          </cell>
          <cell r="CA448">
            <v>0</v>
          </cell>
          <cell r="CB448">
            <v>0</v>
          </cell>
          <cell r="CC448">
            <v>0</v>
          </cell>
          <cell r="CD448">
            <v>0</v>
          </cell>
        </row>
        <row r="449">
          <cell r="C449">
            <v>37858</v>
          </cell>
          <cell r="D449">
            <v>37970</v>
          </cell>
          <cell r="E449">
            <v>37937</v>
          </cell>
          <cell r="F449">
            <v>37937</v>
          </cell>
          <cell r="G449">
            <v>0.45833333333333331</v>
          </cell>
          <cell r="H449" t="str">
            <v>Sobrecarga no Motor de ventilação 02</v>
          </cell>
          <cell r="I449">
            <v>0</v>
          </cell>
          <cell r="J449" t="str">
            <v>Sim</v>
          </cell>
          <cell r="K449" t="str">
            <v>Elétrica</v>
          </cell>
          <cell r="L449" t="str">
            <v>Sim</v>
          </cell>
          <cell r="M449" t="str">
            <v>Mau contato</v>
          </cell>
          <cell r="N449">
            <v>37937</v>
          </cell>
          <cell r="O449">
            <v>0.45833333333333331</v>
          </cell>
          <cell r="P449">
            <v>37937</v>
          </cell>
          <cell r="Q449">
            <v>0.45833333333333331</v>
          </cell>
          <cell r="T449">
            <v>37937</v>
          </cell>
          <cell r="U449">
            <v>0.5</v>
          </cell>
          <cell r="V449">
            <v>37937</v>
          </cell>
          <cell r="W449">
            <v>0.5</v>
          </cell>
          <cell r="X449">
            <v>4.1666666666666685E-2</v>
          </cell>
          <cell r="Y449">
            <v>4.1666666666666685E-2</v>
          </cell>
          <cell r="AB449">
            <v>11</v>
          </cell>
          <cell r="AC449">
            <v>8</v>
          </cell>
          <cell r="AD449">
            <v>0</v>
          </cell>
          <cell r="BF449">
            <v>0</v>
          </cell>
          <cell r="BG449">
            <v>0</v>
          </cell>
          <cell r="BH449">
            <v>0</v>
          </cell>
          <cell r="BI449">
            <v>0</v>
          </cell>
          <cell r="BJ449">
            <v>0</v>
          </cell>
          <cell r="BK449">
            <v>0</v>
          </cell>
          <cell r="BL449">
            <v>0</v>
          </cell>
          <cell r="BM449">
            <v>0</v>
          </cell>
          <cell r="BN449">
            <v>11</v>
          </cell>
          <cell r="BO449">
            <v>0</v>
          </cell>
          <cell r="BP449">
            <v>0</v>
          </cell>
          <cell r="BQ449">
            <v>0</v>
          </cell>
          <cell r="BR449">
            <v>0</v>
          </cell>
          <cell r="BS449">
            <v>0</v>
          </cell>
          <cell r="BT449">
            <v>0</v>
          </cell>
          <cell r="BU449">
            <v>0</v>
          </cell>
          <cell r="BV449">
            <v>0</v>
          </cell>
          <cell r="BW449">
            <v>0</v>
          </cell>
          <cell r="BX449">
            <v>0</v>
          </cell>
          <cell r="BY449">
            <v>0</v>
          </cell>
          <cell r="BZ449">
            <v>0</v>
          </cell>
          <cell r="CA449">
            <v>0</v>
          </cell>
          <cell r="CB449">
            <v>0</v>
          </cell>
          <cell r="CC449">
            <v>0</v>
          </cell>
          <cell r="CD449">
            <v>0</v>
          </cell>
        </row>
        <row r="450">
          <cell r="C450">
            <v>37858</v>
          </cell>
          <cell r="D450">
            <v>37970</v>
          </cell>
          <cell r="E450">
            <v>37938</v>
          </cell>
          <cell r="F450">
            <v>37938</v>
          </cell>
          <cell r="G450">
            <v>0.4465277777777778</v>
          </cell>
          <cell r="H450" t="str">
            <v>Anomalia no variador VI</v>
          </cell>
          <cell r="I450">
            <v>0</v>
          </cell>
          <cell r="J450" t="str">
            <v>Sim</v>
          </cell>
          <cell r="K450" t="str">
            <v>Mecânica</v>
          </cell>
          <cell r="L450" t="str">
            <v>sim</v>
          </cell>
          <cell r="M450" t="str">
            <v>Falha de Comando / Sistema</v>
          </cell>
          <cell r="N450">
            <v>37938</v>
          </cell>
          <cell r="O450">
            <v>0.4513888888888889</v>
          </cell>
          <cell r="P450">
            <v>37938</v>
          </cell>
          <cell r="Q450">
            <v>0.4513888888888889</v>
          </cell>
          <cell r="T450">
            <v>37938</v>
          </cell>
          <cell r="U450">
            <v>0.46875</v>
          </cell>
          <cell r="V450">
            <v>37938</v>
          </cell>
          <cell r="W450">
            <v>0.46875</v>
          </cell>
          <cell r="X450">
            <v>1.7361111111111105E-2</v>
          </cell>
          <cell r="Y450">
            <v>1.7361111111111105E-2</v>
          </cell>
          <cell r="AB450">
            <v>11</v>
          </cell>
          <cell r="AC450">
            <v>8</v>
          </cell>
          <cell r="AD450">
            <v>0</v>
          </cell>
          <cell r="BF450">
            <v>0</v>
          </cell>
          <cell r="BG450">
            <v>0</v>
          </cell>
          <cell r="BH450">
            <v>0</v>
          </cell>
          <cell r="BI450">
            <v>0</v>
          </cell>
          <cell r="BJ450">
            <v>0</v>
          </cell>
          <cell r="BK450">
            <v>0</v>
          </cell>
          <cell r="BL450">
            <v>0</v>
          </cell>
          <cell r="BM450">
            <v>0</v>
          </cell>
          <cell r="BN450">
            <v>11</v>
          </cell>
          <cell r="BO450">
            <v>0</v>
          </cell>
          <cell r="BP450">
            <v>0</v>
          </cell>
          <cell r="BQ450">
            <v>0</v>
          </cell>
          <cell r="BR450">
            <v>0</v>
          </cell>
          <cell r="BS450">
            <v>0</v>
          </cell>
          <cell r="BT450">
            <v>0</v>
          </cell>
          <cell r="BU450">
            <v>0</v>
          </cell>
          <cell r="BV450">
            <v>0</v>
          </cell>
          <cell r="BW450">
            <v>0</v>
          </cell>
          <cell r="BX450">
            <v>0</v>
          </cell>
          <cell r="BY450">
            <v>0</v>
          </cell>
          <cell r="BZ450">
            <v>0</v>
          </cell>
          <cell r="CA450">
            <v>0</v>
          </cell>
          <cell r="CB450">
            <v>0</v>
          </cell>
          <cell r="CC450">
            <v>0</v>
          </cell>
          <cell r="CD450">
            <v>0</v>
          </cell>
        </row>
        <row r="451">
          <cell r="C451">
            <v>37858</v>
          </cell>
          <cell r="D451">
            <v>37970</v>
          </cell>
          <cell r="E451">
            <v>37937</v>
          </cell>
          <cell r="F451">
            <v>37937</v>
          </cell>
          <cell r="G451">
            <v>0.41666666666666669</v>
          </cell>
          <cell r="H451" t="str">
            <v>Problema nos conectores da mangueira de ar, pistola e máquina de embalagem</v>
          </cell>
          <cell r="I451">
            <v>0</v>
          </cell>
          <cell r="J451" t="str">
            <v>Não</v>
          </cell>
          <cell r="K451" t="str">
            <v>Mecânica</v>
          </cell>
          <cell r="L451" t="str">
            <v>Não</v>
          </cell>
          <cell r="M451" t="str">
            <v>Desgaste / Fadiga</v>
          </cell>
          <cell r="N451">
            <v>37937</v>
          </cell>
          <cell r="O451">
            <v>0.4236111111111111</v>
          </cell>
          <cell r="P451">
            <v>37937</v>
          </cell>
          <cell r="Q451">
            <v>0.4236111111111111</v>
          </cell>
          <cell r="T451">
            <v>37937</v>
          </cell>
          <cell r="U451">
            <v>0.44444444444444442</v>
          </cell>
          <cell r="V451">
            <v>37937</v>
          </cell>
          <cell r="W451">
            <v>0.44444444444444442</v>
          </cell>
          <cell r="X451">
            <v>2.0833333334141779E-2</v>
          </cell>
          <cell r="Y451">
            <v>2.0833333334141779E-2</v>
          </cell>
          <cell r="AB451">
            <v>11</v>
          </cell>
          <cell r="AC451">
            <v>8</v>
          </cell>
          <cell r="AD451">
            <v>0</v>
          </cell>
          <cell r="BF451">
            <v>0</v>
          </cell>
          <cell r="BG451">
            <v>0</v>
          </cell>
          <cell r="BH451">
            <v>0</v>
          </cell>
          <cell r="BI451">
            <v>0</v>
          </cell>
          <cell r="BJ451">
            <v>0</v>
          </cell>
          <cell r="BK451">
            <v>0</v>
          </cell>
          <cell r="BL451">
            <v>0</v>
          </cell>
          <cell r="BM451">
            <v>0</v>
          </cell>
          <cell r="BN451">
            <v>11</v>
          </cell>
          <cell r="BO451">
            <v>0</v>
          </cell>
          <cell r="BP451">
            <v>0</v>
          </cell>
          <cell r="BQ451">
            <v>0</v>
          </cell>
          <cell r="BR451">
            <v>0</v>
          </cell>
          <cell r="BS451">
            <v>0</v>
          </cell>
          <cell r="BT451">
            <v>0</v>
          </cell>
          <cell r="BU451">
            <v>0</v>
          </cell>
          <cell r="BV451">
            <v>0</v>
          </cell>
          <cell r="BW451">
            <v>0</v>
          </cell>
          <cell r="BX451">
            <v>0</v>
          </cell>
          <cell r="BY451">
            <v>0</v>
          </cell>
          <cell r="BZ451">
            <v>0</v>
          </cell>
          <cell r="CA451">
            <v>0</v>
          </cell>
          <cell r="CB451">
            <v>0</v>
          </cell>
          <cell r="CC451">
            <v>0</v>
          </cell>
          <cell r="CD451">
            <v>0</v>
          </cell>
        </row>
        <row r="452">
          <cell r="C452">
            <v>37858</v>
          </cell>
          <cell r="D452">
            <v>37970</v>
          </cell>
          <cell r="E452">
            <v>37943</v>
          </cell>
          <cell r="F452">
            <v>0.33333333333333331</v>
          </cell>
          <cell r="G452" t="str">
            <v>Linha de Pintura 15m</v>
          </cell>
          <cell r="H452" t="str">
            <v>Painel Nº 02 de regulagem de pó está parado</v>
          </cell>
          <cell r="I452">
            <v>0</v>
          </cell>
          <cell r="J452" t="str">
            <v>Não</v>
          </cell>
          <cell r="K452" t="str">
            <v>Elétrica</v>
          </cell>
          <cell r="L452" t="str">
            <v>Substituição do(s) Componente(s)</v>
          </cell>
          <cell r="M452" t="str">
            <v>Curto-circuito</v>
          </cell>
          <cell r="N452">
            <v>37943</v>
          </cell>
          <cell r="O452">
            <v>0.33333333333333331</v>
          </cell>
          <cell r="P452">
            <v>0</v>
          </cell>
          <cell r="T452">
            <v>37943</v>
          </cell>
          <cell r="U452">
            <v>0.375</v>
          </cell>
          <cell r="V452">
            <v>0</v>
          </cell>
          <cell r="W452">
            <v>4.1666666666666685E-2</v>
          </cell>
          <cell r="X452">
            <v>0</v>
          </cell>
          <cell r="Y452">
            <v>0</v>
          </cell>
          <cell r="AB452">
            <v>11</v>
          </cell>
          <cell r="AC452">
            <v>8</v>
          </cell>
          <cell r="AD452">
            <v>0</v>
          </cell>
          <cell r="BF452">
            <v>0</v>
          </cell>
          <cell r="BG452">
            <v>0</v>
          </cell>
          <cell r="BH452">
            <v>0</v>
          </cell>
          <cell r="BI452">
            <v>0</v>
          </cell>
          <cell r="BJ452">
            <v>0</v>
          </cell>
          <cell r="BK452">
            <v>0</v>
          </cell>
          <cell r="BL452">
            <v>0</v>
          </cell>
          <cell r="BM452">
            <v>0</v>
          </cell>
          <cell r="BN452">
            <v>11</v>
          </cell>
          <cell r="BO452">
            <v>0</v>
          </cell>
          <cell r="BP452">
            <v>0</v>
          </cell>
          <cell r="BQ452">
            <v>0</v>
          </cell>
          <cell r="BR452">
            <v>0</v>
          </cell>
          <cell r="BS452">
            <v>0</v>
          </cell>
          <cell r="BT452">
            <v>0</v>
          </cell>
          <cell r="BU452">
            <v>0</v>
          </cell>
          <cell r="BV452">
            <v>0</v>
          </cell>
          <cell r="BW452">
            <v>0</v>
          </cell>
          <cell r="BX452">
            <v>0</v>
          </cell>
          <cell r="BY452">
            <v>0</v>
          </cell>
          <cell r="BZ452">
            <v>0</v>
          </cell>
          <cell r="CA452">
            <v>0</v>
          </cell>
          <cell r="CB452">
            <v>0</v>
          </cell>
          <cell r="CC452">
            <v>0</v>
          </cell>
          <cell r="CD452">
            <v>0</v>
          </cell>
        </row>
        <row r="453">
          <cell r="C453">
            <v>37858</v>
          </cell>
          <cell r="D453">
            <v>37970</v>
          </cell>
          <cell r="E453">
            <v>37947</v>
          </cell>
          <cell r="F453">
            <v>0.41666666666666669</v>
          </cell>
          <cell r="G453" t="str">
            <v>Linha de Pintura 15m</v>
          </cell>
          <cell r="H453" t="str">
            <v>Fusível do controle de regulagem de pó da pistola Nº 02 queimado</v>
          </cell>
          <cell r="I453">
            <v>0</v>
          </cell>
          <cell r="J453" t="str">
            <v>Não</v>
          </cell>
          <cell r="K453" t="str">
            <v>Elétrica</v>
          </cell>
          <cell r="L453" t="str">
            <v>Substituição do(s) Componente(s)</v>
          </cell>
          <cell r="M453" t="str">
            <v>Curto-circuito</v>
          </cell>
          <cell r="N453">
            <v>37947</v>
          </cell>
          <cell r="O453">
            <v>0.4236111111111111</v>
          </cell>
          <cell r="P453">
            <v>0</v>
          </cell>
          <cell r="T453">
            <v>37947</v>
          </cell>
          <cell r="U453">
            <v>0.46527777777777773</v>
          </cell>
          <cell r="V453">
            <v>0</v>
          </cell>
          <cell r="W453">
            <v>4.1666666669900432E-2</v>
          </cell>
          <cell r="X453">
            <v>0</v>
          </cell>
          <cell r="Y453">
            <v>0</v>
          </cell>
          <cell r="AB453">
            <v>11</v>
          </cell>
          <cell r="AC453">
            <v>8</v>
          </cell>
          <cell r="AD453">
            <v>0</v>
          </cell>
          <cell r="BF453">
            <v>0</v>
          </cell>
          <cell r="BG453">
            <v>0</v>
          </cell>
          <cell r="BH453">
            <v>0</v>
          </cell>
          <cell r="BI453">
            <v>0</v>
          </cell>
          <cell r="BJ453">
            <v>0</v>
          </cell>
          <cell r="BK453">
            <v>0</v>
          </cell>
          <cell r="BL453">
            <v>0</v>
          </cell>
          <cell r="BM453">
            <v>0</v>
          </cell>
          <cell r="BN453">
            <v>11</v>
          </cell>
          <cell r="BO453">
            <v>0</v>
          </cell>
          <cell r="BP453">
            <v>0</v>
          </cell>
          <cell r="BQ453">
            <v>0</v>
          </cell>
          <cell r="BR453">
            <v>0</v>
          </cell>
          <cell r="BS453">
            <v>0</v>
          </cell>
          <cell r="BT453">
            <v>0</v>
          </cell>
          <cell r="BU453">
            <v>0</v>
          </cell>
          <cell r="BV453">
            <v>0</v>
          </cell>
          <cell r="BW453">
            <v>0</v>
          </cell>
          <cell r="BX453">
            <v>0</v>
          </cell>
          <cell r="BY453">
            <v>0</v>
          </cell>
          <cell r="BZ453">
            <v>0</v>
          </cell>
          <cell r="CA453">
            <v>0</v>
          </cell>
          <cell r="CB453">
            <v>0</v>
          </cell>
          <cell r="CC453">
            <v>0</v>
          </cell>
          <cell r="CD453">
            <v>0</v>
          </cell>
        </row>
        <row r="454">
          <cell r="C454">
            <v>37858</v>
          </cell>
          <cell r="D454">
            <v>37977</v>
          </cell>
          <cell r="E454">
            <v>37949</v>
          </cell>
          <cell r="F454">
            <v>0.36458333333333331</v>
          </cell>
          <cell r="G454" t="str">
            <v>Linha de Pintura 15m</v>
          </cell>
          <cell r="H454" t="str">
            <v>Painel Nº 02 de regulagem de pó está parado</v>
          </cell>
          <cell r="I454">
            <v>0</v>
          </cell>
          <cell r="J454" t="str">
            <v>Não</v>
          </cell>
          <cell r="K454" t="str">
            <v>Elétrica</v>
          </cell>
          <cell r="L454" t="str">
            <v>Substituição do(s) Componente(s)</v>
          </cell>
          <cell r="M454" t="str">
            <v>Curto-circuito</v>
          </cell>
          <cell r="N454">
            <v>37949</v>
          </cell>
          <cell r="O454">
            <v>0.36458333333333331</v>
          </cell>
          <cell r="P454">
            <v>0</v>
          </cell>
          <cell r="T454">
            <v>37949</v>
          </cell>
          <cell r="U454">
            <v>0.39583333333333331</v>
          </cell>
          <cell r="V454">
            <v>0</v>
          </cell>
          <cell r="W454">
            <v>3.1250000002425338E-2</v>
          </cell>
          <cell r="X454">
            <v>0</v>
          </cell>
          <cell r="Y454">
            <v>0</v>
          </cell>
          <cell r="AB454">
            <v>11</v>
          </cell>
          <cell r="AC454">
            <v>8</v>
          </cell>
          <cell r="AD454">
            <v>0</v>
          </cell>
          <cell r="BF454">
            <v>0</v>
          </cell>
          <cell r="BG454">
            <v>0</v>
          </cell>
          <cell r="BH454">
            <v>0</v>
          </cell>
          <cell r="BI454">
            <v>0</v>
          </cell>
          <cell r="BJ454">
            <v>0</v>
          </cell>
          <cell r="BK454">
            <v>0</v>
          </cell>
          <cell r="BL454">
            <v>0</v>
          </cell>
          <cell r="BM454">
            <v>0</v>
          </cell>
          <cell r="BN454">
            <v>11</v>
          </cell>
          <cell r="BO454">
            <v>0</v>
          </cell>
          <cell r="BP454">
            <v>0</v>
          </cell>
          <cell r="BQ454">
            <v>0</v>
          </cell>
          <cell r="BR454">
            <v>0</v>
          </cell>
          <cell r="BS454">
            <v>0</v>
          </cell>
          <cell r="BT454">
            <v>0</v>
          </cell>
          <cell r="BU454">
            <v>0</v>
          </cell>
          <cell r="BV454">
            <v>0</v>
          </cell>
          <cell r="BW454">
            <v>0</v>
          </cell>
          <cell r="BX454">
            <v>0</v>
          </cell>
          <cell r="BY454">
            <v>0</v>
          </cell>
          <cell r="BZ454">
            <v>0</v>
          </cell>
          <cell r="CA454">
            <v>0</v>
          </cell>
          <cell r="CB454">
            <v>0</v>
          </cell>
          <cell r="CC454">
            <v>0</v>
          </cell>
          <cell r="CD454">
            <v>0</v>
          </cell>
        </row>
        <row r="455">
          <cell r="C455">
            <v>37858</v>
          </cell>
          <cell r="E455">
            <v>37951</v>
          </cell>
          <cell r="F455">
            <v>37951</v>
          </cell>
          <cell r="G455">
            <v>0.70138888888888884</v>
          </cell>
          <cell r="H455" t="str">
            <v>Engate rápido do recuperador de pó quebrado</v>
          </cell>
          <cell r="I455">
            <v>0</v>
          </cell>
          <cell r="J455" t="str">
            <v>Sim</v>
          </cell>
          <cell r="K455" t="str">
            <v>Mecânica</v>
          </cell>
          <cell r="L455" t="str">
            <v>sim</v>
          </cell>
          <cell r="M455" t="str">
            <v>Falha Operacional</v>
          </cell>
          <cell r="N455">
            <v>0</v>
          </cell>
          <cell r="P455">
            <v>0</v>
          </cell>
          <cell r="T455">
            <v>0</v>
          </cell>
          <cell r="V455">
            <v>0</v>
          </cell>
          <cell r="W455">
            <v>0</v>
          </cell>
          <cell r="X455">
            <v>0</v>
          </cell>
          <cell r="Y455">
            <v>0</v>
          </cell>
          <cell r="AB455">
            <v>0</v>
          </cell>
          <cell r="AC455">
            <v>8</v>
          </cell>
          <cell r="AD455">
            <v>0</v>
          </cell>
          <cell r="BF455">
            <v>0</v>
          </cell>
          <cell r="BG455">
            <v>0</v>
          </cell>
          <cell r="BH455">
            <v>0</v>
          </cell>
          <cell r="BI455">
            <v>0</v>
          </cell>
          <cell r="BJ455">
            <v>0</v>
          </cell>
          <cell r="BK455">
            <v>0</v>
          </cell>
          <cell r="BL455">
            <v>0</v>
          </cell>
          <cell r="BM455">
            <v>0</v>
          </cell>
          <cell r="BN455">
            <v>1</v>
          </cell>
          <cell r="BO455">
            <v>0</v>
          </cell>
          <cell r="BP455">
            <v>0</v>
          </cell>
          <cell r="BQ455">
            <v>0</v>
          </cell>
          <cell r="BR455">
            <v>0</v>
          </cell>
          <cell r="BS455">
            <v>0</v>
          </cell>
          <cell r="BT455">
            <v>0</v>
          </cell>
          <cell r="BU455">
            <v>0</v>
          </cell>
          <cell r="BV455">
            <v>0</v>
          </cell>
          <cell r="BW455">
            <v>0</v>
          </cell>
          <cell r="BX455">
            <v>0</v>
          </cell>
          <cell r="BY455">
            <v>0</v>
          </cell>
          <cell r="BZ455">
            <v>0</v>
          </cell>
          <cell r="CA455">
            <v>0</v>
          </cell>
          <cell r="CB455">
            <v>0</v>
          </cell>
          <cell r="CC455">
            <v>0</v>
          </cell>
          <cell r="CD455">
            <v>0</v>
          </cell>
        </row>
        <row r="456">
          <cell r="C456">
            <v>37858</v>
          </cell>
          <cell r="D456">
            <v>37970</v>
          </cell>
          <cell r="E456">
            <v>37952</v>
          </cell>
          <cell r="F456">
            <v>0.48958333333333331</v>
          </cell>
          <cell r="G456" t="str">
            <v>Linha de Pintura 15m</v>
          </cell>
          <cell r="H456" t="str">
            <v>Sobrecarga no motor Nº 02</v>
          </cell>
          <cell r="I456">
            <v>0</v>
          </cell>
          <cell r="J456" t="str">
            <v>Sim</v>
          </cell>
          <cell r="K456" t="str">
            <v>Elétrica</v>
          </cell>
          <cell r="L456" t="str">
            <v>Destravamento dos Componentes</v>
          </cell>
          <cell r="M456" t="str">
            <v>Falha de Regulagem / Configuração / Dimensionamento</v>
          </cell>
          <cell r="N456">
            <v>37952</v>
          </cell>
          <cell r="O456">
            <v>0.49305555555555558</v>
          </cell>
          <cell r="P456">
            <v>0</v>
          </cell>
          <cell r="T456">
            <v>37952</v>
          </cell>
          <cell r="U456">
            <v>0.51388888888888895</v>
          </cell>
          <cell r="V456">
            <v>0</v>
          </cell>
          <cell r="W456">
            <v>2.4305555557172454E-2</v>
          </cell>
          <cell r="X456">
            <v>0</v>
          </cell>
          <cell r="Y456">
            <v>0</v>
          </cell>
          <cell r="AB456">
            <v>11</v>
          </cell>
          <cell r="AC456">
            <v>8</v>
          </cell>
          <cell r="AD456">
            <v>0</v>
          </cell>
          <cell r="BF456">
            <v>0</v>
          </cell>
          <cell r="BG456">
            <v>0</v>
          </cell>
          <cell r="BH456">
            <v>0</v>
          </cell>
          <cell r="BI456">
            <v>0</v>
          </cell>
          <cell r="BJ456">
            <v>0</v>
          </cell>
          <cell r="BK456">
            <v>0</v>
          </cell>
          <cell r="BL456">
            <v>0</v>
          </cell>
          <cell r="BM456">
            <v>0</v>
          </cell>
          <cell r="BN456">
            <v>11</v>
          </cell>
          <cell r="BO456">
            <v>0</v>
          </cell>
          <cell r="BP456">
            <v>0</v>
          </cell>
          <cell r="BQ456">
            <v>0</v>
          </cell>
          <cell r="BR456">
            <v>0</v>
          </cell>
          <cell r="BS456">
            <v>0</v>
          </cell>
          <cell r="BT456">
            <v>0</v>
          </cell>
          <cell r="BU456">
            <v>0</v>
          </cell>
          <cell r="BV456">
            <v>0</v>
          </cell>
          <cell r="BW456">
            <v>0</v>
          </cell>
          <cell r="BX456">
            <v>0</v>
          </cell>
          <cell r="BY456">
            <v>0</v>
          </cell>
          <cell r="BZ456">
            <v>0</v>
          </cell>
          <cell r="CA456">
            <v>0</v>
          </cell>
          <cell r="CB456">
            <v>0</v>
          </cell>
          <cell r="CC456">
            <v>0</v>
          </cell>
          <cell r="CD456">
            <v>0</v>
          </cell>
        </row>
        <row r="457">
          <cell r="C457">
            <v>37861</v>
          </cell>
          <cell r="D457">
            <v>37867</v>
          </cell>
          <cell r="E457">
            <v>37865</v>
          </cell>
          <cell r="F457">
            <v>0.39930555555555558</v>
          </cell>
          <cell r="G457" t="str">
            <v>Dobradeira Sorg</v>
          </cell>
          <cell r="H457" t="str">
            <v>Pedal não Funciona</v>
          </cell>
          <cell r="I457" t="str">
            <v>Corretiva</v>
          </cell>
          <cell r="J457" t="str">
            <v>Sim</v>
          </cell>
          <cell r="K457" t="str">
            <v>Elétrica</v>
          </cell>
          <cell r="L457" t="str">
            <v>Substituição do(s) Componente(s)</v>
          </cell>
          <cell r="M457" t="str">
            <v>Desgaste / Fadiga</v>
          </cell>
          <cell r="N457">
            <v>37865</v>
          </cell>
          <cell r="O457">
            <v>0.40277777777777773</v>
          </cell>
          <cell r="P457">
            <v>37865</v>
          </cell>
          <cell r="Q457">
            <v>0.40277777777777773</v>
          </cell>
          <cell r="T457">
            <v>37865</v>
          </cell>
          <cell r="U457">
            <v>0.41666666666666669</v>
          </cell>
          <cell r="V457">
            <v>37865</v>
          </cell>
          <cell r="W457">
            <v>0.41666666666666669</v>
          </cell>
          <cell r="X457">
            <v>1.3888888888888951E-2</v>
          </cell>
          <cell r="Y457">
            <v>1.3888888886463613E-2</v>
          </cell>
          <cell r="AB457">
            <v>9</v>
          </cell>
          <cell r="AC457">
            <v>8</v>
          </cell>
          <cell r="AD457">
            <v>0</v>
          </cell>
          <cell r="BF457">
            <v>0</v>
          </cell>
          <cell r="BG457">
            <v>0</v>
          </cell>
          <cell r="BH457">
            <v>9</v>
          </cell>
          <cell r="BI457">
            <v>0</v>
          </cell>
          <cell r="BJ457">
            <v>0</v>
          </cell>
          <cell r="BK457">
            <v>0</v>
          </cell>
          <cell r="BL457">
            <v>0</v>
          </cell>
          <cell r="BM457">
            <v>0</v>
          </cell>
          <cell r="BN457">
            <v>0</v>
          </cell>
          <cell r="BO457">
            <v>0</v>
          </cell>
          <cell r="BP457">
            <v>0</v>
          </cell>
          <cell r="BQ457">
            <v>0</v>
          </cell>
          <cell r="BR457">
            <v>0</v>
          </cell>
          <cell r="BS457">
            <v>0</v>
          </cell>
          <cell r="BT457">
            <v>0</v>
          </cell>
          <cell r="BU457">
            <v>0</v>
          </cell>
          <cell r="BV457">
            <v>0</v>
          </cell>
          <cell r="BW457">
            <v>0</v>
          </cell>
          <cell r="BX457">
            <v>0</v>
          </cell>
          <cell r="BY457">
            <v>0</v>
          </cell>
          <cell r="BZ457">
            <v>0</v>
          </cell>
          <cell r="CA457">
            <v>0</v>
          </cell>
          <cell r="CB457">
            <v>0</v>
          </cell>
          <cell r="CC457">
            <v>0</v>
          </cell>
          <cell r="CD457">
            <v>0</v>
          </cell>
        </row>
        <row r="458">
          <cell r="C458">
            <v>37861</v>
          </cell>
          <cell r="D458">
            <v>37881</v>
          </cell>
          <cell r="E458">
            <v>37872</v>
          </cell>
          <cell r="F458">
            <v>0.8125</v>
          </cell>
          <cell r="G458" t="str">
            <v>Prensa Jundiaí</v>
          </cell>
          <cell r="H458" t="str">
            <v>Máquina travada</v>
          </cell>
          <cell r="I458" t="str">
            <v>Corretiva</v>
          </cell>
          <cell r="J458" t="str">
            <v>Sim</v>
          </cell>
          <cell r="K458" t="str">
            <v>Elétrica</v>
          </cell>
          <cell r="L458" t="str">
            <v>Ajuste / Regulagem</v>
          </cell>
          <cell r="M458" t="str">
            <v>Falha Operacional</v>
          </cell>
          <cell r="N458">
            <v>37872</v>
          </cell>
          <cell r="O458">
            <v>0.8125</v>
          </cell>
          <cell r="P458">
            <v>37872</v>
          </cell>
          <cell r="Q458">
            <v>0.8125</v>
          </cell>
          <cell r="T458">
            <v>37872</v>
          </cell>
          <cell r="U458">
            <v>0.98611111111111116</v>
          </cell>
          <cell r="V458">
            <v>37872</v>
          </cell>
          <cell r="W458">
            <v>0.98611111111111116</v>
          </cell>
          <cell r="X458">
            <v>0.17361111111111116</v>
          </cell>
          <cell r="Y458">
            <v>0.17361111110949423</v>
          </cell>
          <cell r="AB458">
            <v>9</v>
          </cell>
          <cell r="AC458">
            <v>8</v>
          </cell>
          <cell r="AD458">
            <v>0</v>
          </cell>
          <cell r="BF458">
            <v>0</v>
          </cell>
          <cell r="BG458">
            <v>0</v>
          </cell>
          <cell r="BH458">
            <v>0</v>
          </cell>
          <cell r="BI458">
            <v>0</v>
          </cell>
          <cell r="BJ458">
            <v>0</v>
          </cell>
          <cell r="BK458">
            <v>0</v>
          </cell>
          <cell r="BL458">
            <v>0</v>
          </cell>
          <cell r="BM458">
            <v>0</v>
          </cell>
          <cell r="BN458">
            <v>0</v>
          </cell>
          <cell r="BO458">
            <v>0</v>
          </cell>
          <cell r="BP458">
            <v>0</v>
          </cell>
          <cell r="BQ458">
            <v>0</v>
          </cell>
          <cell r="BR458">
            <v>0</v>
          </cell>
          <cell r="BS458">
            <v>0</v>
          </cell>
          <cell r="BT458">
            <v>0</v>
          </cell>
          <cell r="BU458">
            <v>0</v>
          </cell>
          <cell r="BV458">
            <v>0</v>
          </cell>
          <cell r="BW458">
            <v>0</v>
          </cell>
          <cell r="BX458">
            <v>0</v>
          </cell>
          <cell r="BY458">
            <v>9</v>
          </cell>
          <cell r="BZ458">
            <v>0</v>
          </cell>
          <cell r="CA458">
            <v>0</v>
          </cell>
          <cell r="CB458">
            <v>0</v>
          </cell>
          <cell r="CC458">
            <v>0</v>
          </cell>
          <cell r="CD458">
            <v>0</v>
          </cell>
        </row>
        <row r="459">
          <cell r="C459">
            <v>37861</v>
          </cell>
          <cell r="D459">
            <v>37874</v>
          </cell>
          <cell r="E459">
            <v>37873</v>
          </cell>
          <cell r="F459">
            <v>0.31944444444444448</v>
          </cell>
          <cell r="G459" t="str">
            <v>Prensa Jundiaí</v>
          </cell>
          <cell r="H459" t="str">
            <v>Posicionamento incorreto do Martelo</v>
          </cell>
          <cell r="I459" t="str">
            <v>Corretiva</v>
          </cell>
          <cell r="J459" t="str">
            <v>Sim</v>
          </cell>
          <cell r="K459" t="str">
            <v>Mecânica</v>
          </cell>
          <cell r="L459" t="str">
            <v>Ajuste / Regulagem</v>
          </cell>
          <cell r="M459" t="str">
            <v>Vibração</v>
          </cell>
          <cell r="N459">
            <v>37873</v>
          </cell>
          <cell r="O459">
            <v>0.31944444444444448</v>
          </cell>
          <cell r="P459">
            <v>37873</v>
          </cell>
          <cell r="Q459">
            <v>0.31944444444444448</v>
          </cell>
          <cell r="T459">
            <v>37873</v>
          </cell>
          <cell r="U459">
            <v>0.33333333333333331</v>
          </cell>
          <cell r="V459">
            <v>37873</v>
          </cell>
          <cell r="W459">
            <v>0.33333333333333331</v>
          </cell>
          <cell r="X459">
            <v>1.388888888888884E-2</v>
          </cell>
          <cell r="Y459">
            <v>1.3888888891314177E-2</v>
          </cell>
          <cell r="AB459">
            <v>9</v>
          </cell>
          <cell r="AC459">
            <v>8</v>
          </cell>
          <cell r="AD459">
            <v>0</v>
          </cell>
          <cell r="BF459">
            <v>0</v>
          </cell>
          <cell r="BG459">
            <v>0</v>
          </cell>
          <cell r="BH459">
            <v>0</v>
          </cell>
          <cell r="BI459">
            <v>0</v>
          </cell>
          <cell r="BJ459">
            <v>0</v>
          </cell>
          <cell r="BK459">
            <v>0</v>
          </cell>
          <cell r="BL459">
            <v>0</v>
          </cell>
          <cell r="BM459">
            <v>0</v>
          </cell>
          <cell r="BN459">
            <v>0</v>
          </cell>
          <cell r="BO459">
            <v>0</v>
          </cell>
          <cell r="BP459">
            <v>0</v>
          </cell>
          <cell r="BQ459">
            <v>0</v>
          </cell>
          <cell r="BR459">
            <v>0</v>
          </cell>
          <cell r="BS459">
            <v>0</v>
          </cell>
          <cell r="BT459">
            <v>0</v>
          </cell>
          <cell r="BU459">
            <v>0</v>
          </cell>
          <cell r="BV459">
            <v>0</v>
          </cell>
          <cell r="BW459">
            <v>0</v>
          </cell>
          <cell r="BX459">
            <v>0</v>
          </cell>
          <cell r="BY459">
            <v>9</v>
          </cell>
          <cell r="BZ459">
            <v>0</v>
          </cell>
          <cell r="CA459">
            <v>0</v>
          </cell>
          <cell r="CB459">
            <v>0</v>
          </cell>
          <cell r="CC459">
            <v>0</v>
          </cell>
          <cell r="CD459">
            <v>0</v>
          </cell>
        </row>
        <row r="460">
          <cell r="C460">
            <v>37861</v>
          </cell>
          <cell r="D460">
            <v>37874</v>
          </cell>
          <cell r="E460">
            <v>37873</v>
          </cell>
          <cell r="F460">
            <v>0.41666666666666669</v>
          </cell>
          <cell r="G460" t="str">
            <v>Prensa Jundiaí</v>
          </cell>
          <cell r="H460" t="str">
            <v>Martelo travado</v>
          </cell>
          <cell r="I460" t="str">
            <v>Corretiva</v>
          </cell>
          <cell r="J460" t="str">
            <v>Sim</v>
          </cell>
          <cell r="K460" t="str">
            <v>Mecânica</v>
          </cell>
          <cell r="L460" t="str">
            <v>Ajuste / Regulagem</v>
          </cell>
          <cell r="M460" t="str">
            <v>Falha de Regulagem / Configuração / Dimensionamento</v>
          </cell>
          <cell r="N460">
            <v>37873</v>
          </cell>
          <cell r="O460">
            <v>0.41666666666666669</v>
          </cell>
          <cell r="P460">
            <v>37873</v>
          </cell>
          <cell r="Q460">
            <v>0.41666666666666669</v>
          </cell>
          <cell r="T460">
            <v>37873</v>
          </cell>
          <cell r="U460">
            <v>0.45833333333333331</v>
          </cell>
          <cell r="V460">
            <v>37873</v>
          </cell>
          <cell r="W460">
            <v>0.45833333333333331</v>
          </cell>
          <cell r="X460">
            <v>4.166666666666663E-2</v>
          </cell>
          <cell r="Y460">
            <v>4.1666666669091967E-2</v>
          </cell>
          <cell r="AB460">
            <v>9</v>
          </cell>
          <cell r="AC460">
            <v>8</v>
          </cell>
          <cell r="AD460">
            <v>0</v>
          </cell>
          <cell r="BF460">
            <v>0</v>
          </cell>
          <cell r="BG460">
            <v>0</v>
          </cell>
          <cell r="BH460">
            <v>0</v>
          </cell>
          <cell r="BI460">
            <v>0</v>
          </cell>
          <cell r="BJ460">
            <v>0</v>
          </cell>
          <cell r="BK460">
            <v>0</v>
          </cell>
          <cell r="BL460">
            <v>0</v>
          </cell>
          <cell r="BM460">
            <v>0</v>
          </cell>
          <cell r="BN460">
            <v>0</v>
          </cell>
          <cell r="BO460">
            <v>0</v>
          </cell>
          <cell r="BP460">
            <v>0</v>
          </cell>
          <cell r="BQ460">
            <v>0</v>
          </cell>
          <cell r="BR460">
            <v>0</v>
          </cell>
          <cell r="BS460">
            <v>0</v>
          </cell>
          <cell r="BT460">
            <v>0</v>
          </cell>
          <cell r="BU460">
            <v>0</v>
          </cell>
          <cell r="BV460">
            <v>0</v>
          </cell>
          <cell r="BW460">
            <v>0</v>
          </cell>
          <cell r="BX460">
            <v>0</v>
          </cell>
          <cell r="BY460">
            <v>9</v>
          </cell>
          <cell r="BZ460">
            <v>0</v>
          </cell>
          <cell r="CA460">
            <v>0</v>
          </cell>
          <cell r="CB460">
            <v>0</v>
          </cell>
          <cell r="CC460">
            <v>0</v>
          </cell>
          <cell r="CD460">
            <v>0</v>
          </cell>
        </row>
        <row r="461">
          <cell r="C461">
            <v>37861</v>
          </cell>
          <cell r="D461">
            <v>37900</v>
          </cell>
          <cell r="E461">
            <v>37887</v>
          </cell>
          <cell r="F461">
            <v>0.6875</v>
          </cell>
          <cell r="G461" t="str">
            <v>Guilhotina Sorg</v>
          </cell>
          <cell r="H461" t="str">
            <v>Variação dimensional</v>
          </cell>
          <cell r="I461" t="str">
            <v>Corretiva</v>
          </cell>
          <cell r="J461" t="str">
            <v>Sim</v>
          </cell>
          <cell r="K461" t="str">
            <v>Elétrica</v>
          </cell>
          <cell r="L461" t="str">
            <v>Reinicialização do Equipamento / Componente</v>
          </cell>
          <cell r="M461" t="str">
            <v>Desgaste / Fadiga</v>
          </cell>
          <cell r="N461">
            <v>37887</v>
          </cell>
          <cell r="O461">
            <v>0.6875</v>
          </cell>
          <cell r="P461">
            <v>37887</v>
          </cell>
          <cell r="Q461">
            <v>0.6875</v>
          </cell>
          <cell r="T461">
            <v>37887</v>
          </cell>
          <cell r="U461">
            <v>0.75</v>
          </cell>
          <cell r="V461">
            <v>37887</v>
          </cell>
          <cell r="W461">
            <v>0.75</v>
          </cell>
          <cell r="X461">
            <v>6.25E-2</v>
          </cell>
          <cell r="Y461">
            <v>6.25E-2</v>
          </cell>
          <cell r="AB461">
            <v>9</v>
          </cell>
          <cell r="AC461">
            <v>8</v>
          </cell>
          <cell r="AD461">
            <v>0</v>
          </cell>
          <cell r="BF461">
            <v>0</v>
          </cell>
          <cell r="BG461">
            <v>0</v>
          </cell>
          <cell r="BH461">
            <v>0</v>
          </cell>
          <cell r="BI461">
            <v>0</v>
          </cell>
          <cell r="BJ461">
            <v>0</v>
          </cell>
          <cell r="BK461">
            <v>0</v>
          </cell>
          <cell r="BL461">
            <v>0</v>
          </cell>
          <cell r="BM461">
            <v>9</v>
          </cell>
          <cell r="BN461">
            <v>0</v>
          </cell>
          <cell r="BO461">
            <v>0</v>
          </cell>
          <cell r="BP461">
            <v>0</v>
          </cell>
          <cell r="BQ461">
            <v>0</v>
          </cell>
          <cell r="BR461">
            <v>0</v>
          </cell>
          <cell r="BS461">
            <v>0</v>
          </cell>
          <cell r="BT461">
            <v>0</v>
          </cell>
          <cell r="BU461">
            <v>0</v>
          </cell>
          <cell r="BV461">
            <v>0</v>
          </cell>
          <cell r="BW461">
            <v>0</v>
          </cell>
          <cell r="BX461">
            <v>0</v>
          </cell>
          <cell r="BY461">
            <v>0</v>
          </cell>
          <cell r="BZ461">
            <v>0</v>
          </cell>
          <cell r="CA461">
            <v>0</v>
          </cell>
          <cell r="CB461">
            <v>0</v>
          </cell>
          <cell r="CC461">
            <v>0</v>
          </cell>
          <cell r="CD461">
            <v>0</v>
          </cell>
        </row>
        <row r="462">
          <cell r="C462">
            <v>37861</v>
          </cell>
          <cell r="I462">
            <v>0</v>
          </cell>
          <cell r="N462">
            <v>0</v>
          </cell>
          <cell r="P462">
            <v>0</v>
          </cell>
          <cell r="T462">
            <v>0</v>
          </cell>
          <cell r="V462">
            <v>0</v>
          </cell>
          <cell r="W462">
            <v>0</v>
          </cell>
          <cell r="X462">
            <v>0</v>
          </cell>
          <cell r="Y462">
            <v>0</v>
          </cell>
          <cell r="AB462">
            <v>0</v>
          </cell>
          <cell r="AC462">
            <v>8</v>
          </cell>
          <cell r="AD462">
            <v>0</v>
          </cell>
          <cell r="BF462">
            <v>0</v>
          </cell>
          <cell r="BG462">
            <v>0</v>
          </cell>
          <cell r="BH462">
            <v>0</v>
          </cell>
          <cell r="BI462">
            <v>0</v>
          </cell>
          <cell r="BJ462">
            <v>0</v>
          </cell>
          <cell r="BK462">
            <v>0</v>
          </cell>
          <cell r="BL462">
            <v>0</v>
          </cell>
          <cell r="BM462">
            <v>0</v>
          </cell>
          <cell r="BN462">
            <v>0</v>
          </cell>
          <cell r="BO462">
            <v>0</v>
          </cell>
          <cell r="BP462">
            <v>0</v>
          </cell>
          <cell r="BQ462">
            <v>0</v>
          </cell>
          <cell r="BR462">
            <v>0</v>
          </cell>
          <cell r="BS462">
            <v>0</v>
          </cell>
          <cell r="BT462">
            <v>0</v>
          </cell>
          <cell r="BU462">
            <v>0</v>
          </cell>
          <cell r="BV462">
            <v>0</v>
          </cell>
          <cell r="BW462">
            <v>0</v>
          </cell>
          <cell r="BX462">
            <v>0</v>
          </cell>
          <cell r="BY462">
            <v>0</v>
          </cell>
          <cell r="BZ462">
            <v>0</v>
          </cell>
          <cell r="CA462">
            <v>0</v>
          </cell>
          <cell r="CB462">
            <v>0</v>
          </cell>
          <cell r="CC462">
            <v>0</v>
          </cell>
          <cell r="CD462">
            <v>0</v>
          </cell>
        </row>
        <row r="463">
          <cell r="C463">
            <v>37861</v>
          </cell>
          <cell r="I463">
            <v>0</v>
          </cell>
          <cell r="N463">
            <v>0</v>
          </cell>
          <cell r="P463">
            <v>0</v>
          </cell>
          <cell r="T463">
            <v>0</v>
          </cell>
          <cell r="V463">
            <v>0</v>
          </cell>
          <cell r="W463">
            <v>0</v>
          </cell>
          <cell r="X463">
            <v>0</v>
          </cell>
          <cell r="Y463">
            <v>0</v>
          </cell>
          <cell r="AB463">
            <v>0</v>
          </cell>
          <cell r="AC463">
            <v>8</v>
          </cell>
          <cell r="AD463">
            <v>0</v>
          </cell>
          <cell r="BF463">
            <v>0</v>
          </cell>
          <cell r="BG463">
            <v>0</v>
          </cell>
          <cell r="BH463">
            <v>0</v>
          </cell>
          <cell r="BI463">
            <v>0</v>
          </cell>
          <cell r="BJ463">
            <v>0</v>
          </cell>
          <cell r="BK463">
            <v>0</v>
          </cell>
          <cell r="BL463">
            <v>0</v>
          </cell>
          <cell r="BM463">
            <v>0</v>
          </cell>
          <cell r="BN463">
            <v>0</v>
          </cell>
          <cell r="BO463">
            <v>0</v>
          </cell>
          <cell r="BP463">
            <v>0</v>
          </cell>
          <cell r="BQ463">
            <v>0</v>
          </cell>
          <cell r="BR463">
            <v>0</v>
          </cell>
          <cell r="BS463">
            <v>0</v>
          </cell>
          <cell r="BT463">
            <v>0</v>
          </cell>
          <cell r="BU463">
            <v>0</v>
          </cell>
          <cell r="BV463">
            <v>0</v>
          </cell>
          <cell r="BW463">
            <v>0</v>
          </cell>
          <cell r="BX463">
            <v>0</v>
          </cell>
          <cell r="BY463">
            <v>0</v>
          </cell>
          <cell r="BZ463">
            <v>0</v>
          </cell>
          <cell r="CA463">
            <v>0</v>
          </cell>
          <cell r="CB463">
            <v>0</v>
          </cell>
          <cell r="CC463">
            <v>0</v>
          </cell>
          <cell r="CD463">
            <v>0</v>
          </cell>
        </row>
        <row r="464">
          <cell r="C464">
            <v>37861</v>
          </cell>
          <cell r="I464">
            <v>0</v>
          </cell>
          <cell r="N464">
            <v>0</v>
          </cell>
          <cell r="P464">
            <v>0</v>
          </cell>
          <cell r="T464">
            <v>0</v>
          </cell>
          <cell r="V464">
            <v>0</v>
          </cell>
          <cell r="W464">
            <v>0</v>
          </cell>
          <cell r="X464">
            <v>0</v>
          </cell>
          <cell r="Y464">
            <v>0</v>
          </cell>
          <cell r="AB464">
            <v>0</v>
          </cell>
          <cell r="AC464">
            <v>8</v>
          </cell>
          <cell r="AD464">
            <v>0</v>
          </cell>
          <cell r="BF464">
            <v>0</v>
          </cell>
          <cell r="BG464">
            <v>0</v>
          </cell>
          <cell r="BH464">
            <v>0</v>
          </cell>
          <cell r="BI464">
            <v>0</v>
          </cell>
          <cell r="BJ464">
            <v>0</v>
          </cell>
          <cell r="BK464">
            <v>0</v>
          </cell>
          <cell r="BL464">
            <v>0</v>
          </cell>
          <cell r="BM464">
            <v>0</v>
          </cell>
          <cell r="BN464">
            <v>0</v>
          </cell>
          <cell r="BO464">
            <v>0</v>
          </cell>
          <cell r="BP464">
            <v>0</v>
          </cell>
          <cell r="BQ464">
            <v>0</v>
          </cell>
          <cell r="BR464">
            <v>0</v>
          </cell>
          <cell r="BS464">
            <v>0</v>
          </cell>
          <cell r="BT464">
            <v>0</v>
          </cell>
          <cell r="BU464">
            <v>0</v>
          </cell>
          <cell r="BV464">
            <v>0</v>
          </cell>
          <cell r="BW464">
            <v>0</v>
          </cell>
          <cell r="BX464">
            <v>0</v>
          </cell>
          <cell r="BY464">
            <v>0</v>
          </cell>
          <cell r="BZ464">
            <v>0</v>
          </cell>
          <cell r="CA464">
            <v>0</v>
          </cell>
          <cell r="CB464">
            <v>0</v>
          </cell>
          <cell r="CC464">
            <v>0</v>
          </cell>
          <cell r="CD464">
            <v>0</v>
          </cell>
        </row>
        <row r="465">
          <cell r="C465">
            <v>37861</v>
          </cell>
          <cell r="I465">
            <v>0</v>
          </cell>
          <cell r="N465">
            <v>0</v>
          </cell>
          <cell r="P465">
            <v>0</v>
          </cell>
          <cell r="T465">
            <v>0</v>
          </cell>
          <cell r="V465">
            <v>0</v>
          </cell>
          <cell r="W465">
            <v>0</v>
          </cell>
          <cell r="X465">
            <v>0</v>
          </cell>
          <cell r="Y465">
            <v>0</v>
          </cell>
          <cell r="AB465">
            <v>0</v>
          </cell>
          <cell r="AC465">
            <v>8</v>
          </cell>
          <cell r="AD465">
            <v>0</v>
          </cell>
          <cell r="BF465">
            <v>0</v>
          </cell>
          <cell r="BG465">
            <v>0</v>
          </cell>
          <cell r="BH465">
            <v>0</v>
          </cell>
          <cell r="BI465">
            <v>0</v>
          </cell>
          <cell r="BJ465">
            <v>0</v>
          </cell>
          <cell r="BK465">
            <v>0</v>
          </cell>
          <cell r="BL465">
            <v>0</v>
          </cell>
          <cell r="BM465">
            <v>0</v>
          </cell>
          <cell r="BN465">
            <v>0</v>
          </cell>
          <cell r="BO465">
            <v>0</v>
          </cell>
          <cell r="BP465">
            <v>0</v>
          </cell>
          <cell r="BQ465">
            <v>0</v>
          </cell>
          <cell r="BR465">
            <v>0</v>
          </cell>
          <cell r="BS465">
            <v>0</v>
          </cell>
          <cell r="BT465">
            <v>0</v>
          </cell>
          <cell r="BU465">
            <v>0</v>
          </cell>
          <cell r="BV465">
            <v>0</v>
          </cell>
          <cell r="BW465">
            <v>0</v>
          </cell>
          <cell r="BX465">
            <v>0</v>
          </cell>
          <cell r="BY465">
            <v>0</v>
          </cell>
          <cell r="BZ465">
            <v>0</v>
          </cell>
          <cell r="CA465">
            <v>0</v>
          </cell>
          <cell r="CB465">
            <v>0</v>
          </cell>
          <cell r="CC465">
            <v>0</v>
          </cell>
          <cell r="CD465">
            <v>0</v>
          </cell>
        </row>
        <row r="466">
          <cell r="C466">
            <v>37861</v>
          </cell>
          <cell r="I466">
            <v>0</v>
          </cell>
          <cell r="N466">
            <v>0</v>
          </cell>
          <cell r="P466">
            <v>0</v>
          </cell>
          <cell r="T466">
            <v>0</v>
          </cell>
          <cell r="V466">
            <v>0</v>
          </cell>
          <cell r="W466">
            <v>0</v>
          </cell>
          <cell r="X466">
            <v>0</v>
          </cell>
          <cell r="Y466">
            <v>0</v>
          </cell>
          <cell r="AB466">
            <v>0</v>
          </cell>
          <cell r="AC466">
            <v>8</v>
          </cell>
          <cell r="AD466">
            <v>0</v>
          </cell>
          <cell r="BF466">
            <v>0</v>
          </cell>
          <cell r="BG466">
            <v>0</v>
          </cell>
          <cell r="BH466">
            <v>0</v>
          </cell>
          <cell r="BI466">
            <v>0</v>
          </cell>
          <cell r="BJ466">
            <v>0</v>
          </cell>
          <cell r="BK466">
            <v>0</v>
          </cell>
          <cell r="BL466">
            <v>0</v>
          </cell>
          <cell r="BM466">
            <v>0</v>
          </cell>
          <cell r="BN466">
            <v>0</v>
          </cell>
          <cell r="BO466">
            <v>0</v>
          </cell>
          <cell r="BP466">
            <v>0</v>
          </cell>
          <cell r="BQ466">
            <v>0</v>
          </cell>
          <cell r="BR466">
            <v>0</v>
          </cell>
          <cell r="BS466">
            <v>0</v>
          </cell>
          <cell r="BT466">
            <v>0</v>
          </cell>
          <cell r="BU466">
            <v>0</v>
          </cell>
          <cell r="BV466">
            <v>0</v>
          </cell>
          <cell r="BW466">
            <v>0</v>
          </cell>
          <cell r="BX466">
            <v>0</v>
          </cell>
          <cell r="BY466">
            <v>0</v>
          </cell>
          <cell r="BZ466">
            <v>0</v>
          </cell>
          <cell r="CA466">
            <v>0</v>
          </cell>
          <cell r="CB466">
            <v>0</v>
          </cell>
          <cell r="CC466">
            <v>0</v>
          </cell>
          <cell r="CD466">
            <v>0</v>
          </cell>
        </row>
        <row r="467">
          <cell r="C467">
            <v>37861</v>
          </cell>
          <cell r="I467">
            <v>0</v>
          </cell>
          <cell r="N467">
            <v>0</v>
          </cell>
          <cell r="P467">
            <v>0</v>
          </cell>
          <cell r="T467">
            <v>0</v>
          </cell>
          <cell r="V467">
            <v>0</v>
          </cell>
          <cell r="W467">
            <v>0</v>
          </cell>
          <cell r="X467">
            <v>0</v>
          </cell>
          <cell r="Y467">
            <v>0</v>
          </cell>
          <cell r="AB467">
            <v>0</v>
          </cell>
          <cell r="AC467">
            <v>8</v>
          </cell>
          <cell r="AD467">
            <v>0</v>
          </cell>
          <cell r="BF467">
            <v>0</v>
          </cell>
          <cell r="BG467">
            <v>0</v>
          </cell>
          <cell r="BH467">
            <v>0</v>
          </cell>
          <cell r="BI467">
            <v>0</v>
          </cell>
          <cell r="BJ467">
            <v>0</v>
          </cell>
          <cell r="BK467">
            <v>0</v>
          </cell>
          <cell r="BL467">
            <v>0</v>
          </cell>
          <cell r="BM467">
            <v>0</v>
          </cell>
          <cell r="BN467">
            <v>0</v>
          </cell>
          <cell r="BO467">
            <v>0</v>
          </cell>
          <cell r="BP467">
            <v>0</v>
          </cell>
          <cell r="BQ467">
            <v>0</v>
          </cell>
          <cell r="BR467">
            <v>0</v>
          </cell>
          <cell r="BS467">
            <v>0</v>
          </cell>
          <cell r="BT467">
            <v>0</v>
          </cell>
          <cell r="BU467">
            <v>0</v>
          </cell>
          <cell r="BV467">
            <v>0</v>
          </cell>
          <cell r="BW467">
            <v>0</v>
          </cell>
          <cell r="BX467">
            <v>0</v>
          </cell>
          <cell r="BY467">
            <v>0</v>
          </cell>
          <cell r="BZ467">
            <v>0</v>
          </cell>
          <cell r="CA467">
            <v>0</v>
          </cell>
          <cell r="CB467">
            <v>0</v>
          </cell>
          <cell r="CC467">
            <v>0</v>
          </cell>
          <cell r="CD467">
            <v>0</v>
          </cell>
        </row>
        <row r="468">
          <cell r="C468">
            <v>37861</v>
          </cell>
          <cell r="I468">
            <v>0</v>
          </cell>
          <cell r="N468">
            <v>0</v>
          </cell>
          <cell r="P468">
            <v>0</v>
          </cell>
          <cell r="T468">
            <v>0</v>
          </cell>
          <cell r="V468">
            <v>0</v>
          </cell>
          <cell r="W468">
            <v>0</v>
          </cell>
          <cell r="X468">
            <v>0</v>
          </cell>
          <cell r="Y468">
            <v>0</v>
          </cell>
          <cell r="AB468">
            <v>0</v>
          </cell>
          <cell r="AC468">
            <v>8</v>
          </cell>
          <cell r="AD468">
            <v>0</v>
          </cell>
          <cell r="BF468">
            <v>0</v>
          </cell>
          <cell r="BG468">
            <v>0</v>
          </cell>
          <cell r="BH468">
            <v>0</v>
          </cell>
          <cell r="BI468">
            <v>0</v>
          </cell>
          <cell r="BJ468">
            <v>0</v>
          </cell>
          <cell r="BK468">
            <v>0</v>
          </cell>
          <cell r="BL468">
            <v>0</v>
          </cell>
          <cell r="BM468">
            <v>0</v>
          </cell>
          <cell r="BN468">
            <v>0</v>
          </cell>
          <cell r="BO468">
            <v>0</v>
          </cell>
          <cell r="BP468">
            <v>0</v>
          </cell>
          <cell r="BQ468">
            <v>0</v>
          </cell>
          <cell r="BR468">
            <v>0</v>
          </cell>
          <cell r="BS468">
            <v>0</v>
          </cell>
          <cell r="BT468">
            <v>0</v>
          </cell>
          <cell r="BU468">
            <v>0</v>
          </cell>
          <cell r="BV468">
            <v>0</v>
          </cell>
          <cell r="BW468">
            <v>0</v>
          </cell>
          <cell r="BX468">
            <v>0</v>
          </cell>
          <cell r="BY468">
            <v>0</v>
          </cell>
          <cell r="BZ468">
            <v>0</v>
          </cell>
          <cell r="CA468">
            <v>0</v>
          </cell>
          <cell r="CB468">
            <v>0</v>
          </cell>
          <cell r="CC468">
            <v>0</v>
          </cell>
          <cell r="CD468">
            <v>0</v>
          </cell>
        </row>
        <row r="469">
          <cell r="C469">
            <v>37861</v>
          </cell>
          <cell r="I469">
            <v>0</v>
          </cell>
          <cell r="N469">
            <v>0</v>
          </cell>
          <cell r="P469">
            <v>0</v>
          </cell>
          <cell r="T469">
            <v>0</v>
          </cell>
          <cell r="V469">
            <v>0</v>
          </cell>
          <cell r="W469">
            <v>0</v>
          </cell>
          <cell r="X469">
            <v>0</v>
          </cell>
          <cell r="Y469">
            <v>0</v>
          </cell>
          <cell r="AB469">
            <v>0</v>
          </cell>
          <cell r="AC469">
            <v>8</v>
          </cell>
          <cell r="AD469">
            <v>0</v>
          </cell>
          <cell r="BF469">
            <v>0</v>
          </cell>
          <cell r="BG469">
            <v>0</v>
          </cell>
          <cell r="BH469">
            <v>0</v>
          </cell>
          <cell r="BI469">
            <v>0</v>
          </cell>
          <cell r="BJ469">
            <v>0</v>
          </cell>
          <cell r="BK469">
            <v>0</v>
          </cell>
          <cell r="BL469">
            <v>0</v>
          </cell>
          <cell r="BM469">
            <v>0</v>
          </cell>
          <cell r="BN469">
            <v>0</v>
          </cell>
          <cell r="BO469">
            <v>0</v>
          </cell>
          <cell r="BP469">
            <v>0</v>
          </cell>
          <cell r="BQ469">
            <v>0</v>
          </cell>
          <cell r="BR469">
            <v>0</v>
          </cell>
          <cell r="BS469">
            <v>0</v>
          </cell>
          <cell r="BT469">
            <v>0</v>
          </cell>
          <cell r="BU469">
            <v>0</v>
          </cell>
          <cell r="BV469">
            <v>0</v>
          </cell>
          <cell r="BW469">
            <v>0</v>
          </cell>
          <cell r="BX469">
            <v>0</v>
          </cell>
          <cell r="BY469">
            <v>0</v>
          </cell>
          <cell r="BZ469">
            <v>0</v>
          </cell>
          <cell r="CA469">
            <v>0</v>
          </cell>
          <cell r="CB469">
            <v>0</v>
          </cell>
          <cell r="CC469">
            <v>0</v>
          </cell>
          <cell r="CD469">
            <v>0</v>
          </cell>
        </row>
        <row r="470">
          <cell r="C470">
            <v>37861</v>
          </cell>
          <cell r="I470">
            <v>0</v>
          </cell>
          <cell r="N470">
            <v>0</v>
          </cell>
          <cell r="P470">
            <v>0</v>
          </cell>
          <cell r="T470">
            <v>0</v>
          </cell>
          <cell r="V470">
            <v>0</v>
          </cell>
          <cell r="W470">
            <v>0</v>
          </cell>
          <cell r="X470">
            <v>0</v>
          </cell>
          <cell r="Y470">
            <v>0</v>
          </cell>
          <cell r="AB470">
            <v>0</v>
          </cell>
          <cell r="AC470">
            <v>8</v>
          </cell>
          <cell r="AD470">
            <v>0</v>
          </cell>
          <cell r="BF470">
            <v>0</v>
          </cell>
          <cell r="BG470">
            <v>0</v>
          </cell>
          <cell r="BH470">
            <v>0</v>
          </cell>
          <cell r="BI470">
            <v>0</v>
          </cell>
          <cell r="BJ470">
            <v>0</v>
          </cell>
          <cell r="BK470">
            <v>0</v>
          </cell>
          <cell r="BL470">
            <v>0</v>
          </cell>
          <cell r="BM470">
            <v>0</v>
          </cell>
          <cell r="BN470">
            <v>0</v>
          </cell>
          <cell r="BO470">
            <v>0</v>
          </cell>
          <cell r="BP470">
            <v>0</v>
          </cell>
          <cell r="BQ470">
            <v>0</v>
          </cell>
          <cell r="BR470">
            <v>0</v>
          </cell>
          <cell r="BS470">
            <v>0</v>
          </cell>
          <cell r="BT470">
            <v>0</v>
          </cell>
          <cell r="BU470">
            <v>0</v>
          </cell>
          <cell r="BV470">
            <v>0</v>
          </cell>
          <cell r="BW470">
            <v>0</v>
          </cell>
          <cell r="BX470">
            <v>0</v>
          </cell>
          <cell r="BY470">
            <v>0</v>
          </cell>
          <cell r="BZ470">
            <v>0</v>
          </cell>
          <cell r="CA470">
            <v>0</v>
          </cell>
          <cell r="CB470">
            <v>0</v>
          </cell>
          <cell r="CC470">
            <v>0</v>
          </cell>
          <cell r="CD470">
            <v>0</v>
          </cell>
        </row>
        <row r="471">
          <cell r="C471">
            <v>37861</v>
          </cell>
          <cell r="I471">
            <v>0</v>
          </cell>
          <cell r="N471">
            <v>0</v>
          </cell>
          <cell r="P471">
            <v>0</v>
          </cell>
          <cell r="T471">
            <v>0</v>
          </cell>
          <cell r="V471">
            <v>0</v>
          </cell>
          <cell r="W471">
            <v>0</v>
          </cell>
          <cell r="X471">
            <v>0</v>
          </cell>
          <cell r="Y471">
            <v>0</v>
          </cell>
          <cell r="AB471">
            <v>0</v>
          </cell>
          <cell r="AC471">
            <v>8</v>
          </cell>
          <cell r="AD471">
            <v>0</v>
          </cell>
          <cell r="BF471">
            <v>0</v>
          </cell>
          <cell r="BG471">
            <v>0</v>
          </cell>
          <cell r="BH471">
            <v>0</v>
          </cell>
          <cell r="BI471">
            <v>0</v>
          </cell>
          <cell r="BJ471">
            <v>0</v>
          </cell>
          <cell r="BK471">
            <v>0</v>
          </cell>
          <cell r="BL471">
            <v>0</v>
          </cell>
          <cell r="BM471">
            <v>0</v>
          </cell>
          <cell r="BN471">
            <v>0</v>
          </cell>
          <cell r="BO471">
            <v>0</v>
          </cell>
          <cell r="BP471">
            <v>0</v>
          </cell>
          <cell r="BQ471">
            <v>0</v>
          </cell>
          <cell r="BR471">
            <v>0</v>
          </cell>
          <cell r="BS471">
            <v>0</v>
          </cell>
          <cell r="BT471">
            <v>0</v>
          </cell>
          <cell r="BU471">
            <v>0</v>
          </cell>
          <cell r="BV471">
            <v>0</v>
          </cell>
          <cell r="BW471">
            <v>0</v>
          </cell>
          <cell r="BX471">
            <v>0</v>
          </cell>
          <cell r="BY471">
            <v>0</v>
          </cell>
          <cell r="BZ471">
            <v>0</v>
          </cell>
          <cell r="CA471">
            <v>0</v>
          </cell>
          <cell r="CB471">
            <v>0</v>
          </cell>
          <cell r="CC471">
            <v>0</v>
          </cell>
          <cell r="CD471">
            <v>0</v>
          </cell>
        </row>
        <row r="472">
          <cell r="C472">
            <v>37861</v>
          </cell>
          <cell r="I472">
            <v>0</v>
          </cell>
          <cell r="N472">
            <v>0</v>
          </cell>
          <cell r="P472">
            <v>0</v>
          </cell>
          <cell r="T472">
            <v>0</v>
          </cell>
          <cell r="V472">
            <v>0</v>
          </cell>
          <cell r="W472">
            <v>0</v>
          </cell>
          <cell r="X472">
            <v>0</v>
          </cell>
          <cell r="Y472">
            <v>0</v>
          </cell>
          <cell r="AB472">
            <v>0</v>
          </cell>
          <cell r="AC472">
            <v>8</v>
          </cell>
          <cell r="AD472">
            <v>0</v>
          </cell>
          <cell r="BF472">
            <v>0</v>
          </cell>
          <cell r="BG472">
            <v>0</v>
          </cell>
          <cell r="BH472">
            <v>0</v>
          </cell>
          <cell r="BI472">
            <v>0</v>
          </cell>
          <cell r="BJ472">
            <v>0</v>
          </cell>
          <cell r="BK472">
            <v>0</v>
          </cell>
          <cell r="BL472">
            <v>0</v>
          </cell>
          <cell r="BM472">
            <v>0</v>
          </cell>
          <cell r="BN472">
            <v>0</v>
          </cell>
          <cell r="BO472">
            <v>0</v>
          </cell>
          <cell r="BP472">
            <v>0</v>
          </cell>
          <cell r="BQ472">
            <v>0</v>
          </cell>
          <cell r="BR472">
            <v>0</v>
          </cell>
          <cell r="BS472">
            <v>0</v>
          </cell>
          <cell r="BT472">
            <v>0</v>
          </cell>
          <cell r="BU472">
            <v>0</v>
          </cell>
          <cell r="BV472">
            <v>0</v>
          </cell>
          <cell r="BW472">
            <v>0</v>
          </cell>
          <cell r="BX472">
            <v>0</v>
          </cell>
          <cell r="BY472">
            <v>0</v>
          </cell>
          <cell r="BZ472">
            <v>0</v>
          </cell>
          <cell r="CA472">
            <v>0</v>
          </cell>
          <cell r="CB472">
            <v>0</v>
          </cell>
          <cell r="CC472">
            <v>0</v>
          </cell>
          <cell r="CD472">
            <v>0</v>
          </cell>
        </row>
        <row r="473">
          <cell r="C473">
            <v>37861</v>
          </cell>
          <cell r="I473">
            <v>0</v>
          </cell>
          <cell r="N473">
            <v>0</v>
          </cell>
          <cell r="P473">
            <v>0</v>
          </cell>
          <cell r="T473">
            <v>0</v>
          </cell>
          <cell r="V473">
            <v>0</v>
          </cell>
          <cell r="W473">
            <v>0</v>
          </cell>
          <cell r="X473">
            <v>0</v>
          </cell>
          <cell r="Y473">
            <v>0</v>
          </cell>
          <cell r="AB473">
            <v>0</v>
          </cell>
          <cell r="AC473">
            <v>8</v>
          </cell>
          <cell r="AD473">
            <v>0</v>
          </cell>
          <cell r="BF473">
            <v>0</v>
          </cell>
          <cell r="BG473">
            <v>0</v>
          </cell>
          <cell r="BH473">
            <v>0</v>
          </cell>
          <cell r="BI473">
            <v>0</v>
          </cell>
          <cell r="BJ473">
            <v>0</v>
          </cell>
          <cell r="BK473">
            <v>0</v>
          </cell>
          <cell r="BL473">
            <v>0</v>
          </cell>
          <cell r="BM473">
            <v>0</v>
          </cell>
          <cell r="BN473">
            <v>0</v>
          </cell>
          <cell r="BO473">
            <v>0</v>
          </cell>
          <cell r="BP473">
            <v>0</v>
          </cell>
          <cell r="BQ473">
            <v>0</v>
          </cell>
          <cell r="BR473">
            <v>0</v>
          </cell>
          <cell r="BS473">
            <v>0</v>
          </cell>
          <cell r="BT473">
            <v>0</v>
          </cell>
          <cell r="BU473">
            <v>0</v>
          </cell>
          <cell r="BV473">
            <v>0</v>
          </cell>
          <cell r="BW473">
            <v>0</v>
          </cell>
          <cell r="BX473">
            <v>0</v>
          </cell>
          <cell r="BY473">
            <v>0</v>
          </cell>
          <cell r="BZ473">
            <v>0</v>
          </cell>
          <cell r="CA473">
            <v>0</v>
          </cell>
          <cell r="CB473">
            <v>0</v>
          </cell>
          <cell r="CC473">
            <v>0</v>
          </cell>
          <cell r="CD473">
            <v>0</v>
          </cell>
        </row>
        <row r="474">
          <cell r="C474">
            <v>37861</v>
          </cell>
          <cell r="I474">
            <v>0</v>
          </cell>
          <cell r="N474">
            <v>0</v>
          </cell>
          <cell r="P474">
            <v>0</v>
          </cell>
          <cell r="T474">
            <v>0</v>
          </cell>
          <cell r="V474">
            <v>0</v>
          </cell>
          <cell r="W474">
            <v>0</v>
          </cell>
          <cell r="X474">
            <v>0</v>
          </cell>
          <cell r="Y474">
            <v>0</v>
          </cell>
          <cell r="AB474">
            <v>0</v>
          </cell>
          <cell r="AC474">
            <v>8</v>
          </cell>
          <cell r="AD474">
            <v>0</v>
          </cell>
          <cell r="BF474">
            <v>0</v>
          </cell>
          <cell r="BG474">
            <v>0</v>
          </cell>
          <cell r="BH474">
            <v>0</v>
          </cell>
          <cell r="BI474">
            <v>0</v>
          </cell>
          <cell r="BJ474">
            <v>0</v>
          </cell>
          <cell r="BK474">
            <v>0</v>
          </cell>
          <cell r="BL474">
            <v>0</v>
          </cell>
          <cell r="BM474">
            <v>0</v>
          </cell>
          <cell r="BN474">
            <v>0</v>
          </cell>
          <cell r="BO474">
            <v>0</v>
          </cell>
          <cell r="BP474">
            <v>0</v>
          </cell>
          <cell r="BQ474">
            <v>0</v>
          </cell>
          <cell r="BR474">
            <v>0</v>
          </cell>
          <cell r="BS474">
            <v>0</v>
          </cell>
          <cell r="BT474">
            <v>0</v>
          </cell>
          <cell r="BU474">
            <v>0</v>
          </cell>
          <cell r="BV474">
            <v>0</v>
          </cell>
          <cell r="BW474">
            <v>0</v>
          </cell>
          <cell r="BX474">
            <v>0</v>
          </cell>
          <cell r="BY474">
            <v>0</v>
          </cell>
          <cell r="BZ474">
            <v>0</v>
          </cell>
          <cell r="CA474">
            <v>0</v>
          </cell>
          <cell r="CB474">
            <v>0</v>
          </cell>
          <cell r="CC474">
            <v>0</v>
          </cell>
          <cell r="CD474">
            <v>0</v>
          </cell>
        </row>
        <row r="475">
          <cell r="C475">
            <v>37861</v>
          </cell>
          <cell r="I475">
            <v>0</v>
          </cell>
          <cell r="N475">
            <v>0</v>
          </cell>
          <cell r="P475">
            <v>0</v>
          </cell>
          <cell r="T475">
            <v>0</v>
          </cell>
          <cell r="V475">
            <v>0</v>
          </cell>
          <cell r="W475">
            <v>0</v>
          </cell>
          <cell r="X475">
            <v>0</v>
          </cell>
          <cell r="Y475">
            <v>0</v>
          </cell>
          <cell r="AB475">
            <v>0</v>
          </cell>
          <cell r="AC475">
            <v>8</v>
          </cell>
          <cell r="AD475">
            <v>0</v>
          </cell>
          <cell r="BF475">
            <v>0</v>
          </cell>
          <cell r="BG475">
            <v>0</v>
          </cell>
          <cell r="BH475">
            <v>0</v>
          </cell>
          <cell r="BI475">
            <v>0</v>
          </cell>
          <cell r="BJ475">
            <v>0</v>
          </cell>
          <cell r="BK475">
            <v>0</v>
          </cell>
          <cell r="BL475">
            <v>0</v>
          </cell>
          <cell r="BM475">
            <v>0</v>
          </cell>
          <cell r="BN475">
            <v>0</v>
          </cell>
          <cell r="BO475">
            <v>0</v>
          </cell>
          <cell r="BP475">
            <v>0</v>
          </cell>
          <cell r="BQ475">
            <v>0</v>
          </cell>
          <cell r="BR475">
            <v>0</v>
          </cell>
          <cell r="BS475">
            <v>0</v>
          </cell>
          <cell r="BT475">
            <v>0</v>
          </cell>
          <cell r="BU475">
            <v>0</v>
          </cell>
          <cell r="BV475">
            <v>0</v>
          </cell>
          <cell r="BW475">
            <v>0</v>
          </cell>
          <cell r="BX475">
            <v>0</v>
          </cell>
          <cell r="BY475">
            <v>0</v>
          </cell>
          <cell r="BZ475">
            <v>0</v>
          </cell>
          <cell r="CA475">
            <v>0</v>
          </cell>
          <cell r="CB475">
            <v>0</v>
          </cell>
          <cell r="CC475">
            <v>0</v>
          </cell>
          <cell r="CD475">
            <v>0</v>
          </cell>
        </row>
        <row r="476">
          <cell r="C476">
            <v>37861</v>
          </cell>
          <cell r="I476">
            <v>0</v>
          </cell>
          <cell r="N476">
            <v>0</v>
          </cell>
          <cell r="P476">
            <v>0</v>
          </cell>
          <cell r="T476">
            <v>0</v>
          </cell>
          <cell r="V476">
            <v>0</v>
          </cell>
          <cell r="W476">
            <v>0</v>
          </cell>
          <cell r="X476">
            <v>0</v>
          </cell>
          <cell r="Y476">
            <v>0</v>
          </cell>
          <cell r="AB476">
            <v>0</v>
          </cell>
          <cell r="AC476">
            <v>8</v>
          </cell>
          <cell r="AD476">
            <v>0</v>
          </cell>
          <cell r="BF476">
            <v>0</v>
          </cell>
          <cell r="BG476">
            <v>0</v>
          </cell>
          <cell r="BH476">
            <v>0</v>
          </cell>
          <cell r="BI476">
            <v>0</v>
          </cell>
          <cell r="BJ476">
            <v>0</v>
          </cell>
          <cell r="BK476">
            <v>0</v>
          </cell>
          <cell r="BL476">
            <v>0</v>
          </cell>
          <cell r="BM476">
            <v>0</v>
          </cell>
          <cell r="BN476">
            <v>0</v>
          </cell>
          <cell r="BO476">
            <v>0</v>
          </cell>
          <cell r="BP476">
            <v>0</v>
          </cell>
          <cell r="BQ476">
            <v>0</v>
          </cell>
          <cell r="BR476">
            <v>0</v>
          </cell>
          <cell r="BS476">
            <v>0</v>
          </cell>
          <cell r="BT476">
            <v>0</v>
          </cell>
          <cell r="BU476">
            <v>0</v>
          </cell>
          <cell r="BV476">
            <v>0</v>
          </cell>
          <cell r="BW476">
            <v>0</v>
          </cell>
          <cell r="BX476">
            <v>0</v>
          </cell>
          <cell r="BY476">
            <v>0</v>
          </cell>
          <cell r="BZ476">
            <v>0</v>
          </cell>
          <cell r="CA476">
            <v>0</v>
          </cell>
          <cell r="CB476">
            <v>0</v>
          </cell>
          <cell r="CC476">
            <v>0</v>
          </cell>
          <cell r="CD476">
            <v>0</v>
          </cell>
        </row>
        <row r="477">
          <cell r="C477">
            <v>37873</v>
          </cell>
          <cell r="D477">
            <v>37902</v>
          </cell>
          <cell r="E477">
            <v>37875</v>
          </cell>
          <cell r="F477">
            <v>0.29166666666666669</v>
          </cell>
          <cell r="G477" t="str">
            <v>Serra de Fita</v>
          </cell>
          <cell r="H477" t="str">
            <v>Manípulo quebrado</v>
          </cell>
          <cell r="I477" t="str">
            <v>Corretiva</v>
          </cell>
          <cell r="J477" t="str">
            <v>Não</v>
          </cell>
          <cell r="K477" t="str">
            <v>Mecânica</v>
          </cell>
          <cell r="L477" t="str">
            <v>Substituição do(s) Componente(s)</v>
          </cell>
          <cell r="M477" t="str">
            <v>Defeito de Fabricação</v>
          </cell>
          <cell r="N477">
            <v>37895</v>
          </cell>
          <cell r="O477">
            <v>0.875</v>
          </cell>
          <cell r="P477">
            <v>37895</v>
          </cell>
          <cell r="Q477">
            <v>0.99305555555555547</v>
          </cell>
          <cell r="R477">
            <v>37896</v>
          </cell>
          <cell r="S477">
            <v>0.625</v>
          </cell>
          <cell r="T477">
            <v>37896</v>
          </cell>
          <cell r="U477">
            <v>0.75</v>
          </cell>
          <cell r="V477">
            <v>0</v>
          </cell>
          <cell r="W477">
            <v>0.24305555555555547</v>
          </cell>
          <cell r="X477">
            <v>0.24305555555555547</v>
          </cell>
          <cell r="Y477">
            <v>0.24305555555555547</v>
          </cell>
          <cell r="AB477">
            <v>10</v>
          </cell>
          <cell r="AC477">
            <v>9</v>
          </cell>
          <cell r="AD477">
            <v>0</v>
          </cell>
          <cell r="BF477">
            <v>0</v>
          </cell>
          <cell r="BG477">
            <v>0</v>
          </cell>
          <cell r="BH477">
            <v>0</v>
          </cell>
          <cell r="BI477">
            <v>0</v>
          </cell>
          <cell r="BJ477">
            <v>0</v>
          </cell>
          <cell r="BK477">
            <v>0</v>
          </cell>
          <cell r="BL477">
            <v>0</v>
          </cell>
          <cell r="BM477">
            <v>0</v>
          </cell>
          <cell r="BN477">
            <v>0</v>
          </cell>
          <cell r="BO477">
            <v>0</v>
          </cell>
          <cell r="BP477">
            <v>0</v>
          </cell>
          <cell r="BQ477">
            <v>0</v>
          </cell>
          <cell r="BR477">
            <v>0</v>
          </cell>
          <cell r="BS477">
            <v>0</v>
          </cell>
          <cell r="BT477">
            <v>0</v>
          </cell>
          <cell r="BU477">
            <v>0</v>
          </cell>
          <cell r="BV477">
            <v>0</v>
          </cell>
          <cell r="BW477">
            <v>0</v>
          </cell>
          <cell r="BX477">
            <v>0</v>
          </cell>
          <cell r="BY477">
            <v>0</v>
          </cell>
          <cell r="BZ477">
            <v>0</v>
          </cell>
          <cell r="CA477">
            <v>0</v>
          </cell>
          <cell r="CB477">
            <v>0</v>
          </cell>
          <cell r="CC477">
            <v>10</v>
          </cell>
          <cell r="CD477">
            <v>0</v>
          </cell>
        </row>
        <row r="478">
          <cell r="C478">
            <v>37873</v>
          </cell>
          <cell r="I478">
            <v>0</v>
          </cell>
          <cell r="N478">
            <v>0</v>
          </cell>
          <cell r="P478">
            <v>0</v>
          </cell>
          <cell r="T478">
            <v>0</v>
          </cell>
          <cell r="V478">
            <v>0</v>
          </cell>
          <cell r="W478">
            <v>0</v>
          </cell>
          <cell r="X478">
            <v>0</v>
          </cell>
          <cell r="Y478">
            <v>0</v>
          </cell>
          <cell r="AB478">
            <v>0</v>
          </cell>
          <cell r="AC478">
            <v>9</v>
          </cell>
          <cell r="AD478">
            <v>0</v>
          </cell>
          <cell r="BF478">
            <v>0</v>
          </cell>
          <cell r="BG478">
            <v>0</v>
          </cell>
          <cell r="BH478">
            <v>0</v>
          </cell>
          <cell r="BI478">
            <v>0</v>
          </cell>
          <cell r="BJ478">
            <v>0</v>
          </cell>
          <cell r="BK478">
            <v>0</v>
          </cell>
          <cell r="BL478">
            <v>0</v>
          </cell>
          <cell r="BM478">
            <v>0</v>
          </cell>
          <cell r="BN478">
            <v>0</v>
          </cell>
          <cell r="BO478">
            <v>0</v>
          </cell>
          <cell r="BP478">
            <v>0</v>
          </cell>
          <cell r="BQ478">
            <v>0</v>
          </cell>
          <cell r="BR478">
            <v>0</v>
          </cell>
          <cell r="BS478">
            <v>0</v>
          </cell>
          <cell r="BT478">
            <v>0</v>
          </cell>
          <cell r="BU478">
            <v>0</v>
          </cell>
          <cell r="BV478">
            <v>0</v>
          </cell>
          <cell r="BW478">
            <v>0</v>
          </cell>
          <cell r="BX478">
            <v>0</v>
          </cell>
          <cell r="BY478">
            <v>0</v>
          </cell>
          <cell r="BZ478">
            <v>0</v>
          </cell>
          <cell r="CA478">
            <v>0</v>
          </cell>
          <cell r="CB478">
            <v>0</v>
          </cell>
          <cell r="CC478">
            <v>0</v>
          </cell>
          <cell r="CD478">
            <v>0</v>
          </cell>
        </row>
        <row r="479">
          <cell r="C479">
            <v>37873</v>
          </cell>
          <cell r="I479">
            <v>0</v>
          </cell>
          <cell r="N479">
            <v>0</v>
          </cell>
          <cell r="P479">
            <v>0</v>
          </cell>
          <cell r="T479">
            <v>0</v>
          </cell>
          <cell r="V479">
            <v>0</v>
          </cell>
          <cell r="W479">
            <v>0</v>
          </cell>
          <cell r="X479">
            <v>0</v>
          </cell>
          <cell r="Y479">
            <v>0</v>
          </cell>
          <cell r="AB479">
            <v>0</v>
          </cell>
          <cell r="AC479">
            <v>9</v>
          </cell>
          <cell r="AD479">
            <v>0</v>
          </cell>
          <cell r="BF479">
            <v>0</v>
          </cell>
          <cell r="BG479">
            <v>0</v>
          </cell>
          <cell r="BH479">
            <v>0</v>
          </cell>
          <cell r="BI479">
            <v>0</v>
          </cell>
          <cell r="BJ479">
            <v>0</v>
          </cell>
          <cell r="BK479">
            <v>0</v>
          </cell>
          <cell r="BL479">
            <v>0</v>
          </cell>
          <cell r="BM479">
            <v>0</v>
          </cell>
          <cell r="BN479">
            <v>0</v>
          </cell>
          <cell r="BO479">
            <v>0</v>
          </cell>
          <cell r="BP479">
            <v>0</v>
          </cell>
          <cell r="BQ479">
            <v>0</v>
          </cell>
          <cell r="BR479">
            <v>0</v>
          </cell>
          <cell r="BS479">
            <v>0</v>
          </cell>
          <cell r="BT479">
            <v>0</v>
          </cell>
          <cell r="BU479">
            <v>0</v>
          </cell>
          <cell r="BV479">
            <v>0</v>
          </cell>
          <cell r="BW479">
            <v>0</v>
          </cell>
          <cell r="BX479">
            <v>0</v>
          </cell>
          <cell r="BY479">
            <v>0</v>
          </cell>
          <cell r="BZ479">
            <v>0</v>
          </cell>
          <cell r="CA479">
            <v>0</v>
          </cell>
          <cell r="CB479">
            <v>0</v>
          </cell>
          <cell r="CC479">
            <v>0</v>
          </cell>
          <cell r="CD479">
            <v>0</v>
          </cell>
        </row>
        <row r="480">
          <cell r="C480">
            <v>37873</v>
          </cell>
          <cell r="D480">
            <v>37900</v>
          </cell>
          <cell r="E480">
            <v>37881</v>
          </cell>
          <cell r="F480">
            <v>0.38194444444444442</v>
          </cell>
          <cell r="G480" t="str">
            <v>Células de Solda Manual</v>
          </cell>
          <cell r="H480" t="str">
            <v>Isolador de Gás quebrado</v>
          </cell>
          <cell r="I480" t="str">
            <v>Corretiva</v>
          </cell>
          <cell r="J480" t="str">
            <v>Sim</v>
          </cell>
          <cell r="K480" t="str">
            <v>Elétrica</v>
          </cell>
          <cell r="L480" t="str">
            <v>Substituição do(s) Componente(s)</v>
          </cell>
          <cell r="M480" t="str">
            <v>Desgaste / Fadiga</v>
          </cell>
          <cell r="N480">
            <v>37881</v>
          </cell>
          <cell r="O480">
            <v>0.38194444444444442</v>
          </cell>
          <cell r="P480">
            <v>37881</v>
          </cell>
          <cell r="Q480">
            <v>0.38194444444444442</v>
          </cell>
          <cell r="T480">
            <v>37881</v>
          </cell>
          <cell r="U480">
            <v>0.39583333333333331</v>
          </cell>
          <cell r="V480">
            <v>37881</v>
          </cell>
          <cell r="W480">
            <v>0.39583333333333331</v>
          </cell>
          <cell r="X480">
            <v>1.3888888888888895E-2</v>
          </cell>
          <cell r="Y480">
            <v>1.3888888891314233E-2</v>
          </cell>
          <cell r="AB480">
            <v>9</v>
          </cell>
          <cell r="AC480">
            <v>9</v>
          </cell>
          <cell r="AD480">
            <v>0</v>
          </cell>
          <cell r="BF480">
            <v>0</v>
          </cell>
          <cell r="BG480">
            <v>9</v>
          </cell>
          <cell r="BH480">
            <v>0</v>
          </cell>
          <cell r="BI480">
            <v>0</v>
          </cell>
          <cell r="BJ480">
            <v>0</v>
          </cell>
          <cell r="BK480">
            <v>0</v>
          </cell>
          <cell r="BL480">
            <v>0</v>
          </cell>
          <cell r="BM480">
            <v>0</v>
          </cell>
          <cell r="BN480">
            <v>0</v>
          </cell>
          <cell r="BO480">
            <v>0</v>
          </cell>
          <cell r="BP480">
            <v>0</v>
          </cell>
          <cell r="BQ480">
            <v>0</v>
          </cell>
          <cell r="BR480">
            <v>0</v>
          </cell>
          <cell r="BS480">
            <v>0</v>
          </cell>
          <cell r="BT480">
            <v>0</v>
          </cell>
          <cell r="BU480">
            <v>0</v>
          </cell>
          <cell r="BV480">
            <v>0</v>
          </cell>
          <cell r="BW480">
            <v>0</v>
          </cell>
          <cell r="BX480">
            <v>0</v>
          </cell>
          <cell r="BY480">
            <v>0</v>
          </cell>
          <cell r="BZ480">
            <v>0</v>
          </cell>
          <cell r="CA480">
            <v>0</v>
          </cell>
          <cell r="CB480">
            <v>0</v>
          </cell>
          <cell r="CC480">
            <v>0</v>
          </cell>
          <cell r="CD480">
            <v>0</v>
          </cell>
        </row>
        <row r="481">
          <cell r="C481">
            <v>37873</v>
          </cell>
          <cell r="I481">
            <v>0</v>
          </cell>
          <cell r="N481">
            <v>0</v>
          </cell>
          <cell r="P481">
            <v>0</v>
          </cell>
          <cell r="T481">
            <v>0</v>
          </cell>
          <cell r="V481">
            <v>0</v>
          </cell>
          <cell r="W481">
            <v>0</v>
          </cell>
          <cell r="X481">
            <v>0</v>
          </cell>
          <cell r="Y481">
            <v>0</v>
          </cell>
          <cell r="AB481">
            <v>0</v>
          </cell>
          <cell r="AC481">
            <v>9</v>
          </cell>
          <cell r="AD481">
            <v>0</v>
          </cell>
          <cell r="BF481">
            <v>0</v>
          </cell>
          <cell r="BG481">
            <v>0</v>
          </cell>
          <cell r="BH481">
            <v>0</v>
          </cell>
          <cell r="BI481">
            <v>0</v>
          </cell>
          <cell r="BJ481">
            <v>0</v>
          </cell>
          <cell r="BK481">
            <v>0</v>
          </cell>
          <cell r="BL481">
            <v>0</v>
          </cell>
          <cell r="BM481">
            <v>0</v>
          </cell>
          <cell r="BN481">
            <v>0</v>
          </cell>
          <cell r="BO481">
            <v>0</v>
          </cell>
          <cell r="BP481">
            <v>0</v>
          </cell>
          <cell r="BQ481">
            <v>0</v>
          </cell>
          <cell r="BR481">
            <v>0</v>
          </cell>
          <cell r="BS481">
            <v>0</v>
          </cell>
          <cell r="BT481">
            <v>0</v>
          </cell>
          <cell r="BU481">
            <v>0</v>
          </cell>
          <cell r="BV481">
            <v>0</v>
          </cell>
          <cell r="BW481">
            <v>0</v>
          </cell>
          <cell r="BX481">
            <v>0</v>
          </cell>
          <cell r="BY481">
            <v>0</v>
          </cell>
          <cell r="BZ481">
            <v>0</v>
          </cell>
          <cell r="CA481">
            <v>0</v>
          </cell>
          <cell r="CB481">
            <v>0</v>
          </cell>
          <cell r="CC481">
            <v>0</v>
          </cell>
          <cell r="CD481">
            <v>0</v>
          </cell>
        </row>
        <row r="482">
          <cell r="C482">
            <v>37873</v>
          </cell>
          <cell r="I482">
            <v>0</v>
          </cell>
          <cell r="N482">
            <v>0</v>
          </cell>
          <cell r="P482">
            <v>0</v>
          </cell>
          <cell r="T482">
            <v>0</v>
          </cell>
          <cell r="V482">
            <v>0</v>
          </cell>
          <cell r="W482">
            <v>0</v>
          </cell>
          <cell r="X482">
            <v>0</v>
          </cell>
          <cell r="Y482">
            <v>0</v>
          </cell>
          <cell r="AB482">
            <v>0</v>
          </cell>
          <cell r="AC482">
            <v>9</v>
          </cell>
          <cell r="AD482">
            <v>0</v>
          </cell>
          <cell r="BF482">
            <v>0</v>
          </cell>
          <cell r="BG482">
            <v>0</v>
          </cell>
          <cell r="BH482">
            <v>0</v>
          </cell>
          <cell r="BI482">
            <v>0</v>
          </cell>
          <cell r="BJ482">
            <v>0</v>
          </cell>
          <cell r="BK482">
            <v>0</v>
          </cell>
          <cell r="BL482">
            <v>0</v>
          </cell>
          <cell r="BM482">
            <v>0</v>
          </cell>
          <cell r="BN482">
            <v>0</v>
          </cell>
          <cell r="BO482">
            <v>0</v>
          </cell>
          <cell r="BP482">
            <v>0</v>
          </cell>
          <cell r="BQ482">
            <v>0</v>
          </cell>
          <cell r="BR482">
            <v>0</v>
          </cell>
          <cell r="BS482">
            <v>0</v>
          </cell>
          <cell r="BT482">
            <v>0</v>
          </cell>
          <cell r="BU482">
            <v>0</v>
          </cell>
          <cell r="BV482">
            <v>0</v>
          </cell>
          <cell r="BW482">
            <v>0</v>
          </cell>
          <cell r="BX482">
            <v>0</v>
          </cell>
          <cell r="BY482">
            <v>0</v>
          </cell>
          <cell r="BZ482">
            <v>0</v>
          </cell>
          <cell r="CA482">
            <v>0</v>
          </cell>
          <cell r="CB482">
            <v>0</v>
          </cell>
          <cell r="CC482">
            <v>0</v>
          </cell>
          <cell r="CD482">
            <v>0</v>
          </cell>
        </row>
        <row r="483">
          <cell r="C483">
            <v>37873</v>
          </cell>
          <cell r="D483">
            <v>37918</v>
          </cell>
          <cell r="E483">
            <v>37900</v>
          </cell>
          <cell r="F483">
            <v>0.4375</v>
          </cell>
          <cell r="G483" t="str">
            <v>Serra de Fita</v>
          </cell>
          <cell r="H483" t="str">
            <v>Máquina não funciona</v>
          </cell>
          <cell r="I483" t="str">
            <v>Corretiva</v>
          </cell>
          <cell r="J483" t="str">
            <v>Sim</v>
          </cell>
          <cell r="K483" t="str">
            <v>Elétrica</v>
          </cell>
          <cell r="L483" t="str">
            <v>Reinicialização do Equipamento / Componente</v>
          </cell>
          <cell r="M483" t="str">
            <v>Sobrecarga</v>
          </cell>
          <cell r="N483">
            <v>37900</v>
          </cell>
          <cell r="O483">
            <v>0.4375</v>
          </cell>
          <cell r="P483">
            <v>37900</v>
          </cell>
          <cell r="Q483">
            <v>0.4375</v>
          </cell>
          <cell r="T483">
            <v>37900</v>
          </cell>
          <cell r="U483">
            <v>0.44791666666666669</v>
          </cell>
          <cell r="V483">
            <v>37900</v>
          </cell>
          <cell r="W483">
            <v>0.44791666666666669</v>
          </cell>
          <cell r="X483">
            <v>1.0416666666666685E-2</v>
          </cell>
          <cell r="Y483">
            <v>1.0416666664241347E-2</v>
          </cell>
          <cell r="AB483">
            <v>10</v>
          </cell>
          <cell r="AC483">
            <v>9</v>
          </cell>
          <cell r="AD483">
            <v>0</v>
          </cell>
          <cell r="BF483">
            <v>0</v>
          </cell>
          <cell r="BG483">
            <v>0</v>
          </cell>
          <cell r="BH483">
            <v>0</v>
          </cell>
          <cell r="BI483">
            <v>0</v>
          </cell>
          <cell r="BJ483">
            <v>0</v>
          </cell>
          <cell r="BK483">
            <v>0</v>
          </cell>
          <cell r="BL483">
            <v>0</v>
          </cell>
          <cell r="BM483">
            <v>0</v>
          </cell>
          <cell r="BN483">
            <v>0</v>
          </cell>
          <cell r="BO483">
            <v>0</v>
          </cell>
          <cell r="BP483">
            <v>0</v>
          </cell>
          <cell r="BQ483">
            <v>0</v>
          </cell>
          <cell r="BR483">
            <v>0</v>
          </cell>
          <cell r="BS483">
            <v>0</v>
          </cell>
          <cell r="BT483">
            <v>0</v>
          </cell>
          <cell r="BU483">
            <v>0</v>
          </cell>
          <cell r="BV483">
            <v>0</v>
          </cell>
          <cell r="BW483">
            <v>0</v>
          </cell>
          <cell r="BX483">
            <v>0</v>
          </cell>
          <cell r="BY483">
            <v>0</v>
          </cell>
          <cell r="BZ483">
            <v>0</v>
          </cell>
          <cell r="CA483">
            <v>0</v>
          </cell>
          <cell r="CB483">
            <v>0</v>
          </cell>
          <cell r="CC483">
            <v>10</v>
          </cell>
          <cell r="CD483">
            <v>0</v>
          </cell>
        </row>
        <row r="484">
          <cell r="C484">
            <v>37873</v>
          </cell>
          <cell r="D484">
            <v>37970</v>
          </cell>
          <cell r="E484">
            <v>37910</v>
          </cell>
          <cell r="F484">
            <v>0.76388888888888884</v>
          </cell>
          <cell r="G484" t="str">
            <v>Máquina de Solda MIG</v>
          </cell>
          <cell r="H484" t="str">
            <v>Sistema de tração do arame não funciona</v>
          </cell>
          <cell r="I484">
            <v>0</v>
          </cell>
          <cell r="J484" t="str">
            <v>Não</v>
          </cell>
          <cell r="K484" t="str">
            <v>Elétrica</v>
          </cell>
          <cell r="L484" t="str">
            <v>Substituição do(s) Componente(s)</v>
          </cell>
          <cell r="M484" t="str">
            <v>Sobrecarga</v>
          </cell>
          <cell r="N484">
            <v>37911</v>
          </cell>
          <cell r="O484">
            <v>0.70833333333333337</v>
          </cell>
          <cell r="P484">
            <v>0</v>
          </cell>
          <cell r="Q484">
            <v>0.70833333333333337</v>
          </cell>
          <cell r="R484">
            <v>37916</v>
          </cell>
          <cell r="S484">
            <v>0.5</v>
          </cell>
          <cell r="T484">
            <v>37916</v>
          </cell>
          <cell r="U484">
            <v>0.53472222222222221</v>
          </cell>
          <cell r="V484">
            <v>0</v>
          </cell>
          <cell r="W484">
            <v>3.472222222222221E-2</v>
          </cell>
          <cell r="X484">
            <v>0</v>
          </cell>
          <cell r="Y484">
            <v>0</v>
          </cell>
          <cell r="AB484">
            <v>10</v>
          </cell>
          <cell r="AC484">
            <v>9</v>
          </cell>
          <cell r="AD484">
            <v>0</v>
          </cell>
          <cell r="BF484">
            <v>0</v>
          </cell>
          <cell r="BG484">
            <v>0</v>
          </cell>
          <cell r="BH484">
            <v>0</v>
          </cell>
          <cell r="BI484">
            <v>0</v>
          </cell>
          <cell r="BJ484">
            <v>0</v>
          </cell>
          <cell r="BK484">
            <v>0</v>
          </cell>
          <cell r="BL484">
            <v>0</v>
          </cell>
          <cell r="BM484">
            <v>0</v>
          </cell>
          <cell r="BN484">
            <v>0</v>
          </cell>
          <cell r="BO484">
            <v>0</v>
          </cell>
          <cell r="BP484">
            <v>0</v>
          </cell>
          <cell r="BQ484">
            <v>0</v>
          </cell>
          <cell r="BR484">
            <v>10</v>
          </cell>
          <cell r="BS484">
            <v>0</v>
          </cell>
          <cell r="BT484">
            <v>0</v>
          </cell>
          <cell r="BU484">
            <v>0</v>
          </cell>
          <cell r="BV484">
            <v>0</v>
          </cell>
          <cell r="BW484">
            <v>0</v>
          </cell>
          <cell r="BX484">
            <v>0</v>
          </cell>
          <cell r="BY484">
            <v>0</v>
          </cell>
          <cell r="BZ484">
            <v>0</v>
          </cell>
          <cell r="CA484">
            <v>0</v>
          </cell>
          <cell r="CB484">
            <v>0</v>
          </cell>
          <cell r="CC484">
            <v>0</v>
          </cell>
          <cell r="CD484">
            <v>0</v>
          </cell>
        </row>
        <row r="485">
          <cell r="C485">
            <v>37873</v>
          </cell>
          <cell r="D485">
            <v>37972</v>
          </cell>
          <cell r="E485">
            <v>37951</v>
          </cell>
          <cell r="F485">
            <v>0.64583333333333337</v>
          </cell>
          <cell r="G485" t="str">
            <v>Máquina de Solda MIG</v>
          </cell>
          <cell r="H485" t="str">
            <v>Cabo terra danificado</v>
          </cell>
          <cell r="I485">
            <v>0</v>
          </cell>
          <cell r="J485" t="str">
            <v>Não</v>
          </cell>
          <cell r="K485" t="str">
            <v>Elétrica</v>
          </cell>
          <cell r="L485" t="str">
            <v>Reparo</v>
          </cell>
          <cell r="M485" t="str">
            <v>Aquecimento</v>
          </cell>
          <cell r="N485">
            <v>37951</v>
          </cell>
          <cell r="O485">
            <v>0.65277777777777779</v>
          </cell>
          <cell r="P485">
            <v>0</v>
          </cell>
          <cell r="Q485">
            <v>0.70833333333333337</v>
          </cell>
          <cell r="R485">
            <v>37964</v>
          </cell>
          <cell r="S485">
            <v>0.54166666666666663</v>
          </cell>
          <cell r="T485">
            <v>37964</v>
          </cell>
          <cell r="U485">
            <v>0.58333333333333337</v>
          </cell>
          <cell r="V485">
            <v>0</v>
          </cell>
          <cell r="W485">
            <v>9.7222222222222321E-2</v>
          </cell>
          <cell r="X485">
            <v>0</v>
          </cell>
          <cell r="Y485">
            <v>0</v>
          </cell>
          <cell r="AB485">
            <v>12</v>
          </cell>
          <cell r="AC485">
            <v>9</v>
          </cell>
          <cell r="AD485">
            <v>0</v>
          </cell>
          <cell r="BF485">
            <v>0</v>
          </cell>
          <cell r="BG485">
            <v>0</v>
          </cell>
          <cell r="BH485">
            <v>0</v>
          </cell>
          <cell r="BI485">
            <v>0</v>
          </cell>
          <cell r="BJ485">
            <v>0</v>
          </cell>
          <cell r="BK485">
            <v>0</v>
          </cell>
          <cell r="BL485">
            <v>0</v>
          </cell>
          <cell r="BM485">
            <v>0</v>
          </cell>
          <cell r="BN485">
            <v>0</v>
          </cell>
          <cell r="BO485">
            <v>0</v>
          </cell>
          <cell r="BP485">
            <v>0</v>
          </cell>
          <cell r="BQ485">
            <v>0</v>
          </cell>
          <cell r="BR485">
            <v>12</v>
          </cell>
          <cell r="BS485">
            <v>0</v>
          </cell>
          <cell r="BT485">
            <v>0</v>
          </cell>
          <cell r="BU485">
            <v>0</v>
          </cell>
          <cell r="BV485">
            <v>0</v>
          </cell>
          <cell r="BW485">
            <v>0</v>
          </cell>
          <cell r="BX485">
            <v>0</v>
          </cell>
          <cell r="BY485">
            <v>0</v>
          </cell>
          <cell r="BZ485">
            <v>0</v>
          </cell>
          <cell r="CA485">
            <v>0</v>
          </cell>
          <cell r="CB485">
            <v>0</v>
          </cell>
          <cell r="CC485">
            <v>0</v>
          </cell>
          <cell r="CD485">
            <v>0</v>
          </cell>
        </row>
        <row r="486">
          <cell r="C486">
            <v>37873</v>
          </cell>
          <cell r="D486">
            <v>37918</v>
          </cell>
          <cell r="E486">
            <v>37901</v>
          </cell>
          <cell r="F486">
            <v>0.35416666666666669</v>
          </cell>
          <cell r="G486" t="str">
            <v>Máquina de Solda MIG</v>
          </cell>
          <cell r="H486" t="str">
            <v>Ventulação não funciona</v>
          </cell>
          <cell r="I486" t="str">
            <v>Corretiva</v>
          </cell>
          <cell r="J486" t="str">
            <v>Sim</v>
          </cell>
          <cell r="K486" t="str">
            <v>Elétrica</v>
          </cell>
          <cell r="L486" t="str">
            <v>Substituição do(s) Componente(s)</v>
          </cell>
          <cell r="M486" t="str">
            <v>Travamento de Componente</v>
          </cell>
          <cell r="N486">
            <v>37901</v>
          </cell>
          <cell r="O486">
            <v>0.35416666666666669</v>
          </cell>
          <cell r="P486">
            <v>37901</v>
          </cell>
          <cell r="Q486">
            <v>0.35416666666666669</v>
          </cell>
          <cell r="T486">
            <v>37901</v>
          </cell>
          <cell r="U486">
            <v>0.375</v>
          </cell>
          <cell r="V486">
            <v>37901</v>
          </cell>
          <cell r="W486">
            <v>0.375</v>
          </cell>
          <cell r="X486">
            <v>2.0833333333333315E-2</v>
          </cell>
          <cell r="Y486">
            <v>2.0833333333333315E-2</v>
          </cell>
          <cell r="AB486">
            <v>10</v>
          </cell>
          <cell r="AC486">
            <v>9</v>
          </cell>
          <cell r="AD486">
            <v>0</v>
          </cell>
          <cell r="BF486">
            <v>0</v>
          </cell>
          <cell r="BG486">
            <v>0</v>
          </cell>
          <cell r="BH486">
            <v>0</v>
          </cell>
          <cell r="BI486">
            <v>0</v>
          </cell>
          <cell r="BJ486">
            <v>0</v>
          </cell>
          <cell r="BK486">
            <v>0</v>
          </cell>
          <cell r="BL486">
            <v>0</v>
          </cell>
          <cell r="BM486">
            <v>0</v>
          </cell>
          <cell r="BN486">
            <v>0</v>
          </cell>
          <cell r="BO486">
            <v>0</v>
          </cell>
          <cell r="BP486">
            <v>0</v>
          </cell>
          <cell r="BQ486">
            <v>0</v>
          </cell>
          <cell r="BR486">
            <v>10</v>
          </cell>
          <cell r="BS486">
            <v>0</v>
          </cell>
          <cell r="BT486">
            <v>0</v>
          </cell>
          <cell r="BU486">
            <v>0</v>
          </cell>
          <cell r="BV486">
            <v>0</v>
          </cell>
          <cell r="BW486">
            <v>0</v>
          </cell>
          <cell r="BX486">
            <v>0</v>
          </cell>
          <cell r="BY486">
            <v>0</v>
          </cell>
          <cell r="BZ486">
            <v>0</v>
          </cell>
          <cell r="CA486">
            <v>0</v>
          </cell>
          <cell r="CB486">
            <v>0</v>
          </cell>
          <cell r="CC486">
            <v>0</v>
          </cell>
          <cell r="CD486">
            <v>0</v>
          </cell>
        </row>
        <row r="487">
          <cell r="C487">
            <v>37873</v>
          </cell>
          <cell r="D487">
            <v>37970</v>
          </cell>
          <cell r="E487">
            <v>37953</v>
          </cell>
          <cell r="F487">
            <v>0.625</v>
          </cell>
          <cell r="G487" t="str">
            <v>Máquina de Solda MIG</v>
          </cell>
          <cell r="H487" t="str">
            <v>Ventilador não liga</v>
          </cell>
          <cell r="I487">
            <v>0</v>
          </cell>
          <cell r="J487" t="str">
            <v>Sim</v>
          </cell>
          <cell r="K487" t="str">
            <v>Elétrica</v>
          </cell>
          <cell r="L487" t="str">
            <v>Substituição do(s) Componente(s)</v>
          </cell>
          <cell r="M487" t="str">
            <v>Falha de Comando / Sistema</v>
          </cell>
          <cell r="N487">
            <v>37953</v>
          </cell>
          <cell r="O487">
            <v>0.625</v>
          </cell>
          <cell r="P487">
            <v>0</v>
          </cell>
          <cell r="T487">
            <v>37953</v>
          </cell>
          <cell r="U487">
            <v>0.70833333333333337</v>
          </cell>
          <cell r="V487">
            <v>0</v>
          </cell>
          <cell r="W487">
            <v>8.3333333335758653E-2</v>
          </cell>
          <cell r="X487">
            <v>0</v>
          </cell>
          <cell r="Y487">
            <v>0</v>
          </cell>
          <cell r="AB487">
            <v>11</v>
          </cell>
          <cell r="AC487">
            <v>9</v>
          </cell>
          <cell r="AD487">
            <v>0</v>
          </cell>
          <cell r="BF487">
            <v>0</v>
          </cell>
          <cell r="BG487">
            <v>0</v>
          </cell>
          <cell r="BH487">
            <v>0</v>
          </cell>
          <cell r="BI487">
            <v>0</v>
          </cell>
          <cell r="BJ487">
            <v>0</v>
          </cell>
          <cell r="BK487">
            <v>0</v>
          </cell>
          <cell r="BL487">
            <v>0</v>
          </cell>
          <cell r="BM487">
            <v>0</v>
          </cell>
          <cell r="BN487">
            <v>0</v>
          </cell>
          <cell r="BO487">
            <v>0</v>
          </cell>
          <cell r="BP487">
            <v>0</v>
          </cell>
          <cell r="BQ487">
            <v>0</v>
          </cell>
          <cell r="BR487">
            <v>11</v>
          </cell>
          <cell r="BS487">
            <v>0</v>
          </cell>
          <cell r="BT487">
            <v>0</v>
          </cell>
          <cell r="BU487">
            <v>0</v>
          </cell>
          <cell r="BV487">
            <v>0</v>
          </cell>
          <cell r="BW487">
            <v>0</v>
          </cell>
          <cell r="BX487">
            <v>0</v>
          </cell>
          <cell r="BY487">
            <v>0</v>
          </cell>
          <cell r="BZ487">
            <v>0</v>
          </cell>
          <cell r="CA487">
            <v>0</v>
          </cell>
          <cell r="CB487">
            <v>0</v>
          </cell>
          <cell r="CC487">
            <v>0</v>
          </cell>
          <cell r="CD487">
            <v>0</v>
          </cell>
        </row>
        <row r="488">
          <cell r="C488">
            <v>37873</v>
          </cell>
          <cell r="D488">
            <v>37970</v>
          </cell>
          <cell r="E488">
            <v>37959</v>
          </cell>
          <cell r="F488">
            <v>0.96527777777777779</v>
          </cell>
          <cell r="G488" t="str">
            <v>Serra de Fita</v>
          </cell>
          <cell r="H488" t="str">
            <v>Máquina não liga</v>
          </cell>
          <cell r="I488">
            <v>0</v>
          </cell>
          <cell r="J488" t="str">
            <v>Sim</v>
          </cell>
          <cell r="K488" t="str">
            <v>Elétrica</v>
          </cell>
          <cell r="L488" t="str">
            <v>Reinicialização do Equipamento / Componente</v>
          </cell>
          <cell r="M488" t="str">
            <v>Sobrecarga</v>
          </cell>
          <cell r="N488">
            <v>37959</v>
          </cell>
          <cell r="O488">
            <v>0.97222222222222221</v>
          </cell>
          <cell r="P488">
            <v>0</v>
          </cell>
          <cell r="T488">
            <v>37959</v>
          </cell>
          <cell r="U488">
            <v>0.97916666666666663</v>
          </cell>
          <cell r="V488">
            <v>0</v>
          </cell>
          <cell r="W488">
            <v>1.3888888886463557E-2</v>
          </cell>
          <cell r="X488">
            <v>0</v>
          </cell>
          <cell r="Y488">
            <v>0</v>
          </cell>
          <cell r="AB488">
            <v>12</v>
          </cell>
          <cell r="AC488">
            <v>9</v>
          </cell>
          <cell r="AD488">
            <v>0</v>
          </cell>
          <cell r="BF488">
            <v>0</v>
          </cell>
          <cell r="BG488">
            <v>0</v>
          </cell>
          <cell r="BH488">
            <v>0</v>
          </cell>
          <cell r="BI488">
            <v>0</v>
          </cell>
          <cell r="BJ488">
            <v>0</v>
          </cell>
          <cell r="BK488">
            <v>0</v>
          </cell>
          <cell r="BL488">
            <v>0</v>
          </cell>
          <cell r="BM488">
            <v>0</v>
          </cell>
          <cell r="BN488">
            <v>0</v>
          </cell>
          <cell r="BO488">
            <v>0</v>
          </cell>
          <cell r="BP488">
            <v>0</v>
          </cell>
          <cell r="BQ488">
            <v>0</v>
          </cell>
          <cell r="BR488">
            <v>0</v>
          </cell>
          <cell r="BS488">
            <v>0</v>
          </cell>
          <cell r="BT488">
            <v>0</v>
          </cell>
          <cell r="BU488">
            <v>0</v>
          </cell>
          <cell r="BV488">
            <v>0</v>
          </cell>
          <cell r="BW488">
            <v>0</v>
          </cell>
          <cell r="BX488">
            <v>0</v>
          </cell>
          <cell r="BY488">
            <v>0</v>
          </cell>
          <cell r="BZ488">
            <v>0</v>
          </cell>
          <cell r="CA488">
            <v>0</v>
          </cell>
          <cell r="CB488">
            <v>0</v>
          </cell>
          <cell r="CC488">
            <v>12</v>
          </cell>
          <cell r="CD488">
            <v>0</v>
          </cell>
        </row>
        <row r="489">
          <cell r="C489">
            <v>37873</v>
          </cell>
          <cell r="I489">
            <v>0</v>
          </cell>
          <cell r="N489">
            <v>0</v>
          </cell>
          <cell r="P489">
            <v>0</v>
          </cell>
          <cell r="T489">
            <v>0</v>
          </cell>
          <cell r="V489">
            <v>0</v>
          </cell>
          <cell r="W489">
            <v>0</v>
          </cell>
          <cell r="X489">
            <v>0</v>
          </cell>
          <cell r="Y489">
            <v>0</v>
          </cell>
          <cell r="AB489">
            <v>0</v>
          </cell>
          <cell r="AC489">
            <v>9</v>
          </cell>
          <cell r="AD489">
            <v>0</v>
          </cell>
          <cell r="BF489">
            <v>0</v>
          </cell>
          <cell r="BG489">
            <v>0</v>
          </cell>
          <cell r="BH489">
            <v>0</v>
          </cell>
          <cell r="BI489">
            <v>0</v>
          </cell>
          <cell r="BJ489">
            <v>0</v>
          </cell>
          <cell r="BK489">
            <v>0</v>
          </cell>
          <cell r="BL489">
            <v>0</v>
          </cell>
          <cell r="BM489">
            <v>0</v>
          </cell>
          <cell r="BN489">
            <v>0</v>
          </cell>
          <cell r="BO489">
            <v>0</v>
          </cell>
          <cell r="BP489">
            <v>0</v>
          </cell>
          <cell r="BQ489">
            <v>0</v>
          </cell>
          <cell r="BR489">
            <v>0</v>
          </cell>
          <cell r="BS489">
            <v>0</v>
          </cell>
          <cell r="BT489">
            <v>0</v>
          </cell>
          <cell r="BU489">
            <v>0</v>
          </cell>
          <cell r="BV489">
            <v>0</v>
          </cell>
          <cell r="BW489">
            <v>0</v>
          </cell>
          <cell r="BX489">
            <v>0</v>
          </cell>
          <cell r="BY489">
            <v>0</v>
          </cell>
          <cell r="BZ489">
            <v>0</v>
          </cell>
          <cell r="CA489">
            <v>0</v>
          </cell>
          <cell r="CB489">
            <v>0</v>
          </cell>
          <cell r="CC489">
            <v>0</v>
          </cell>
          <cell r="CD489">
            <v>0</v>
          </cell>
        </row>
        <row r="490">
          <cell r="C490">
            <v>37873</v>
          </cell>
          <cell r="D490">
            <v>37972</v>
          </cell>
          <cell r="E490">
            <v>37967</v>
          </cell>
          <cell r="F490">
            <v>0.47569444444444442</v>
          </cell>
          <cell r="G490" t="str">
            <v>Serra de Fita</v>
          </cell>
          <cell r="H490" t="str">
            <v>Máquina não funciona</v>
          </cell>
          <cell r="I490">
            <v>0</v>
          </cell>
          <cell r="J490" t="str">
            <v>Sim</v>
          </cell>
          <cell r="K490" t="str">
            <v>Elétrica</v>
          </cell>
          <cell r="L490" t="str">
            <v>Reinicialização do Equipamento / Componente</v>
          </cell>
          <cell r="M490" t="str">
            <v>Travamento de Componente</v>
          </cell>
          <cell r="N490">
            <v>37967</v>
          </cell>
          <cell r="O490">
            <v>0.49305555555555558</v>
          </cell>
          <cell r="P490">
            <v>0</v>
          </cell>
          <cell r="T490">
            <v>37967</v>
          </cell>
          <cell r="U490">
            <v>0.49861111111111112</v>
          </cell>
          <cell r="V490">
            <v>0</v>
          </cell>
          <cell r="W490">
            <v>2.2916666669415386E-2</v>
          </cell>
          <cell r="X490">
            <v>0</v>
          </cell>
          <cell r="Y490">
            <v>0</v>
          </cell>
          <cell r="AB490">
            <v>12</v>
          </cell>
          <cell r="AC490">
            <v>9</v>
          </cell>
          <cell r="AD490">
            <v>0</v>
          </cell>
          <cell r="BF490">
            <v>0</v>
          </cell>
          <cell r="BG490">
            <v>0</v>
          </cell>
          <cell r="BH490">
            <v>0</v>
          </cell>
          <cell r="BI490">
            <v>0</v>
          </cell>
          <cell r="BJ490">
            <v>0</v>
          </cell>
          <cell r="BK490">
            <v>0</v>
          </cell>
          <cell r="BL490">
            <v>0</v>
          </cell>
          <cell r="BM490">
            <v>0</v>
          </cell>
          <cell r="BN490">
            <v>0</v>
          </cell>
          <cell r="BO490">
            <v>0</v>
          </cell>
          <cell r="BP490">
            <v>0</v>
          </cell>
          <cell r="BQ490">
            <v>0</v>
          </cell>
          <cell r="BR490">
            <v>0</v>
          </cell>
          <cell r="BS490">
            <v>0</v>
          </cell>
          <cell r="BT490">
            <v>0</v>
          </cell>
          <cell r="BU490">
            <v>0</v>
          </cell>
          <cell r="BV490">
            <v>0</v>
          </cell>
          <cell r="BW490">
            <v>0</v>
          </cell>
          <cell r="BX490">
            <v>0</v>
          </cell>
          <cell r="BY490">
            <v>0</v>
          </cell>
          <cell r="BZ490">
            <v>0</v>
          </cell>
          <cell r="CA490">
            <v>0</v>
          </cell>
          <cell r="CB490">
            <v>0</v>
          </cell>
          <cell r="CC490">
            <v>12</v>
          </cell>
          <cell r="CD490">
            <v>0</v>
          </cell>
        </row>
        <row r="491">
          <cell r="C491">
            <v>37873</v>
          </cell>
          <cell r="I491">
            <v>0</v>
          </cell>
          <cell r="N491">
            <v>0</v>
          </cell>
          <cell r="P491">
            <v>0</v>
          </cell>
          <cell r="T491">
            <v>0</v>
          </cell>
          <cell r="V491">
            <v>0</v>
          </cell>
          <cell r="W491">
            <v>0</v>
          </cell>
          <cell r="X491">
            <v>0</v>
          </cell>
          <cell r="Y491">
            <v>0</v>
          </cell>
          <cell r="AB491">
            <v>0</v>
          </cell>
          <cell r="AC491">
            <v>9</v>
          </cell>
          <cell r="AD491">
            <v>0</v>
          </cell>
          <cell r="BF491">
            <v>0</v>
          </cell>
          <cell r="BG491">
            <v>0</v>
          </cell>
          <cell r="BH491">
            <v>0</v>
          </cell>
          <cell r="BI491">
            <v>0</v>
          </cell>
          <cell r="BJ491">
            <v>0</v>
          </cell>
          <cell r="BK491">
            <v>0</v>
          </cell>
          <cell r="BL491">
            <v>0</v>
          </cell>
          <cell r="BM491">
            <v>0</v>
          </cell>
          <cell r="BN491">
            <v>0</v>
          </cell>
          <cell r="BO491">
            <v>0</v>
          </cell>
          <cell r="BP491">
            <v>0</v>
          </cell>
          <cell r="BQ491">
            <v>0</v>
          </cell>
          <cell r="BR491">
            <v>0</v>
          </cell>
          <cell r="BS491">
            <v>0</v>
          </cell>
          <cell r="BT491">
            <v>0</v>
          </cell>
          <cell r="BU491">
            <v>0</v>
          </cell>
          <cell r="BV491">
            <v>0</v>
          </cell>
          <cell r="BW491">
            <v>0</v>
          </cell>
          <cell r="BX491">
            <v>0</v>
          </cell>
          <cell r="BY491">
            <v>0</v>
          </cell>
          <cell r="BZ491">
            <v>0</v>
          </cell>
          <cell r="CA491">
            <v>0</v>
          </cell>
          <cell r="CB491">
            <v>0</v>
          </cell>
          <cell r="CC491">
            <v>0</v>
          </cell>
          <cell r="CD491">
            <v>0</v>
          </cell>
        </row>
        <row r="492">
          <cell r="C492">
            <v>37873</v>
          </cell>
          <cell r="D492">
            <v>38008</v>
          </cell>
          <cell r="E492">
            <v>37999</v>
          </cell>
          <cell r="F492">
            <v>0.79166666666666663</v>
          </cell>
          <cell r="G492" t="str">
            <v>Equipamentos diversos</v>
          </cell>
          <cell r="H492" t="str">
            <v>Há a necessidade de fabricação de um pino de trava (esteira de roletes)</v>
          </cell>
          <cell r="I492">
            <v>0</v>
          </cell>
          <cell r="J492" t="str">
            <v>Não</v>
          </cell>
          <cell r="K492" t="str">
            <v>Mecânica</v>
          </cell>
          <cell r="L492" t="str">
            <v>Montagem / Instalação</v>
          </cell>
          <cell r="M492" t="str">
            <v>Melhoria Técnica</v>
          </cell>
          <cell r="N492">
            <v>0</v>
          </cell>
          <cell r="O492">
            <v>0.79166666666666663</v>
          </cell>
          <cell r="P492">
            <v>0</v>
          </cell>
          <cell r="T492">
            <v>0</v>
          </cell>
          <cell r="U492">
            <v>0.91666666666666663</v>
          </cell>
          <cell r="V492">
            <v>0</v>
          </cell>
          <cell r="W492">
            <v>0</v>
          </cell>
          <cell r="X492">
            <v>0</v>
          </cell>
          <cell r="Y492">
            <v>0</v>
          </cell>
          <cell r="AB492">
            <v>0</v>
          </cell>
          <cell r="AC492">
            <v>9</v>
          </cell>
          <cell r="AD492">
            <v>0</v>
          </cell>
          <cell r="BF492">
            <v>0</v>
          </cell>
          <cell r="BG492">
            <v>0</v>
          </cell>
          <cell r="BH492">
            <v>0</v>
          </cell>
          <cell r="BI492">
            <v>0</v>
          </cell>
          <cell r="BJ492">
            <v>0</v>
          </cell>
          <cell r="BK492">
            <v>0</v>
          </cell>
          <cell r="BL492">
            <v>0</v>
          </cell>
          <cell r="BM492">
            <v>0</v>
          </cell>
          <cell r="BN492">
            <v>0</v>
          </cell>
          <cell r="BO492">
            <v>0</v>
          </cell>
          <cell r="BP492">
            <v>0</v>
          </cell>
          <cell r="BQ492">
            <v>0</v>
          </cell>
          <cell r="BR492">
            <v>0</v>
          </cell>
          <cell r="BS492">
            <v>0</v>
          </cell>
          <cell r="BT492">
            <v>0</v>
          </cell>
          <cell r="BU492">
            <v>0</v>
          </cell>
          <cell r="BV492">
            <v>0</v>
          </cell>
          <cell r="BW492">
            <v>0</v>
          </cell>
          <cell r="BX492">
            <v>0</v>
          </cell>
          <cell r="BY492">
            <v>0</v>
          </cell>
          <cell r="BZ492">
            <v>0</v>
          </cell>
          <cell r="CA492">
            <v>0</v>
          </cell>
          <cell r="CB492">
            <v>0</v>
          </cell>
          <cell r="CC492">
            <v>0</v>
          </cell>
          <cell r="CD492">
            <v>0</v>
          </cell>
        </row>
        <row r="493">
          <cell r="C493">
            <v>37873</v>
          </cell>
          <cell r="D493">
            <v>37928</v>
          </cell>
          <cell r="E493">
            <v>37921</v>
          </cell>
          <cell r="F493">
            <v>0.59722222222222221</v>
          </cell>
          <cell r="G493" t="str">
            <v>Equipamentos diversos</v>
          </cell>
          <cell r="H493" t="str">
            <v>Não funciona</v>
          </cell>
          <cell r="I493" t="str">
            <v>Corretiva</v>
          </cell>
          <cell r="J493" t="str">
            <v>Sim</v>
          </cell>
          <cell r="K493" t="str">
            <v>Elétrica</v>
          </cell>
          <cell r="L493" t="str">
            <v>Correção de mau contato</v>
          </cell>
          <cell r="M493" t="str">
            <v>Mau contato</v>
          </cell>
          <cell r="N493">
            <v>37921</v>
          </cell>
          <cell r="O493">
            <v>0.625</v>
          </cell>
          <cell r="P493">
            <v>37921</v>
          </cell>
          <cell r="Q493">
            <v>0.625</v>
          </cell>
          <cell r="T493">
            <v>37921</v>
          </cell>
          <cell r="U493">
            <v>0.64930555555555558</v>
          </cell>
          <cell r="V493">
            <v>37921</v>
          </cell>
          <cell r="W493">
            <v>0.64930555555555558</v>
          </cell>
          <cell r="X493">
            <v>2.430555555555558E-2</v>
          </cell>
          <cell r="Y493">
            <v>2.4305555554747116E-2</v>
          </cell>
          <cell r="AB493">
            <v>10</v>
          </cell>
          <cell r="AC493">
            <v>9</v>
          </cell>
          <cell r="AD493">
            <v>0</v>
          </cell>
          <cell r="BF493">
            <v>0</v>
          </cell>
          <cell r="BG493">
            <v>0</v>
          </cell>
          <cell r="BH493">
            <v>0</v>
          </cell>
          <cell r="BI493">
            <v>0</v>
          </cell>
          <cell r="BJ493">
            <v>10</v>
          </cell>
          <cell r="BK493">
            <v>0</v>
          </cell>
          <cell r="BL493">
            <v>0</v>
          </cell>
          <cell r="BM493">
            <v>0</v>
          </cell>
          <cell r="BN493">
            <v>0</v>
          </cell>
          <cell r="BO493">
            <v>0</v>
          </cell>
          <cell r="BP493">
            <v>0</v>
          </cell>
          <cell r="BQ493">
            <v>0</v>
          </cell>
          <cell r="BR493">
            <v>0</v>
          </cell>
          <cell r="BS493">
            <v>0</v>
          </cell>
          <cell r="BT493">
            <v>0</v>
          </cell>
          <cell r="BU493">
            <v>0</v>
          </cell>
          <cell r="BV493">
            <v>0</v>
          </cell>
          <cell r="BW493">
            <v>0</v>
          </cell>
          <cell r="BX493">
            <v>0</v>
          </cell>
          <cell r="BY493">
            <v>0</v>
          </cell>
          <cell r="BZ493">
            <v>0</v>
          </cell>
          <cell r="CA493">
            <v>0</v>
          </cell>
          <cell r="CB493">
            <v>0</v>
          </cell>
          <cell r="CC493">
            <v>0</v>
          </cell>
          <cell r="CD493">
            <v>0</v>
          </cell>
        </row>
        <row r="494">
          <cell r="C494">
            <v>37873</v>
          </cell>
          <cell r="I494">
            <v>0</v>
          </cell>
          <cell r="N494">
            <v>0</v>
          </cell>
          <cell r="P494">
            <v>0</v>
          </cell>
          <cell r="T494">
            <v>0</v>
          </cell>
          <cell r="V494">
            <v>0</v>
          </cell>
          <cell r="W494">
            <v>0</v>
          </cell>
          <cell r="X494">
            <v>0</v>
          </cell>
          <cell r="Y494">
            <v>0</v>
          </cell>
          <cell r="AB494">
            <v>0</v>
          </cell>
          <cell r="AC494">
            <v>9</v>
          </cell>
          <cell r="AD494">
            <v>0</v>
          </cell>
          <cell r="BF494">
            <v>0</v>
          </cell>
          <cell r="BG494">
            <v>0</v>
          </cell>
          <cell r="BH494">
            <v>0</v>
          </cell>
          <cell r="BI494">
            <v>0</v>
          </cell>
          <cell r="BJ494">
            <v>0</v>
          </cell>
          <cell r="BK494">
            <v>0</v>
          </cell>
          <cell r="BL494">
            <v>0</v>
          </cell>
          <cell r="BM494">
            <v>0</v>
          </cell>
          <cell r="BN494">
            <v>0</v>
          </cell>
          <cell r="BO494">
            <v>0</v>
          </cell>
          <cell r="BP494">
            <v>0</v>
          </cell>
          <cell r="BQ494">
            <v>0</v>
          </cell>
          <cell r="BR494">
            <v>0</v>
          </cell>
          <cell r="BS494">
            <v>0</v>
          </cell>
          <cell r="BT494">
            <v>0</v>
          </cell>
          <cell r="BU494">
            <v>0</v>
          </cell>
          <cell r="BV494">
            <v>0</v>
          </cell>
          <cell r="BW494">
            <v>0</v>
          </cell>
          <cell r="BX494">
            <v>0</v>
          </cell>
          <cell r="BY494">
            <v>0</v>
          </cell>
          <cell r="BZ494">
            <v>0</v>
          </cell>
          <cell r="CA494">
            <v>0</v>
          </cell>
          <cell r="CB494">
            <v>0</v>
          </cell>
          <cell r="CC494">
            <v>0</v>
          </cell>
          <cell r="CD494">
            <v>0</v>
          </cell>
        </row>
        <row r="495">
          <cell r="C495">
            <v>37873</v>
          </cell>
          <cell r="I495">
            <v>0</v>
          </cell>
          <cell r="N495">
            <v>0</v>
          </cell>
          <cell r="P495">
            <v>0</v>
          </cell>
          <cell r="T495">
            <v>0</v>
          </cell>
          <cell r="V495">
            <v>0</v>
          </cell>
          <cell r="W495">
            <v>0</v>
          </cell>
          <cell r="X495">
            <v>0</v>
          </cell>
          <cell r="Y495">
            <v>0</v>
          </cell>
          <cell r="AB495">
            <v>0</v>
          </cell>
          <cell r="AC495">
            <v>9</v>
          </cell>
          <cell r="AD495">
            <v>0</v>
          </cell>
          <cell r="BF495">
            <v>0</v>
          </cell>
          <cell r="BG495">
            <v>0</v>
          </cell>
          <cell r="BH495">
            <v>0</v>
          </cell>
          <cell r="BI495">
            <v>0</v>
          </cell>
          <cell r="BJ495">
            <v>0</v>
          </cell>
          <cell r="BK495">
            <v>0</v>
          </cell>
          <cell r="BL495">
            <v>0</v>
          </cell>
          <cell r="BM495">
            <v>0</v>
          </cell>
          <cell r="BN495">
            <v>0</v>
          </cell>
          <cell r="BO495">
            <v>0</v>
          </cell>
          <cell r="BP495">
            <v>0</v>
          </cell>
          <cell r="BQ495">
            <v>0</v>
          </cell>
          <cell r="BR495">
            <v>0</v>
          </cell>
          <cell r="BS495">
            <v>0</v>
          </cell>
          <cell r="BT495">
            <v>0</v>
          </cell>
          <cell r="BU495">
            <v>0</v>
          </cell>
          <cell r="BV495">
            <v>0</v>
          </cell>
          <cell r="BW495">
            <v>0</v>
          </cell>
          <cell r="BX495">
            <v>0</v>
          </cell>
          <cell r="BY495">
            <v>0</v>
          </cell>
          <cell r="BZ495">
            <v>0</v>
          </cell>
          <cell r="CA495">
            <v>0</v>
          </cell>
          <cell r="CB495">
            <v>0</v>
          </cell>
          <cell r="CC495">
            <v>0</v>
          </cell>
          <cell r="CD495">
            <v>0</v>
          </cell>
        </row>
        <row r="496">
          <cell r="C496">
            <v>37873</v>
          </cell>
          <cell r="I496">
            <v>0</v>
          </cell>
          <cell r="N496">
            <v>0</v>
          </cell>
          <cell r="P496">
            <v>0</v>
          </cell>
          <cell r="T496">
            <v>0</v>
          </cell>
          <cell r="V496">
            <v>0</v>
          </cell>
          <cell r="W496">
            <v>0</v>
          </cell>
          <cell r="X496">
            <v>0</v>
          </cell>
          <cell r="Y496">
            <v>0</v>
          </cell>
          <cell r="AB496">
            <v>0</v>
          </cell>
          <cell r="AC496">
            <v>9</v>
          </cell>
          <cell r="AD496">
            <v>0</v>
          </cell>
          <cell r="BF496">
            <v>0</v>
          </cell>
          <cell r="BG496">
            <v>0</v>
          </cell>
          <cell r="BH496">
            <v>0</v>
          </cell>
          <cell r="BI496">
            <v>0</v>
          </cell>
          <cell r="BJ496">
            <v>0</v>
          </cell>
          <cell r="BK496">
            <v>0</v>
          </cell>
          <cell r="BL496">
            <v>0</v>
          </cell>
          <cell r="BM496">
            <v>0</v>
          </cell>
          <cell r="BN496">
            <v>0</v>
          </cell>
          <cell r="BO496">
            <v>0</v>
          </cell>
          <cell r="BP496">
            <v>0</v>
          </cell>
          <cell r="BQ496">
            <v>0</v>
          </cell>
          <cell r="BR496">
            <v>0</v>
          </cell>
          <cell r="BS496">
            <v>0</v>
          </cell>
          <cell r="BT496">
            <v>0</v>
          </cell>
          <cell r="BU496">
            <v>0</v>
          </cell>
          <cell r="BV496">
            <v>0</v>
          </cell>
          <cell r="BW496">
            <v>0</v>
          </cell>
          <cell r="BX496">
            <v>0</v>
          </cell>
          <cell r="BY496">
            <v>0</v>
          </cell>
          <cell r="BZ496">
            <v>0</v>
          </cell>
          <cell r="CA496">
            <v>0</v>
          </cell>
          <cell r="CB496">
            <v>0</v>
          </cell>
          <cell r="CC496">
            <v>0</v>
          </cell>
          <cell r="CD496">
            <v>0</v>
          </cell>
        </row>
        <row r="497">
          <cell r="C497">
            <v>37894</v>
          </cell>
          <cell r="D497">
            <v>37918</v>
          </cell>
          <cell r="E497">
            <v>37890</v>
          </cell>
          <cell r="F497">
            <v>0.70833333333333337</v>
          </cell>
          <cell r="G497" t="str">
            <v>Células de Solda Manual</v>
          </cell>
          <cell r="H497" t="str">
            <v>Rotação da mesa não funciona para "Lado A"</v>
          </cell>
          <cell r="I497" t="str">
            <v>Corretiva</v>
          </cell>
          <cell r="J497" t="str">
            <v>Sim</v>
          </cell>
          <cell r="K497" t="str">
            <v>Elétrica</v>
          </cell>
          <cell r="L497" t="str">
            <v>Ajuste / Regulagem</v>
          </cell>
          <cell r="M497" t="str">
            <v>Falha Operacional</v>
          </cell>
          <cell r="N497">
            <v>37890</v>
          </cell>
          <cell r="O497">
            <v>0.72916666666666663</v>
          </cell>
          <cell r="P497">
            <v>37890</v>
          </cell>
          <cell r="Q497">
            <v>0.72916666666666663</v>
          </cell>
          <cell r="T497">
            <v>37891</v>
          </cell>
          <cell r="U497">
            <v>0.41666666666666669</v>
          </cell>
          <cell r="V497">
            <v>37891</v>
          </cell>
          <cell r="W497">
            <v>0.41666666666666669</v>
          </cell>
          <cell r="X497">
            <v>0.6875</v>
          </cell>
          <cell r="Y497">
            <v>0.68749999999757472</v>
          </cell>
          <cell r="AB497">
            <v>9</v>
          </cell>
          <cell r="AC497">
            <v>9</v>
          </cell>
          <cell r="AD497">
            <v>0</v>
          </cell>
          <cell r="BF497">
            <v>0</v>
          </cell>
          <cell r="BG497">
            <v>9</v>
          </cell>
          <cell r="BH497">
            <v>0</v>
          </cell>
          <cell r="BI497">
            <v>0</v>
          </cell>
          <cell r="BJ497">
            <v>0</v>
          </cell>
          <cell r="BK497">
            <v>0</v>
          </cell>
          <cell r="BL497">
            <v>0</v>
          </cell>
          <cell r="BM497">
            <v>0</v>
          </cell>
          <cell r="BN497">
            <v>0</v>
          </cell>
          <cell r="BO497">
            <v>0</v>
          </cell>
          <cell r="BP497">
            <v>0</v>
          </cell>
          <cell r="BQ497">
            <v>0</v>
          </cell>
          <cell r="BR497">
            <v>0</v>
          </cell>
          <cell r="BS497">
            <v>0</v>
          </cell>
          <cell r="BT497">
            <v>0</v>
          </cell>
          <cell r="BU497">
            <v>0</v>
          </cell>
          <cell r="BV497">
            <v>0</v>
          </cell>
          <cell r="BW497">
            <v>0</v>
          </cell>
          <cell r="BX497">
            <v>0</v>
          </cell>
          <cell r="BY497">
            <v>0</v>
          </cell>
          <cell r="BZ497">
            <v>0</v>
          </cell>
          <cell r="CA497">
            <v>0</v>
          </cell>
          <cell r="CB497">
            <v>0</v>
          </cell>
          <cell r="CC497">
            <v>0</v>
          </cell>
          <cell r="CD497">
            <v>0</v>
          </cell>
        </row>
        <row r="498">
          <cell r="C498">
            <v>37894</v>
          </cell>
          <cell r="D498">
            <v>37918</v>
          </cell>
          <cell r="E498">
            <v>299</v>
          </cell>
          <cell r="F498">
            <v>0.625</v>
          </cell>
          <cell r="G498" t="str">
            <v>Células de Solda Manual</v>
          </cell>
          <cell r="H498" t="str">
            <v>O Robô solda 03 vezes do "Lado A"</v>
          </cell>
          <cell r="I498" t="str">
            <v>Corretiva</v>
          </cell>
          <cell r="J498" t="str">
            <v>Não</v>
          </cell>
          <cell r="K498" t="str">
            <v>Elétrica</v>
          </cell>
          <cell r="L498" t="str">
            <v>Ajuste / Regulagem</v>
          </cell>
          <cell r="M498" t="str">
            <v>Falha Operacional</v>
          </cell>
          <cell r="N498">
            <v>299</v>
          </cell>
          <cell r="O498">
            <v>0.625</v>
          </cell>
          <cell r="P498">
            <v>299</v>
          </cell>
          <cell r="Q498">
            <v>0.625</v>
          </cell>
          <cell r="T498">
            <v>299</v>
          </cell>
          <cell r="U498">
            <v>0.70833333333333337</v>
          </cell>
          <cell r="V498">
            <v>299</v>
          </cell>
          <cell r="W498">
            <v>0.70833333333333337</v>
          </cell>
          <cell r="X498">
            <v>8.3333333333314386E-2</v>
          </cell>
          <cell r="Y498">
            <v>8.3333333333314386E-2</v>
          </cell>
          <cell r="AB498">
            <v>10</v>
          </cell>
          <cell r="AC498">
            <v>9</v>
          </cell>
          <cell r="AD498">
            <v>0</v>
          </cell>
          <cell r="BF498">
            <v>0</v>
          </cell>
          <cell r="BG498">
            <v>10</v>
          </cell>
          <cell r="BH498">
            <v>0</v>
          </cell>
          <cell r="BI498">
            <v>0</v>
          </cell>
          <cell r="BJ498">
            <v>0</v>
          </cell>
          <cell r="BK498">
            <v>0</v>
          </cell>
          <cell r="BL498">
            <v>0</v>
          </cell>
          <cell r="BM498">
            <v>0</v>
          </cell>
          <cell r="BN498">
            <v>0</v>
          </cell>
          <cell r="BO498">
            <v>0</v>
          </cell>
          <cell r="BP498">
            <v>0</v>
          </cell>
          <cell r="BQ498">
            <v>0</v>
          </cell>
          <cell r="BR498">
            <v>0</v>
          </cell>
          <cell r="BS498">
            <v>0</v>
          </cell>
          <cell r="BT498">
            <v>0</v>
          </cell>
          <cell r="BU498">
            <v>0</v>
          </cell>
          <cell r="BV498">
            <v>0</v>
          </cell>
          <cell r="BW498">
            <v>0</v>
          </cell>
          <cell r="BX498">
            <v>0</v>
          </cell>
          <cell r="BY498">
            <v>0</v>
          </cell>
          <cell r="BZ498">
            <v>0</v>
          </cell>
          <cell r="CA498">
            <v>0</v>
          </cell>
          <cell r="CB498">
            <v>0</v>
          </cell>
          <cell r="CC498">
            <v>0</v>
          </cell>
          <cell r="CD498">
            <v>0</v>
          </cell>
        </row>
        <row r="499">
          <cell r="C499">
            <v>37894</v>
          </cell>
          <cell r="D499">
            <v>37902</v>
          </cell>
          <cell r="E499">
            <v>37895</v>
          </cell>
          <cell r="F499">
            <v>0.29166666666666669</v>
          </cell>
          <cell r="G499" t="str">
            <v>Células de Solda Manual</v>
          </cell>
          <cell r="H499" t="str">
            <v>Máquina de Solda apresenta erro "H20"</v>
          </cell>
          <cell r="I499" t="str">
            <v>Corretiva</v>
          </cell>
          <cell r="J499" t="str">
            <v>Não</v>
          </cell>
          <cell r="K499" t="str">
            <v>Mecânica</v>
          </cell>
          <cell r="L499" t="str">
            <v>Regulagem do Componente</v>
          </cell>
          <cell r="M499" t="str">
            <v>Falha de Regulagem / Configuração / Dimensionamento</v>
          </cell>
          <cell r="N499">
            <v>37895</v>
          </cell>
          <cell r="O499">
            <v>0.33333333333333331</v>
          </cell>
          <cell r="P499">
            <v>37895</v>
          </cell>
          <cell r="Q499">
            <v>0.33333333333333331</v>
          </cell>
          <cell r="T499">
            <v>37895</v>
          </cell>
          <cell r="U499">
            <v>0.39583333333333331</v>
          </cell>
          <cell r="V499">
            <v>37895</v>
          </cell>
          <cell r="W499">
            <v>0.39583333333333331</v>
          </cell>
          <cell r="X499">
            <v>6.2500000002425338E-2</v>
          </cell>
          <cell r="Y499">
            <v>6.2500000002425338E-2</v>
          </cell>
          <cell r="AB499">
            <v>10</v>
          </cell>
          <cell r="AC499">
            <v>9</v>
          </cell>
          <cell r="AD499">
            <v>0</v>
          </cell>
          <cell r="BF499">
            <v>0</v>
          </cell>
          <cell r="BG499">
            <v>10</v>
          </cell>
          <cell r="BH499">
            <v>0</v>
          </cell>
          <cell r="BI499">
            <v>0</v>
          </cell>
          <cell r="BJ499">
            <v>0</v>
          </cell>
          <cell r="BK499">
            <v>0</v>
          </cell>
          <cell r="BL499">
            <v>0</v>
          </cell>
          <cell r="BM499">
            <v>0</v>
          </cell>
          <cell r="BN499">
            <v>0</v>
          </cell>
          <cell r="BO499">
            <v>0</v>
          </cell>
          <cell r="BP499">
            <v>0</v>
          </cell>
          <cell r="BQ499">
            <v>0</v>
          </cell>
          <cell r="BR499">
            <v>0</v>
          </cell>
          <cell r="BS499">
            <v>0</v>
          </cell>
          <cell r="BT499">
            <v>0</v>
          </cell>
          <cell r="BU499">
            <v>0</v>
          </cell>
          <cell r="BV499">
            <v>0</v>
          </cell>
          <cell r="BW499">
            <v>0</v>
          </cell>
          <cell r="BX499">
            <v>0</v>
          </cell>
          <cell r="BY499">
            <v>0</v>
          </cell>
          <cell r="BZ499">
            <v>0</v>
          </cell>
          <cell r="CA499">
            <v>0</v>
          </cell>
          <cell r="CB499">
            <v>0</v>
          </cell>
          <cell r="CC499">
            <v>0</v>
          </cell>
          <cell r="CD499">
            <v>0</v>
          </cell>
        </row>
        <row r="500">
          <cell r="C500">
            <v>37894</v>
          </cell>
          <cell r="D500">
            <v>37918</v>
          </cell>
          <cell r="E500">
            <v>37902</v>
          </cell>
          <cell r="F500">
            <v>0.61805555555555558</v>
          </cell>
          <cell r="G500" t="str">
            <v>Células de Solda Manual</v>
          </cell>
          <cell r="H500" t="str">
            <v>Suporte do flexível quebrado</v>
          </cell>
          <cell r="I500" t="str">
            <v>Corretiva</v>
          </cell>
          <cell r="J500" t="str">
            <v>Sim</v>
          </cell>
          <cell r="K500" t="str">
            <v>Mecânica</v>
          </cell>
          <cell r="L500" t="str">
            <v>Adaptação</v>
          </cell>
          <cell r="M500" t="str">
            <v>Defeito de Fabricação</v>
          </cell>
          <cell r="N500">
            <v>37902</v>
          </cell>
          <cell r="O500">
            <v>0.625</v>
          </cell>
          <cell r="P500">
            <v>37902</v>
          </cell>
          <cell r="Q500">
            <v>0.625</v>
          </cell>
          <cell r="T500">
            <v>37902</v>
          </cell>
          <cell r="U500">
            <v>0.70833333333333337</v>
          </cell>
          <cell r="V500">
            <v>37902</v>
          </cell>
          <cell r="W500">
            <v>0.70833333333333337</v>
          </cell>
          <cell r="X500">
            <v>8.333333333333337E-2</v>
          </cell>
          <cell r="Y500">
            <v>8.3333333335758653E-2</v>
          </cell>
          <cell r="AB500">
            <v>10</v>
          </cell>
          <cell r="AC500">
            <v>9</v>
          </cell>
          <cell r="AD500">
            <v>0</v>
          </cell>
          <cell r="BF500">
            <v>0</v>
          </cell>
          <cell r="BG500">
            <v>10</v>
          </cell>
          <cell r="BH500">
            <v>0</v>
          </cell>
          <cell r="BI500">
            <v>0</v>
          </cell>
          <cell r="BJ500">
            <v>0</v>
          </cell>
          <cell r="BK500">
            <v>0</v>
          </cell>
          <cell r="BL500">
            <v>0</v>
          </cell>
          <cell r="BM500">
            <v>0</v>
          </cell>
          <cell r="BN500">
            <v>0</v>
          </cell>
          <cell r="BO500">
            <v>0</v>
          </cell>
          <cell r="BP500">
            <v>0</v>
          </cell>
          <cell r="BQ500">
            <v>0</v>
          </cell>
          <cell r="BR500">
            <v>0</v>
          </cell>
          <cell r="BS500">
            <v>0</v>
          </cell>
          <cell r="BT500">
            <v>0</v>
          </cell>
          <cell r="BU500">
            <v>0</v>
          </cell>
          <cell r="BV500">
            <v>0</v>
          </cell>
          <cell r="BW500">
            <v>0</v>
          </cell>
          <cell r="BX500">
            <v>0</v>
          </cell>
          <cell r="BY500">
            <v>0</v>
          </cell>
          <cell r="BZ500">
            <v>0</v>
          </cell>
          <cell r="CA500">
            <v>0</v>
          </cell>
          <cell r="CB500">
            <v>0</v>
          </cell>
          <cell r="CC500">
            <v>0</v>
          </cell>
          <cell r="CD500">
            <v>0</v>
          </cell>
        </row>
        <row r="501">
          <cell r="C501">
            <v>37894</v>
          </cell>
          <cell r="D501">
            <v>37970</v>
          </cell>
          <cell r="E501">
            <v>37928</v>
          </cell>
          <cell r="F501">
            <v>37928</v>
          </cell>
          <cell r="G501">
            <v>0.61805555555555558</v>
          </cell>
          <cell r="H501" t="str">
            <v>Fresa não limpa o bocal de solda</v>
          </cell>
          <cell r="I501">
            <v>0</v>
          </cell>
          <cell r="J501" t="str">
            <v>Não</v>
          </cell>
          <cell r="K501" t="str">
            <v>Mecânica</v>
          </cell>
          <cell r="L501" t="str">
            <v>Não</v>
          </cell>
          <cell r="M501" t="str">
            <v>Falha de Regulagem / Configuração / Dimensionamento</v>
          </cell>
          <cell r="N501">
            <v>37929</v>
          </cell>
          <cell r="O501">
            <v>0.41666666666666669</v>
          </cell>
          <cell r="P501">
            <v>37929</v>
          </cell>
          <cell r="Q501">
            <v>0.41666666666666669</v>
          </cell>
          <cell r="T501">
            <v>37929</v>
          </cell>
          <cell r="U501">
            <v>0.45833333333333331</v>
          </cell>
          <cell r="V501">
            <v>37929</v>
          </cell>
          <cell r="W501">
            <v>0.45833333333333331</v>
          </cell>
          <cell r="X501">
            <v>4.1666666669091967E-2</v>
          </cell>
          <cell r="Y501">
            <v>4.1666666669091967E-2</v>
          </cell>
          <cell r="AB501">
            <v>11</v>
          </cell>
          <cell r="AC501">
            <v>9</v>
          </cell>
          <cell r="AD501">
            <v>0</v>
          </cell>
          <cell r="BF501">
            <v>0</v>
          </cell>
          <cell r="BG501">
            <v>11</v>
          </cell>
          <cell r="BH501">
            <v>0</v>
          </cell>
          <cell r="BI501">
            <v>0</v>
          </cell>
          <cell r="BJ501">
            <v>0</v>
          </cell>
          <cell r="BK501">
            <v>0</v>
          </cell>
          <cell r="BL501">
            <v>0</v>
          </cell>
          <cell r="BM501">
            <v>0</v>
          </cell>
          <cell r="BN501">
            <v>0</v>
          </cell>
          <cell r="BO501">
            <v>0</v>
          </cell>
          <cell r="BP501">
            <v>0</v>
          </cell>
          <cell r="BQ501">
            <v>0</v>
          </cell>
          <cell r="BR501">
            <v>0</v>
          </cell>
          <cell r="BS501">
            <v>0</v>
          </cell>
          <cell r="BT501">
            <v>0</v>
          </cell>
          <cell r="BU501">
            <v>0</v>
          </cell>
          <cell r="BV501">
            <v>0</v>
          </cell>
          <cell r="BW501">
            <v>0</v>
          </cell>
          <cell r="BX501">
            <v>0</v>
          </cell>
          <cell r="BY501">
            <v>0</v>
          </cell>
          <cell r="BZ501">
            <v>0</v>
          </cell>
          <cell r="CA501">
            <v>0</v>
          </cell>
          <cell r="CB501">
            <v>0</v>
          </cell>
          <cell r="CC501">
            <v>0</v>
          </cell>
          <cell r="CD501">
            <v>0</v>
          </cell>
        </row>
        <row r="502">
          <cell r="C502">
            <v>37894</v>
          </cell>
          <cell r="D502">
            <v>37970</v>
          </cell>
          <cell r="E502">
            <v>37935</v>
          </cell>
          <cell r="F502">
            <v>37935</v>
          </cell>
          <cell r="G502">
            <v>0.59722222222222221</v>
          </cell>
          <cell r="H502" t="str">
            <v>Mangueira de água furada</v>
          </cell>
          <cell r="I502">
            <v>0</v>
          </cell>
          <cell r="J502" t="str">
            <v>Sim</v>
          </cell>
          <cell r="K502" t="str">
            <v>Mecânica</v>
          </cell>
          <cell r="L502" t="str">
            <v>Sim</v>
          </cell>
          <cell r="M502" t="str">
            <v>Desgaste / Fadiga</v>
          </cell>
          <cell r="N502">
            <v>37935</v>
          </cell>
          <cell r="O502">
            <v>0.625</v>
          </cell>
          <cell r="P502">
            <v>37935</v>
          </cell>
          <cell r="Q502">
            <v>0.625</v>
          </cell>
          <cell r="T502">
            <v>37935</v>
          </cell>
          <cell r="U502">
            <v>0.91666666666666663</v>
          </cell>
          <cell r="V502">
            <v>37935</v>
          </cell>
          <cell r="W502">
            <v>0.91666666666666663</v>
          </cell>
          <cell r="X502">
            <v>0.29166666666666663</v>
          </cell>
          <cell r="Y502">
            <v>0.29166666666424135</v>
          </cell>
          <cell r="AB502">
            <v>11</v>
          </cell>
          <cell r="AC502">
            <v>9</v>
          </cell>
          <cell r="AD502">
            <v>0</v>
          </cell>
          <cell r="BF502">
            <v>0</v>
          </cell>
          <cell r="BG502">
            <v>11</v>
          </cell>
          <cell r="BH502">
            <v>0</v>
          </cell>
          <cell r="BI502">
            <v>0</v>
          </cell>
          <cell r="BJ502">
            <v>0</v>
          </cell>
          <cell r="BK502">
            <v>0</v>
          </cell>
          <cell r="BL502">
            <v>0</v>
          </cell>
          <cell r="BM502">
            <v>0</v>
          </cell>
          <cell r="BN502">
            <v>0</v>
          </cell>
          <cell r="BO502">
            <v>0</v>
          </cell>
          <cell r="BP502">
            <v>0</v>
          </cell>
          <cell r="BQ502">
            <v>0</v>
          </cell>
          <cell r="BR502">
            <v>0</v>
          </cell>
          <cell r="BS502">
            <v>0</v>
          </cell>
          <cell r="BT502">
            <v>0</v>
          </cell>
          <cell r="BU502">
            <v>0</v>
          </cell>
          <cell r="BV502">
            <v>0</v>
          </cell>
          <cell r="BW502">
            <v>0</v>
          </cell>
          <cell r="BX502">
            <v>0</v>
          </cell>
          <cell r="BY502">
            <v>0</v>
          </cell>
          <cell r="BZ502">
            <v>0</v>
          </cell>
          <cell r="CA502">
            <v>0</v>
          </cell>
          <cell r="CB502">
            <v>0</v>
          </cell>
          <cell r="CC502">
            <v>0</v>
          </cell>
          <cell r="CD502">
            <v>0</v>
          </cell>
        </row>
        <row r="503">
          <cell r="C503">
            <v>37894</v>
          </cell>
          <cell r="D503">
            <v>37970</v>
          </cell>
          <cell r="E503">
            <v>37937</v>
          </cell>
          <cell r="F503">
            <v>37937</v>
          </cell>
          <cell r="G503">
            <v>0.34027777777777773</v>
          </cell>
          <cell r="H503" t="str">
            <v>Micros do painel de comando com defeito</v>
          </cell>
          <cell r="I503">
            <v>0</v>
          </cell>
          <cell r="J503" t="str">
            <v>Sim</v>
          </cell>
          <cell r="K503" t="str">
            <v>Elétrica</v>
          </cell>
          <cell r="L503" t="str">
            <v>Sim</v>
          </cell>
          <cell r="M503" t="str">
            <v>Falha de Comando / Sistema</v>
          </cell>
          <cell r="N503">
            <v>37937</v>
          </cell>
          <cell r="O503">
            <v>0.34027777777777773</v>
          </cell>
          <cell r="P503">
            <v>37937</v>
          </cell>
          <cell r="Q503">
            <v>0.34027777777777773</v>
          </cell>
          <cell r="T503">
            <v>37937</v>
          </cell>
          <cell r="U503">
            <v>0.75</v>
          </cell>
          <cell r="V503">
            <v>37937</v>
          </cell>
          <cell r="W503">
            <v>0.75</v>
          </cell>
          <cell r="X503">
            <v>0.40972222222222227</v>
          </cell>
          <cell r="Y503">
            <v>0.40972222222222227</v>
          </cell>
          <cell r="AB503">
            <v>11</v>
          </cell>
          <cell r="AC503">
            <v>9</v>
          </cell>
          <cell r="AD503">
            <v>0</v>
          </cell>
          <cell r="BF503">
            <v>0</v>
          </cell>
          <cell r="BG503">
            <v>11</v>
          </cell>
          <cell r="BH503">
            <v>0</v>
          </cell>
          <cell r="BI503">
            <v>0</v>
          </cell>
          <cell r="BJ503">
            <v>0</v>
          </cell>
          <cell r="BK503">
            <v>0</v>
          </cell>
          <cell r="BL503">
            <v>0</v>
          </cell>
          <cell r="BM503">
            <v>0</v>
          </cell>
          <cell r="BN503">
            <v>0</v>
          </cell>
          <cell r="BO503">
            <v>0</v>
          </cell>
          <cell r="BP503">
            <v>0</v>
          </cell>
          <cell r="BQ503">
            <v>0</v>
          </cell>
          <cell r="BR503">
            <v>0</v>
          </cell>
          <cell r="BS503">
            <v>0</v>
          </cell>
          <cell r="BT503">
            <v>0</v>
          </cell>
          <cell r="BU503">
            <v>0</v>
          </cell>
          <cell r="BV503">
            <v>0</v>
          </cell>
          <cell r="BW503">
            <v>0</v>
          </cell>
          <cell r="BX503">
            <v>0</v>
          </cell>
          <cell r="BY503">
            <v>0</v>
          </cell>
          <cell r="BZ503">
            <v>0</v>
          </cell>
          <cell r="CA503">
            <v>0</v>
          </cell>
          <cell r="CB503">
            <v>0</v>
          </cell>
          <cell r="CC503">
            <v>0</v>
          </cell>
          <cell r="CD503">
            <v>0</v>
          </cell>
        </row>
        <row r="504">
          <cell r="C504">
            <v>37894</v>
          </cell>
          <cell r="D504">
            <v>37970</v>
          </cell>
          <cell r="E504">
            <v>37937</v>
          </cell>
          <cell r="F504">
            <v>37937</v>
          </cell>
          <cell r="G504">
            <v>0.70833333333333337</v>
          </cell>
          <cell r="H504" t="str">
            <v>Arame de solda está enroscando</v>
          </cell>
          <cell r="I504">
            <v>0</v>
          </cell>
          <cell r="J504" t="str">
            <v>Sim</v>
          </cell>
          <cell r="K504" t="str">
            <v>Mecânica</v>
          </cell>
          <cell r="L504" t="str">
            <v>Sim</v>
          </cell>
          <cell r="M504" t="str">
            <v>Desgaste / Fadiga</v>
          </cell>
          <cell r="N504">
            <v>37937</v>
          </cell>
          <cell r="O504">
            <v>0.70833333333333337</v>
          </cell>
          <cell r="P504">
            <v>37937</v>
          </cell>
          <cell r="Q504">
            <v>0.70833333333333337</v>
          </cell>
          <cell r="T504">
            <v>37937</v>
          </cell>
          <cell r="U504">
            <v>0.79166666666666663</v>
          </cell>
          <cell r="V504">
            <v>37937</v>
          </cell>
          <cell r="W504">
            <v>0.79166666666666663</v>
          </cell>
          <cell r="X504">
            <v>8.3333333333333259E-2</v>
          </cell>
          <cell r="Y504">
            <v>8.3333333330907977E-2</v>
          </cell>
          <cell r="AB504">
            <v>11</v>
          </cell>
          <cell r="AC504">
            <v>9</v>
          </cell>
          <cell r="AD504">
            <v>0</v>
          </cell>
          <cell r="BF504">
            <v>0</v>
          </cell>
          <cell r="BG504">
            <v>11</v>
          </cell>
          <cell r="BH504">
            <v>0</v>
          </cell>
          <cell r="BI504">
            <v>0</v>
          </cell>
          <cell r="BJ504">
            <v>0</v>
          </cell>
          <cell r="BK504">
            <v>0</v>
          </cell>
          <cell r="BL504">
            <v>0</v>
          </cell>
          <cell r="BM504">
            <v>0</v>
          </cell>
          <cell r="BN504">
            <v>0</v>
          </cell>
          <cell r="BO504">
            <v>0</v>
          </cell>
          <cell r="BP504">
            <v>0</v>
          </cell>
          <cell r="BQ504">
            <v>0</v>
          </cell>
          <cell r="BR504">
            <v>0</v>
          </cell>
          <cell r="BS504">
            <v>0</v>
          </cell>
          <cell r="BT504">
            <v>0</v>
          </cell>
          <cell r="BU504">
            <v>0</v>
          </cell>
          <cell r="BV504">
            <v>0</v>
          </cell>
          <cell r="BW504">
            <v>0</v>
          </cell>
          <cell r="BX504">
            <v>0</v>
          </cell>
          <cell r="BY504">
            <v>0</v>
          </cell>
          <cell r="BZ504">
            <v>0</v>
          </cell>
          <cell r="CA504">
            <v>0</v>
          </cell>
          <cell r="CB504">
            <v>0</v>
          </cell>
          <cell r="CC504">
            <v>0</v>
          </cell>
          <cell r="CD504">
            <v>0</v>
          </cell>
        </row>
        <row r="505">
          <cell r="C505">
            <v>37894</v>
          </cell>
          <cell r="D505">
            <v>37970</v>
          </cell>
          <cell r="E505">
            <v>37946</v>
          </cell>
          <cell r="F505">
            <v>0.59444444444444444</v>
          </cell>
          <cell r="G505" t="str">
            <v>Células de Solda Manual</v>
          </cell>
          <cell r="H505" t="str">
            <v>Barreira travada</v>
          </cell>
          <cell r="I505">
            <v>0</v>
          </cell>
          <cell r="J505" t="str">
            <v>Sim</v>
          </cell>
          <cell r="K505" t="str">
            <v>Elétrica</v>
          </cell>
          <cell r="L505" t="str">
            <v>Reparo</v>
          </cell>
          <cell r="M505" t="str">
            <v>Falha de Comando / Sistema</v>
          </cell>
          <cell r="N505">
            <v>37946</v>
          </cell>
          <cell r="O505">
            <v>0.59722222222222221</v>
          </cell>
          <cell r="P505">
            <v>0</v>
          </cell>
          <cell r="T505">
            <v>37946</v>
          </cell>
          <cell r="U505">
            <v>0.72916666666666663</v>
          </cell>
          <cell r="V505">
            <v>0</v>
          </cell>
          <cell r="W505">
            <v>0.13472222221979691</v>
          </cell>
          <cell r="X505">
            <v>0</v>
          </cell>
          <cell r="Y505">
            <v>0</v>
          </cell>
          <cell r="AB505">
            <v>11</v>
          </cell>
          <cell r="AC505">
            <v>9</v>
          </cell>
          <cell r="AD505">
            <v>0</v>
          </cell>
          <cell r="BF505">
            <v>0</v>
          </cell>
          <cell r="BG505">
            <v>11</v>
          </cell>
          <cell r="BH505">
            <v>0</v>
          </cell>
          <cell r="BI505">
            <v>0</v>
          </cell>
          <cell r="BJ505">
            <v>0</v>
          </cell>
          <cell r="BK505">
            <v>0</v>
          </cell>
          <cell r="BL505">
            <v>0</v>
          </cell>
          <cell r="BM505">
            <v>0</v>
          </cell>
          <cell r="BN505">
            <v>0</v>
          </cell>
          <cell r="BO505">
            <v>0</v>
          </cell>
          <cell r="BP505">
            <v>0</v>
          </cell>
          <cell r="BQ505">
            <v>0</v>
          </cell>
          <cell r="BR505">
            <v>0</v>
          </cell>
          <cell r="BS505">
            <v>0</v>
          </cell>
          <cell r="BT505">
            <v>0</v>
          </cell>
          <cell r="BU505">
            <v>0</v>
          </cell>
          <cell r="BV505">
            <v>0</v>
          </cell>
          <cell r="BW505">
            <v>0</v>
          </cell>
          <cell r="BX505">
            <v>0</v>
          </cell>
          <cell r="BY505">
            <v>0</v>
          </cell>
          <cell r="BZ505">
            <v>0</v>
          </cell>
          <cell r="CA505">
            <v>0</v>
          </cell>
          <cell r="CB505">
            <v>0</v>
          </cell>
          <cell r="CC505">
            <v>0</v>
          </cell>
          <cell r="CD505">
            <v>0</v>
          </cell>
        </row>
        <row r="506">
          <cell r="C506">
            <v>37894</v>
          </cell>
          <cell r="D506">
            <v>37970</v>
          </cell>
          <cell r="E506">
            <v>37952</v>
          </cell>
          <cell r="F506">
            <v>0.90277777777777779</v>
          </cell>
          <cell r="G506" t="str">
            <v>Células de Solda Manual</v>
          </cell>
          <cell r="H506" t="str">
            <v>Bocal da tocha dos robôs desgastado</v>
          </cell>
          <cell r="I506">
            <v>0</v>
          </cell>
          <cell r="J506" t="str">
            <v>Não</v>
          </cell>
          <cell r="K506" t="str">
            <v>Mecânica</v>
          </cell>
          <cell r="L506" t="str">
            <v>Substituição do(s) Componente(s)</v>
          </cell>
          <cell r="M506" t="str">
            <v>Desgaste / Fadiga</v>
          </cell>
          <cell r="N506">
            <v>37952</v>
          </cell>
          <cell r="O506">
            <v>0.90277777777777779</v>
          </cell>
          <cell r="P506">
            <v>0</v>
          </cell>
          <cell r="T506">
            <v>37952</v>
          </cell>
          <cell r="U506">
            <v>0.92708333333333337</v>
          </cell>
          <cell r="V506">
            <v>0</v>
          </cell>
          <cell r="W506">
            <v>2.4305555557980862E-2</v>
          </cell>
          <cell r="X506">
            <v>0</v>
          </cell>
          <cell r="Y506">
            <v>0</v>
          </cell>
          <cell r="AB506">
            <v>11</v>
          </cell>
          <cell r="AC506">
            <v>9</v>
          </cell>
          <cell r="AD506">
            <v>0</v>
          </cell>
          <cell r="BF506">
            <v>0</v>
          </cell>
          <cell r="BG506">
            <v>11</v>
          </cell>
          <cell r="BH506">
            <v>0</v>
          </cell>
          <cell r="BI506">
            <v>0</v>
          </cell>
          <cell r="BJ506">
            <v>0</v>
          </cell>
          <cell r="BK506">
            <v>0</v>
          </cell>
          <cell r="BL506">
            <v>0</v>
          </cell>
          <cell r="BM506">
            <v>0</v>
          </cell>
          <cell r="BN506">
            <v>0</v>
          </cell>
          <cell r="BO506">
            <v>0</v>
          </cell>
          <cell r="BP506">
            <v>0</v>
          </cell>
          <cell r="BQ506">
            <v>0</v>
          </cell>
          <cell r="BR506">
            <v>0</v>
          </cell>
          <cell r="BS506">
            <v>0</v>
          </cell>
          <cell r="BT506">
            <v>0</v>
          </cell>
          <cell r="BU506">
            <v>0</v>
          </cell>
          <cell r="BV506">
            <v>0</v>
          </cell>
          <cell r="BW506">
            <v>0</v>
          </cell>
          <cell r="BX506">
            <v>0</v>
          </cell>
          <cell r="BY506">
            <v>0</v>
          </cell>
          <cell r="BZ506">
            <v>0</v>
          </cell>
          <cell r="CA506">
            <v>0</v>
          </cell>
          <cell r="CB506">
            <v>0</v>
          </cell>
          <cell r="CC506">
            <v>0</v>
          </cell>
          <cell r="CD506">
            <v>0</v>
          </cell>
        </row>
        <row r="507">
          <cell r="C507">
            <v>37894</v>
          </cell>
          <cell r="D507">
            <v>37970</v>
          </cell>
          <cell r="E507">
            <v>37956</v>
          </cell>
          <cell r="F507">
            <v>0.98611111111111116</v>
          </cell>
          <cell r="G507" t="str">
            <v>Células de Solda Manual</v>
          </cell>
          <cell r="H507" t="str">
            <v>Colisão dos robôs</v>
          </cell>
          <cell r="I507">
            <v>0</v>
          </cell>
          <cell r="J507" t="str">
            <v>Sim</v>
          </cell>
          <cell r="K507" t="str">
            <v>Elétrica</v>
          </cell>
          <cell r="L507" t="str">
            <v>Substituição do(s) Componente(s)</v>
          </cell>
          <cell r="M507" t="str">
            <v>Falha Operacional</v>
          </cell>
          <cell r="N507">
            <v>37957</v>
          </cell>
          <cell r="O507">
            <v>0.29166666666666669</v>
          </cell>
          <cell r="P507">
            <v>0</v>
          </cell>
          <cell r="T507">
            <v>37957</v>
          </cell>
          <cell r="U507">
            <v>0.41666666666666669</v>
          </cell>
          <cell r="V507">
            <v>0</v>
          </cell>
          <cell r="W507">
            <v>0.18055555555313019</v>
          </cell>
          <cell r="X507">
            <v>0</v>
          </cell>
          <cell r="Y507">
            <v>0</v>
          </cell>
          <cell r="AB507">
            <v>12</v>
          </cell>
          <cell r="AC507">
            <v>9</v>
          </cell>
          <cell r="AD507">
            <v>0</v>
          </cell>
          <cell r="BF507">
            <v>0</v>
          </cell>
          <cell r="BG507">
            <v>12</v>
          </cell>
          <cell r="BH507">
            <v>0</v>
          </cell>
          <cell r="BI507">
            <v>0</v>
          </cell>
          <cell r="BJ507">
            <v>0</v>
          </cell>
          <cell r="BK507">
            <v>0</v>
          </cell>
          <cell r="BL507">
            <v>0</v>
          </cell>
          <cell r="BM507">
            <v>0</v>
          </cell>
          <cell r="BN507">
            <v>0</v>
          </cell>
          <cell r="BO507">
            <v>0</v>
          </cell>
          <cell r="BP507">
            <v>0</v>
          </cell>
          <cell r="BQ507">
            <v>0</v>
          </cell>
          <cell r="BR507">
            <v>0</v>
          </cell>
          <cell r="BS507">
            <v>0</v>
          </cell>
          <cell r="BT507">
            <v>0</v>
          </cell>
          <cell r="BU507">
            <v>0</v>
          </cell>
          <cell r="BV507">
            <v>0</v>
          </cell>
          <cell r="BW507">
            <v>0</v>
          </cell>
          <cell r="BX507">
            <v>0</v>
          </cell>
          <cell r="BY507">
            <v>0</v>
          </cell>
          <cell r="BZ507">
            <v>0</v>
          </cell>
          <cell r="CA507">
            <v>0</v>
          </cell>
          <cell r="CB507">
            <v>0</v>
          </cell>
          <cell r="CC507">
            <v>0</v>
          </cell>
          <cell r="CD507">
            <v>0</v>
          </cell>
        </row>
        <row r="508">
          <cell r="C508">
            <v>37894</v>
          </cell>
          <cell r="I508">
            <v>0</v>
          </cell>
          <cell r="N508">
            <v>0</v>
          </cell>
          <cell r="P508">
            <v>0</v>
          </cell>
          <cell r="T508">
            <v>0</v>
          </cell>
          <cell r="V508">
            <v>0</v>
          </cell>
          <cell r="W508">
            <v>0</v>
          </cell>
          <cell r="X508">
            <v>0</v>
          </cell>
          <cell r="Y508">
            <v>0</v>
          </cell>
          <cell r="AB508">
            <v>0</v>
          </cell>
          <cell r="AC508">
            <v>9</v>
          </cell>
          <cell r="AD508">
            <v>0</v>
          </cell>
          <cell r="BF508">
            <v>0</v>
          </cell>
          <cell r="BG508">
            <v>0</v>
          </cell>
          <cell r="BH508">
            <v>0</v>
          </cell>
          <cell r="BI508">
            <v>0</v>
          </cell>
          <cell r="BJ508">
            <v>0</v>
          </cell>
          <cell r="BK508">
            <v>0</v>
          </cell>
          <cell r="BL508">
            <v>0</v>
          </cell>
          <cell r="BM508">
            <v>0</v>
          </cell>
          <cell r="BN508">
            <v>0</v>
          </cell>
          <cell r="BO508">
            <v>0</v>
          </cell>
          <cell r="BP508">
            <v>0</v>
          </cell>
          <cell r="BQ508">
            <v>0</v>
          </cell>
          <cell r="BR508">
            <v>0</v>
          </cell>
          <cell r="BS508">
            <v>0</v>
          </cell>
          <cell r="BT508">
            <v>0</v>
          </cell>
          <cell r="BU508">
            <v>0</v>
          </cell>
          <cell r="BV508">
            <v>0</v>
          </cell>
          <cell r="BW508">
            <v>0</v>
          </cell>
          <cell r="BX508">
            <v>0</v>
          </cell>
          <cell r="BY508">
            <v>0</v>
          </cell>
          <cell r="BZ508">
            <v>0</v>
          </cell>
          <cell r="CA508">
            <v>0</v>
          </cell>
          <cell r="CB508">
            <v>0</v>
          </cell>
          <cell r="CC508">
            <v>0</v>
          </cell>
          <cell r="CD508">
            <v>0</v>
          </cell>
        </row>
        <row r="509">
          <cell r="C509">
            <v>37894</v>
          </cell>
          <cell r="D509">
            <v>37971</v>
          </cell>
          <cell r="E509">
            <v>37958</v>
          </cell>
          <cell r="F509">
            <v>0.51458333333333328</v>
          </cell>
          <cell r="G509" t="str">
            <v>Células de Solda Manual</v>
          </cell>
          <cell r="H509" t="str">
            <v>Colisão dos robôs / Mensagem de erro H20</v>
          </cell>
          <cell r="I509">
            <v>0</v>
          </cell>
          <cell r="J509" t="str">
            <v>Não</v>
          </cell>
          <cell r="K509" t="str">
            <v>Mecânica</v>
          </cell>
          <cell r="L509" t="str">
            <v>Limpeza do Equipamento / Componente</v>
          </cell>
          <cell r="M509" t="str">
            <v>Sujeira em excesso</v>
          </cell>
          <cell r="N509">
            <v>37958</v>
          </cell>
          <cell r="O509">
            <v>0.58333333333333337</v>
          </cell>
          <cell r="P509">
            <v>0</v>
          </cell>
          <cell r="T509">
            <v>37958</v>
          </cell>
          <cell r="U509">
            <v>0.60763888888888895</v>
          </cell>
          <cell r="V509">
            <v>0</v>
          </cell>
          <cell r="W509">
            <v>2.4305555557172398E-2</v>
          </cell>
          <cell r="X509">
            <v>0</v>
          </cell>
          <cell r="Y509">
            <v>0</v>
          </cell>
          <cell r="AB509">
            <v>12</v>
          </cell>
          <cell r="AC509">
            <v>9</v>
          </cell>
          <cell r="AD509">
            <v>0</v>
          </cell>
          <cell r="BF509">
            <v>0</v>
          </cell>
          <cell r="BG509">
            <v>12</v>
          </cell>
          <cell r="BH509">
            <v>0</v>
          </cell>
          <cell r="BI509">
            <v>0</v>
          </cell>
          <cell r="BJ509">
            <v>0</v>
          </cell>
          <cell r="BK509">
            <v>0</v>
          </cell>
          <cell r="BL509">
            <v>0</v>
          </cell>
          <cell r="BM509">
            <v>0</v>
          </cell>
          <cell r="BN509">
            <v>0</v>
          </cell>
          <cell r="BO509">
            <v>0</v>
          </cell>
          <cell r="BP509">
            <v>0</v>
          </cell>
          <cell r="BQ509">
            <v>0</v>
          </cell>
          <cell r="BR509">
            <v>0</v>
          </cell>
          <cell r="BS509">
            <v>0</v>
          </cell>
          <cell r="BT509">
            <v>0</v>
          </cell>
          <cell r="BU509">
            <v>0</v>
          </cell>
          <cell r="BV509">
            <v>0</v>
          </cell>
          <cell r="BW509">
            <v>0</v>
          </cell>
          <cell r="BX509">
            <v>0</v>
          </cell>
          <cell r="BY509">
            <v>0</v>
          </cell>
          <cell r="BZ509">
            <v>0</v>
          </cell>
          <cell r="CA509">
            <v>0</v>
          </cell>
          <cell r="CB509">
            <v>0</v>
          </cell>
          <cell r="CC509">
            <v>0</v>
          </cell>
          <cell r="CD509">
            <v>0</v>
          </cell>
        </row>
        <row r="510">
          <cell r="C510">
            <v>37894</v>
          </cell>
          <cell r="D510">
            <v>37971</v>
          </cell>
          <cell r="E510">
            <v>37958</v>
          </cell>
          <cell r="F510">
            <v>0.64583333333333337</v>
          </cell>
          <cell r="G510" t="str">
            <v>Células de Solda Manual</v>
          </cell>
          <cell r="H510" t="str">
            <v>Tomadas de alimentação não funcionam</v>
          </cell>
          <cell r="I510">
            <v>0</v>
          </cell>
          <cell r="J510" t="str">
            <v>Sim</v>
          </cell>
          <cell r="K510" t="str">
            <v>Elétrica</v>
          </cell>
          <cell r="L510" t="str">
            <v>Reinicialização do Equipamento / Componente</v>
          </cell>
          <cell r="M510" t="str">
            <v>Curto-circuito</v>
          </cell>
          <cell r="N510">
            <v>37958</v>
          </cell>
          <cell r="O510">
            <v>0.64583333333333337</v>
          </cell>
          <cell r="P510">
            <v>0</v>
          </cell>
          <cell r="T510">
            <v>37958</v>
          </cell>
          <cell r="U510">
            <v>0.64930555555555558</v>
          </cell>
          <cell r="V510">
            <v>0</v>
          </cell>
          <cell r="W510">
            <v>3.4722222214137455E-3</v>
          </cell>
          <cell r="X510">
            <v>0</v>
          </cell>
          <cell r="Y510">
            <v>0</v>
          </cell>
          <cell r="AB510">
            <v>12</v>
          </cell>
          <cell r="AC510">
            <v>9</v>
          </cell>
          <cell r="AD510">
            <v>0</v>
          </cell>
          <cell r="BF510">
            <v>0</v>
          </cell>
          <cell r="BG510">
            <v>12</v>
          </cell>
          <cell r="BH510">
            <v>0</v>
          </cell>
          <cell r="BI510">
            <v>0</v>
          </cell>
          <cell r="BJ510">
            <v>0</v>
          </cell>
          <cell r="BK510">
            <v>0</v>
          </cell>
          <cell r="BL510">
            <v>0</v>
          </cell>
          <cell r="BM510">
            <v>0</v>
          </cell>
          <cell r="BN510">
            <v>0</v>
          </cell>
          <cell r="BO510">
            <v>0</v>
          </cell>
          <cell r="BP510">
            <v>0</v>
          </cell>
          <cell r="BQ510">
            <v>0</v>
          </cell>
          <cell r="BR510">
            <v>0</v>
          </cell>
          <cell r="BS510">
            <v>0</v>
          </cell>
          <cell r="BT510">
            <v>0</v>
          </cell>
          <cell r="BU510">
            <v>0</v>
          </cell>
          <cell r="BV510">
            <v>0</v>
          </cell>
          <cell r="BW510">
            <v>0</v>
          </cell>
          <cell r="BX510">
            <v>0</v>
          </cell>
          <cell r="BY510">
            <v>0</v>
          </cell>
          <cell r="BZ510">
            <v>0</v>
          </cell>
          <cell r="CA510">
            <v>0</v>
          </cell>
          <cell r="CB510">
            <v>0</v>
          </cell>
          <cell r="CC510">
            <v>0</v>
          </cell>
          <cell r="CD510">
            <v>0</v>
          </cell>
        </row>
        <row r="511">
          <cell r="C511">
            <v>37894</v>
          </cell>
          <cell r="I511">
            <v>0</v>
          </cell>
          <cell r="N511">
            <v>0</v>
          </cell>
          <cell r="P511">
            <v>0</v>
          </cell>
          <cell r="T511">
            <v>0</v>
          </cell>
          <cell r="V511">
            <v>0</v>
          </cell>
          <cell r="W511">
            <v>0</v>
          </cell>
          <cell r="X511">
            <v>0</v>
          </cell>
          <cell r="Y511">
            <v>0</v>
          </cell>
          <cell r="AB511">
            <v>0</v>
          </cell>
          <cell r="AC511">
            <v>9</v>
          </cell>
          <cell r="AD511">
            <v>0</v>
          </cell>
          <cell r="BF511">
            <v>0</v>
          </cell>
          <cell r="BG511">
            <v>0</v>
          </cell>
          <cell r="BH511">
            <v>0</v>
          </cell>
          <cell r="BI511">
            <v>0</v>
          </cell>
          <cell r="BJ511">
            <v>0</v>
          </cell>
          <cell r="BK511">
            <v>0</v>
          </cell>
          <cell r="BL511">
            <v>0</v>
          </cell>
          <cell r="BM511">
            <v>0</v>
          </cell>
          <cell r="BN511">
            <v>0</v>
          </cell>
          <cell r="BO511">
            <v>0</v>
          </cell>
          <cell r="BP511">
            <v>0</v>
          </cell>
          <cell r="BQ511">
            <v>0</v>
          </cell>
          <cell r="BR511">
            <v>0</v>
          </cell>
          <cell r="BS511">
            <v>0</v>
          </cell>
          <cell r="BT511">
            <v>0</v>
          </cell>
          <cell r="BU511">
            <v>0</v>
          </cell>
          <cell r="BV511">
            <v>0</v>
          </cell>
          <cell r="BW511">
            <v>0</v>
          </cell>
          <cell r="BX511">
            <v>0</v>
          </cell>
          <cell r="BY511">
            <v>0</v>
          </cell>
          <cell r="BZ511">
            <v>0</v>
          </cell>
          <cell r="CA511">
            <v>0</v>
          </cell>
          <cell r="CB511">
            <v>0</v>
          </cell>
          <cell r="CC511">
            <v>0</v>
          </cell>
          <cell r="CD511">
            <v>0</v>
          </cell>
        </row>
        <row r="512">
          <cell r="C512">
            <v>37894</v>
          </cell>
          <cell r="I512">
            <v>0</v>
          </cell>
          <cell r="N512">
            <v>0</v>
          </cell>
          <cell r="P512">
            <v>0</v>
          </cell>
          <cell r="T512">
            <v>0</v>
          </cell>
          <cell r="V512">
            <v>0</v>
          </cell>
          <cell r="W512">
            <v>0</v>
          </cell>
          <cell r="X512">
            <v>0</v>
          </cell>
          <cell r="Y512">
            <v>0</v>
          </cell>
          <cell r="AB512">
            <v>0</v>
          </cell>
          <cell r="AC512">
            <v>9</v>
          </cell>
          <cell r="AD512">
            <v>0</v>
          </cell>
          <cell r="BF512">
            <v>0</v>
          </cell>
          <cell r="BG512">
            <v>0</v>
          </cell>
          <cell r="BH512">
            <v>0</v>
          </cell>
          <cell r="BI512">
            <v>0</v>
          </cell>
          <cell r="BJ512">
            <v>0</v>
          </cell>
          <cell r="BK512">
            <v>0</v>
          </cell>
          <cell r="BL512">
            <v>0</v>
          </cell>
          <cell r="BM512">
            <v>0</v>
          </cell>
          <cell r="BN512">
            <v>0</v>
          </cell>
          <cell r="BO512">
            <v>0</v>
          </cell>
          <cell r="BP512">
            <v>0</v>
          </cell>
          <cell r="BQ512">
            <v>0</v>
          </cell>
          <cell r="BR512">
            <v>0</v>
          </cell>
          <cell r="BS512">
            <v>0</v>
          </cell>
          <cell r="BT512">
            <v>0</v>
          </cell>
          <cell r="BU512">
            <v>0</v>
          </cell>
          <cell r="BV512">
            <v>0</v>
          </cell>
          <cell r="BW512">
            <v>0</v>
          </cell>
          <cell r="BX512">
            <v>0</v>
          </cell>
          <cell r="BY512">
            <v>0</v>
          </cell>
          <cell r="BZ512">
            <v>0</v>
          </cell>
          <cell r="CA512">
            <v>0</v>
          </cell>
          <cell r="CB512">
            <v>0</v>
          </cell>
          <cell r="CC512">
            <v>0</v>
          </cell>
          <cell r="CD512">
            <v>0</v>
          </cell>
        </row>
        <row r="513">
          <cell r="C513">
            <v>37894</v>
          </cell>
          <cell r="D513">
            <v>37971</v>
          </cell>
          <cell r="E513">
            <v>37964</v>
          </cell>
          <cell r="F513">
            <v>0.45833333333333331</v>
          </cell>
          <cell r="G513" t="str">
            <v>Equipamentos diversos</v>
          </cell>
          <cell r="H513" t="str">
            <v>Cabo de alimentação apresenta problemas</v>
          </cell>
          <cell r="I513">
            <v>0</v>
          </cell>
          <cell r="J513" t="str">
            <v>Sim</v>
          </cell>
          <cell r="K513" t="str">
            <v>Elétrica</v>
          </cell>
          <cell r="L513" t="str">
            <v>Limpeza do Equipamento / Componente</v>
          </cell>
          <cell r="M513" t="str">
            <v>Desgaste / Fadiga</v>
          </cell>
          <cell r="N513">
            <v>37964</v>
          </cell>
          <cell r="O513">
            <v>0.45833333333333331</v>
          </cell>
          <cell r="P513">
            <v>0</v>
          </cell>
          <cell r="T513">
            <v>37964</v>
          </cell>
          <cell r="U513">
            <v>0.48958333333333331</v>
          </cell>
          <cell r="V513">
            <v>0</v>
          </cell>
          <cell r="W513">
            <v>3.1250000002425338E-2</v>
          </cell>
          <cell r="X513">
            <v>0</v>
          </cell>
          <cell r="Y513">
            <v>0</v>
          </cell>
          <cell r="AB513">
            <v>12</v>
          </cell>
          <cell r="AC513">
            <v>9</v>
          </cell>
          <cell r="AD513">
            <v>0</v>
          </cell>
          <cell r="BF513">
            <v>0</v>
          </cell>
          <cell r="BG513">
            <v>0</v>
          </cell>
          <cell r="BH513">
            <v>0</v>
          </cell>
          <cell r="BI513">
            <v>0</v>
          </cell>
          <cell r="BJ513">
            <v>12</v>
          </cell>
          <cell r="BK513">
            <v>0</v>
          </cell>
          <cell r="BL513">
            <v>0</v>
          </cell>
          <cell r="BM513">
            <v>0</v>
          </cell>
          <cell r="BN513">
            <v>0</v>
          </cell>
          <cell r="BO513">
            <v>0</v>
          </cell>
          <cell r="BP513">
            <v>0</v>
          </cell>
          <cell r="BQ513">
            <v>0</v>
          </cell>
          <cell r="BR513">
            <v>0</v>
          </cell>
          <cell r="BS513">
            <v>0</v>
          </cell>
          <cell r="BT513">
            <v>0</v>
          </cell>
          <cell r="BU513">
            <v>0</v>
          </cell>
          <cell r="BV513">
            <v>0</v>
          </cell>
          <cell r="BW513">
            <v>0</v>
          </cell>
          <cell r="BX513">
            <v>0</v>
          </cell>
          <cell r="BY513">
            <v>0</v>
          </cell>
          <cell r="BZ513">
            <v>0</v>
          </cell>
          <cell r="CA513">
            <v>0</v>
          </cell>
          <cell r="CB513">
            <v>0</v>
          </cell>
          <cell r="CC513">
            <v>0</v>
          </cell>
          <cell r="CD513">
            <v>0</v>
          </cell>
        </row>
        <row r="514">
          <cell r="C514">
            <v>37894</v>
          </cell>
          <cell r="I514">
            <v>0</v>
          </cell>
          <cell r="N514">
            <v>0</v>
          </cell>
          <cell r="P514">
            <v>0</v>
          </cell>
          <cell r="T514">
            <v>0</v>
          </cell>
          <cell r="V514">
            <v>0</v>
          </cell>
          <cell r="W514">
            <v>0</v>
          </cell>
          <cell r="X514">
            <v>0</v>
          </cell>
          <cell r="Y514">
            <v>0</v>
          </cell>
          <cell r="AB514">
            <v>0</v>
          </cell>
          <cell r="AC514">
            <v>9</v>
          </cell>
          <cell r="AD514">
            <v>0</v>
          </cell>
          <cell r="BF514">
            <v>0</v>
          </cell>
          <cell r="BG514">
            <v>0</v>
          </cell>
          <cell r="BH514">
            <v>0</v>
          </cell>
          <cell r="BI514">
            <v>0</v>
          </cell>
          <cell r="BJ514">
            <v>0</v>
          </cell>
          <cell r="BK514">
            <v>0</v>
          </cell>
          <cell r="BL514">
            <v>0</v>
          </cell>
          <cell r="BM514">
            <v>0</v>
          </cell>
          <cell r="BN514">
            <v>0</v>
          </cell>
          <cell r="BO514">
            <v>0</v>
          </cell>
          <cell r="BP514">
            <v>0</v>
          </cell>
          <cell r="BQ514">
            <v>0</v>
          </cell>
          <cell r="BR514">
            <v>0</v>
          </cell>
          <cell r="BS514">
            <v>0</v>
          </cell>
          <cell r="BT514">
            <v>0</v>
          </cell>
          <cell r="BU514">
            <v>0</v>
          </cell>
          <cell r="BV514">
            <v>0</v>
          </cell>
          <cell r="BW514">
            <v>0</v>
          </cell>
          <cell r="BX514">
            <v>0</v>
          </cell>
          <cell r="BY514">
            <v>0</v>
          </cell>
          <cell r="BZ514">
            <v>0</v>
          </cell>
          <cell r="CA514">
            <v>0</v>
          </cell>
          <cell r="CB514">
            <v>0</v>
          </cell>
          <cell r="CC514">
            <v>0</v>
          </cell>
          <cell r="CD514">
            <v>0</v>
          </cell>
        </row>
        <row r="515">
          <cell r="C515">
            <v>37894</v>
          </cell>
          <cell r="D515">
            <v>37993</v>
          </cell>
          <cell r="E515">
            <v>37974</v>
          </cell>
          <cell r="F515">
            <v>0.76388888888888884</v>
          </cell>
          <cell r="G515" t="str">
            <v>Células de Solda Manual</v>
          </cell>
          <cell r="H515" t="str">
            <v>Máquina de Solda apresenta erro "H2O"</v>
          </cell>
          <cell r="I515">
            <v>0</v>
          </cell>
          <cell r="J515" t="str">
            <v>Sim</v>
          </cell>
          <cell r="K515" t="str">
            <v>Elétrica</v>
          </cell>
          <cell r="L515" t="str">
            <v>Substituição do(s) Componente(s)</v>
          </cell>
          <cell r="M515" t="str">
            <v>Falha de Comando / Sistema</v>
          </cell>
          <cell r="N515">
            <v>0</v>
          </cell>
          <cell r="O515">
            <v>0.77083333333333337</v>
          </cell>
          <cell r="P515">
            <v>0</v>
          </cell>
          <cell r="T515">
            <v>0</v>
          </cell>
          <cell r="U515">
            <v>0.83333333333333337</v>
          </cell>
          <cell r="V515">
            <v>0</v>
          </cell>
          <cell r="W515">
            <v>0</v>
          </cell>
          <cell r="X515">
            <v>0</v>
          </cell>
          <cell r="Y515">
            <v>0</v>
          </cell>
          <cell r="AB515">
            <v>0</v>
          </cell>
          <cell r="AC515">
            <v>9</v>
          </cell>
          <cell r="AD515">
            <v>0</v>
          </cell>
          <cell r="BF515">
            <v>0</v>
          </cell>
          <cell r="BG515">
            <v>0</v>
          </cell>
          <cell r="BH515">
            <v>0</v>
          </cell>
          <cell r="BI515">
            <v>0</v>
          </cell>
          <cell r="BJ515">
            <v>0</v>
          </cell>
          <cell r="BK515">
            <v>0</v>
          </cell>
          <cell r="BL515">
            <v>0</v>
          </cell>
          <cell r="BM515">
            <v>0</v>
          </cell>
          <cell r="BN515">
            <v>0</v>
          </cell>
          <cell r="BO515">
            <v>0</v>
          </cell>
          <cell r="BP515">
            <v>0</v>
          </cell>
          <cell r="BQ515">
            <v>0</v>
          </cell>
          <cell r="BR515">
            <v>0</v>
          </cell>
          <cell r="BS515">
            <v>0</v>
          </cell>
          <cell r="BT515">
            <v>0</v>
          </cell>
          <cell r="BU515">
            <v>0</v>
          </cell>
          <cell r="BV515">
            <v>0</v>
          </cell>
          <cell r="BW515">
            <v>0</v>
          </cell>
          <cell r="BX515">
            <v>0</v>
          </cell>
          <cell r="BY515">
            <v>0</v>
          </cell>
          <cell r="BZ515">
            <v>0</v>
          </cell>
          <cell r="CA515">
            <v>0</v>
          </cell>
          <cell r="CB515">
            <v>0</v>
          </cell>
          <cell r="CC515">
            <v>0</v>
          </cell>
          <cell r="CD515">
            <v>0</v>
          </cell>
        </row>
        <row r="516">
          <cell r="C516">
            <v>37894</v>
          </cell>
          <cell r="I516">
            <v>0</v>
          </cell>
          <cell r="N516">
            <v>0</v>
          </cell>
          <cell r="P516">
            <v>0</v>
          </cell>
          <cell r="T516">
            <v>0</v>
          </cell>
          <cell r="V516">
            <v>0</v>
          </cell>
          <cell r="W516">
            <v>0</v>
          </cell>
          <cell r="X516">
            <v>0</v>
          </cell>
          <cell r="Y516">
            <v>0</v>
          </cell>
          <cell r="AB516">
            <v>0</v>
          </cell>
          <cell r="AC516">
            <v>9</v>
          </cell>
          <cell r="AD516">
            <v>0</v>
          </cell>
          <cell r="BF516">
            <v>0</v>
          </cell>
          <cell r="BG516">
            <v>0</v>
          </cell>
          <cell r="BH516">
            <v>0</v>
          </cell>
          <cell r="BI516">
            <v>0</v>
          </cell>
          <cell r="BJ516">
            <v>0</v>
          </cell>
          <cell r="BK516">
            <v>0</v>
          </cell>
          <cell r="BL516">
            <v>0</v>
          </cell>
          <cell r="BM516">
            <v>0</v>
          </cell>
          <cell r="BN516">
            <v>0</v>
          </cell>
          <cell r="BO516">
            <v>0</v>
          </cell>
          <cell r="BP516">
            <v>0</v>
          </cell>
          <cell r="BQ516">
            <v>0</v>
          </cell>
          <cell r="BR516">
            <v>0</v>
          </cell>
          <cell r="BS516">
            <v>0</v>
          </cell>
          <cell r="BT516">
            <v>0</v>
          </cell>
          <cell r="BU516">
            <v>0</v>
          </cell>
          <cell r="BV516">
            <v>0</v>
          </cell>
          <cell r="BW516">
            <v>0</v>
          </cell>
          <cell r="BX516">
            <v>0</v>
          </cell>
          <cell r="BY516">
            <v>0</v>
          </cell>
          <cell r="BZ516">
            <v>0</v>
          </cell>
          <cell r="CA516">
            <v>0</v>
          </cell>
          <cell r="CB516">
            <v>0</v>
          </cell>
          <cell r="CC516">
            <v>0</v>
          </cell>
          <cell r="CD516">
            <v>0</v>
          </cell>
        </row>
        <row r="517">
          <cell r="C517">
            <v>37894</v>
          </cell>
          <cell r="D517">
            <v>37918</v>
          </cell>
          <cell r="E517">
            <v>37894</v>
          </cell>
          <cell r="F517">
            <v>0.625</v>
          </cell>
          <cell r="G517" t="str">
            <v>Células de Solda Automática</v>
          </cell>
          <cell r="H517" t="str">
            <v>CLP apresenta alarme e não responde ao comando em automático</v>
          </cell>
          <cell r="I517" t="str">
            <v>Corretiva</v>
          </cell>
          <cell r="J517" t="str">
            <v>Sim</v>
          </cell>
          <cell r="K517" t="str">
            <v>Elétrica</v>
          </cell>
          <cell r="L517" t="str">
            <v>Substituição do(s) Componente(s)</v>
          </cell>
          <cell r="M517" t="str">
            <v>Desgaste / Fadiga</v>
          </cell>
          <cell r="N517">
            <v>37894</v>
          </cell>
          <cell r="O517">
            <v>0.625</v>
          </cell>
          <cell r="P517">
            <v>37894</v>
          </cell>
          <cell r="Q517">
            <v>0.625</v>
          </cell>
          <cell r="T517">
            <v>37894</v>
          </cell>
          <cell r="U517">
            <v>0.68055555555555547</v>
          </cell>
          <cell r="V517">
            <v>37894</v>
          </cell>
          <cell r="W517">
            <v>0.68055555555555547</v>
          </cell>
          <cell r="X517">
            <v>5.5555555555555469E-2</v>
          </cell>
          <cell r="Y517">
            <v>5.5555555554747116E-2</v>
          </cell>
          <cell r="AB517">
            <v>9</v>
          </cell>
          <cell r="AC517">
            <v>9</v>
          </cell>
          <cell r="AD517">
            <v>0</v>
          </cell>
          <cell r="BF517">
            <v>9</v>
          </cell>
          <cell r="BG517">
            <v>0</v>
          </cell>
          <cell r="BH517">
            <v>0</v>
          </cell>
          <cell r="BI517">
            <v>0</v>
          </cell>
          <cell r="BJ517">
            <v>0</v>
          </cell>
          <cell r="BK517">
            <v>0</v>
          </cell>
          <cell r="BL517">
            <v>0</v>
          </cell>
          <cell r="BM517">
            <v>0</v>
          </cell>
          <cell r="BN517">
            <v>0</v>
          </cell>
          <cell r="BO517">
            <v>0</v>
          </cell>
          <cell r="BP517">
            <v>0</v>
          </cell>
          <cell r="BQ517">
            <v>0</v>
          </cell>
          <cell r="BR517">
            <v>0</v>
          </cell>
          <cell r="BS517">
            <v>0</v>
          </cell>
          <cell r="BT517">
            <v>0</v>
          </cell>
          <cell r="BU517">
            <v>0</v>
          </cell>
          <cell r="BV517">
            <v>0</v>
          </cell>
          <cell r="BW517">
            <v>0</v>
          </cell>
          <cell r="BX517">
            <v>0</v>
          </cell>
          <cell r="BY517">
            <v>0</v>
          </cell>
          <cell r="BZ517">
            <v>0</v>
          </cell>
          <cell r="CA517">
            <v>0</v>
          </cell>
          <cell r="CB517">
            <v>0</v>
          </cell>
          <cell r="CC517">
            <v>0</v>
          </cell>
          <cell r="CD517">
            <v>0</v>
          </cell>
        </row>
        <row r="518">
          <cell r="C518">
            <v>37894</v>
          </cell>
          <cell r="D518">
            <v>37918</v>
          </cell>
          <cell r="E518">
            <v>37901</v>
          </cell>
          <cell r="F518">
            <v>0.52083333333333337</v>
          </cell>
          <cell r="G518" t="str">
            <v>Células de Solda Automática</v>
          </cell>
          <cell r="H518" t="str">
            <v>A garra de fixação do conector está soltando a peça</v>
          </cell>
          <cell r="I518" t="str">
            <v>Corretiva</v>
          </cell>
          <cell r="J518" t="str">
            <v>Sim</v>
          </cell>
          <cell r="K518" t="str">
            <v>Mecânica</v>
          </cell>
          <cell r="L518" t="str">
            <v>Regulagem do Componente</v>
          </cell>
          <cell r="M518" t="str">
            <v>Falha de Regulagem / Configuração / Dimensionamento</v>
          </cell>
          <cell r="N518">
            <v>37901</v>
          </cell>
          <cell r="O518">
            <v>0.58333333333333337</v>
          </cell>
          <cell r="P518">
            <v>37901</v>
          </cell>
          <cell r="Q518">
            <v>0.58333333333333337</v>
          </cell>
          <cell r="T518">
            <v>37901</v>
          </cell>
          <cell r="U518">
            <v>0.61111111111111105</v>
          </cell>
          <cell r="V518">
            <v>37901</v>
          </cell>
          <cell r="W518">
            <v>0.61111111111111105</v>
          </cell>
          <cell r="X518">
            <v>2.7777777777777679E-2</v>
          </cell>
          <cell r="Y518">
            <v>2.7777777776160861E-2</v>
          </cell>
          <cell r="AB518">
            <v>10</v>
          </cell>
          <cell r="AC518">
            <v>9</v>
          </cell>
          <cell r="AD518">
            <v>0</v>
          </cell>
          <cell r="BF518">
            <v>10</v>
          </cell>
          <cell r="BG518">
            <v>0</v>
          </cell>
          <cell r="BH518">
            <v>0</v>
          </cell>
          <cell r="BI518">
            <v>0</v>
          </cell>
          <cell r="BJ518">
            <v>0</v>
          </cell>
          <cell r="BK518">
            <v>0</v>
          </cell>
          <cell r="BL518">
            <v>0</v>
          </cell>
          <cell r="BM518">
            <v>0</v>
          </cell>
          <cell r="BN518">
            <v>0</v>
          </cell>
          <cell r="BO518">
            <v>0</v>
          </cell>
          <cell r="BP518">
            <v>0</v>
          </cell>
          <cell r="BQ518">
            <v>0</v>
          </cell>
          <cell r="BR518">
            <v>0</v>
          </cell>
          <cell r="BS518">
            <v>0</v>
          </cell>
          <cell r="BT518">
            <v>0</v>
          </cell>
          <cell r="BU518">
            <v>0</v>
          </cell>
          <cell r="BV518">
            <v>0</v>
          </cell>
          <cell r="BW518">
            <v>0</v>
          </cell>
          <cell r="BX518">
            <v>0</v>
          </cell>
          <cell r="BY518">
            <v>0</v>
          </cell>
          <cell r="BZ518">
            <v>0</v>
          </cell>
          <cell r="CA518">
            <v>0</v>
          </cell>
          <cell r="CB518">
            <v>0</v>
          </cell>
          <cell r="CC518">
            <v>0</v>
          </cell>
          <cell r="CD518">
            <v>0</v>
          </cell>
        </row>
        <row r="519">
          <cell r="C519">
            <v>37894</v>
          </cell>
          <cell r="D519">
            <v>37918</v>
          </cell>
          <cell r="E519">
            <v>37903</v>
          </cell>
          <cell r="F519">
            <v>0.4826388888888889</v>
          </cell>
          <cell r="G519" t="str">
            <v>Células de Solda Automática</v>
          </cell>
          <cell r="H519" t="str">
            <v>Mecanismos da mesa de entrada estão frouxos</v>
          </cell>
          <cell r="I519" t="str">
            <v>Corretiva</v>
          </cell>
          <cell r="J519" t="str">
            <v>Não</v>
          </cell>
          <cell r="K519" t="str">
            <v>Mecânica</v>
          </cell>
          <cell r="L519" t="str">
            <v>Reaperto dos componentes</v>
          </cell>
          <cell r="M519" t="str">
            <v>Falha de Projeto</v>
          </cell>
          <cell r="N519">
            <v>37903</v>
          </cell>
          <cell r="O519">
            <v>0.5</v>
          </cell>
          <cell r="P519">
            <v>37903</v>
          </cell>
          <cell r="Q519">
            <v>0.5</v>
          </cell>
          <cell r="T519">
            <v>37903</v>
          </cell>
          <cell r="U519">
            <v>0.54166666666666663</v>
          </cell>
          <cell r="V519">
            <v>37903</v>
          </cell>
          <cell r="W519">
            <v>0.54166666666666663</v>
          </cell>
          <cell r="X519">
            <v>4.1666666664241347E-2</v>
          </cell>
          <cell r="Y519">
            <v>4.1666666664241347E-2</v>
          </cell>
          <cell r="AB519">
            <v>10</v>
          </cell>
          <cell r="AC519">
            <v>9</v>
          </cell>
          <cell r="AD519">
            <v>0</v>
          </cell>
          <cell r="BF519">
            <v>10</v>
          </cell>
          <cell r="BG519">
            <v>0</v>
          </cell>
          <cell r="BH519">
            <v>0</v>
          </cell>
          <cell r="BI519">
            <v>0</v>
          </cell>
          <cell r="BJ519">
            <v>0</v>
          </cell>
          <cell r="BK519">
            <v>0</v>
          </cell>
          <cell r="BL519">
            <v>0</v>
          </cell>
          <cell r="BM519">
            <v>0</v>
          </cell>
          <cell r="BN519">
            <v>0</v>
          </cell>
          <cell r="BO519">
            <v>0</v>
          </cell>
          <cell r="BP519">
            <v>0</v>
          </cell>
          <cell r="BQ519">
            <v>0</v>
          </cell>
          <cell r="BR519">
            <v>0</v>
          </cell>
          <cell r="BS519">
            <v>0</v>
          </cell>
          <cell r="BT519">
            <v>0</v>
          </cell>
          <cell r="BU519">
            <v>0</v>
          </cell>
          <cell r="BV519">
            <v>0</v>
          </cell>
          <cell r="BW519">
            <v>0</v>
          </cell>
          <cell r="BX519">
            <v>0</v>
          </cell>
          <cell r="BY519">
            <v>0</v>
          </cell>
          <cell r="BZ519">
            <v>0</v>
          </cell>
          <cell r="CA519">
            <v>0</v>
          </cell>
          <cell r="CB519">
            <v>0</v>
          </cell>
          <cell r="CC519">
            <v>0</v>
          </cell>
          <cell r="CD519">
            <v>0</v>
          </cell>
        </row>
        <row r="520">
          <cell r="C520">
            <v>37894</v>
          </cell>
          <cell r="D520">
            <v>37918</v>
          </cell>
          <cell r="E520">
            <v>37905</v>
          </cell>
          <cell r="F520">
            <v>0.41666666666666669</v>
          </cell>
          <cell r="G520" t="str">
            <v>Células de Solda Automática</v>
          </cell>
          <cell r="H520" t="str">
            <v>Falha no cabo de comunicação (perda de sinal)</v>
          </cell>
          <cell r="I520" t="str">
            <v>Corretiva</v>
          </cell>
          <cell r="J520" t="str">
            <v>Sim</v>
          </cell>
          <cell r="K520" t="str">
            <v>Elétrica</v>
          </cell>
          <cell r="L520" t="str">
            <v>Correção de mau contato</v>
          </cell>
          <cell r="M520" t="str">
            <v>Vibração</v>
          </cell>
          <cell r="N520">
            <v>37905</v>
          </cell>
          <cell r="O520">
            <v>0.41666666666666669</v>
          </cell>
          <cell r="P520">
            <v>37905</v>
          </cell>
          <cell r="Q520">
            <v>0.41666666666666669</v>
          </cell>
          <cell r="T520">
            <v>37905</v>
          </cell>
          <cell r="U520">
            <v>0.46875</v>
          </cell>
          <cell r="V520">
            <v>37905</v>
          </cell>
          <cell r="W520">
            <v>0.46875</v>
          </cell>
          <cell r="X520">
            <v>5.2083333333333315E-2</v>
          </cell>
          <cell r="Y520">
            <v>5.2083333333333315E-2</v>
          </cell>
          <cell r="AB520">
            <v>10</v>
          </cell>
          <cell r="AC520">
            <v>9</v>
          </cell>
          <cell r="AD520">
            <v>0</v>
          </cell>
          <cell r="BF520">
            <v>10</v>
          </cell>
          <cell r="BG520">
            <v>0</v>
          </cell>
          <cell r="BH520">
            <v>0</v>
          </cell>
          <cell r="BI520">
            <v>0</v>
          </cell>
          <cell r="BJ520">
            <v>0</v>
          </cell>
          <cell r="BK520">
            <v>0</v>
          </cell>
          <cell r="BL520">
            <v>0</v>
          </cell>
          <cell r="BM520">
            <v>0</v>
          </cell>
          <cell r="BN520">
            <v>0</v>
          </cell>
          <cell r="BO520">
            <v>0</v>
          </cell>
          <cell r="BP520">
            <v>0</v>
          </cell>
          <cell r="BQ520">
            <v>0</v>
          </cell>
          <cell r="BR520">
            <v>0</v>
          </cell>
          <cell r="BS520">
            <v>0</v>
          </cell>
          <cell r="BT520">
            <v>0</v>
          </cell>
          <cell r="BU520">
            <v>0</v>
          </cell>
          <cell r="BV520">
            <v>0</v>
          </cell>
          <cell r="BW520">
            <v>0</v>
          </cell>
          <cell r="BX520">
            <v>0</v>
          </cell>
          <cell r="BY520">
            <v>0</v>
          </cell>
          <cell r="BZ520">
            <v>0</v>
          </cell>
          <cell r="CA520">
            <v>0</v>
          </cell>
          <cell r="CB520">
            <v>0</v>
          </cell>
          <cell r="CC520">
            <v>0</v>
          </cell>
          <cell r="CD520">
            <v>0</v>
          </cell>
        </row>
        <row r="521">
          <cell r="C521">
            <v>37894</v>
          </cell>
          <cell r="D521">
            <v>37924</v>
          </cell>
          <cell r="E521">
            <v>37907</v>
          </cell>
          <cell r="F521">
            <v>0.47916666666666669</v>
          </cell>
          <cell r="G521" t="str">
            <v>Células de Solda Automática</v>
          </cell>
          <cell r="H521" t="str">
            <v>Pistão da pinça travado (Mesa A)</v>
          </cell>
          <cell r="I521" t="str">
            <v>Corretiva</v>
          </cell>
          <cell r="J521" t="str">
            <v>Sim</v>
          </cell>
          <cell r="K521" t="str">
            <v>Mecânica</v>
          </cell>
          <cell r="L521" t="str">
            <v>Limpeza e Lubrificação</v>
          </cell>
          <cell r="M521" t="str">
            <v>Sujeira em excesso</v>
          </cell>
          <cell r="N521">
            <v>37907</v>
          </cell>
          <cell r="O521">
            <v>0.47916666666666669</v>
          </cell>
          <cell r="P521">
            <v>37907</v>
          </cell>
          <cell r="Q521">
            <v>0.47916666666666669</v>
          </cell>
          <cell r="T521">
            <v>37907</v>
          </cell>
          <cell r="U521">
            <v>0.52777777777777779</v>
          </cell>
          <cell r="V521">
            <v>37907</v>
          </cell>
          <cell r="W521">
            <v>0.52777777777777779</v>
          </cell>
          <cell r="X521">
            <v>4.8611111111111105E-2</v>
          </cell>
          <cell r="Y521">
            <v>4.8611111114344852E-2</v>
          </cell>
          <cell r="AB521">
            <v>10</v>
          </cell>
          <cell r="AC521">
            <v>9</v>
          </cell>
          <cell r="AD521">
            <v>0</v>
          </cell>
          <cell r="BF521">
            <v>10</v>
          </cell>
          <cell r="BG521">
            <v>0</v>
          </cell>
          <cell r="BH521">
            <v>0</v>
          </cell>
          <cell r="BI521">
            <v>0</v>
          </cell>
          <cell r="BJ521">
            <v>0</v>
          </cell>
          <cell r="BK521">
            <v>0</v>
          </cell>
          <cell r="BL521">
            <v>0</v>
          </cell>
          <cell r="BM521">
            <v>0</v>
          </cell>
          <cell r="BN521">
            <v>0</v>
          </cell>
          <cell r="BO521">
            <v>0</v>
          </cell>
          <cell r="BP521">
            <v>0</v>
          </cell>
          <cell r="BQ521">
            <v>0</v>
          </cell>
          <cell r="BR521">
            <v>0</v>
          </cell>
          <cell r="BS521">
            <v>0</v>
          </cell>
          <cell r="BT521">
            <v>0</v>
          </cell>
          <cell r="BU521">
            <v>0</v>
          </cell>
          <cell r="BV521">
            <v>0</v>
          </cell>
          <cell r="BW521">
            <v>0</v>
          </cell>
          <cell r="BX521">
            <v>0</v>
          </cell>
          <cell r="BY521">
            <v>0</v>
          </cell>
          <cell r="BZ521">
            <v>0</v>
          </cell>
          <cell r="CA521">
            <v>0</v>
          </cell>
          <cell r="CB521">
            <v>0</v>
          </cell>
          <cell r="CC521">
            <v>0</v>
          </cell>
          <cell r="CD521">
            <v>0</v>
          </cell>
        </row>
        <row r="522">
          <cell r="C522">
            <v>37894</v>
          </cell>
          <cell r="D522">
            <v>37928</v>
          </cell>
          <cell r="E522">
            <v>37915</v>
          </cell>
          <cell r="F522">
            <v>0.70833333333333337</v>
          </cell>
          <cell r="G522" t="str">
            <v>Células de Solda Automática</v>
          </cell>
          <cell r="H522" t="str">
            <v>Falha nos Sensores CLP (BOSF)</v>
          </cell>
          <cell r="I522" t="str">
            <v>Corretiva</v>
          </cell>
          <cell r="J522" t="str">
            <v>Sim</v>
          </cell>
          <cell r="K522" t="str">
            <v>Elétrica</v>
          </cell>
          <cell r="L522" t="str">
            <v>Reaperto dos componentes</v>
          </cell>
          <cell r="M522" t="str">
            <v>Vibração</v>
          </cell>
          <cell r="N522">
            <v>37915</v>
          </cell>
          <cell r="O522">
            <v>0.70833333333333337</v>
          </cell>
          <cell r="P522">
            <v>37915</v>
          </cell>
          <cell r="Q522">
            <v>0.70833333333333337</v>
          </cell>
          <cell r="T522">
            <v>37915</v>
          </cell>
          <cell r="U522">
            <v>0.73611111111111116</v>
          </cell>
          <cell r="V522">
            <v>37915</v>
          </cell>
          <cell r="W522">
            <v>0.73611111111111116</v>
          </cell>
          <cell r="X522">
            <v>2.777777777777779E-2</v>
          </cell>
          <cell r="Y522">
            <v>2.7777777776160861E-2</v>
          </cell>
          <cell r="AB522">
            <v>10</v>
          </cell>
          <cell r="AC522">
            <v>9</v>
          </cell>
          <cell r="AD522">
            <v>0</v>
          </cell>
          <cell r="BF522">
            <v>10</v>
          </cell>
          <cell r="BG522">
            <v>0</v>
          </cell>
          <cell r="BH522">
            <v>0</v>
          </cell>
          <cell r="BI522">
            <v>0</v>
          </cell>
          <cell r="BJ522">
            <v>0</v>
          </cell>
          <cell r="BK522">
            <v>0</v>
          </cell>
          <cell r="BL522">
            <v>0</v>
          </cell>
          <cell r="BM522">
            <v>0</v>
          </cell>
          <cell r="BN522">
            <v>0</v>
          </cell>
          <cell r="BO522">
            <v>0</v>
          </cell>
          <cell r="BP522">
            <v>0</v>
          </cell>
          <cell r="BQ522">
            <v>0</v>
          </cell>
          <cell r="BR522">
            <v>0</v>
          </cell>
          <cell r="BS522">
            <v>0</v>
          </cell>
          <cell r="BT522">
            <v>0</v>
          </cell>
          <cell r="BU522">
            <v>0</v>
          </cell>
          <cell r="BV522">
            <v>0</v>
          </cell>
          <cell r="BW522">
            <v>0</v>
          </cell>
          <cell r="BX522">
            <v>0</v>
          </cell>
          <cell r="BY522">
            <v>0</v>
          </cell>
          <cell r="BZ522">
            <v>0</v>
          </cell>
          <cell r="CA522">
            <v>0</v>
          </cell>
          <cell r="CB522">
            <v>0</v>
          </cell>
          <cell r="CC522">
            <v>0</v>
          </cell>
          <cell r="CD522">
            <v>0</v>
          </cell>
        </row>
        <row r="523">
          <cell r="C523">
            <v>37894</v>
          </cell>
          <cell r="D523">
            <v>37928</v>
          </cell>
          <cell r="E523">
            <v>37915</v>
          </cell>
          <cell r="F523">
            <v>0.70833333333333337</v>
          </cell>
          <cell r="G523" t="str">
            <v>Células de Solda Automática</v>
          </cell>
          <cell r="H523" t="str">
            <v>Mesa parada fora de posicionamento</v>
          </cell>
          <cell r="I523" t="str">
            <v>Corretiva</v>
          </cell>
          <cell r="J523" t="str">
            <v>Sim</v>
          </cell>
          <cell r="K523" t="str">
            <v>Mecânica</v>
          </cell>
          <cell r="L523" t="str">
            <v>Regulagem do Componente</v>
          </cell>
          <cell r="M523" t="str">
            <v>Falha de Comando / Sistema</v>
          </cell>
          <cell r="N523">
            <v>37915</v>
          </cell>
          <cell r="O523">
            <v>0.70833333333333337</v>
          </cell>
          <cell r="P523">
            <v>37915</v>
          </cell>
          <cell r="Q523">
            <v>0.70833333333333337</v>
          </cell>
          <cell r="T523">
            <v>37915</v>
          </cell>
          <cell r="U523">
            <v>0.73958333333333337</v>
          </cell>
          <cell r="V523">
            <v>37915</v>
          </cell>
          <cell r="W523">
            <v>0.73958333333333337</v>
          </cell>
          <cell r="X523">
            <v>3.125E-2</v>
          </cell>
          <cell r="Y523">
            <v>3.1250000002425282E-2</v>
          </cell>
          <cell r="AB523">
            <v>10</v>
          </cell>
          <cell r="AC523">
            <v>9</v>
          </cell>
          <cell r="AD523">
            <v>0</v>
          </cell>
          <cell r="BF523">
            <v>10</v>
          </cell>
          <cell r="BG523">
            <v>0</v>
          </cell>
          <cell r="BH523">
            <v>0</v>
          </cell>
          <cell r="BI523">
            <v>0</v>
          </cell>
          <cell r="BJ523">
            <v>0</v>
          </cell>
          <cell r="BK523">
            <v>0</v>
          </cell>
          <cell r="BL523">
            <v>0</v>
          </cell>
          <cell r="BM523">
            <v>0</v>
          </cell>
          <cell r="BN523">
            <v>0</v>
          </cell>
          <cell r="BO523">
            <v>0</v>
          </cell>
          <cell r="BP523">
            <v>0</v>
          </cell>
          <cell r="BQ523">
            <v>0</v>
          </cell>
          <cell r="BR523">
            <v>0</v>
          </cell>
          <cell r="BS523">
            <v>0</v>
          </cell>
          <cell r="BT523">
            <v>0</v>
          </cell>
          <cell r="BU523">
            <v>0</v>
          </cell>
          <cell r="BV523">
            <v>0</v>
          </cell>
          <cell r="BW523">
            <v>0</v>
          </cell>
          <cell r="BX523">
            <v>0</v>
          </cell>
          <cell r="BY523">
            <v>0</v>
          </cell>
          <cell r="BZ523">
            <v>0</v>
          </cell>
          <cell r="CA523">
            <v>0</v>
          </cell>
          <cell r="CB523">
            <v>0</v>
          </cell>
          <cell r="CC523">
            <v>0</v>
          </cell>
          <cell r="CD523">
            <v>0</v>
          </cell>
        </row>
        <row r="524">
          <cell r="C524">
            <v>37894</v>
          </cell>
          <cell r="D524">
            <v>37928</v>
          </cell>
          <cell r="E524">
            <v>37923</v>
          </cell>
          <cell r="F524">
            <v>0.66666666666666663</v>
          </cell>
          <cell r="G524" t="str">
            <v>Células de Solda Automática</v>
          </cell>
          <cell r="H524" t="str">
            <v>Parafuso da Fresa Danificado</v>
          </cell>
          <cell r="I524" t="str">
            <v>Corretiva</v>
          </cell>
          <cell r="J524" t="str">
            <v>Não</v>
          </cell>
          <cell r="K524" t="str">
            <v>Mecânica</v>
          </cell>
          <cell r="L524" t="str">
            <v>Reparo</v>
          </cell>
          <cell r="M524" t="str">
            <v>Desgaste / Fadiga</v>
          </cell>
          <cell r="N524">
            <v>37923</v>
          </cell>
          <cell r="O524">
            <v>0.66666666666666663</v>
          </cell>
          <cell r="P524">
            <v>37923</v>
          </cell>
          <cell r="Q524">
            <v>0.66666666666666663</v>
          </cell>
          <cell r="T524">
            <v>37923</v>
          </cell>
          <cell r="U524">
            <v>0.72916666666666663</v>
          </cell>
          <cell r="V524">
            <v>37923</v>
          </cell>
          <cell r="W524">
            <v>0.72916666666666663</v>
          </cell>
          <cell r="X524">
            <v>6.2499999997574718E-2</v>
          </cell>
          <cell r="Y524">
            <v>6.2499999997574718E-2</v>
          </cell>
          <cell r="AB524">
            <v>10</v>
          </cell>
          <cell r="AC524">
            <v>9</v>
          </cell>
          <cell r="AD524">
            <v>0</v>
          </cell>
          <cell r="BF524">
            <v>10</v>
          </cell>
          <cell r="BG524">
            <v>0</v>
          </cell>
          <cell r="BH524">
            <v>0</v>
          </cell>
          <cell r="BI524">
            <v>0</v>
          </cell>
          <cell r="BJ524">
            <v>0</v>
          </cell>
          <cell r="BK524">
            <v>0</v>
          </cell>
          <cell r="BL524">
            <v>0</v>
          </cell>
          <cell r="BM524">
            <v>0</v>
          </cell>
          <cell r="BN524">
            <v>0</v>
          </cell>
          <cell r="BO524">
            <v>0</v>
          </cell>
          <cell r="BP524">
            <v>0</v>
          </cell>
          <cell r="BQ524">
            <v>0</v>
          </cell>
          <cell r="BR524">
            <v>0</v>
          </cell>
          <cell r="BS524">
            <v>0</v>
          </cell>
          <cell r="BT524">
            <v>0</v>
          </cell>
          <cell r="BU524">
            <v>0</v>
          </cell>
          <cell r="BV524">
            <v>0</v>
          </cell>
          <cell r="BW524">
            <v>0</v>
          </cell>
          <cell r="BX524">
            <v>0</v>
          </cell>
          <cell r="BY524">
            <v>0</v>
          </cell>
          <cell r="BZ524">
            <v>0</v>
          </cell>
          <cell r="CA524">
            <v>0</v>
          </cell>
          <cell r="CB524">
            <v>0</v>
          </cell>
          <cell r="CC524">
            <v>0</v>
          </cell>
          <cell r="CD524">
            <v>0</v>
          </cell>
        </row>
        <row r="525">
          <cell r="C525">
            <v>37894</v>
          </cell>
          <cell r="D525">
            <v>37971</v>
          </cell>
          <cell r="E525">
            <v>37931</v>
          </cell>
          <cell r="F525">
            <v>0.58333333333333337</v>
          </cell>
          <cell r="G525" t="str">
            <v>Células de Solda Automática</v>
          </cell>
          <cell r="H525" t="str">
            <v>Fresa não limpa o bocal de solda</v>
          </cell>
          <cell r="I525" t="str">
            <v>Corretiva</v>
          </cell>
          <cell r="J525" t="str">
            <v>Não</v>
          </cell>
          <cell r="K525" t="str">
            <v>Mecânica</v>
          </cell>
          <cell r="L525" t="str">
            <v>Sim</v>
          </cell>
          <cell r="M525" t="str">
            <v>Desgaste / Fadiga</v>
          </cell>
          <cell r="N525">
            <v>37931</v>
          </cell>
          <cell r="O525">
            <v>0.66666666666666663</v>
          </cell>
          <cell r="P525">
            <v>37931</v>
          </cell>
          <cell r="Q525">
            <v>0.66666666666666663</v>
          </cell>
          <cell r="T525">
            <v>37931</v>
          </cell>
          <cell r="U525">
            <v>0.72916666666666663</v>
          </cell>
          <cell r="V525">
            <v>37931</v>
          </cell>
          <cell r="W525">
            <v>0.72916666666666663</v>
          </cell>
          <cell r="X525">
            <v>6.25E-2</v>
          </cell>
          <cell r="Y525">
            <v>6.2499999997574718E-2</v>
          </cell>
          <cell r="AB525">
            <v>11</v>
          </cell>
          <cell r="AC525">
            <v>9</v>
          </cell>
          <cell r="AD525">
            <v>0</v>
          </cell>
          <cell r="BF525">
            <v>11</v>
          </cell>
          <cell r="BG525">
            <v>0</v>
          </cell>
          <cell r="BH525">
            <v>0</v>
          </cell>
          <cell r="BI525">
            <v>0</v>
          </cell>
          <cell r="BJ525">
            <v>0</v>
          </cell>
          <cell r="BK525">
            <v>0</v>
          </cell>
          <cell r="BL525">
            <v>0</v>
          </cell>
          <cell r="BM525">
            <v>0</v>
          </cell>
          <cell r="BN525">
            <v>0</v>
          </cell>
          <cell r="BO525">
            <v>0</v>
          </cell>
          <cell r="BP525">
            <v>0</v>
          </cell>
          <cell r="BQ525">
            <v>0</v>
          </cell>
          <cell r="BR525">
            <v>0</v>
          </cell>
          <cell r="BS525">
            <v>0</v>
          </cell>
          <cell r="BT525">
            <v>0</v>
          </cell>
          <cell r="BU525">
            <v>0</v>
          </cell>
          <cell r="BV525">
            <v>0</v>
          </cell>
          <cell r="BW525">
            <v>0</v>
          </cell>
          <cell r="BX525">
            <v>0</v>
          </cell>
          <cell r="BY525">
            <v>0</v>
          </cell>
          <cell r="BZ525">
            <v>0</v>
          </cell>
          <cell r="CA525">
            <v>0</v>
          </cell>
          <cell r="CB525">
            <v>0</v>
          </cell>
          <cell r="CC525">
            <v>0</v>
          </cell>
          <cell r="CD525">
            <v>0</v>
          </cell>
        </row>
        <row r="526">
          <cell r="C526">
            <v>37894</v>
          </cell>
          <cell r="D526">
            <v>37971</v>
          </cell>
          <cell r="E526">
            <v>37932</v>
          </cell>
          <cell r="F526">
            <v>0.33333333333333331</v>
          </cell>
          <cell r="G526" t="str">
            <v>Células de Solda Automática</v>
          </cell>
          <cell r="H526" t="str">
            <v>Mesa parada fora de posicionamento</v>
          </cell>
          <cell r="I526" t="str">
            <v>Corretiva</v>
          </cell>
          <cell r="J526" t="str">
            <v>Sim</v>
          </cell>
          <cell r="K526" t="str">
            <v>Mecânica</v>
          </cell>
          <cell r="L526" t="str">
            <v>Sim</v>
          </cell>
          <cell r="M526" t="str">
            <v>Falha de Regulagem / Configuração / Dimensionamento</v>
          </cell>
          <cell r="N526">
            <v>37932</v>
          </cell>
          <cell r="O526">
            <v>0.35416666666666669</v>
          </cell>
          <cell r="P526">
            <v>37932</v>
          </cell>
          <cell r="Q526">
            <v>0.35416666666666669</v>
          </cell>
          <cell r="T526">
            <v>37932</v>
          </cell>
          <cell r="U526">
            <v>0.39583333333333331</v>
          </cell>
          <cell r="V526">
            <v>37932</v>
          </cell>
          <cell r="W526">
            <v>0.39583333333333331</v>
          </cell>
          <cell r="X526">
            <v>4.166666666666663E-2</v>
          </cell>
          <cell r="Y526">
            <v>4.1666666669091967E-2</v>
          </cell>
          <cell r="AB526">
            <v>11</v>
          </cell>
          <cell r="AC526">
            <v>9</v>
          </cell>
          <cell r="AD526">
            <v>0</v>
          </cell>
          <cell r="BF526">
            <v>11</v>
          </cell>
          <cell r="BG526">
            <v>0</v>
          </cell>
          <cell r="BH526">
            <v>0</v>
          </cell>
          <cell r="BI526">
            <v>0</v>
          </cell>
          <cell r="BJ526">
            <v>0</v>
          </cell>
          <cell r="BK526">
            <v>0</v>
          </cell>
          <cell r="BL526">
            <v>0</v>
          </cell>
          <cell r="BM526">
            <v>0</v>
          </cell>
          <cell r="BN526">
            <v>0</v>
          </cell>
          <cell r="BO526">
            <v>0</v>
          </cell>
          <cell r="BP526">
            <v>0</v>
          </cell>
          <cell r="BQ526">
            <v>0</v>
          </cell>
          <cell r="BR526">
            <v>0</v>
          </cell>
          <cell r="BS526">
            <v>0</v>
          </cell>
          <cell r="BT526">
            <v>0</v>
          </cell>
          <cell r="BU526">
            <v>0</v>
          </cell>
          <cell r="BV526">
            <v>0</v>
          </cell>
          <cell r="BW526">
            <v>0</v>
          </cell>
          <cell r="BX526">
            <v>0</v>
          </cell>
          <cell r="BY526">
            <v>0</v>
          </cell>
          <cell r="BZ526">
            <v>0</v>
          </cell>
          <cell r="CA526">
            <v>0</v>
          </cell>
          <cell r="CB526">
            <v>0</v>
          </cell>
          <cell r="CC526">
            <v>0</v>
          </cell>
          <cell r="CD526">
            <v>0</v>
          </cell>
        </row>
        <row r="527">
          <cell r="C527">
            <v>37894</v>
          </cell>
          <cell r="D527">
            <v>37971</v>
          </cell>
          <cell r="E527">
            <v>37932</v>
          </cell>
          <cell r="F527">
            <v>37932</v>
          </cell>
          <cell r="G527">
            <v>0.67361111111111116</v>
          </cell>
          <cell r="H527" t="str">
            <v>O contador da esteira d eentrada entortou o pistão</v>
          </cell>
          <cell r="I527">
            <v>0</v>
          </cell>
          <cell r="J527" t="str">
            <v>Não</v>
          </cell>
          <cell r="K527" t="str">
            <v>Mecânica</v>
          </cell>
          <cell r="L527" t="str">
            <v>Não</v>
          </cell>
          <cell r="M527" t="str">
            <v>Falha de Regulagem / Configuração / Dimensionamento</v>
          </cell>
          <cell r="N527">
            <v>37932</v>
          </cell>
          <cell r="O527">
            <v>0.68055555555555547</v>
          </cell>
          <cell r="P527">
            <v>37932</v>
          </cell>
          <cell r="Q527">
            <v>0.68055555555555547</v>
          </cell>
          <cell r="T527">
            <v>37932</v>
          </cell>
          <cell r="U527">
            <v>0.71875</v>
          </cell>
          <cell r="V527">
            <v>37932</v>
          </cell>
          <cell r="W527">
            <v>0.71875</v>
          </cell>
          <cell r="X527">
            <v>3.8194444444444531E-2</v>
          </cell>
          <cell r="Y527">
            <v>3.8194444444444531E-2</v>
          </cell>
          <cell r="AB527">
            <v>11</v>
          </cell>
          <cell r="AC527">
            <v>9</v>
          </cell>
          <cell r="AD527">
            <v>0</v>
          </cell>
          <cell r="BF527">
            <v>11</v>
          </cell>
          <cell r="BG527">
            <v>0</v>
          </cell>
          <cell r="BH527">
            <v>0</v>
          </cell>
          <cell r="BI527">
            <v>0</v>
          </cell>
          <cell r="BJ527">
            <v>0</v>
          </cell>
          <cell r="BK527">
            <v>0</v>
          </cell>
          <cell r="BL527">
            <v>0</v>
          </cell>
          <cell r="BM527">
            <v>0</v>
          </cell>
          <cell r="BN527">
            <v>0</v>
          </cell>
          <cell r="BO527">
            <v>0</v>
          </cell>
          <cell r="BP527">
            <v>0</v>
          </cell>
          <cell r="BQ527">
            <v>0</v>
          </cell>
          <cell r="BR527">
            <v>0</v>
          </cell>
          <cell r="BS527">
            <v>0</v>
          </cell>
          <cell r="BT527">
            <v>0</v>
          </cell>
          <cell r="BU527">
            <v>0</v>
          </cell>
          <cell r="BV527">
            <v>0</v>
          </cell>
          <cell r="BW527">
            <v>0</v>
          </cell>
          <cell r="BX527">
            <v>0</v>
          </cell>
          <cell r="BY527">
            <v>0</v>
          </cell>
          <cell r="BZ527">
            <v>0</v>
          </cell>
          <cell r="CA527">
            <v>0</v>
          </cell>
          <cell r="CB527">
            <v>0</v>
          </cell>
          <cell r="CC527">
            <v>0</v>
          </cell>
          <cell r="CD527">
            <v>0</v>
          </cell>
        </row>
        <row r="528">
          <cell r="C528">
            <v>37894</v>
          </cell>
          <cell r="D528">
            <v>37971</v>
          </cell>
          <cell r="E528">
            <v>37933</v>
          </cell>
          <cell r="F528">
            <v>37933</v>
          </cell>
          <cell r="G528">
            <v>0.83333333333333337</v>
          </cell>
          <cell r="H528" t="str">
            <v>Mesa parada fora de posicionamento</v>
          </cell>
          <cell r="I528">
            <v>0</v>
          </cell>
          <cell r="J528" t="str">
            <v>Sim</v>
          </cell>
          <cell r="K528" t="str">
            <v>Mecânica</v>
          </cell>
          <cell r="L528" t="str">
            <v>Sim</v>
          </cell>
          <cell r="M528" t="str">
            <v>Falha de Regulagem / Configuração / Dimensionamento</v>
          </cell>
          <cell r="N528">
            <v>37935</v>
          </cell>
          <cell r="O528">
            <v>0.35416666666666669</v>
          </cell>
          <cell r="P528">
            <v>0</v>
          </cell>
          <cell r="T528">
            <v>37935</v>
          </cell>
          <cell r="U528">
            <v>0.54166666666666663</v>
          </cell>
          <cell r="V528">
            <v>0</v>
          </cell>
          <cell r="W528">
            <v>1.4583333333309079</v>
          </cell>
          <cell r="X528">
            <v>0</v>
          </cell>
          <cell r="Y528">
            <v>0</v>
          </cell>
          <cell r="AB528">
            <v>11</v>
          </cell>
          <cell r="AC528">
            <v>9</v>
          </cell>
          <cell r="AD528">
            <v>0</v>
          </cell>
          <cell r="BF528">
            <v>11</v>
          </cell>
          <cell r="BG528">
            <v>0</v>
          </cell>
          <cell r="BH528">
            <v>0</v>
          </cell>
          <cell r="BI528">
            <v>0</v>
          </cell>
          <cell r="BJ528">
            <v>0</v>
          </cell>
          <cell r="BK528">
            <v>0</v>
          </cell>
          <cell r="BL528">
            <v>0</v>
          </cell>
          <cell r="BM528">
            <v>0</v>
          </cell>
          <cell r="BN528">
            <v>0</v>
          </cell>
          <cell r="BO528">
            <v>0</v>
          </cell>
          <cell r="BP528">
            <v>0</v>
          </cell>
          <cell r="BQ528">
            <v>0</v>
          </cell>
          <cell r="BR528">
            <v>0</v>
          </cell>
          <cell r="BS528">
            <v>0</v>
          </cell>
          <cell r="BT528">
            <v>0</v>
          </cell>
          <cell r="BU528">
            <v>0</v>
          </cell>
          <cell r="BV528">
            <v>0</v>
          </cell>
          <cell r="BW528">
            <v>0</v>
          </cell>
          <cell r="BX528">
            <v>0</v>
          </cell>
          <cell r="BY528">
            <v>0</v>
          </cell>
          <cell r="BZ528">
            <v>0</v>
          </cell>
          <cell r="CA528">
            <v>0</v>
          </cell>
          <cell r="CB528">
            <v>0</v>
          </cell>
          <cell r="CC528">
            <v>0</v>
          </cell>
          <cell r="CD528">
            <v>0</v>
          </cell>
        </row>
        <row r="529">
          <cell r="C529">
            <v>37894</v>
          </cell>
          <cell r="I529">
            <v>0</v>
          </cell>
          <cell r="N529">
            <v>0</v>
          </cell>
          <cell r="P529">
            <v>0</v>
          </cell>
          <cell r="T529">
            <v>0</v>
          </cell>
          <cell r="V529">
            <v>0</v>
          </cell>
          <cell r="W529">
            <v>0</v>
          </cell>
          <cell r="X529">
            <v>0</v>
          </cell>
          <cell r="Y529">
            <v>0</v>
          </cell>
          <cell r="AB529">
            <v>0</v>
          </cell>
          <cell r="AC529">
            <v>9</v>
          </cell>
          <cell r="AD529">
            <v>0</v>
          </cell>
          <cell r="BF529">
            <v>0</v>
          </cell>
          <cell r="BG529">
            <v>0</v>
          </cell>
          <cell r="BH529">
            <v>0</v>
          </cell>
          <cell r="BI529">
            <v>0</v>
          </cell>
          <cell r="BJ529">
            <v>0</v>
          </cell>
          <cell r="BK529">
            <v>0</v>
          </cell>
          <cell r="BL529">
            <v>0</v>
          </cell>
          <cell r="BM529">
            <v>0</v>
          </cell>
          <cell r="BN529">
            <v>0</v>
          </cell>
          <cell r="BO529">
            <v>0</v>
          </cell>
          <cell r="BP529">
            <v>0</v>
          </cell>
          <cell r="BQ529">
            <v>0</v>
          </cell>
          <cell r="BR529">
            <v>0</v>
          </cell>
          <cell r="BS529">
            <v>0</v>
          </cell>
          <cell r="BT529">
            <v>0</v>
          </cell>
          <cell r="BU529">
            <v>0</v>
          </cell>
          <cell r="BV529">
            <v>0</v>
          </cell>
          <cell r="BW529">
            <v>0</v>
          </cell>
          <cell r="BX529">
            <v>0</v>
          </cell>
          <cell r="BY529">
            <v>0</v>
          </cell>
          <cell r="BZ529">
            <v>0</v>
          </cell>
          <cell r="CA529">
            <v>0</v>
          </cell>
          <cell r="CB529">
            <v>0</v>
          </cell>
          <cell r="CC529">
            <v>0</v>
          </cell>
          <cell r="CD529">
            <v>0</v>
          </cell>
        </row>
        <row r="530">
          <cell r="C530">
            <v>37894</v>
          </cell>
          <cell r="D530">
            <v>37993</v>
          </cell>
          <cell r="E530">
            <v>37936</v>
          </cell>
          <cell r="F530">
            <v>0.875</v>
          </cell>
          <cell r="G530" t="str">
            <v>Células de Solda Automática</v>
          </cell>
          <cell r="H530" t="str">
            <v>Fresa com problemas</v>
          </cell>
          <cell r="I530">
            <v>0</v>
          </cell>
          <cell r="J530" t="str">
            <v>Não</v>
          </cell>
          <cell r="K530" t="str">
            <v>Mecânica</v>
          </cell>
          <cell r="L530" t="str">
            <v>Limpeza do Equipamento / Componente</v>
          </cell>
          <cell r="M530" t="str">
            <v>Sujeira em excesso</v>
          </cell>
          <cell r="N530">
            <v>0</v>
          </cell>
          <cell r="O530">
            <v>0.875</v>
          </cell>
          <cell r="P530">
            <v>0</v>
          </cell>
          <cell r="T530">
            <v>0</v>
          </cell>
          <cell r="U530">
            <v>0.90208333333333324</v>
          </cell>
          <cell r="V530">
            <v>0</v>
          </cell>
          <cell r="W530">
            <v>0</v>
          </cell>
          <cell r="X530">
            <v>0</v>
          </cell>
          <cell r="Y530">
            <v>0</v>
          </cell>
          <cell r="AB530">
            <v>0</v>
          </cell>
          <cell r="AC530">
            <v>9</v>
          </cell>
          <cell r="AD530">
            <v>0</v>
          </cell>
          <cell r="BF530">
            <v>0</v>
          </cell>
          <cell r="BG530">
            <v>0</v>
          </cell>
          <cell r="BH530">
            <v>0</v>
          </cell>
          <cell r="BI530">
            <v>0</v>
          </cell>
          <cell r="BJ530">
            <v>0</v>
          </cell>
          <cell r="BK530">
            <v>0</v>
          </cell>
          <cell r="BL530">
            <v>0</v>
          </cell>
          <cell r="BM530">
            <v>0</v>
          </cell>
          <cell r="BN530">
            <v>0</v>
          </cell>
          <cell r="BO530">
            <v>0</v>
          </cell>
          <cell r="BP530">
            <v>0</v>
          </cell>
          <cell r="BQ530">
            <v>0</v>
          </cell>
          <cell r="BR530">
            <v>0</v>
          </cell>
          <cell r="BS530">
            <v>0</v>
          </cell>
          <cell r="BT530">
            <v>0</v>
          </cell>
          <cell r="BU530">
            <v>0</v>
          </cell>
          <cell r="BV530">
            <v>0</v>
          </cell>
          <cell r="BW530">
            <v>0</v>
          </cell>
          <cell r="BX530">
            <v>0</v>
          </cell>
          <cell r="BY530">
            <v>0</v>
          </cell>
          <cell r="BZ530">
            <v>0</v>
          </cell>
          <cell r="CA530">
            <v>0</v>
          </cell>
          <cell r="CB530">
            <v>0</v>
          </cell>
          <cell r="CC530">
            <v>0</v>
          </cell>
          <cell r="CD530">
            <v>0</v>
          </cell>
        </row>
        <row r="531">
          <cell r="C531">
            <v>37894</v>
          </cell>
          <cell r="D531">
            <v>37971</v>
          </cell>
          <cell r="E531">
            <v>37942</v>
          </cell>
          <cell r="F531">
            <v>37942</v>
          </cell>
          <cell r="G531">
            <v>0.33333333333333331</v>
          </cell>
          <cell r="H531" t="str">
            <v>Cilindro da esteira de entrada está solto</v>
          </cell>
          <cell r="I531">
            <v>0</v>
          </cell>
          <cell r="J531" t="str">
            <v>Sim</v>
          </cell>
          <cell r="K531" t="str">
            <v>Mecânica</v>
          </cell>
          <cell r="L531" t="str">
            <v>Sim</v>
          </cell>
          <cell r="M531" t="str">
            <v>Vibração</v>
          </cell>
          <cell r="N531">
            <v>37942</v>
          </cell>
          <cell r="O531">
            <v>0.34027777777777773</v>
          </cell>
          <cell r="P531">
            <v>37942</v>
          </cell>
          <cell r="Q531">
            <v>0.34027777777777773</v>
          </cell>
          <cell r="T531">
            <v>37942</v>
          </cell>
          <cell r="U531">
            <v>0.40972222222222227</v>
          </cell>
          <cell r="V531">
            <v>37942</v>
          </cell>
          <cell r="W531">
            <v>0.40972222222222227</v>
          </cell>
          <cell r="X531">
            <v>6.9444444444444531E-2</v>
          </cell>
          <cell r="Y531">
            <v>6.9444444441210729E-2</v>
          </cell>
          <cell r="AB531">
            <v>11</v>
          </cell>
          <cell r="AC531">
            <v>9</v>
          </cell>
          <cell r="AD531">
            <v>0</v>
          </cell>
          <cell r="BF531">
            <v>11</v>
          </cell>
          <cell r="BG531">
            <v>0</v>
          </cell>
          <cell r="BH531">
            <v>0</v>
          </cell>
          <cell r="BI531">
            <v>0</v>
          </cell>
          <cell r="BJ531">
            <v>0</v>
          </cell>
          <cell r="BK531">
            <v>0</v>
          </cell>
          <cell r="BL531">
            <v>0</v>
          </cell>
          <cell r="BM531">
            <v>0</v>
          </cell>
          <cell r="BN531">
            <v>0</v>
          </cell>
          <cell r="BO531">
            <v>0</v>
          </cell>
          <cell r="BP531">
            <v>0</v>
          </cell>
          <cell r="BQ531">
            <v>0</v>
          </cell>
          <cell r="BR531">
            <v>0</v>
          </cell>
          <cell r="BS531">
            <v>0</v>
          </cell>
          <cell r="BT531">
            <v>0</v>
          </cell>
          <cell r="BU531">
            <v>0</v>
          </cell>
          <cell r="BV531">
            <v>0</v>
          </cell>
          <cell r="BW531">
            <v>0</v>
          </cell>
          <cell r="BX531">
            <v>0</v>
          </cell>
          <cell r="BY531">
            <v>0</v>
          </cell>
          <cell r="BZ531">
            <v>0</v>
          </cell>
          <cell r="CA531">
            <v>0</v>
          </cell>
          <cell r="CB531">
            <v>0</v>
          </cell>
          <cell r="CC531">
            <v>0</v>
          </cell>
          <cell r="CD531">
            <v>0</v>
          </cell>
        </row>
        <row r="532">
          <cell r="C532">
            <v>37894</v>
          </cell>
          <cell r="D532">
            <v>37971</v>
          </cell>
          <cell r="E532">
            <v>37943</v>
          </cell>
          <cell r="F532">
            <v>37943</v>
          </cell>
          <cell r="G532">
            <v>0.33333333333333331</v>
          </cell>
          <cell r="H532" t="str">
            <v>Sensor da esteira de entrada não funciona</v>
          </cell>
          <cell r="I532">
            <v>0</v>
          </cell>
          <cell r="J532" t="str">
            <v>Não</v>
          </cell>
          <cell r="K532" t="str">
            <v>Elétrica</v>
          </cell>
          <cell r="L532" t="str">
            <v>Não</v>
          </cell>
          <cell r="M532" t="str">
            <v>Desgaste / Fadiga</v>
          </cell>
          <cell r="N532">
            <v>37943</v>
          </cell>
          <cell r="O532">
            <v>0.33333333333333331</v>
          </cell>
          <cell r="P532">
            <v>37943</v>
          </cell>
          <cell r="Q532">
            <v>0.33333333333333331</v>
          </cell>
          <cell r="T532">
            <v>37943</v>
          </cell>
          <cell r="U532">
            <v>0.36805555555555558</v>
          </cell>
          <cell r="V532">
            <v>37943</v>
          </cell>
          <cell r="W532">
            <v>0.36805555555555558</v>
          </cell>
          <cell r="X532">
            <v>3.4722222221413801E-2</v>
          </cell>
          <cell r="Y532">
            <v>3.4722222221413801E-2</v>
          </cell>
          <cell r="AB532">
            <v>11</v>
          </cell>
          <cell r="AC532">
            <v>9</v>
          </cell>
          <cell r="AD532">
            <v>0</v>
          </cell>
          <cell r="BF532">
            <v>11</v>
          </cell>
          <cell r="BG532">
            <v>0</v>
          </cell>
          <cell r="BH532">
            <v>0</v>
          </cell>
          <cell r="BI532">
            <v>0</v>
          </cell>
          <cell r="BJ532">
            <v>0</v>
          </cell>
          <cell r="BK532">
            <v>0</v>
          </cell>
          <cell r="BL532">
            <v>0</v>
          </cell>
          <cell r="BM532">
            <v>0</v>
          </cell>
          <cell r="BN532">
            <v>0</v>
          </cell>
          <cell r="BO532">
            <v>0</v>
          </cell>
          <cell r="BP532">
            <v>0</v>
          </cell>
          <cell r="BQ532">
            <v>0</v>
          </cell>
          <cell r="BR532">
            <v>0</v>
          </cell>
          <cell r="BS532">
            <v>0</v>
          </cell>
          <cell r="BT532">
            <v>0</v>
          </cell>
          <cell r="BU532">
            <v>0</v>
          </cell>
          <cell r="BV532">
            <v>0</v>
          </cell>
          <cell r="BW532">
            <v>0</v>
          </cell>
          <cell r="BX532">
            <v>0</v>
          </cell>
          <cell r="BY532">
            <v>0</v>
          </cell>
          <cell r="BZ532">
            <v>0</v>
          </cell>
          <cell r="CA532">
            <v>0</v>
          </cell>
          <cell r="CB532">
            <v>0</v>
          </cell>
          <cell r="CC532">
            <v>0</v>
          </cell>
          <cell r="CD532">
            <v>0</v>
          </cell>
        </row>
        <row r="533">
          <cell r="C533">
            <v>37894</v>
          </cell>
          <cell r="D533">
            <v>37971</v>
          </cell>
          <cell r="E533">
            <v>37943</v>
          </cell>
          <cell r="F533">
            <v>37943</v>
          </cell>
          <cell r="G533">
            <v>0.64583333333333337</v>
          </cell>
          <cell r="H533" t="str">
            <v>O robô não abre arco de solda</v>
          </cell>
          <cell r="I533">
            <v>0</v>
          </cell>
          <cell r="J533" t="str">
            <v>Sim</v>
          </cell>
          <cell r="K533" t="str">
            <v>Elétrica</v>
          </cell>
          <cell r="L533" t="str">
            <v>Sim</v>
          </cell>
          <cell r="M533" t="str">
            <v>Desgaste / Fadiga</v>
          </cell>
          <cell r="N533">
            <v>37943</v>
          </cell>
          <cell r="O533">
            <v>0.64583333333333337</v>
          </cell>
          <cell r="P533">
            <v>37943</v>
          </cell>
          <cell r="Q533">
            <v>0.64583333333333337</v>
          </cell>
          <cell r="T533">
            <v>37943</v>
          </cell>
          <cell r="U533">
            <v>0.75</v>
          </cell>
          <cell r="V533">
            <v>37943</v>
          </cell>
          <cell r="W533">
            <v>0.75</v>
          </cell>
          <cell r="X533">
            <v>0.10416666666666663</v>
          </cell>
          <cell r="Y533">
            <v>0.10416666666666663</v>
          </cell>
          <cell r="AB533">
            <v>11</v>
          </cell>
          <cell r="AC533">
            <v>9</v>
          </cell>
          <cell r="AD533">
            <v>0</v>
          </cell>
          <cell r="BF533">
            <v>11</v>
          </cell>
          <cell r="BG533">
            <v>0</v>
          </cell>
          <cell r="BH533">
            <v>0</v>
          </cell>
          <cell r="BI533">
            <v>0</v>
          </cell>
          <cell r="BJ533">
            <v>0</v>
          </cell>
          <cell r="BK533">
            <v>0</v>
          </cell>
          <cell r="BL533">
            <v>0</v>
          </cell>
          <cell r="BM533">
            <v>0</v>
          </cell>
          <cell r="BN533">
            <v>0</v>
          </cell>
          <cell r="BO533">
            <v>0</v>
          </cell>
          <cell r="BP533">
            <v>0</v>
          </cell>
          <cell r="BQ533">
            <v>0</v>
          </cell>
          <cell r="BR533">
            <v>0</v>
          </cell>
          <cell r="BS533">
            <v>0</v>
          </cell>
          <cell r="BT533">
            <v>0</v>
          </cell>
          <cell r="BU533">
            <v>0</v>
          </cell>
          <cell r="BV533">
            <v>0</v>
          </cell>
          <cell r="BW533">
            <v>0</v>
          </cell>
          <cell r="BX533">
            <v>0</v>
          </cell>
          <cell r="BY533">
            <v>0</v>
          </cell>
          <cell r="BZ533">
            <v>0</v>
          </cell>
          <cell r="CA533">
            <v>0</v>
          </cell>
          <cell r="CB533">
            <v>0</v>
          </cell>
          <cell r="CC533">
            <v>0</v>
          </cell>
          <cell r="CD533">
            <v>0</v>
          </cell>
        </row>
        <row r="534">
          <cell r="C534">
            <v>37894</v>
          </cell>
          <cell r="D534">
            <v>37971</v>
          </cell>
          <cell r="E534">
            <v>37957</v>
          </cell>
          <cell r="F534">
            <v>0.33333333333333331</v>
          </cell>
          <cell r="G534" t="str">
            <v>Células de Solda Automática</v>
          </cell>
          <cell r="H534" t="str">
            <v>Colocar suporte para placa de avisos</v>
          </cell>
          <cell r="I534">
            <v>0</v>
          </cell>
          <cell r="J534" t="str">
            <v>Não</v>
          </cell>
          <cell r="K534" t="str">
            <v>Mecânica</v>
          </cell>
          <cell r="L534" t="str">
            <v>Montagem / Instalação</v>
          </cell>
          <cell r="M534" t="str">
            <v>Melhoria Técnica</v>
          </cell>
          <cell r="N534">
            <v>37957</v>
          </cell>
          <cell r="O534">
            <v>0.4375</v>
          </cell>
          <cell r="P534">
            <v>0</v>
          </cell>
          <cell r="T534">
            <v>37957</v>
          </cell>
          <cell r="U534">
            <v>0.45833333333333331</v>
          </cell>
          <cell r="V534">
            <v>0</v>
          </cell>
          <cell r="W534">
            <v>2.0833333335758653E-2</v>
          </cell>
          <cell r="X534">
            <v>0</v>
          </cell>
          <cell r="Y534">
            <v>0</v>
          </cell>
          <cell r="AB534">
            <v>12</v>
          </cell>
          <cell r="AC534">
            <v>9</v>
          </cell>
          <cell r="AD534">
            <v>0</v>
          </cell>
          <cell r="BF534">
            <v>12</v>
          </cell>
          <cell r="BG534">
            <v>0</v>
          </cell>
          <cell r="BH534">
            <v>0</v>
          </cell>
          <cell r="BI534">
            <v>0</v>
          </cell>
          <cell r="BJ534">
            <v>0</v>
          </cell>
          <cell r="BK534">
            <v>0</v>
          </cell>
          <cell r="BL534">
            <v>0</v>
          </cell>
          <cell r="BM534">
            <v>0</v>
          </cell>
          <cell r="BN534">
            <v>0</v>
          </cell>
          <cell r="BO534">
            <v>0</v>
          </cell>
          <cell r="BP534">
            <v>0</v>
          </cell>
          <cell r="BQ534">
            <v>0</v>
          </cell>
          <cell r="BR534">
            <v>0</v>
          </cell>
          <cell r="BS534">
            <v>0</v>
          </cell>
          <cell r="BT534">
            <v>0</v>
          </cell>
          <cell r="BU534">
            <v>0</v>
          </cell>
          <cell r="BV534">
            <v>0</v>
          </cell>
          <cell r="BW534">
            <v>0</v>
          </cell>
          <cell r="BX534">
            <v>0</v>
          </cell>
          <cell r="BY534">
            <v>0</v>
          </cell>
          <cell r="BZ534">
            <v>0</v>
          </cell>
          <cell r="CA534">
            <v>0</v>
          </cell>
          <cell r="CB534">
            <v>0</v>
          </cell>
          <cell r="CC534">
            <v>0</v>
          </cell>
          <cell r="CD534">
            <v>0</v>
          </cell>
        </row>
        <row r="535">
          <cell r="C535">
            <v>37894</v>
          </cell>
          <cell r="D535">
            <v>37971</v>
          </cell>
          <cell r="E535">
            <v>37959</v>
          </cell>
          <cell r="F535">
            <v>0.33333333333333331</v>
          </cell>
          <cell r="G535" t="str">
            <v>Células de Solda Automática</v>
          </cell>
          <cell r="H535" t="str">
            <v>Robô de manipulação não está fechando a garra</v>
          </cell>
          <cell r="I535">
            <v>0</v>
          </cell>
          <cell r="J535" t="str">
            <v>Sim</v>
          </cell>
          <cell r="K535" t="str">
            <v>Mecânica</v>
          </cell>
          <cell r="L535" t="str">
            <v>Ajuste / Regulagem</v>
          </cell>
          <cell r="M535" t="str">
            <v>Falha de Regulagem / Configuração / Dimensionamento</v>
          </cell>
          <cell r="N535">
            <v>37959</v>
          </cell>
          <cell r="O535">
            <v>0.33333333333333331</v>
          </cell>
          <cell r="P535">
            <v>0</v>
          </cell>
          <cell r="T535">
            <v>37959</v>
          </cell>
          <cell r="U535">
            <v>0.35416666666666669</v>
          </cell>
          <cell r="V535">
            <v>0</v>
          </cell>
          <cell r="W535">
            <v>2.0833333330908033E-2</v>
          </cell>
          <cell r="X535">
            <v>0</v>
          </cell>
          <cell r="Y535">
            <v>0</v>
          </cell>
          <cell r="AB535">
            <v>12</v>
          </cell>
          <cell r="AC535">
            <v>9</v>
          </cell>
          <cell r="AD535">
            <v>0</v>
          </cell>
          <cell r="BF535">
            <v>12</v>
          </cell>
          <cell r="BG535">
            <v>0</v>
          </cell>
          <cell r="BH535">
            <v>0</v>
          </cell>
          <cell r="BI535">
            <v>0</v>
          </cell>
          <cell r="BJ535">
            <v>0</v>
          </cell>
          <cell r="BK535">
            <v>0</v>
          </cell>
          <cell r="BL535">
            <v>0</v>
          </cell>
          <cell r="BM535">
            <v>0</v>
          </cell>
          <cell r="BN535">
            <v>0</v>
          </cell>
          <cell r="BO535">
            <v>0</v>
          </cell>
          <cell r="BP535">
            <v>0</v>
          </cell>
          <cell r="BQ535">
            <v>0</v>
          </cell>
          <cell r="BR535">
            <v>0</v>
          </cell>
          <cell r="BS535">
            <v>0</v>
          </cell>
          <cell r="BT535">
            <v>0</v>
          </cell>
          <cell r="BU535">
            <v>0</v>
          </cell>
          <cell r="BV535">
            <v>0</v>
          </cell>
          <cell r="BW535">
            <v>0</v>
          </cell>
          <cell r="BX535">
            <v>0</v>
          </cell>
          <cell r="BY535">
            <v>0</v>
          </cell>
          <cell r="BZ535">
            <v>0</v>
          </cell>
          <cell r="CA535">
            <v>0</v>
          </cell>
          <cell r="CB535">
            <v>0</v>
          </cell>
          <cell r="CC535">
            <v>0</v>
          </cell>
          <cell r="CD535">
            <v>0</v>
          </cell>
        </row>
        <row r="536">
          <cell r="C536">
            <v>37894</v>
          </cell>
          <cell r="D536">
            <v>37971</v>
          </cell>
          <cell r="E536">
            <v>37959</v>
          </cell>
          <cell r="F536">
            <v>0.65277777777777779</v>
          </cell>
          <cell r="G536" t="str">
            <v>Células de Solda Automática</v>
          </cell>
          <cell r="H536" t="str">
            <v>O robô não abre arco de solda</v>
          </cell>
          <cell r="I536">
            <v>0</v>
          </cell>
          <cell r="J536" t="str">
            <v>Sim</v>
          </cell>
          <cell r="K536" t="str">
            <v>Elétrica</v>
          </cell>
          <cell r="L536" t="str">
            <v>Substituição do(s) Componente(s)</v>
          </cell>
          <cell r="M536" t="str">
            <v>Desgaste / Fadiga</v>
          </cell>
          <cell r="N536">
            <v>37959</v>
          </cell>
          <cell r="O536">
            <v>0.66666666666666663</v>
          </cell>
          <cell r="P536">
            <v>0</v>
          </cell>
          <cell r="T536">
            <v>37959</v>
          </cell>
          <cell r="U536">
            <v>0.70833333333333337</v>
          </cell>
          <cell r="V536">
            <v>0</v>
          </cell>
          <cell r="W536">
            <v>5.5555555557980862E-2</v>
          </cell>
          <cell r="X536">
            <v>0</v>
          </cell>
          <cell r="Y536">
            <v>0</v>
          </cell>
          <cell r="AB536">
            <v>12</v>
          </cell>
          <cell r="AC536">
            <v>9</v>
          </cell>
          <cell r="AD536">
            <v>0</v>
          </cell>
          <cell r="BF536">
            <v>12</v>
          </cell>
          <cell r="BG536">
            <v>0</v>
          </cell>
          <cell r="BH536">
            <v>0</v>
          </cell>
          <cell r="BI536">
            <v>0</v>
          </cell>
          <cell r="BJ536">
            <v>0</v>
          </cell>
          <cell r="BK536">
            <v>0</v>
          </cell>
          <cell r="BL536">
            <v>0</v>
          </cell>
          <cell r="BM536">
            <v>0</v>
          </cell>
          <cell r="BN536">
            <v>0</v>
          </cell>
          <cell r="BO536">
            <v>0</v>
          </cell>
          <cell r="BP536">
            <v>0</v>
          </cell>
          <cell r="BQ536">
            <v>0</v>
          </cell>
          <cell r="BR536">
            <v>0</v>
          </cell>
          <cell r="BS536">
            <v>0</v>
          </cell>
          <cell r="BT536">
            <v>0</v>
          </cell>
          <cell r="BU536">
            <v>0</v>
          </cell>
          <cell r="BV536">
            <v>0</v>
          </cell>
          <cell r="BW536">
            <v>0</v>
          </cell>
          <cell r="BX536">
            <v>0</v>
          </cell>
          <cell r="BY536">
            <v>0</v>
          </cell>
          <cell r="BZ536">
            <v>0</v>
          </cell>
          <cell r="CA536">
            <v>0</v>
          </cell>
          <cell r="CB536">
            <v>0</v>
          </cell>
          <cell r="CC536">
            <v>0</v>
          </cell>
          <cell r="CD536">
            <v>0</v>
          </cell>
        </row>
        <row r="537">
          <cell r="C537">
            <v>37908</v>
          </cell>
          <cell r="D537">
            <v>37924</v>
          </cell>
          <cell r="E537">
            <v>37908</v>
          </cell>
          <cell r="F537">
            <v>0.33333333333333331</v>
          </cell>
          <cell r="G537" t="str">
            <v>Perfiladora Zikeli</v>
          </cell>
          <cell r="H537" t="str">
            <v>Rolo de Entrada da Perfiladora quebrado</v>
          </cell>
          <cell r="I537" t="str">
            <v>Corretiva</v>
          </cell>
          <cell r="J537" t="str">
            <v>Sim</v>
          </cell>
          <cell r="K537" t="str">
            <v>Mecânica</v>
          </cell>
          <cell r="L537" t="str">
            <v>Reparo</v>
          </cell>
          <cell r="M537" t="str">
            <v>Falha de Regulagem / Configuração / Dimensionamento</v>
          </cell>
          <cell r="N537">
            <v>37908</v>
          </cell>
          <cell r="O537">
            <v>0.33333333333333331</v>
          </cell>
          <cell r="P537">
            <v>37908</v>
          </cell>
          <cell r="Q537">
            <v>0.33333333333333331</v>
          </cell>
          <cell r="T537">
            <v>37908</v>
          </cell>
          <cell r="U537">
            <v>0.54166666666666663</v>
          </cell>
          <cell r="V537">
            <v>37908</v>
          </cell>
          <cell r="W537">
            <v>0.54166666666666663</v>
          </cell>
          <cell r="X537">
            <v>0.20833333333333331</v>
          </cell>
          <cell r="Y537">
            <v>0.20833333333090803</v>
          </cell>
          <cell r="AB537">
            <v>10</v>
          </cell>
          <cell r="AC537">
            <v>10</v>
          </cell>
          <cell r="AD537">
            <v>0</v>
          </cell>
          <cell r="BF537">
            <v>0</v>
          </cell>
          <cell r="BG537">
            <v>0</v>
          </cell>
          <cell r="BH537">
            <v>0</v>
          </cell>
          <cell r="BI537">
            <v>0</v>
          </cell>
          <cell r="BJ537">
            <v>0</v>
          </cell>
          <cell r="BK537">
            <v>0</v>
          </cell>
          <cell r="BL537">
            <v>0</v>
          </cell>
          <cell r="BM537">
            <v>0</v>
          </cell>
          <cell r="BN537">
            <v>0</v>
          </cell>
          <cell r="BO537">
            <v>0</v>
          </cell>
          <cell r="BP537">
            <v>0</v>
          </cell>
          <cell r="BQ537">
            <v>0</v>
          </cell>
          <cell r="BR537">
            <v>0</v>
          </cell>
          <cell r="BS537">
            <v>0</v>
          </cell>
          <cell r="BT537">
            <v>0</v>
          </cell>
          <cell r="BU537">
            <v>0</v>
          </cell>
          <cell r="BV537">
            <v>0</v>
          </cell>
          <cell r="BW537">
            <v>10</v>
          </cell>
          <cell r="BX537">
            <v>0</v>
          </cell>
          <cell r="BY537">
            <v>0</v>
          </cell>
          <cell r="BZ537">
            <v>0</v>
          </cell>
          <cell r="CA537">
            <v>0</v>
          </cell>
          <cell r="CB537">
            <v>0</v>
          </cell>
          <cell r="CC537">
            <v>0</v>
          </cell>
          <cell r="CD537">
            <v>0</v>
          </cell>
        </row>
        <row r="538">
          <cell r="C538">
            <v>37908</v>
          </cell>
          <cell r="I538">
            <v>0</v>
          </cell>
          <cell r="N538">
            <v>0</v>
          </cell>
          <cell r="P538">
            <v>0</v>
          </cell>
          <cell r="T538">
            <v>0</v>
          </cell>
          <cell r="V538">
            <v>0</v>
          </cell>
          <cell r="W538">
            <v>0</v>
          </cell>
          <cell r="X538">
            <v>0</v>
          </cell>
          <cell r="Y538">
            <v>0</v>
          </cell>
          <cell r="AB538">
            <v>0</v>
          </cell>
          <cell r="AC538">
            <v>10</v>
          </cell>
          <cell r="AD538">
            <v>0</v>
          </cell>
          <cell r="BF538">
            <v>0</v>
          </cell>
          <cell r="BG538">
            <v>0</v>
          </cell>
          <cell r="BH538">
            <v>0</v>
          </cell>
          <cell r="BI538">
            <v>0</v>
          </cell>
          <cell r="BJ538">
            <v>0</v>
          </cell>
          <cell r="BK538">
            <v>0</v>
          </cell>
          <cell r="BL538">
            <v>0</v>
          </cell>
          <cell r="BM538">
            <v>0</v>
          </cell>
          <cell r="BN538">
            <v>0</v>
          </cell>
          <cell r="BO538">
            <v>0</v>
          </cell>
          <cell r="BP538">
            <v>0</v>
          </cell>
          <cell r="BQ538">
            <v>0</v>
          </cell>
          <cell r="BR538">
            <v>0</v>
          </cell>
          <cell r="BS538">
            <v>0</v>
          </cell>
          <cell r="BT538">
            <v>0</v>
          </cell>
          <cell r="BU538">
            <v>0</v>
          </cell>
          <cell r="BV538">
            <v>0</v>
          </cell>
          <cell r="BW538">
            <v>0</v>
          </cell>
          <cell r="BX538">
            <v>0</v>
          </cell>
          <cell r="BY538">
            <v>0</v>
          </cell>
          <cell r="BZ538">
            <v>0</v>
          </cell>
          <cell r="CA538">
            <v>0</v>
          </cell>
          <cell r="CB538">
            <v>0</v>
          </cell>
          <cell r="CC538">
            <v>0</v>
          </cell>
          <cell r="CD538">
            <v>0</v>
          </cell>
        </row>
        <row r="539">
          <cell r="C539">
            <v>37908</v>
          </cell>
          <cell r="D539">
            <v>37971</v>
          </cell>
          <cell r="E539">
            <v>37923</v>
          </cell>
          <cell r="F539">
            <v>0.60416666666666663</v>
          </cell>
          <cell r="G539" t="str">
            <v>Serra de Fita</v>
          </cell>
          <cell r="H539" t="str">
            <v>Máquina não liga</v>
          </cell>
          <cell r="I539">
            <v>0</v>
          </cell>
          <cell r="J539" t="str">
            <v>Sim</v>
          </cell>
          <cell r="K539" t="str">
            <v>Elétrica</v>
          </cell>
          <cell r="L539" t="str">
            <v>Substituição do(s) Componente(s)</v>
          </cell>
          <cell r="M539" t="str">
            <v>Travamento de Componente</v>
          </cell>
          <cell r="N539">
            <v>37923</v>
          </cell>
          <cell r="O539">
            <v>0.60416666666666663</v>
          </cell>
          <cell r="P539">
            <v>0</v>
          </cell>
          <cell r="T539">
            <v>37924</v>
          </cell>
          <cell r="U539">
            <v>0.72222222222222221</v>
          </cell>
          <cell r="V539">
            <v>0</v>
          </cell>
          <cell r="W539">
            <v>1.1180555555523219</v>
          </cell>
          <cell r="X539">
            <v>0</v>
          </cell>
          <cell r="Y539">
            <v>0</v>
          </cell>
          <cell r="AB539">
            <v>10</v>
          </cell>
          <cell r="AC539">
            <v>10</v>
          </cell>
          <cell r="AD539">
            <v>0</v>
          </cell>
          <cell r="BF539">
            <v>0</v>
          </cell>
          <cell r="BG539">
            <v>0</v>
          </cell>
          <cell r="BH539">
            <v>0</v>
          </cell>
          <cell r="BI539">
            <v>0</v>
          </cell>
          <cell r="BJ539">
            <v>0</v>
          </cell>
          <cell r="BK539">
            <v>0</v>
          </cell>
          <cell r="BL539">
            <v>0</v>
          </cell>
          <cell r="BM539">
            <v>0</v>
          </cell>
          <cell r="BN539">
            <v>0</v>
          </cell>
          <cell r="BO539">
            <v>0</v>
          </cell>
          <cell r="BP539">
            <v>0</v>
          </cell>
          <cell r="BQ539">
            <v>0</v>
          </cell>
          <cell r="BR539">
            <v>0</v>
          </cell>
          <cell r="BS539">
            <v>0</v>
          </cell>
          <cell r="BT539">
            <v>0</v>
          </cell>
          <cell r="BU539">
            <v>0</v>
          </cell>
          <cell r="BV539">
            <v>0</v>
          </cell>
          <cell r="BW539">
            <v>0</v>
          </cell>
          <cell r="BX539">
            <v>0</v>
          </cell>
          <cell r="BY539">
            <v>0</v>
          </cell>
          <cell r="BZ539">
            <v>0</v>
          </cell>
          <cell r="CA539">
            <v>0</v>
          </cell>
          <cell r="CB539">
            <v>0</v>
          </cell>
          <cell r="CC539">
            <v>10</v>
          </cell>
          <cell r="CD539">
            <v>0</v>
          </cell>
        </row>
        <row r="540">
          <cell r="C540">
            <v>37908</v>
          </cell>
          <cell r="I540">
            <v>0</v>
          </cell>
          <cell r="N540">
            <v>0</v>
          </cell>
          <cell r="P540">
            <v>0</v>
          </cell>
          <cell r="T540">
            <v>0</v>
          </cell>
          <cell r="V540">
            <v>0</v>
          </cell>
          <cell r="W540">
            <v>0</v>
          </cell>
          <cell r="X540">
            <v>0</v>
          </cell>
          <cell r="Y540">
            <v>0</v>
          </cell>
          <cell r="AB540">
            <v>0</v>
          </cell>
          <cell r="AC540">
            <v>10</v>
          </cell>
          <cell r="AD540">
            <v>0</v>
          </cell>
          <cell r="BF540">
            <v>0</v>
          </cell>
          <cell r="BG540">
            <v>0</v>
          </cell>
          <cell r="BH540">
            <v>0</v>
          </cell>
          <cell r="BI540">
            <v>0</v>
          </cell>
          <cell r="BJ540">
            <v>0</v>
          </cell>
          <cell r="BK540">
            <v>0</v>
          </cell>
          <cell r="BL540">
            <v>0</v>
          </cell>
          <cell r="BM540">
            <v>0</v>
          </cell>
          <cell r="BN540">
            <v>0</v>
          </cell>
          <cell r="BO540">
            <v>0</v>
          </cell>
          <cell r="BP540">
            <v>0</v>
          </cell>
          <cell r="BQ540">
            <v>0</v>
          </cell>
          <cell r="BR540">
            <v>0</v>
          </cell>
          <cell r="BS540">
            <v>0</v>
          </cell>
          <cell r="BT540">
            <v>0</v>
          </cell>
          <cell r="BU540">
            <v>0</v>
          </cell>
          <cell r="BV540">
            <v>0</v>
          </cell>
          <cell r="BW540">
            <v>0</v>
          </cell>
          <cell r="BX540">
            <v>0</v>
          </cell>
          <cell r="BY540">
            <v>0</v>
          </cell>
          <cell r="BZ540">
            <v>0</v>
          </cell>
          <cell r="CA540">
            <v>0</v>
          </cell>
          <cell r="CB540">
            <v>0</v>
          </cell>
          <cell r="CC540">
            <v>0</v>
          </cell>
          <cell r="CD540">
            <v>0</v>
          </cell>
        </row>
        <row r="541">
          <cell r="C541">
            <v>37908</v>
          </cell>
          <cell r="I541">
            <v>0</v>
          </cell>
          <cell r="N541">
            <v>0</v>
          </cell>
          <cell r="P541">
            <v>0</v>
          </cell>
          <cell r="T541">
            <v>0</v>
          </cell>
          <cell r="V541">
            <v>0</v>
          </cell>
          <cell r="W541">
            <v>0</v>
          </cell>
          <cell r="X541">
            <v>0</v>
          </cell>
          <cell r="Y541">
            <v>0</v>
          </cell>
          <cell r="AB541">
            <v>0</v>
          </cell>
          <cell r="AC541">
            <v>10</v>
          </cell>
          <cell r="AD541">
            <v>0</v>
          </cell>
          <cell r="BF541">
            <v>0</v>
          </cell>
          <cell r="BG541">
            <v>0</v>
          </cell>
          <cell r="BH541">
            <v>0</v>
          </cell>
          <cell r="BI541">
            <v>0</v>
          </cell>
          <cell r="BJ541">
            <v>0</v>
          </cell>
          <cell r="BK541">
            <v>0</v>
          </cell>
          <cell r="BL541">
            <v>0</v>
          </cell>
          <cell r="BM541">
            <v>0</v>
          </cell>
          <cell r="BN541">
            <v>0</v>
          </cell>
          <cell r="BO541">
            <v>0</v>
          </cell>
          <cell r="BP541">
            <v>0</v>
          </cell>
          <cell r="BQ541">
            <v>0</v>
          </cell>
          <cell r="BR541">
            <v>0</v>
          </cell>
          <cell r="BS541">
            <v>0</v>
          </cell>
          <cell r="BT541">
            <v>0</v>
          </cell>
          <cell r="BU541">
            <v>0</v>
          </cell>
          <cell r="BV541">
            <v>0</v>
          </cell>
          <cell r="BW541">
            <v>0</v>
          </cell>
          <cell r="BX541">
            <v>0</v>
          </cell>
          <cell r="BY541">
            <v>0</v>
          </cell>
          <cell r="BZ541">
            <v>0</v>
          </cell>
          <cell r="CA541">
            <v>0</v>
          </cell>
          <cell r="CB541">
            <v>0</v>
          </cell>
          <cell r="CC541">
            <v>0</v>
          </cell>
          <cell r="CD541">
            <v>0</v>
          </cell>
        </row>
        <row r="542">
          <cell r="C542">
            <v>37908</v>
          </cell>
          <cell r="I542">
            <v>0</v>
          </cell>
          <cell r="N542">
            <v>0</v>
          </cell>
          <cell r="P542">
            <v>0</v>
          </cell>
          <cell r="T542">
            <v>0</v>
          </cell>
          <cell r="V542">
            <v>0</v>
          </cell>
          <cell r="W542">
            <v>0</v>
          </cell>
          <cell r="X542">
            <v>0</v>
          </cell>
          <cell r="Y542">
            <v>0</v>
          </cell>
          <cell r="AB542">
            <v>0</v>
          </cell>
          <cell r="AC542">
            <v>10</v>
          </cell>
          <cell r="AD542">
            <v>0</v>
          </cell>
          <cell r="BF542">
            <v>0</v>
          </cell>
          <cell r="BG542">
            <v>0</v>
          </cell>
          <cell r="BH542">
            <v>0</v>
          </cell>
          <cell r="BI542">
            <v>0</v>
          </cell>
          <cell r="BJ542">
            <v>0</v>
          </cell>
          <cell r="BK542">
            <v>0</v>
          </cell>
          <cell r="BL542">
            <v>0</v>
          </cell>
          <cell r="BM542">
            <v>0</v>
          </cell>
          <cell r="BN542">
            <v>0</v>
          </cell>
          <cell r="BO542">
            <v>0</v>
          </cell>
          <cell r="BP542">
            <v>0</v>
          </cell>
          <cell r="BQ542">
            <v>0</v>
          </cell>
          <cell r="BR542">
            <v>0</v>
          </cell>
          <cell r="BS542">
            <v>0</v>
          </cell>
          <cell r="BT542">
            <v>0</v>
          </cell>
          <cell r="BU542">
            <v>0</v>
          </cell>
          <cell r="BV542">
            <v>0</v>
          </cell>
          <cell r="BW542">
            <v>0</v>
          </cell>
          <cell r="BX542">
            <v>0</v>
          </cell>
          <cell r="BY542">
            <v>0</v>
          </cell>
          <cell r="BZ542">
            <v>0</v>
          </cell>
          <cell r="CA542">
            <v>0</v>
          </cell>
          <cell r="CB542">
            <v>0</v>
          </cell>
          <cell r="CC542">
            <v>0</v>
          </cell>
          <cell r="CD542">
            <v>0</v>
          </cell>
        </row>
        <row r="543">
          <cell r="C543">
            <v>37908</v>
          </cell>
          <cell r="I543">
            <v>0</v>
          </cell>
          <cell r="N543">
            <v>0</v>
          </cell>
          <cell r="P543">
            <v>0</v>
          </cell>
          <cell r="T543">
            <v>0</v>
          </cell>
          <cell r="V543">
            <v>0</v>
          </cell>
          <cell r="W543">
            <v>0</v>
          </cell>
          <cell r="X543">
            <v>0</v>
          </cell>
          <cell r="Y543">
            <v>0</v>
          </cell>
          <cell r="AB543">
            <v>0</v>
          </cell>
          <cell r="AC543">
            <v>10</v>
          </cell>
          <cell r="AD543">
            <v>0</v>
          </cell>
          <cell r="BF543">
            <v>0</v>
          </cell>
          <cell r="BG543">
            <v>0</v>
          </cell>
          <cell r="BH543">
            <v>0</v>
          </cell>
          <cell r="BI543">
            <v>0</v>
          </cell>
          <cell r="BJ543">
            <v>0</v>
          </cell>
          <cell r="BK543">
            <v>0</v>
          </cell>
          <cell r="BL543">
            <v>0</v>
          </cell>
          <cell r="BM543">
            <v>0</v>
          </cell>
          <cell r="BN543">
            <v>0</v>
          </cell>
          <cell r="BO543">
            <v>0</v>
          </cell>
          <cell r="BP543">
            <v>0</v>
          </cell>
          <cell r="BQ543">
            <v>0</v>
          </cell>
          <cell r="BR543">
            <v>0</v>
          </cell>
          <cell r="BS543">
            <v>0</v>
          </cell>
          <cell r="BT543">
            <v>0</v>
          </cell>
          <cell r="BU543">
            <v>0</v>
          </cell>
          <cell r="BV543">
            <v>0</v>
          </cell>
          <cell r="BW543">
            <v>0</v>
          </cell>
          <cell r="BX543">
            <v>0</v>
          </cell>
          <cell r="BY543">
            <v>0</v>
          </cell>
          <cell r="BZ543">
            <v>0</v>
          </cell>
          <cell r="CA543">
            <v>0</v>
          </cell>
          <cell r="CB543">
            <v>0</v>
          </cell>
          <cell r="CC543">
            <v>0</v>
          </cell>
          <cell r="CD543">
            <v>0</v>
          </cell>
        </row>
        <row r="544">
          <cell r="C544">
            <v>37908</v>
          </cell>
          <cell r="I544">
            <v>0</v>
          </cell>
          <cell r="N544">
            <v>0</v>
          </cell>
          <cell r="P544">
            <v>0</v>
          </cell>
          <cell r="T544">
            <v>0</v>
          </cell>
          <cell r="V544">
            <v>0</v>
          </cell>
          <cell r="W544">
            <v>0</v>
          </cell>
          <cell r="X544">
            <v>0</v>
          </cell>
          <cell r="Y544">
            <v>0</v>
          </cell>
          <cell r="AB544">
            <v>0</v>
          </cell>
          <cell r="AC544">
            <v>10</v>
          </cell>
          <cell r="AD544">
            <v>0</v>
          </cell>
          <cell r="BF544">
            <v>0</v>
          </cell>
          <cell r="BG544">
            <v>0</v>
          </cell>
          <cell r="BH544">
            <v>0</v>
          </cell>
          <cell r="BI544">
            <v>0</v>
          </cell>
          <cell r="BJ544">
            <v>0</v>
          </cell>
          <cell r="BK544">
            <v>0</v>
          </cell>
          <cell r="BL544">
            <v>0</v>
          </cell>
          <cell r="BM544">
            <v>0</v>
          </cell>
          <cell r="BN544">
            <v>0</v>
          </cell>
          <cell r="BO544">
            <v>0</v>
          </cell>
          <cell r="BP544">
            <v>0</v>
          </cell>
          <cell r="BQ544">
            <v>0</v>
          </cell>
          <cell r="BR544">
            <v>0</v>
          </cell>
          <cell r="BS544">
            <v>0</v>
          </cell>
          <cell r="BT544">
            <v>0</v>
          </cell>
          <cell r="BU544">
            <v>0</v>
          </cell>
          <cell r="BV544">
            <v>0</v>
          </cell>
          <cell r="BW544">
            <v>0</v>
          </cell>
          <cell r="BX544">
            <v>0</v>
          </cell>
          <cell r="BY544">
            <v>0</v>
          </cell>
          <cell r="BZ544">
            <v>0</v>
          </cell>
          <cell r="CA544">
            <v>0</v>
          </cell>
          <cell r="CB544">
            <v>0</v>
          </cell>
          <cell r="CC544">
            <v>0</v>
          </cell>
          <cell r="CD544">
            <v>0</v>
          </cell>
        </row>
        <row r="545">
          <cell r="C545">
            <v>37908</v>
          </cell>
          <cell r="I545">
            <v>0</v>
          </cell>
          <cell r="N545">
            <v>0</v>
          </cell>
          <cell r="P545">
            <v>0</v>
          </cell>
          <cell r="T545">
            <v>0</v>
          </cell>
          <cell r="V545">
            <v>0</v>
          </cell>
          <cell r="W545">
            <v>0</v>
          </cell>
          <cell r="X545">
            <v>0</v>
          </cell>
          <cell r="Y545">
            <v>0</v>
          </cell>
          <cell r="AB545">
            <v>0</v>
          </cell>
          <cell r="AC545">
            <v>10</v>
          </cell>
          <cell r="AD545">
            <v>0</v>
          </cell>
          <cell r="BF545">
            <v>0</v>
          </cell>
          <cell r="BG545">
            <v>0</v>
          </cell>
          <cell r="BH545">
            <v>0</v>
          </cell>
          <cell r="BI545">
            <v>0</v>
          </cell>
          <cell r="BJ545">
            <v>0</v>
          </cell>
          <cell r="BK545">
            <v>0</v>
          </cell>
          <cell r="BL545">
            <v>0</v>
          </cell>
          <cell r="BM545">
            <v>0</v>
          </cell>
          <cell r="BN545">
            <v>0</v>
          </cell>
          <cell r="BO545">
            <v>0</v>
          </cell>
          <cell r="BP545">
            <v>0</v>
          </cell>
          <cell r="BQ545">
            <v>0</v>
          </cell>
          <cell r="BR545">
            <v>0</v>
          </cell>
          <cell r="BS545">
            <v>0</v>
          </cell>
          <cell r="BT545">
            <v>0</v>
          </cell>
          <cell r="BU545">
            <v>0</v>
          </cell>
          <cell r="BV545">
            <v>0</v>
          </cell>
          <cell r="BW545">
            <v>0</v>
          </cell>
          <cell r="BX545">
            <v>0</v>
          </cell>
          <cell r="BY545">
            <v>0</v>
          </cell>
          <cell r="BZ545">
            <v>0</v>
          </cell>
          <cell r="CA545">
            <v>0</v>
          </cell>
          <cell r="CB545">
            <v>0</v>
          </cell>
          <cell r="CC545">
            <v>0</v>
          </cell>
          <cell r="CD545">
            <v>0</v>
          </cell>
        </row>
        <row r="546">
          <cell r="C546">
            <v>37908</v>
          </cell>
          <cell r="I546">
            <v>0</v>
          </cell>
          <cell r="N546">
            <v>0</v>
          </cell>
          <cell r="P546">
            <v>0</v>
          </cell>
          <cell r="T546">
            <v>0</v>
          </cell>
          <cell r="V546">
            <v>0</v>
          </cell>
          <cell r="W546">
            <v>0</v>
          </cell>
          <cell r="X546">
            <v>0</v>
          </cell>
          <cell r="Y546">
            <v>0</v>
          </cell>
          <cell r="AB546">
            <v>0</v>
          </cell>
          <cell r="AC546">
            <v>10</v>
          </cell>
          <cell r="AD546">
            <v>0</v>
          </cell>
          <cell r="BF546">
            <v>0</v>
          </cell>
          <cell r="BG546">
            <v>0</v>
          </cell>
          <cell r="BH546">
            <v>0</v>
          </cell>
          <cell r="BI546">
            <v>0</v>
          </cell>
          <cell r="BJ546">
            <v>0</v>
          </cell>
          <cell r="BK546">
            <v>0</v>
          </cell>
          <cell r="BL546">
            <v>0</v>
          </cell>
          <cell r="BM546">
            <v>0</v>
          </cell>
          <cell r="BN546">
            <v>0</v>
          </cell>
          <cell r="BO546">
            <v>0</v>
          </cell>
          <cell r="BP546">
            <v>0</v>
          </cell>
          <cell r="BQ546">
            <v>0</v>
          </cell>
          <cell r="BR546">
            <v>0</v>
          </cell>
          <cell r="BS546">
            <v>0</v>
          </cell>
          <cell r="BT546">
            <v>0</v>
          </cell>
          <cell r="BU546">
            <v>0</v>
          </cell>
          <cell r="BV546">
            <v>0</v>
          </cell>
          <cell r="BW546">
            <v>0</v>
          </cell>
          <cell r="BX546">
            <v>0</v>
          </cell>
          <cell r="BY546">
            <v>0</v>
          </cell>
          <cell r="BZ546">
            <v>0</v>
          </cell>
          <cell r="CA546">
            <v>0</v>
          </cell>
          <cell r="CB546">
            <v>0</v>
          </cell>
          <cell r="CC546">
            <v>0</v>
          </cell>
          <cell r="CD546">
            <v>0</v>
          </cell>
        </row>
        <row r="547">
          <cell r="C547">
            <v>37908</v>
          </cell>
          <cell r="I547">
            <v>0</v>
          </cell>
          <cell r="N547">
            <v>0</v>
          </cell>
          <cell r="P547">
            <v>0</v>
          </cell>
          <cell r="T547">
            <v>0</v>
          </cell>
          <cell r="V547">
            <v>0</v>
          </cell>
          <cell r="W547">
            <v>0</v>
          </cell>
          <cell r="X547">
            <v>0</v>
          </cell>
          <cell r="Y547">
            <v>0</v>
          </cell>
          <cell r="AB547">
            <v>0</v>
          </cell>
          <cell r="AC547">
            <v>10</v>
          </cell>
          <cell r="AD547">
            <v>0</v>
          </cell>
          <cell r="BF547">
            <v>0</v>
          </cell>
          <cell r="BG547">
            <v>0</v>
          </cell>
          <cell r="BH547">
            <v>0</v>
          </cell>
          <cell r="BI547">
            <v>0</v>
          </cell>
          <cell r="BJ547">
            <v>0</v>
          </cell>
          <cell r="BK547">
            <v>0</v>
          </cell>
          <cell r="BL547">
            <v>0</v>
          </cell>
          <cell r="BM547">
            <v>0</v>
          </cell>
          <cell r="BN547">
            <v>0</v>
          </cell>
          <cell r="BO547">
            <v>0</v>
          </cell>
          <cell r="BP547">
            <v>0</v>
          </cell>
          <cell r="BQ547">
            <v>0</v>
          </cell>
          <cell r="BR547">
            <v>0</v>
          </cell>
          <cell r="BS547">
            <v>0</v>
          </cell>
          <cell r="BT547">
            <v>0</v>
          </cell>
          <cell r="BU547">
            <v>0</v>
          </cell>
          <cell r="BV547">
            <v>0</v>
          </cell>
          <cell r="BW547">
            <v>0</v>
          </cell>
          <cell r="BX547">
            <v>0</v>
          </cell>
          <cell r="BY547">
            <v>0</v>
          </cell>
          <cell r="BZ547">
            <v>0</v>
          </cell>
          <cell r="CA547">
            <v>0</v>
          </cell>
          <cell r="CB547">
            <v>0</v>
          </cell>
          <cell r="CC547">
            <v>0</v>
          </cell>
          <cell r="CD547">
            <v>0</v>
          </cell>
        </row>
        <row r="548">
          <cell r="C548">
            <v>37908</v>
          </cell>
          <cell r="I548">
            <v>0</v>
          </cell>
          <cell r="N548">
            <v>0</v>
          </cell>
          <cell r="P548">
            <v>0</v>
          </cell>
          <cell r="T548">
            <v>0</v>
          </cell>
          <cell r="V548">
            <v>0</v>
          </cell>
          <cell r="W548">
            <v>0</v>
          </cell>
          <cell r="X548">
            <v>0</v>
          </cell>
          <cell r="Y548">
            <v>0</v>
          </cell>
          <cell r="AB548">
            <v>0</v>
          </cell>
          <cell r="AC548">
            <v>10</v>
          </cell>
          <cell r="AD548">
            <v>0</v>
          </cell>
          <cell r="BF548">
            <v>0</v>
          </cell>
          <cell r="BG548">
            <v>0</v>
          </cell>
          <cell r="BH548">
            <v>0</v>
          </cell>
          <cell r="BI548">
            <v>0</v>
          </cell>
          <cell r="BJ548">
            <v>0</v>
          </cell>
          <cell r="BK548">
            <v>0</v>
          </cell>
          <cell r="BL548">
            <v>0</v>
          </cell>
          <cell r="BM548">
            <v>0</v>
          </cell>
          <cell r="BN548">
            <v>0</v>
          </cell>
          <cell r="BO548">
            <v>0</v>
          </cell>
          <cell r="BP548">
            <v>0</v>
          </cell>
          <cell r="BQ548">
            <v>0</v>
          </cell>
          <cell r="BR548">
            <v>0</v>
          </cell>
          <cell r="BS548">
            <v>0</v>
          </cell>
          <cell r="BT548">
            <v>0</v>
          </cell>
          <cell r="BU548">
            <v>0</v>
          </cell>
          <cell r="BV548">
            <v>0</v>
          </cell>
          <cell r="BW548">
            <v>0</v>
          </cell>
          <cell r="BX548">
            <v>0</v>
          </cell>
          <cell r="BY548">
            <v>0</v>
          </cell>
          <cell r="BZ548">
            <v>0</v>
          </cell>
          <cell r="CA548">
            <v>0</v>
          </cell>
          <cell r="CB548">
            <v>0</v>
          </cell>
          <cell r="CC548">
            <v>0</v>
          </cell>
          <cell r="CD548">
            <v>0</v>
          </cell>
        </row>
        <row r="549">
          <cell r="C549">
            <v>37908</v>
          </cell>
          <cell r="I549">
            <v>0</v>
          </cell>
          <cell r="N549">
            <v>0</v>
          </cell>
          <cell r="P549">
            <v>0</v>
          </cell>
          <cell r="T549">
            <v>0</v>
          </cell>
          <cell r="V549">
            <v>0</v>
          </cell>
          <cell r="W549">
            <v>0</v>
          </cell>
          <cell r="X549">
            <v>0</v>
          </cell>
          <cell r="Y549">
            <v>0</v>
          </cell>
          <cell r="AB549">
            <v>0</v>
          </cell>
          <cell r="AC549">
            <v>10</v>
          </cell>
          <cell r="AD549">
            <v>0</v>
          </cell>
          <cell r="BF549">
            <v>0</v>
          </cell>
          <cell r="BG549">
            <v>0</v>
          </cell>
          <cell r="BH549">
            <v>0</v>
          </cell>
          <cell r="BI549">
            <v>0</v>
          </cell>
          <cell r="BJ549">
            <v>0</v>
          </cell>
          <cell r="BK549">
            <v>0</v>
          </cell>
          <cell r="BL549">
            <v>0</v>
          </cell>
          <cell r="BM549">
            <v>0</v>
          </cell>
          <cell r="BN549">
            <v>0</v>
          </cell>
          <cell r="BO549">
            <v>0</v>
          </cell>
          <cell r="BP549">
            <v>0</v>
          </cell>
          <cell r="BQ549">
            <v>0</v>
          </cell>
          <cell r="BR549">
            <v>0</v>
          </cell>
          <cell r="BS549">
            <v>0</v>
          </cell>
          <cell r="BT549">
            <v>0</v>
          </cell>
          <cell r="BU549">
            <v>0</v>
          </cell>
          <cell r="BV549">
            <v>0</v>
          </cell>
          <cell r="BW549">
            <v>0</v>
          </cell>
          <cell r="BX549">
            <v>0</v>
          </cell>
          <cell r="BY549">
            <v>0</v>
          </cell>
          <cell r="BZ549">
            <v>0</v>
          </cell>
          <cell r="CA549">
            <v>0</v>
          </cell>
          <cell r="CB549">
            <v>0</v>
          </cell>
          <cell r="CC549">
            <v>0</v>
          </cell>
          <cell r="CD549">
            <v>0</v>
          </cell>
        </row>
        <row r="550">
          <cell r="C550">
            <v>37908</v>
          </cell>
          <cell r="I550">
            <v>0</v>
          </cell>
          <cell r="N550">
            <v>0</v>
          </cell>
          <cell r="P550">
            <v>0</v>
          </cell>
          <cell r="T550">
            <v>0</v>
          </cell>
          <cell r="V550">
            <v>0</v>
          </cell>
          <cell r="W550">
            <v>0</v>
          </cell>
          <cell r="X550">
            <v>0</v>
          </cell>
          <cell r="Y550">
            <v>0</v>
          </cell>
          <cell r="AB550">
            <v>0</v>
          </cell>
          <cell r="AC550">
            <v>10</v>
          </cell>
          <cell r="AD550">
            <v>0</v>
          </cell>
          <cell r="BF550">
            <v>0</v>
          </cell>
          <cell r="BG550">
            <v>0</v>
          </cell>
          <cell r="BH550">
            <v>0</v>
          </cell>
          <cell r="BI550">
            <v>0</v>
          </cell>
          <cell r="BJ550">
            <v>0</v>
          </cell>
          <cell r="BK550">
            <v>0</v>
          </cell>
          <cell r="BL550">
            <v>0</v>
          </cell>
          <cell r="BM550">
            <v>0</v>
          </cell>
          <cell r="BN550">
            <v>0</v>
          </cell>
          <cell r="BO550">
            <v>0</v>
          </cell>
          <cell r="BP550">
            <v>0</v>
          </cell>
          <cell r="BQ550">
            <v>0</v>
          </cell>
          <cell r="BR550">
            <v>0</v>
          </cell>
          <cell r="BS550">
            <v>0</v>
          </cell>
          <cell r="BT550">
            <v>0</v>
          </cell>
          <cell r="BU550">
            <v>0</v>
          </cell>
          <cell r="BV550">
            <v>0</v>
          </cell>
          <cell r="BW550">
            <v>0</v>
          </cell>
          <cell r="BX550">
            <v>0</v>
          </cell>
          <cell r="BY550">
            <v>0</v>
          </cell>
          <cell r="BZ550">
            <v>0</v>
          </cell>
          <cell r="CA550">
            <v>0</v>
          </cell>
          <cell r="CB550">
            <v>0</v>
          </cell>
          <cell r="CC550">
            <v>0</v>
          </cell>
          <cell r="CD550">
            <v>0</v>
          </cell>
        </row>
        <row r="551">
          <cell r="C551">
            <v>37908</v>
          </cell>
          <cell r="I551">
            <v>0</v>
          </cell>
          <cell r="N551">
            <v>0</v>
          </cell>
          <cell r="P551">
            <v>0</v>
          </cell>
          <cell r="T551">
            <v>0</v>
          </cell>
          <cell r="V551">
            <v>0</v>
          </cell>
          <cell r="W551">
            <v>0</v>
          </cell>
          <cell r="X551">
            <v>0</v>
          </cell>
          <cell r="Y551">
            <v>0</v>
          </cell>
          <cell r="AB551">
            <v>0</v>
          </cell>
          <cell r="AC551">
            <v>10</v>
          </cell>
          <cell r="AD551">
            <v>0</v>
          </cell>
          <cell r="BF551">
            <v>0</v>
          </cell>
          <cell r="BG551">
            <v>0</v>
          </cell>
          <cell r="BH551">
            <v>0</v>
          </cell>
          <cell r="BI551">
            <v>0</v>
          </cell>
          <cell r="BJ551">
            <v>0</v>
          </cell>
          <cell r="BK551">
            <v>0</v>
          </cell>
          <cell r="BL551">
            <v>0</v>
          </cell>
          <cell r="BM551">
            <v>0</v>
          </cell>
          <cell r="BN551">
            <v>0</v>
          </cell>
          <cell r="BO551">
            <v>0</v>
          </cell>
          <cell r="BP551">
            <v>0</v>
          </cell>
          <cell r="BQ551">
            <v>0</v>
          </cell>
          <cell r="BR551">
            <v>0</v>
          </cell>
          <cell r="BS551">
            <v>0</v>
          </cell>
          <cell r="BT551">
            <v>0</v>
          </cell>
          <cell r="BU551">
            <v>0</v>
          </cell>
          <cell r="BV551">
            <v>0</v>
          </cell>
          <cell r="BW551">
            <v>0</v>
          </cell>
          <cell r="BX551">
            <v>0</v>
          </cell>
          <cell r="BY551">
            <v>0</v>
          </cell>
          <cell r="BZ551">
            <v>0</v>
          </cell>
          <cell r="CA551">
            <v>0</v>
          </cell>
          <cell r="CB551">
            <v>0</v>
          </cell>
          <cell r="CC551">
            <v>0</v>
          </cell>
          <cell r="CD551">
            <v>0</v>
          </cell>
        </row>
        <row r="552">
          <cell r="C552">
            <v>37908</v>
          </cell>
          <cell r="D552">
            <v>37971</v>
          </cell>
          <cell r="E552">
            <v>37943</v>
          </cell>
          <cell r="F552">
            <v>37943</v>
          </cell>
          <cell r="G552">
            <v>0.54166666666666663</v>
          </cell>
          <cell r="H552" t="str">
            <v>Braço superior Prensa rompido</v>
          </cell>
          <cell r="I552">
            <v>0</v>
          </cell>
          <cell r="J552" t="str">
            <v>Não</v>
          </cell>
          <cell r="K552" t="str">
            <v>Mecânica</v>
          </cell>
          <cell r="L552" t="str">
            <v>sim</v>
          </cell>
          <cell r="M552" t="str">
            <v>Vibração</v>
          </cell>
          <cell r="N552">
            <v>37943</v>
          </cell>
          <cell r="O552">
            <v>0.5625</v>
          </cell>
          <cell r="P552">
            <v>37943</v>
          </cell>
          <cell r="Q552">
            <v>0.5625</v>
          </cell>
          <cell r="T552">
            <v>37944</v>
          </cell>
          <cell r="U552">
            <v>0.52777777777777779</v>
          </cell>
          <cell r="V552">
            <v>37944</v>
          </cell>
          <cell r="W552">
            <v>0.52777777777777779</v>
          </cell>
          <cell r="X552">
            <v>0.96527777777777779</v>
          </cell>
          <cell r="Y552">
            <v>0.96527777778101154</v>
          </cell>
          <cell r="AB552">
            <v>11</v>
          </cell>
          <cell r="AC552">
            <v>10</v>
          </cell>
          <cell r="AD552">
            <v>0</v>
          </cell>
          <cell r="BF552">
            <v>0</v>
          </cell>
          <cell r="BG552">
            <v>0</v>
          </cell>
          <cell r="BH552">
            <v>0</v>
          </cell>
          <cell r="BI552">
            <v>0</v>
          </cell>
          <cell r="BJ552">
            <v>0</v>
          </cell>
          <cell r="BK552">
            <v>0</v>
          </cell>
          <cell r="BL552">
            <v>0</v>
          </cell>
          <cell r="BM552">
            <v>0</v>
          </cell>
          <cell r="BN552">
            <v>0</v>
          </cell>
          <cell r="BO552">
            <v>0</v>
          </cell>
          <cell r="BP552">
            <v>0</v>
          </cell>
          <cell r="BQ552">
            <v>0</v>
          </cell>
          <cell r="BR552">
            <v>0</v>
          </cell>
          <cell r="BS552">
            <v>0</v>
          </cell>
          <cell r="BT552">
            <v>0</v>
          </cell>
          <cell r="BU552">
            <v>0</v>
          </cell>
          <cell r="BV552">
            <v>0</v>
          </cell>
          <cell r="BW552">
            <v>11</v>
          </cell>
          <cell r="BX552">
            <v>0</v>
          </cell>
          <cell r="BY552">
            <v>0</v>
          </cell>
          <cell r="BZ552">
            <v>0</v>
          </cell>
          <cell r="CA552">
            <v>0</v>
          </cell>
          <cell r="CB552">
            <v>0</v>
          </cell>
          <cell r="CC552">
            <v>0</v>
          </cell>
          <cell r="CD552">
            <v>0</v>
          </cell>
        </row>
        <row r="553">
          <cell r="C553">
            <v>37908</v>
          </cell>
          <cell r="I553">
            <v>0</v>
          </cell>
          <cell r="N553">
            <v>0</v>
          </cell>
          <cell r="P553">
            <v>0</v>
          </cell>
          <cell r="T553">
            <v>0</v>
          </cell>
          <cell r="V553">
            <v>0</v>
          </cell>
          <cell r="W553">
            <v>0</v>
          </cell>
          <cell r="X553">
            <v>0</v>
          </cell>
          <cell r="Y553">
            <v>0</v>
          </cell>
          <cell r="AB553">
            <v>0</v>
          </cell>
          <cell r="AC553">
            <v>10</v>
          </cell>
          <cell r="AD553">
            <v>0</v>
          </cell>
          <cell r="BF553">
            <v>0</v>
          </cell>
          <cell r="BG553">
            <v>0</v>
          </cell>
          <cell r="BH553">
            <v>0</v>
          </cell>
          <cell r="BI553">
            <v>0</v>
          </cell>
          <cell r="BJ553">
            <v>0</v>
          </cell>
          <cell r="BK553">
            <v>0</v>
          </cell>
          <cell r="BL553">
            <v>0</v>
          </cell>
          <cell r="BM553">
            <v>0</v>
          </cell>
          <cell r="BN553">
            <v>0</v>
          </cell>
          <cell r="BO553">
            <v>0</v>
          </cell>
          <cell r="BP553">
            <v>0</v>
          </cell>
          <cell r="BQ553">
            <v>0</v>
          </cell>
          <cell r="BR553">
            <v>0</v>
          </cell>
          <cell r="BS553">
            <v>0</v>
          </cell>
          <cell r="BT553">
            <v>0</v>
          </cell>
          <cell r="BU553">
            <v>0</v>
          </cell>
          <cell r="BV553">
            <v>0</v>
          </cell>
          <cell r="BW553">
            <v>0</v>
          </cell>
          <cell r="BX553">
            <v>0</v>
          </cell>
          <cell r="BY553">
            <v>0</v>
          </cell>
          <cell r="BZ553">
            <v>0</v>
          </cell>
          <cell r="CA553">
            <v>0</v>
          </cell>
          <cell r="CB553">
            <v>0</v>
          </cell>
          <cell r="CC553">
            <v>0</v>
          </cell>
          <cell r="CD553">
            <v>0</v>
          </cell>
        </row>
        <row r="554">
          <cell r="C554">
            <v>37908</v>
          </cell>
          <cell r="I554">
            <v>0</v>
          </cell>
          <cell r="N554">
            <v>0</v>
          </cell>
          <cell r="P554">
            <v>0</v>
          </cell>
          <cell r="T554">
            <v>0</v>
          </cell>
          <cell r="V554">
            <v>0</v>
          </cell>
          <cell r="W554">
            <v>0</v>
          </cell>
          <cell r="X554">
            <v>0</v>
          </cell>
          <cell r="Y554">
            <v>0</v>
          </cell>
          <cell r="AB554">
            <v>0</v>
          </cell>
          <cell r="AC554">
            <v>10</v>
          </cell>
          <cell r="AD554">
            <v>0</v>
          </cell>
          <cell r="BF554">
            <v>0</v>
          </cell>
          <cell r="BG554">
            <v>0</v>
          </cell>
          <cell r="BH554">
            <v>0</v>
          </cell>
          <cell r="BI554">
            <v>0</v>
          </cell>
          <cell r="BJ554">
            <v>0</v>
          </cell>
          <cell r="BK554">
            <v>0</v>
          </cell>
          <cell r="BL554">
            <v>0</v>
          </cell>
          <cell r="BM554">
            <v>0</v>
          </cell>
          <cell r="BN554">
            <v>0</v>
          </cell>
          <cell r="BO554">
            <v>0</v>
          </cell>
          <cell r="BP554">
            <v>0</v>
          </cell>
          <cell r="BQ554">
            <v>0</v>
          </cell>
          <cell r="BR554">
            <v>0</v>
          </cell>
          <cell r="BS554">
            <v>0</v>
          </cell>
          <cell r="BT554">
            <v>0</v>
          </cell>
          <cell r="BU554">
            <v>0</v>
          </cell>
          <cell r="BV554">
            <v>0</v>
          </cell>
          <cell r="BW554">
            <v>0</v>
          </cell>
          <cell r="BX554">
            <v>0</v>
          </cell>
          <cell r="BY554">
            <v>0</v>
          </cell>
          <cell r="BZ554">
            <v>0</v>
          </cell>
          <cell r="CA554">
            <v>0</v>
          </cell>
          <cell r="CB554">
            <v>0</v>
          </cell>
          <cell r="CC554">
            <v>0</v>
          </cell>
          <cell r="CD554">
            <v>0</v>
          </cell>
        </row>
        <row r="555">
          <cell r="C555">
            <v>37908</v>
          </cell>
          <cell r="I555">
            <v>0</v>
          </cell>
          <cell r="N555">
            <v>0</v>
          </cell>
          <cell r="P555">
            <v>0</v>
          </cell>
          <cell r="T555">
            <v>0</v>
          </cell>
          <cell r="V555">
            <v>0</v>
          </cell>
          <cell r="W555">
            <v>0</v>
          </cell>
          <cell r="X555">
            <v>0</v>
          </cell>
          <cell r="Y555">
            <v>0</v>
          </cell>
          <cell r="AB555">
            <v>0</v>
          </cell>
          <cell r="AC555">
            <v>10</v>
          </cell>
          <cell r="AD555">
            <v>0</v>
          </cell>
          <cell r="BF555">
            <v>0</v>
          </cell>
          <cell r="BG555">
            <v>0</v>
          </cell>
          <cell r="BH555">
            <v>0</v>
          </cell>
          <cell r="BI555">
            <v>0</v>
          </cell>
          <cell r="BJ555">
            <v>0</v>
          </cell>
          <cell r="BK555">
            <v>0</v>
          </cell>
          <cell r="BL555">
            <v>0</v>
          </cell>
          <cell r="BM555">
            <v>0</v>
          </cell>
          <cell r="BN555">
            <v>0</v>
          </cell>
          <cell r="BO555">
            <v>0</v>
          </cell>
          <cell r="BP555">
            <v>0</v>
          </cell>
          <cell r="BQ555">
            <v>0</v>
          </cell>
          <cell r="BR555">
            <v>0</v>
          </cell>
          <cell r="BS555">
            <v>0</v>
          </cell>
          <cell r="BT555">
            <v>0</v>
          </cell>
          <cell r="BU555">
            <v>0</v>
          </cell>
          <cell r="BV555">
            <v>0</v>
          </cell>
          <cell r="BW555">
            <v>0</v>
          </cell>
          <cell r="BX555">
            <v>0</v>
          </cell>
          <cell r="BY555">
            <v>0</v>
          </cell>
          <cell r="BZ555">
            <v>0</v>
          </cell>
          <cell r="CA555">
            <v>0</v>
          </cell>
          <cell r="CB555">
            <v>0</v>
          </cell>
          <cell r="CC555">
            <v>0</v>
          </cell>
          <cell r="CD555">
            <v>0</v>
          </cell>
        </row>
        <row r="556">
          <cell r="C556">
            <v>37908</v>
          </cell>
          <cell r="I556">
            <v>0</v>
          </cell>
          <cell r="N556">
            <v>0</v>
          </cell>
          <cell r="P556">
            <v>0</v>
          </cell>
          <cell r="T556">
            <v>0</v>
          </cell>
          <cell r="V556">
            <v>0</v>
          </cell>
          <cell r="W556">
            <v>0</v>
          </cell>
          <cell r="X556">
            <v>0</v>
          </cell>
          <cell r="Y556">
            <v>0</v>
          </cell>
          <cell r="AB556">
            <v>0</v>
          </cell>
          <cell r="AC556">
            <v>10</v>
          </cell>
          <cell r="AD556">
            <v>0</v>
          </cell>
          <cell r="BF556">
            <v>0</v>
          </cell>
          <cell r="BG556">
            <v>0</v>
          </cell>
          <cell r="BH556">
            <v>0</v>
          </cell>
          <cell r="BI556">
            <v>0</v>
          </cell>
          <cell r="BJ556">
            <v>0</v>
          </cell>
          <cell r="BK556">
            <v>0</v>
          </cell>
          <cell r="BL556">
            <v>0</v>
          </cell>
          <cell r="BM556">
            <v>0</v>
          </cell>
          <cell r="BN556">
            <v>0</v>
          </cell>
          <cell r="BO556">
            <v>0</v>
          </cell>
          <cell r="BP556">
            <v>0</v>
          </cell>
          <cell r="BQ556">
            <v>0</v>
          </cell>
          <cell r="BR556">
            <v>0</v>
          </cell>
          <cell r="BS556">
            <v>0</v>
          </cell>
          <cell r="BT556">
            <v>0</v>
          </cell>
          <cell r="BU556">
            <v>0</v>
          </cell>
          <cell r="BV556">
            <v>0</v>
          </cell>
          <cell r="BW556">
            <v>0</v>
          </cell>
          <cell r="BX556">
            <v>0</v>
          </cell>
          <cell r="BY556">
            <v>0</v>
          </cell>
          <cell r="BZ556">
            <v>0</v>
          </cell>
          <cell r="CA556">
            <v>0</v>
          </cell>
          <cell r="CB556">
            <v>0</v>
          </cell>
          <cell r="CC556">
            <v>0</v>
          </cell>
          <cell r="CD556">
            <v>0</v>
          </cell>
        </row>
        <row r="557">
          <cell r="C557">
            <v>37911</v>
          </cell>
          <cell r="D557">
            <v>37928</v>
          </cell>
          <cell r="E557">
            <v>37911</v>
          </cell>
          <cell r="F557">
            <v>0.25</v>
          </cell>
          <cell r="G557" t="str">
            <v>Perfiladora Fagor Largueros</v>
          </cell>
          <cell r="H557" t="str">
            <v>Cortante G70 travado</v>
          </cell>
          <cell r="I557" t="str">
            <v>Corretiva</v>
          </cell>
          <cell r="J557" t="str">
            <v>Sim</v>
          </cell>
          <cell r="K557" t="str">
            <v>Mecânica</v>
          </cell>
          <cell r="L557" t="str">
            <v>Reparo</v>
          </cell>
          <cell r="M557" t="str">
            <v>Falha de Regulagem / Configuração / Dimensionamento</v>
          </cell>
          <cell r="N557">
            <v>37911</v>
          </cell>
          <cell r="O557">
            <v>0.4375</v>
          </cell>
          <cell r="P557">
            <v>37911</v>
          </cell>
          <cell r="Q557">
            <v>0.72916666666666663</v>
          </cell>
          <cell r="R557">
            <v>37912</v>
          </cell>
          <cell r="S557">
            <v>0.29166666666666669</v>
          </cell>
          <cell r="T557">
            <v>37912</v>
          </cell>
          <cell r="U557">
            <v>0.66666666666666663</v>
          </cell>
          <cell r="V557">
            <v>0.1875</v>
          </cell>
          <cell r="W557">
            <v>0.85416666666666652</v>
          </cell>
          <cell r="X557">
            <v>0.66666666666666652</v>
          </cell>
          <cell r="Y557">
            <v>0.66666666666666652</v>
          </cell>
          <cell r="AB557">
            <v>10</v>
          </cell>
          <cell r="AC557">
            <v>10</v>
          </cell>
          <cell r="AD557">
            <v>0</v>
          </cell>
          <cell r="BF557">
            <v>0</v>
          </cell>
          <cell r="BG557">
            <v>0</v>
          </cell>
          <cell r="BH557">
            <v>0</v>
          </cell>
          <cell r="BI557">
            <v>0</v>
          </cell>
          <cell r="BJ557">
            <v>0</v>
          </cell>
          <cell r="BK557">
            <v>0</v>
          </cell>
          <cell r="BL557">
            <v>0</v>
          </cell>
          <cell r="BM557">
            <v>0</v>
          </cell>
          <cell r="BN557">
            <v>0</v>
          </cell>
          <cell r="BO557">
            <v>0</v>
          </cell>
          <cell r="BP557">
            <v>0</v>
          </cell>
          <cell r="BQ557">
            <v>0</v>
          </cell>
          <cell r="BR557">
            <v>0</v>
          </cell>
          <cell r="BS557">
            <v>0</v>
          </cell>
          <cell r="BT557">
            <v>10</v>
          </cell>
          <cell r="BU557">
            <v>0</v>
          </cell>
          <cell r="BV557">
            <v>0</v>
          </cell>
          <cell r="BW557">
            <v>0</v>
          </cell>
          <cell r="BX557">
            <v>0</v>
          </cell>
          <cell r="BY557">
            <v>0</v>
          </cell>
          <cell r="BZ557">
            <v>0</v>
          </cell>
          <cell r="CA557">
            <v>0</v>
          </cell>
          <cell r="CB557">
            <v>0</v>
          </cell>
          <cell r="CC557">
            <v>0</v>
          </cell>
          <cell r="CD557">
            <v>0</v>
          </cell>
        </row>
        <row r="558">
          <cell r="C558">
            <v>37911</v>
          </cell>
          <cell r="I558">
            <v>0</v>
          </cell>
          <cell r="N558">
            <v>0</v>
          </cell>
          <cell r="P558">
            <v>0</v>
          </cell>
          <cell r="T558">
            <v>0</v>
          </cell>
          <cell r="V558">
            <v>0</v>
          </cell>
          <cell r="W558">
            <v>0</v>
          </cell>
          <cell r="X558">
            <v>0</v>
          </cell>
          <cell r="Y558">
            <v>0</v>
          </cell>
          <cell r="AB558">
            <v>0</v>
          </cell>
          <cell r="AC558">
            <v>10</v>
          </cell>
          <cell r="AD558">
            <v>0</v>
          </cell>
          <cell r="BF558">
            <v>0</v>
          </cell>
          <cell r="BG558">
            <v>0</v>
          </cell>
          <cell r="BH558">
            <v>0</v>
          </cell>
          <cell r="BI558">
            <v>0</v>
          </cell>
          <cell r="BJ558">
            <v>0</v>
          </cell>
          <cell r="BK558">
            <v>0</v>
          </cell>
          <cell r="BL558">
            <v>0</v>
          </cell>
          <cell r="BM558">
            <v>0</v>
          </cell>
          <cell r="BN558">
            <v>0</v>
          </cell>
          <cell r="BO558">
            <v>0</v>
          </cell>
          <cell r="BP558">
            <v>0</v>
          </cell>
          <cell r="BQ558">
            <v>0</v>
          </cell>
          <cell r="BR558">
            <v>0</v>
          </cell>
          <cell r="BS558">
            <v>0</v>
          </cell>
          <cell r="BT558">
            <v>0</v>
          </cell>
          <cell r="BU558">
            <v>0</v>
          </cell>
          <cell r="BV558">
            <v>0</v>
          </cell>
          <cell r="BW558">
            <v>0</v>
          </cell>
          <cell r="BX558">
            <v>0</v>
          </cell>
          <cell r="BY558">
            <v>0</v>
          </cell>
          <cell r="BZ558">
            <v>0</v>
          </cell>
          <cell r="CA558">
            <v>0</v>
          </cell>
          <cell r="CB558">
            <v>0</v>
          </cell>
          <cell r="CC558">
            <v>0</v>
          </cell>
          <cell r="CD558">
            <v>0</v>
          </cell>
        </row>
        <row r="559">
          <cell r="C559">
            <v>37911</v>
          </cell>
          <cell r="D559">
            <v>37928</v>
          </cell>
          <cell r="E559">
            <v>37919</v>
          </cell>
          <cell r="F559">
            <v>0.25</v>
          </cell>
          <cell r="G559" t="str">
            <v>Perfiladora Fagor Largueros</v>
          </cell>
          <cell r="H559" t="str">
            <v>Guia de chapa está quebrada</v>
          </cell>
          <cell r="I559" t="str">
            <v>Corretiva</v>
          </cell>
          <cell r="J559" t="str">
            <v>Não</v>
          </cell>
          <cell r="K559" t="str">
            <v>Mecânica</v>
          </cell>
          <cell r="L559" t="str">
            <v>Reparo</v>
          </cell>
          <cell r="M559" t="str">
            <v>Falha de Regulagem / Configuração / Dimensionamento</v>
          </cell>
          <cell r="N559">
            <v>37919</v>
          </cell>
          <cell r="O559">
            <v>0.35416666666666669</v>
          </cell>
          <cell r="P559">
            <v>37919</v>
          </cell>
          <cell r="Q559">
            <v>0.35416666666666669</v>
          </cell>
          <cell r="T559">
            <v>37919</v>
          </cell>
          <cell r="U559">
            <v>0.375</v>
          </cell>
          <cell r="V559">
            <v>37919</v>
          </cell>
          <cell r="W559">
            <v>0.375</v>
          </cell>
          <cell r="X559">
            <v>2.0833333333333315E-2</v>
          </cell>
          <cell r="Y559">
            <v>2.0833333333333315E-2</v>
          </cell>
          <cell r="AB559">
            <v>10</v>
          </cell>
          <cell r="AC559">
            <v>10</v>
          </cell>
          <cell r="AD559">
            <v>0</v>
          </cell>
          <cell r="BF559">
            <v>0</v>
          </cell>
          <cell r="BG559">
            <v>0</v>
          </cell>
          <cell r="BH559">
            <v>0</v>
          </cell>
          <cell r="BI559">
            <v>0</v>
          </cell>
          <cell r="BJ559">
            <v>0</v>
          </cell>
          <cell r="BK559">
            <v>0</v>
          </cell>
          <cell r="BL559">
            <v>0</v>
          </cell>
          <cell r="BM559">
            <v>0</v>
          </cell>
          <cell r="BN559">
            <v>0</v>
          </cell>
          <cell r="BO559">
            <v>0</v>
          </cell>
          <cell r="BP559">
            <v>0</v>
          </cell>
          <cell r="BQ559">
            <v>0</v>
          </cell>
          <cell r="BR559">
            <v>0</v>
          </cell>
          <cell r="BS559">
            <v>0</v>
          </cell>
          <cell r="BT559">
            <v>10</v>
          </cell>
          <cell r="BU559">
            <v>0</v>
          </cell>
          <cell r="BV559">
            <v>0</v>
          </cell>
          <cell r="BW559">
            <v>0</v>
          </cell>
          <cell r="BX559">
            <v>0</v>
          </cell>
          <cell r="BY559">
            <v>0</v>
          </cell>
          <cell r="BZ559">
            <v>0</v>
          </cell>
          <cell r="CA559">
            <v>0</v>
          </cell>
          <cell r="CB559">
            <v>0</v>
          </cell>
          <cell r="CC559">
            <v>0</v>
          </cell>
          <cell r="CD559">
            <v>0</v>
          </cell>
        </row>
        <row r="560">
          <cell r="C560">
            <v>37911</v>
          </cell>
          <cell r="D560">
            <v>37928</v>
          </cell>
          <cell r="E560">
            <v>37918</v>
          </cell>
          <cell r="F560">
            <v>0.3888888888888889</v>
          </cell>
          <cell r="G560" t="str">
            <v>Perfiladora Fagor Largueros</v>
          </cell>
          <cell r="H560" t="str">
            <v>Guia de chapa está quebrada</v>
          </cell>
          <cell r="I560" t="str">
            <v>Corretiva</v>
          </cell>
          <cell r="J560" t="str">
            <v>Não</v>
          </cell>
          <cell r="K560" t="str">
            <v>Mecânica</v>
          </cell>
          <cell r="L560" t="str">
            <v>Reparo</v>
          </cell>
          <cell r="M560" t="str">
            <v>Falha de Regulagem / Configuração / Dimensionamento</v>
          </cell>
          <cell r="N560">
            <v>37918</v>
          </cell>
          <cell r="O560">
            <v>0.39583333333333331</v>
          </cell>
          <cell r="P560">
            <v>37918</v>
          </cell>
          <cell r="Q560">
            <v>0.39583333333333331</v>
          </cell>
          <cell r="T560">
            <v>37918</v>
          </cell>
          <cell r="U560">
            <v>0.41666666666666669</v>
          </cell>
          <cell r="V560">
            <v>37918</v>
          </cell>
          <cell r="W560">
            <v>0.41666666666666669</v>
          </cell>
          <cell r="X560">
            <v>2.0833333330908033E-2</v>
          </cell>
          <cell r="Y560">
            <v>2.0833333330908033E-2</v>
          </cell>
          <cell r="AB560">
            <v>10</v>
          </cell>
          <cell r="AC560">
            <v>10</v>
          </cell>
          <cell r="AD560">
            <v>0</v>
          </cell>
          <cell r="BF560">
            <v>0</v>
          </cell>
          <cell r="BG560">
            <v>0</v>
          </cell>
          <cell r="BH560">
            <v>0</v>
          </cell>
          <cell r="BI560">
            <v>0</v>
          </cell>
          <cell r="BJ560">
            <v>0</v>
          </cell>
          <cell r="BK560">
            <v>0</v>
          </cell>
          <cell r="BL560">
            <v>0</v>
          </cell>
          <cell r="BM560">
            <v>0</v>
          </cell>
          <cell r="BN560">
            <v>0</v>
          </cell>
          <cell r="BO560">
            <v>0</v>
          </cell>
          <cell r="BP560">
            <v>0</v>
          </cell>
          <cell r="BQ560">
            <v>0</v>
          </cell>
          <cell r="BR560">
            <v>0</v>
          </cell>
          <cell r="BS560">
            <v>0</v>
          </cell>
          <cell r="BT560">
            <v>10</v>
          </cell>
          <cell r="BU560">
            <v>0</v>
          </cell>
          <cell r="BV560">
            <v>0</v>
          </cell>
          <cell r="BW560">
            <v>0</v>
          </cell>
          <cell r="BX560">
            <v>0</v>
          </cell>
          <cell r="BY560">
            <v>0</v>
          </cell>
          <cell r="BZ560">
            <v>0</v>
          </cell>
          <cell r="CA560">
            <v>0</v>
          </cell>
          <cell r="CB560">
            <v>0</v>
          </cell>
          <cell r="CC560">
            <v>0</v>
          </cell>
          <cell r="CD560">
            <v>0</v>
          </cell>
        </row>
        <row r="561">
          <cell r="C561">
            <v>37911</v>
          </cell>
          <cell r="D561">
            <v>37971</v>
          </cell>
          <cell r="E561">
            <v>37928</v>
          </cell>
          <cell r="F561">
            <v>37928</v>
          </cell>
          <cell r="G561">
            <v>0.25</v>
          </cell>
          <cell r="H561" t="str">
            <v>Suporte do Sensor da passagem 01 está amassado</v>
          </cell>
          <cell r="I561">
            <v>0</v>
          </cell>
          <cell r="J561" t="str">
            <v>Não</v>
          </cell>
          <cell r="K561" t="str">
            <v>Mecânica</v>
          </cell>
          <cell r="L561" t="str">
            <v>Não</v>
          </cell>
          <cell r="M561" t="str">
            <v>Falha de Montagem / Preparação</v>
          </cell>
          <cell r="N561">
            <v>37928</v>
          </cell>
          <cell r="O561">
            <v>0.4375</v>
          </cell>
          <cell r="P561">
            <v>37928</v>
          </cell>
          <cell r="Q561">
            <v>0.4375</v>
          </cell>
          <cell r="T561">
            <v>37928</v>
          </cell>
          <cell r="U561">
            <v>0.47916666666666669</v>
          </cell>
          <cell r="V561">
            <v>37928</v>
          </cell>
          <cell r="W561">
            <v>0.47916666666666669</v>
          </cell>
          <cell r="X561">
            <v>4.1666666664241347E-2</v>
          </cell>
          <cell r="Y561">
            <v>4.1666666664241347E-2</v>
          </cell>
          <cell r="AB561">
            <v>11</v>
          </cell>
          <cell r="AC561">
            <v>10</v>
          </cell>
          <cell r="AD561">
            <v>0</v>
          </cell>
          <cell r="BF561">
            <v>0</v>
          </cell>
          <cell r="BG561">
            <v>0</v>
          </cell>
          <cell r="BH561">
            <v>0</v>
          </cell>
          <cell r="BI561">
            <v>0</v>
          </cell>
          <cell r="BJ561">
            <v>0</v>
          </cell>
          <cell r="BK561">
            <v>0</v>
          </cell>
          <cell r="BL561">
            <v>0</v>
          </cell>
          <cell r="BM561">
            <v>0</v>
          </cell>
          <cell r="BN561">
            <v>0</v>
          </cell>
          <cell r="BO561">
            <v>0</v>
          </cell>
          <cell r="BP561">
            <v>0</v>
          </cell>
          <cell r="BQ561">
            <v>0</v>
          </cell>
          <cell r="BR561">
            <v>0</v>
          </cell>
          <cell r="BS561">
            <v>0</v>
          </cell>
          <cell r="BT561">
            <v>11</v>
          </cell>
          <cell r="BU561">
            <v>0</v>
          </cell>
          <cell r="BV561">
            <v>0</v>
          </cell>
          <cell r="BW561">
            <v>0</v>
          </cell>
          <cell r="BX561">
            <v>0</v>
          </cell>
          <cell r="BY561">
            <v>0</v>
          </cell>
          <cell r="BZ561">
            <v>0</v>
          </cell>
          <cell r="CA561">
            <v>0</v>
          </cell>
          <cell r="CB561">
            <v>0</v>
          </cell>
          <cell r="CC561">
            <v>0</v>
          </cell>
          <cell r="CD561">
            <v>0</v>
          </cell>
        </row>
        <row r="562">
          <cell r="C562">
            <v>37911</v>
          </cell>
          <cell r="D562">
            <v>37971</v>
          </cell>
          <cell r="E562">
            <v>37957</v>
          </cell>
          <cell r="F562">
            <v>0.70138888888888884</v>
          </cell>
          <cell r="G562" t="str">
            <v>Perfiladora Fagor Largueros</v>
          </cell>
          <cell r="H562" t="str">
            <v>Suporte dos sensores de avanço da perfiladora está quebrado</v>
          </cell>
          <cell r="I562">
            <v>0</v>
          </cell>
          <cell r="J562" t="str">
            <v>Sim</v>
          </cell>
          <cell r="K562" t="str">
            <v>Mecânica</v>
          </cell>
          <cell r="L562" t="str">
            <v>Reparo</v>
          </cell>
          <cell r="M562" t="str">
            <v>Defeito de Fabricação</v>
          </cell>
          <cell r="N562">
            <v>37957</v>
          </cell>
          <cell r="O562">
            <v>0.70138888888888884</v>
          </cell>
          <cell r="P562">
            <v>0</v>
          </cell>
          <cell r="T562">
            <v>37957</v>
          </cell>
          <cell r="U562">
            <v>0.71875</v>
          </cell>
          <cell r="V562">
            <v>0</v>
          </cell>
          <cell r="W562">
            <v>1.736111111111116E-2</v>
          </cell>
          <cell r="X562">
            <v>0</v>
          </cell>
          <cell r="Y562">
            <v>0</v>
          </cell>
          <cell r="AB562">
            <v>12</v>
          </cell>
          <cell r="AC562">
            <v>10</v>
          </cell>
          <cell r="AD562">
            <v>0</v>
          </cell>
          <cell r="BF562">
            <v>0</v>
          </cell>
          <cell r="BG562">
            <v>0</v>
          </cell>
          <cell r="BH562">
            <v>0</v>
          </cell>
          <cell r="BI562">
            <v>0</v>
          </cell>
          <cell r="BJ562">
            <v>0</v>
          </cell>
          <cell r="BK562">
            <v>0</v>
          </cell>
          <cell r="BL562">
            <v>0</v>
          </cell>
          <cell r="BM562">
            <v>0</v>
          </cell>
          <cell r="BN562">
            <v>0</v>
          </cell>
          <cell r="BO562">
            <v>0</v>
          </cell>
          <cell r="BP562">
            <v>0</v>
          </cell>
          <cell r="BQ562">
            <v>0</v>
          </cell>
          <cell r="BR562">
            <v>0</v>
          </cell>
          <cell r="BS562">
            <v>0</v>
          </cell>
          <cell r="BT562">
            <v>12</v>
          </cell>
          <cell r="BU562">
            <v>0</v>
          </cell>
          <cell r="BV562">
            <v>0</v>
          </cell>
          <cell r="BW562">
            <v>0</v>
          </cell>
          <cell r="BX562">
            <v>0</v>
          </cell>
          <cell r="BY562">
            <v>0</v>
          </cell>
          <cell r="BZ562">
            <v>0</v>
          </cell>
          <cell r="CA562">
            <v>0</v>
          </cell>
          <cell r="CB562">
            <v>0</v>
          </cell>
          <cell r="CC562">
            <v>0</v>
          </cell>
          <cell r="CD562">
            <v>0</v>
          </cell>
        </row>
        <row r="563">
          <cell r="C563">
            <v>37911</v>
          </cell>
          <cell r="I563">
            <v>0</v>
          </cell>
          <cell r="N563">
            <v>0</v>
          </cell>
          <cell r="P563">
            <v>0</v>
          </cell>
          <cell r="T563">
            <v>0</v>
          </cell>
          <cell r="V563">
            <v>0</v>
          </cell>
          <cell r="W563">
            <v>0</v>
          </cell>
          <cell r="X563">
            <v>0</v>
          </cell>
          <cell r="Y563">
            <v>0</v>
          </cell>
          <cell r="AB563">
            <v>0</v>
          </cell>
          <cell r="AC563">
            <v>10</v>
          </cell>
          <cell r="AD563">
            <v>0</v>
          </cell>
          <cell r="BF563">
            <v>0</v>
          </cell>
          <cell r="BG563">
            <v>0</v>
          </cell>
          <cell r="BH563">
            <v>0</v>
          </cell>
          <cell r="BI563">
            <v>0</v>
          </cell>
          <cell r="BJ563">
            <v>0</v>
          </cell>
          <cell r="BK563">
            <v>0</v>
          </cell>
          <cell r="BL563">
            <v>0</v>
          </cell>
          <cell r="BM563">
            <v>0</v>
          </cell>
          <cell r="BN563">
            <v>0</v>
          </cell>
          <cell r="BO563">
            <v>0</v>
          </cell>
          <cell r="BP563">
            <v>0</v>
          </cell>
          <cell r="BQ563">
            <v>0</v>
          </cell>
          <cell r="BR563">
            <v>0</v>
          </cell>
          <cell r="BS563">
            <v>0</v>
          </cell>
          <cell r="BT563">
            <v>0</v>
          </cell>
          <cell r="BU563">
            <v>0</v>
          </cell>
          <cell r="BV563">
            <v>0</v>
          </cell>
          <cell r="BW563">
            <v>0</v>
          </cell>
          <cell r="BX563">
            <v>0</v>
          </cell>
          <cell r="BY563">
            <v>0</v>
          </cell>
          <cell r="BZ563">
            <v>0</v>
          </cell>
          <cell r="CA563">
            <v>0</v>
          </cell>
          <cell r="CB563">
            <v>0</v>
          </cell>
          <cell r="CC563">
            <v>0</v>
          </cell>
          <cell r="CD563">
            <v>0</v>
          </cell>
        </row>
        <row r="564">
          <cell r="C564">
            <v>37911</v>
          </cell>
          <cell r="I564">
            <v>0</v>
          </cell>
          <cell r="N564">
            <v>0</v>
          </cell>
          <cell r="P564">
            <v>0</v>
          </cell>
          <cell r="T564">
            <v>0</v>
          </cell>
          <cell r="V564">
            <v>0</v>
          </cell>
          <cell r="W564">
            <v>0</v>
          </cell>
          <cell r="X564">
            <v>0</v>
          </cell>
          <cell r="Y564">
            <v>0</v>
          </cell>
          <cell r="AB564">
            <v>0</v>
          </cell>
          <cell r="AC564">
            <v>10</v>
          </cell>
          <cell r="AD564">
            <v>0</v>
          </cell>
          <cell r="BF564">
            <v>0</v>
          </cell>
          <cell r="BG564">
            <v>0</v>
          </cell>
          <cell r="BH564">
            <v>0</v>
          </cell>
          <cell r="BI564">
            <v>0</v>
          </cell>
          <cell r="BJ564">
            <v>0</v>
          </cell>
          <cell r="BK564">
            <v>0</v>
          </cell>
          <cell r="BL564">
            <v>0</v>
          </cell>
          <cell r="BM564">
            <v>0</v>
          </cell>
          <cell r="BN564">
            <v>0</v>
          </cell>
          <cell r="BO564">
            <v>0</v>
          </cell>
          <cell r="BP564">
            <v>0</v>
          </cell>
          <cell r="BQ564">
            <v>0</v>
          </cell>
          <cell r="BR564">
            <v>0</v>
          </cell>
          <cell r="BS564">
            <v>0</v>
          </cell>
          <cell r="BT564">
            <v>0</v>
          </cell>
          <cell r="BU564">
            <v>0</v>
          </cell>
          <cell r="BV564">
            <v>0</v>
          </cell>
          <cell r="BW564">
            <v>0</v>
          </cell>
          <cell r="BX564">
            <v>0</v>
          </cell>
          <cell r="BY564">
            <v>0</v>
          </cell>
          <cell r="BZ564">
            <v>0</v>
          </cell>
          <cell r="CA564">
            <v>0</v>
          </cell>
          <cell r="CB564">
            <v>0</v>
          </cell>
          <cell r="CC564">
            <v>0</v>
          </cell>
          <cell r="CD564">
            <v>0</v>
          </cell>
        </row>
        <row r="565">
          <cell r="C565">
            <v>37911</v>
          </cell>
          <cell r="I565">
            <v>0</v>
          </cell>
          <cell r="N565">
            <v>0</v>
          </cell>
          <cell r="P565">
            <v>0</v>
          </cell>
          <cell r="T565">
            <v>0</v>
          </cell>
          <cell r="V565">
            <v>0</v>
          </cell>
          <cell r="W565">
            <v>0</v>
          </cell>
          <cell r="X565">
            <v>0</v>
          </cell>
          <cell r="Y565">
            <v>0</v>
          </cell>
          <cell r="AB565">
            <v>0</v>
          </cell>
          <cell r="AC565">
            <v>10</v>
          </cell>
          <cell r="AD565">
            <v>0</v>
          </cell>
          <cell r="BF565">
            <v>0</v>
          </cell>
          <cell r="BG565">
            <v>0</v>
          </cell>
          <cell r="BH565">
            <v>0</v>
          </cell>
          <cell r="BI565">
            <v>0</v>
          </cell>
          <cell r="BJ565">
            <v>0</v>
          </cell>
          <cell r="BK565">
            <v>0</v>
          </cell>
          <cell r="BL565">
            <v>0</v>
          </cell>
          <cell r="BM565">
            <v>0</v>
          </cell>
          <cell r="BN565">
            <v>0</v>
          </cell>
          <cell r="BO565">
            <v>0</v>
          </cell>
          <cell r="BP565">
            <v>0</v>
          </cell>
          <cell r="BQ565">
            <v>0</v>
          </cell>
          <cell r="BR565">
            <v>0</v>
          </cell>
          <cell r="BS565">
            <v>0</v>
          </cell>
          <cell r="BT565">
            <v>0</v>
          </cell>
          <cell r="BU565">
            <v>0</v>
          </cell>
          <cell r="BV565">
            <v>0</v>
          </cell>
          <cell r="BW565">
            <v>0</v>
          </cell>
          <cell r="BX565">
            <v>0</v>
          </cell>
          <cell r="BY565">
            <v>0</v>
          </cell>
          <cell r="BZ565">
            <v>0</v>
          </cell>
          <cell r="CA565">
            <v>0</v>
          </cell>
          <cell r="CB565">
            <v>0</v>
          </cell>
          <cell r="CC565">
            <v>0</v>
          </cell>
          <cell r="CD565">
            <v>0</v>
          </cell>
        </row>
        <row r="566">
          <cell r="C566">
            <v>37911</v>
          </cell>
          <cell r="I566">
            <v>0</v>
          </cell>
          <cell r="N566">
            <v>0</v>
          </cell>
          <cell r="P566">
            <v>0</v>
          </cell>
          <cell r="T566">
            <v>0</v>
          </cell>
          <cell r="V566">
            <v>0</v>
          </cell>
          <cell r="W566">
            <v>0</v>
          </cell>
          <cell r="X566">
            <v>0</v>
          </cell>
          <cell r="Y566">
            <v>0</v>
          </cell>
          <cell r="AB566">
            <v>0</v>
          </cell>
          <cell r="AC566">
            <v>10</v>
          </cell>
          <cell r="AD566">
            <v>0</v>
          </cell>
          <cell r="BF566">
            <v>0</v>
          </cell>
          <cell r="BG566">
            <v>0</v>
          </cell>
          <cell r="BH566">
            <v>0</v>
          </cell>
          <cell r="BI566">
            <v>0</v>
          </cell>
          <cell r="BJ566">
            <v>0</v>
          </cell>
          <cell r="BK566">
            <v>0</v>
          </cell>
          <cell r="BL566">
            <v>0</v>
          </cell>
          <cell r="BM566">
            <v>0</v>
          </cell>
          <cell r="BN566">
            <v>0</v>
          </cell>
          <cell r="BO566">
            <v>0</v>
          </cell>
          <cell r="BP566">
            <v>0</v>
          </cell>
          <cell r="BQ566">
            <v>0</v>
          </cell>
          <cell r="BR566">
            <v>0</v>
          </cell>
          <cell r="BS566">
            <v>0</v>
          </cell>
          <cell r="BT566">
            <v>0</v>
          </cell>
          <cell r="BU566">
            <v>0</v>
          </cell>
          <cell r="BV566">
            <v>0</v>
          </cell>
          <cell r="BW566">
            <v>0</v>
          </cell>
          <cell r="BX566">
            <v>0</v>
          </cell>
          <cell r="BY566">
            <v>0</v>
          </cell>
          <cell r="BZ566">
            <v>0</v>
          </cell>
          <cell r="CA566">
            <v>0</v>
          </cell>
          <cell r="CB566">
            <v>0</v>
          </cell>
          <cell r="CC566">
            <v>0</v>
          </cell>
          <cell r="CD566">
            <v>0</v>
          </cell>
        </row>
        <row r="567">
          <cell r="C567">
            <v>37911</v>
          </cell>
          <cell r="I567">
            <v>0</v>
          </cell>
          <cell r="N567">
            <v>0</v>
          </cell>
          <cell r="P567">
            <v>0</v>
          </cell>
          <cell r="T567">
            <v>0</v>
          </cell>
          <cell r="V567">
            <v>0</v>
          </cell>
          <cell r="W567">
            <v>0</v>
          </cell>
          <cell r="X567">
            <v>0</v>
          </cell>
          <cell r="Y567">
            <v>0</v>
          </cell>
          <cell r="AB567">
            <v>0</v>
          </cell>
          <cell r="AC567">
            <v>10</v>
          </cell>
          <cell r="AD567">
            <v>0</v>
          </cell>
          <cell r="BF567">
            <v>0</v>
          </cell>
          <cell r="BG567">
            <v>0</v>
          </cell>
          <cell r="BH567">
            <v>0</v>
          </cell>
          <cell r="BI567">
            <v>0</v>
          </cell>
          <cell r="BJ567">
            <v>0</v>
          </cell>
          <cell r="BK567">
            <v>0</v>
          </cell>
          <cell r="BL567">
            <v>0</v>
          </cell>
          <cell r="BM567">
            <v>0</v>
          </cell>
          <cell r="BN567">
            <v>0</v>
          </cell>
          <cell r="BO567">
            <v>0</v>
          </cell>
          <cell r="BP567">
            <v>0</v>
          </cell>
          <cell r="BQ567">
            <v>0</v>
          </cell>
          <cell r="BR567">
            <v>0</v>
          </cell>
          <cell r="BS567">
            <v>0</v>
          </cell>
          <cell r="BT567">
            <v>0</v>
          </cell>
          <cell r="BU567">
            <v>0</v>
          </cell>
          <cell r="BV567">
            <v>0</v>
          </cell>
          <cell r="BW567">
            <v>0</v>
          </cell>
          <cell r="BX567">
            <v>0</v>
          </cell>
          <cell r="BY567">
            <v>0</v>
          </cell>
          <cell r="BZ567">
            <v>0</v>
          </cell>
          <cell r="CA567">
            <v>0</v>
          </cell>
          <cell r="CB567">
            <v>0</v>
          </cell>
          <cell r="CC567">
            <v>0</v>
          </cell>
          <cell r="CD567">
            <v>0</v>
          </cell>
        </row>
        <row r="568">
          <cell r="C568">
            <v>37911</v>
          </cell>
          <cell r="D568">
            <v>38008</v>
          </cell>
          <cell r="E568">
            <v>37998</v>
          </cell>
          <cell r="F568">
            <v>0.91666666666666663</v>
          </cell>
          <cell r="G568" t="str">
            <v>Perfiladora Fagor Largueros</v>
          </cell>
          <cell r="H568" t="str">
            <v>Regulador lateral solto</v>
          </cell>
          <cell r="I568">
            <v>0</v>
          </cell>
          <cell r="J568" t="str">
            <v>Sim</v>
          </cell>
          <cell r="K568" t="str">
            <v>Mecânica</v>
          </cell>
          <cell r="L568" t="str">
            <v>Reparo</v>
          </cell>
          <cell r="M568" t="str">
            <v>Falha de Ajuste / Parâmetros</v>
          </cell>
          <cell r="N568">
            <v>0</v>
          </cell>
          <cell r="P568">
            <v>0</v>
          </cell>
          <cell r="T568">
            <v>0</v>
          </cell>
          <cell r="V568">
            <v>0</v>
          </cell>
          <cell r="W568">
            <v>0</v>
          </cell>
          <cell r="X568">
            <v>0</v>
          </cell>
          <cell r="Y568">
            <v>0</v>
          </cell>
          <cell r="AB568">
            <v>0</v>
          </cell>
          <cell r="AC568">
            <v>10</v>
          </cell>
          <cell r="AD568">
            <v>0</v>
          </cell>
          <cell r="BF568">
            <v>0</v>
          </cell>
          <cell r="BG568">
            <v>0</v>
          </cell>
          <cell r="BH568">
            <v>0</v>
          </cell>
          <cell r="BI568">
            <v>0</v>
          </cell>
          <cell r="BJ568">
            <v>0</v>
          </cell>
          <cell r="BK568">
            <v>0</v>
          </cell>
          <cell r="BL568">
            <v>0</v>
          </cell>
          <cell r="BM568">
            <v>0</v>
          </cell>
          <cell r="BN568">
            <v>0</v>
          </cell>
          <cell r="BO568">
            <v>0</v>
          </cell>
          <cell r="BP568">
            <v>0</v>
          </cell>
          <cell r="BQ568">
            <v>0</v>
          </cell>
          <cell r="BR568">
            <v>0</v>
          </cell>
          <cell r="BS568">
            <v>0</v>
          </cell>
          <cell r="BT568">
            <v>0</v>
          </cell>
          <cell r="BU568">
            <v>0</v>
          </cell>
          <cell r="BV568">
            <v>0</v>
          </cell>
          <cell r="BW568">
            <v>0</v>
          </cell>
          <cell r="BX568">
            <v>0</v>
          </cell>
          <cell r="BY568">
            <v>0</v>
          </cell>
          <cell r="BZ568">
            <v>0</v>
          </cell>
          <cell r="CA568">
            <v>0</v>
          </cell>
          <cell r="CB568">
            <v>0</v>
          </cell>
          <cell r="CC568">
            <v>0</v>
          </cell>
          <cell r="CD568">
            <v>0</v>
          </cell>
        </row>
        <row r="569">
          <cell r="C569">
            <v>37911</v>
          </cell>
          <cell r="I569">
            <v>0</v>
          </cell>
          <cell r="N569">
            <v>0</v>
          </cell>
          <cell r="P569">
            <v>0</v>
          </cell>
          <cell r="T569">
            <v>0</v>
          </cell>
          <cell r="V569">
            <v>0</v>
          </cell>
          <cell r="W569">
            <v>0</v>
          </cell>
          <cell r="X569">
            <v>0</v>
          </cell>
          <cell r="Y569">
            <v>0</v>
          </cell>
          <cell r="AB569">
            <v>0</v>
          </cell>
          <cell r="AC569">
            <v>10</v>
          </cell>
          <cell r="AD569">
            <v>0</v>
          </cell>
          <cell r="BF569">
            <v>0</v>
          </cell>
          <cell r="BG569">
            <v>0</v>
          </cell>
          <cell r="BH569">
            <v>0</v>
          </cell>
          <cell r="BI569">
            <v>0</v>
          </cell>
          <cell r="BJ569">
            <v>0</v>
          </cell>
          <cell r="BK569">
            <v>0</v>
          </cell>
          <cell r="BL569">
            <v>0</v>
          </cell>
          <cell r="BM569">
            <v>0</v>
          </cell>
          <cell r="BN569">
            <v>0</v>
          </cell>
          <cell r="BO569">
            <v>0</v>
          </cell>
          <cell r="BP569">
            <v>0</v>
          </cell>
          <cell r="BQ569">
            <v>0</v>
          </cell>
          <cell r="BR569">
            <v>0</v>
          </cell>
          <cell r="BS569">
            <v>0</v>
          </cell>
          <cell r="BT569">
            <v>0</v>
          </cell>
          <cell r="BU569">
            <v>0</v>
          </cell>
          <cell r="BV569">
            <v>0</v>
          </cell>
          <cell r="BW569">
            <v>0</v>
          </cell>
          <cell r="BX569">
            <v>0</v>
          </cell>
          <cell r="BY569">
            <v>0</v>
          </cell>
          <cell r="BZ569">
            <v>0</v>
          </cell>
          <cell r="CA569">
            <v>0</v>
          </cell>
          <cell r="CB569">
            <v>0</v>
          </cell>
          <cell r="CC569">
            <v>0</v>
          </cell>
          <cell r="CD569">
            <v>0</v>
          </cell>
        </row>
        <row r="570">
          <cell r="C570">
            <v>37911</v>
          </cell>
          <cell r="I570">
            <v>0</v>
          </cell>
          <cell r="N570">
            <v>0</v>
          </cell>
          <cell r="P570">
            <v>0</v>
          </cell>
          <cell r="T570">
            <v>0</v>
          </cell>
          <cell r="V570">
            <v>0</v>
          </cell>
          <cell r="W570">
            <v>0</v>
          </cell>
          <cell r="X570">
            <v>0</v>
          </cell>
          <cell r="Y570">
            <v>0</v>
          </cell>
          <cell r="AB570">
            <v>0</v>
          </cell>
          <cell r="AC570">
            <v>10</v>
          </cell>
          <cell r="AD570">
            <v>0</v>
          </cell>
          <cell r="BF570">
            <v>0</v>
          </cell>
          <cell r="BG570">
            <v>0</v>
          </cell>
          <cell r="BH570">
            <v>0</v>
          </cell>
          <cell r="BI570">
            <v>0</v>
          </cell>
          <cell r="BJ570">
            <v>0</v>
          </cell>
          <cell r="BK570">
            <v>0</v>
          </cell>
          <cell r="BL570">
            <v>0</v>
          </cell>
          <cell r="BM570">
            <v>0</v>
          </cell>
          <cell r="BN570">
            <v>0</v>
          </cell>
          <cell r="BO570">
            <v>0</v>
          </cell>
          <cell r="BP570">
            <v>0</v>
          </cell>
          <cell r="BQ570">
            <v>0</v>
          </cell>
          <cell r="BR570">
            <v>0</v>
          </cell>
          <cell r="BS570">
            <v>0</v>
          </cell>
          <cell r="BT570">
            <v>0</v>
          </cell>
          <cell r="BU570">
            <v>0</v>
          </cell>
          <cell r="BV570">
            <v>0</v>
          </cell>
          <cell r="BW570">
            <v>0</v>
          </cell>
          <cell r="BX570">
            <v>0</v>
          </cell>
          <cell r="BY570">
            <v>0</v>
          </cell>
          <cell r="BZ570">
            <v>0</v>
          </cell>
          <cell r="CA570">
            <v>0</v>
          </cell>
          <cell r="CB570">
            <v>0</v>
          </cell>
          <cell r="CC570">
            <v>0</v>
          </cell>
          <cell r="CD570">
            <v>0</v>
          </cell>
        </row>
        <row r="571">
          <cell r="C571">
            <v>37911</v>
          </cell>
          <cell r="I571">
            <v>0</v>
          </cell>
          <cell r="N571">
            <v>0</v>
          </cell>
          <cell r="P571">
            <v>0</v>
          </cell>
          <cell r="T571">
            <v>0</v>
          </cell>
          <cell r="V571">
            <v>0</v>
          </cell>
          <cell r="W571">
            <v>0</v>
          </cell>
          <cell r="X571">
            <v>0</v>
          </cell>
          <cell r="Y571">
            <v>0</v>
          </cell>
          <cell r="AB571">
            <v>0</v>
          </cell>
          <cell r="AC571">
            <v>10</v>
          </cell>
          <cell r="AD571">
            <v>0</v>
          </cell>
          <cell r="BF571">
            <v>0</v>
          </cell>
          <cell r="BG571">
            <v>0</v>
          </cell>
          <cell r="BH571">
            <v>0</v>
          </cell>
          <cell r="BI571">
            <v>0</v>
          </cell>
          <cell r="BJ571">
            <v>0</v>
          </cell>
          <cell r="BK571">
            <v>0</v>
          </cell>
          <cell r="BL571">
            <v>0</v>
          </cell>
          <cell r="BM571">
            <v>0</v>
          </cell>
          <cell r="BN571">
            <v>0</v>
          </cell>
          <cell r="BO571">
            <v>0</v>
          </cell>
          <cell r="BP571">
            <v>0</v>
          </cell>
          <cell r="BQ571">
            <v>0</v>
          </cell>
          <cell r="BR571">
            <v>0</v>
          </cell>
          <cell r="BS571">
            <v>0</v>
          </cell>
          <cell r="BT571">
            <v>0</v>
          </cell>
          <cell r="BU571">
            <v>0</v>
          </cell>
          <cell r="BV571">
            <v>0</v>
          </cell>
          <cell r="BW571">
            <v>0</v>
          </cell>
          <cell r="BX571">
            <v>0</v>
          </cell>
          <cell r="BY571">
            <v>0</v>
          </cell>
          <cell r="BZ571">
            <v>0</v>
          </cell>
          <cell r="CA571">
            <v>0</v>
          </cell>
          <cell r="CB571">
            <v>0</v>
          </cell>
          <cell r="CC571">
            <v>0</v>
          </cell>
          <cell r="CD571">
            <v>0</v>
          </cell>
        </row>
        <row r="572">
          <cell r="C572">
            <v>37911</v>
          </cell>
          <cell r="I572">
            <v>0</v>
          </cell>
          <cell r="N572">
            <v>0</v>
          </cell>
          <cell r="P572">
            <v>0</v>
          </cell>
          <cell r="T572">
            <v>0</v>
          </cell>
          <cell r="V572">
            <v>0</v>
          </cell>
          <cell r="W572">
            <v>0</v>
          </cell>
          <cell r="X572">
            <v>0</v>
          </cell>
          <cell r="Y572">
            <v>0</v>
          </cell>
          <cell r="AB572">
            <v>0</v>
          </cell>
          <cell r="AC572">
            <v>10</v>
          </cell>
          <cell r="AD572">
            <v>0</v>
          </cell>
          <cell r="BF572">
            <v>0</v>
          </cell>
          <cell r="BG572">
            <v>0</v>
          </cell>
          <cell r="BH572">
            <v>0</v>
          </cell>
          <cell r="BI572">
            <v>0</v>
          </cell>
          <cell r="BJ572">
            <v>0</v>
          </cell>
          <cell r="BK572">
            <v>0</v>
          </cell>
          <cell r="BL572">
            <v>0</v>
          </cell>
          <cell r="BM572">
            <v>0</v>
          </cell>
          <cell r="BN572">
            <v>0</v>
          </cell>
          <cell r="BO572">
            <v>0</v>
          </cell>
          <cell r="BP572">
            <v>0</v>
          </cell>
          <cell r="BQ572">
            <v>0</v>
          </cell>
          <cell r="BR572">
            <v>0</v>
          </cell>
          <cell r="BS572">
            <v>0</v>
          </cell>
          <cell r="BT572">
            <v>0</v>
          </cell>
          <cell r="BU572">
            <v>0</v>
          </cell>
          <cell r="BV572">
            <v>0</v>
          </cell>
          <cell r="BW572">
            <v>0</v>
          </cell>
          <cell r="BX572">
            <v>0</v>
          </cell>
          <cell r="BY572">
            <v>0</v>
          </cell>
          <cell r="BZ572">
            <v>0</v>
          </cell>
          <cell r="CA572">
            <v>0</v>
          </cell>
          <cell r="CB572">
            <v>0</v>
          </cell>
          <cell r="CC572">
            <v>0</v>
          </cell>
          <cell r="CD572">
            <v>0</v>
          </cell>
        </row>
        <row r="573">
          <cell r="C573">
            <v>37911</v>
          </cell>
          <cell r="I573">
            <v>0</v>
          </cell>
          <cell r="N573">
            <v>0</v>
          </cell>
          <cell r="P573">
            <v>0</v>
          </cell>
          <cell r="T573">
            <v>0</v>
          </cell>
          <cell r="V573">
            <v>0</v>
          </cell>
          <cell r="W573">
            <v>0</v>
          </cell>
          <cell r="X573">
            <v>0</v>
          </cell>
          <cell r="Y573">
            <v>0</v>
          </cell>
          <cell r="AB573">
            <v>0</v>
          </cell>
          <cell r="AC573">
            <v>10</v>
          </cell>
          <cell r="AD573">
            <v>0</v>
          </cell>
          <cell r="BF573">
            <v>0</v>
          </cell>
          <cell r="BG573">
            <v>0</v>
          </cell>
          <cell r="BH573">
            <v>0</v>
          </cell>
          <cell r="BI573">
            <v>0</v>
          </cell>
          <cell r="BJ573">
            <v>0</v>
          </cell>
          <cell r="BK573">
            <v>0</v>
          </cell>
          <cell r="BL573">
            <v>0</v>
          </cell>
          <cell r="BM573">
            <v>0</v>
          </cell>
          <cell r="BN573">
            <v>0</v>
          </cell>
          <cell r="BO573">
            <v>0</v>
          </cell>
          <cell r="BP573">
            <v>0</v>
          </cell>
          <cell r="BQ573">
            <v>0</v>
          </cell>
          <cell r="BR573">
            <v>0</v>
          </cell>
          <cell r="BS573">
            <v>0</v>
          </cell>
          <cell r="BT573">
            <v>0</v>
          </cell>
          <cell r="BU573">
            <v>0</v>
          </cell>
          <cell r="BV573">
            <v>0</v>
          </cell>
          <cell r="BW573">
            <v>0</v>
          </cell>
          <cell r="BX573">
            <v>0</v>
          </cell>
          <cell r="BY573">
            <v>0</v>
          </cell>
          <cell r="BZ573">
            <v>0</v>
          </cell>
          <cell r="CA573">
            <v>0</v>
          </cell>
          <cell r="CB573">
            <v>0</v>
          </cell>
          <cell r="CC573">
            <v>0</v>
          </cell>
          <cell r="CD573">
            <v>0</v>
          </cell>
        </row>
        <row r="574">
          <cell r="C574">
            <v>37911</v>
          </cell>
          <cell r="I574">
            <v>0</v>
          </cell>
          <cell r="N574">
            <v>0</v>
          </cell>
          <cell r="P574">
            <v>0</v>
          </cell>
          <cell r="T574">
            <v>0</v>
          </cell>
          <cell r="V574">
            <v>0</v>
          </cell>
          <cell r="W574">
            <v>0</v>
          </cell>
          <cell r="X574">
            <v>0</v>
          </cell>
          <cell r="Y574">
            <v>0</v>
          </cell>
          <cell r="AB574">
            <v>0</v>
          </cell>
          <cell r="AC574">
            <v>10</v>
          </cell>
          <cell r="AD574">
            <v>0</v>
          </cell>
          <cell r="BF574">
            <v>0</v>
          </cell>
          <cell r="BG574">
            <v>0</v>
          </cell>
          <cell r="BH574">
            <v>0</v>
          </cell>
          <cell r="BI574">
            <v>0</v>
          </cell>
          <cell r="BJ574">
            <v>0</v>
          </cell>
          <cell r="BK574">
            <v>0</v>
          </cell>
          <cell r="BL574">
            <v>0</v>
          </cell>
          <cell r="BM574">
            <v>0</v>
          </cell>
          <cell r="BN574">
            <v>0</v>
          </cell>
          <cell r="BO574">
            <v>0</v>
          </cell>
          <cell r="BP574">
            <v>0</v>
          </cell>
          <cell r="BQ574">
            <v>0</v>
          </cell>
          <cell r="BR574">
            <v>0</v>
          </cell>
          <cell r="BS574">
            <v>0</v>
          </cell>
          <cell r="BT574">
            <v>0</v>
          </cell>
          <cell r="BU574">
            <v>0</v>
          </cell>
          <cell r="BV574">
            <v>0</v>
          </cell>
          <cell r="BW574">
            <v>0</v>
          </cell>
          <cell r="BX574">
            <v>0</v>
          </cell>
          <cell r="BY574">
            <v>0</v>
          </cell>
          <cell r="BZ574">
            <v>0</v>
          </cell>
          <cell r="CA574">
            <v>0</v>
          </cell>
          <cell r="CB574">
            <v>0</v>
          </cell>
          <cell r="CC574">
            <v>0</v>
          </cell>
          <cell r="CD574">
            <v>0</v>
          </cell>
        </row>
        <row r="575">
          <cell r="C575">
            <v>37911</v>
          </cell>
          <cell r="I575">
            <v>0</v>
          </cell>
          <cell r="N575">
            <v>0</v>
          </cell>
          <cell r="P575">
            <v>0</v>
          </cell>
          <cell r="T575">
            <v>0</v>
          </cell>
          <cell r="V575">
            <v>0</v>
          </cell>
          <cell r="W575">
            <v>0</v>
          </cell>
          <cell r="X575">
            <v>0</v>
          </cell>
          <cell r="Y575">
            <v>0</v>
          </cell>
          <cell r="AB575">
            <v>0</v>
          </cell>
          <cell r="AC575">
            <v>10</v>
          </cell>
          <cell r="AD575">
            <v>0</v>
          </cell>
          <cell r="BF575">
            <v>0</v>
          </cell>
          <cell r="BG575">
            <v>0</v>
          </cell>
          <cell r="BH575">
            <v>0</v>
          </cell>
          <cell r="BI575">
            <v>0</v>
          </cell>
          <cell r="BJ575">
            <v>0</v>
          </cell>
          <cell r="BK575">
            <v>0</v>
          </cell>
          <cell r="BL575">
            <v>0</v>
          </cell>
          <cell r="BM575">
            <v>0</v>
          </cell>
          <cell r="BN575">
            <v>0</v>
          </cell>
          <cell r="BO575">
            <v>0</v>
          </cell>
          <cell r="BP575">
            <v>0</v>
          </cell>
          <cell r="BQ575">
            <v>0</v>
          </cell>
          <cell r="BR575">
            <v>0</v>
          </cell>
          <cell r="BS575">
            <v>0</v>
          </cell>
          <cell r="BT575">
            <v>0</v>
          </cell>
          <cell r="BU575">
            <v>0</v>
          </cell>
          <cell r="BV575">
            <v>0</v>
          </cell>
          <cell r="BW575">
            <v>0</v>
          </cell>
          <cell r="BX575">
            <v>0</v>
          </cell>
          <cell r="BY575">
            <v>0</v>
          </cell>
          <cell r="BZ575">
            <v>0</v>
          </cell>
          <cell r="CA575">
            <v>0</v>
          </cell>
          <cell r="CB575">
            <v>0</v>
          </cell>
          <cell r="CC575">
            <v>0</v>
          </cell>
          <cell r="CD575">
            <v>0</v>
          </cell>
        </row>
        <row r="576">
          <cell r="C576">
            <v>37911</v>
          </cell>
          <cell r="I576">
            <v>0</v>
          </cell>
          <cell r="N576">
            <v>0</v>
          </cell>
          <cell r="P576">
            <v>0</v>
          </cell>
          <cell r="T576">
            <v>0</v>
          </cell>
          <cell r="V576">
            <v>0</v>
          </cell>
          <cell r="W576">
            <v>0</v>
          </cell>
          <cell r="X576">
            <v>0</v>
          </cell>
          <cell r="Y576">
            <v>0</v>
          </cell>
          <cell r="AB576">
            <v>0</v>
          </cell>
          <cell r="AC576">
            <v>10</v>
          </cell>
          <cell r="AD576">
            <v>0</v>
          </cell>
          <cell r="BF576">
            <v>0</v>
          </cell>
          <cell r="BG576">
            <v>0</v>
          </cell>
          <cell r="BH576">
            <v>0</v>
          </cell>
          <cell r="BI576">
            <v>0</v>
          </cell>
          <cell r="BJ576">
            <v>0</v>
          </cell>
          <cell r="BK576">
            <v>0</v>
          </cell>
          <cell r="BL576">
            <v>0</v>
          </cell>
          <cell r="BM576">
            <v>0</v>
          </cell>
          <cell r="BN576">
            <v>0</v>
          </cell>
          <cell r="BO576">
            <v>0</v>
          </cell>
          <cell r="BP576">
            <v>0</v>
          </cell>
          <cell r="BQ576">
            <v>0</v>
          </cell>
          <cell r="BR576">
            <v>0</v>
          </cell>
          <cell r="BS576">
            <v>0</v>
          </cell>
          <cell r="BT576">
            <v>0</v>
          </cell>
          <cell r="BU576">
            <v>0</v>
          </cell>
          <cell r="BV576">
            <v>0</v>
          </cell>
          <cell r="BW576">
            <v>0</v>
          </cell>
          <cell r="BX576">
            <v>0</v>
          </cell>
          <cell r="BY576">
            <v>0</v>
          </cell>
          <cell r="BZ576">
            <v>0</v>
          </cell>
          <cell r="CA576">
            <v>0</v>
          </cell>
          <cell r="CB576">
            <v>0</v>
          </cell>
          <cell r="CC576">
            <v>0</v>
          </cell>
          <cell r="CD576">
            <v>0</v>
          </cell>
        </row>
        <row r="577">
          <cell r="C577">
            <v>37938</v>
          </cell>
          <cell r="D577">
            <v>37971</v>
          </cell>
          <cell r="E577">
            <v>37937</v>
          </cell>
          <cell r="F577">
            <v>37937</v>
          </cell>
          <cell r="G577">
            <v>0.70833333333333337</v>
          </cell>
          <cell r="H577" t="str">
            <v>Pinça do robô de manipulação de madeira está rompida</v>
          </cell>
          <cell r="I577">
            <v>0</v>
          </cell>
          <cell r="J577" t="str">
            <v>Sim</v>
          </cell>
          <cell r="K577" t="str">
            <v>Mecânica</v>
          </cell>
          <cell r="L577" t="str">
            <v>Sim</v>
          </cell>
          <cell r="M577" t="str">
            <v>Defeito de Fabricação</v>
          </cell>
          <cell r="N577">
            <v>37937</v>
          </cell>
          <cell r="O577">
            <v>0.71180555555555547</v>
          </cell>
          <cell r="P577">
            <v>37937</v>
          </cell>
          <cell r="Q577">
            <v>0.71180555555555547</v>
          </cell>
          <cell r="T577">
            <v>37937</v>
          </cell>
          <cell r="U577">
            <v>0.73958333333333337</v>
          </cell>
          <cell r="V577">
            <v>37937</v>
          </cell>
          <cell r="W577">
            <v>0.73958333333333337</v>
          </cell>
          <cell r="X577">
            <v>2.7777777777777901E-2</v>
          </cell>
          <cell r="Y577">
            <v>2.7777777780203183E-2</v>
          </cell>
          <cell r="AB577">
            <v>11</v>
          </cell>
          <cell r="AC577">
            <v>11</v>
          </cell>
          <cell r="AD577">
            <v>0</v>
          </cell>
          <cell r="BF577">
            <v>0</v>
          </cell>
          <cell r="BG577">
            <v>0</v>
          </cell>
          <cell r="BH577">
            <v>0</v>
          </cell>
          <cell r="BI577">
            <v>0</v>
          </cell>
          <cell r="BJ577">
            <v>0</v>
          </cell>
          <cell r="BK577">
            <v>0</v>
          </cell>
          <cell r="BL577">
            <v>0</v>
          </cell>
          <cell r="BM577">
            <v>0</v>
          </cell>
          <cell r="BN577">
            <v>0</v>
          </cell>
          <cell r="BO577">
            <v>11</v>
          </cell>
          <cell r="BP577">
            <v>0</v>
          </cell>
          <cell r="BQ577">
            <v>0</v>
          </cell>
          <cell r="BR577">
            <v>0</v>
          </cell>
          <cell r="BS577">
            <v>0</v>
          </cell>
          <cell r="BT577">
            <v>0</v>
          </cell>
          <cell r="BU577">
            <v>0</v>
          </cell>
          <cell r="BV577">
            <v>0</v>
          </cell>
          <cell r="BW577">
            <v>0</v>
          </cell>
          <cell r="BX577">
            <v>0</v>
          </cell>
          <cell r="BY577">
            <v>0</v>
          </cell>
          <cell r="BZ577">
            <v>0</v>
          </cell>
          <cell r="CA577">
            <v>0</v>
          </cell>
          <cell r="CB577">
            <v>0</v>
          </cell>
          <cell r="CC577">
            <v>0</v>
          </cell>
          <cell r="CD577">
            <v>0</v>
          </cell>
        </row>
        <row r="578">
          <cell r="C578">
            <v>37938</v>
          </cell>
          <cell r="D578">
            <v>37971</v>
          </cell>
          <cell r="E578">
            <v>37938</v>
          </cell>
          <cell r="F578">
            <v>0.78472222222222221</v>
          </cell>
          <cell r="G578" t="str">
            <v>Linha de Pintura 3,2m</v>
          </cell>
          <cell r="H578" t="str">
            <v>Mesa N° 02 do robô está travada</v>
          </cell>
          <cell r="I578">
            <v>0</v>
          </cell>
          <cell r="J578" t="str">
            <v>Sim</v>
          </cell>
          <cell r="K578" t="str">
            <v>Elétrica</v>
          </cell>
          <cell r="L578" t="str">
            <v>Correção de mau contato</v>
          </cell>
          <cell r="M578" t="str">
            <v>Mau contato</v>
          </cell>
          <cell r="N578">
            <v>37938</v>
          </cell>
          <cell r="O578">
            <v>0.79166666666666663</v>
          </cell>
          <cell r="P578">
            <v>0</v>
          </cell>
          <cell r="T578">
            <v>37938</v>
          </cell>
          <cell r="U578">
            <v>0.80555555555555547</v>
          </cell>
          <cell r="V578">
            <v>0</v>
          </cell>
          <cell r="W578">
            <v>2.0833333332524906E-2</v>
          </cell>
          <cell r="X578">
            <v>0</v>
          </cell>
          <cell r="Y578">
            <v>0</v>
          </cell>
          <cell r="AB578">
            <v>11</v>
          </cell>
          <cell r="AC578">
            <v>11</v>
          </cell>
          <cell r="AD578">
            <v>0</v>
          </cell>
          <cell r="BF578">
            <v>0</v>
          </cell>
          <cell r="BG578">
            <v>0</v>
          </cell>
          <cell r="BH578">
            <v>0</v>
          </cell>
          <cell r="BI578">
            <v>0</v>
          </cell>
          <cell r="BJ578">
            <v>0</v>
          </cell>
          <cell r="BK578">
            <v>0</v>
          </cell>
          <cell r="BL578">
            <v>0</v>
          </cell>
          <cell r="BM578">
            <v>0</v>
          </cell>
          <cell r="BN578">
            <v>0</v>
          </cell>
          <cell r="BO578">
            <v>11</v>
          </cell>
          <cell r="BP578">
            <v>0</v>
          </cell>
          <cell r="BQ578">
            <v>0</v>
          </cell>
          <cell r="BR578">
            <v>0</v>
          </cell>
          <cell r="BS578">
            <v>0</v>
          </cell>
          <cell r="BT578">
            <v>0</v>
          </cell>
          <cell r="BU578">
            <v>0</v>
          </cell>
          <cell r="BV578">
            <v>0</v>
          </cell>
          <cell r="BW578">
            <v>0</v>
          </cell>
          <cell r="BX578">
            <v>0</v>
          </cell>
          <cell r="BY578">
            <v>0</v>
          </cell>
          <cell r="BZ578">
            <v>0</v>
          </cell>
          <cell r="CA578">
            <v>0</v>
          </cell>
          <cell r="CB578">
            <v>0</v>
          </cell>
          <cell r="CC578">
            <v>0</v>
          </cell>
          <cell r="CD578">
            <v>0</v>
          </cell>
        </row>
        <row r="579">
          <cell r="C579">
            <v>37938</v>
          </cell>
          <cell r="D579">
            <v>37971</v>
          </cell>
          <cell r="E579">
            <v>37938</v>
          </cell>
          <cell r="F579">
            <v>0.57291666666666663</v>
          </cell>
          <cell r="G579" t="str">
            <v>Linha de Pintura 3,2m</v>
          </cell>
          <cell r="H579" t="str">
            <v>Cabo de aço que sustenta os cabos elétricos acima da garra do robô está rompido</v>
          </cell>
          <cell r="I579">
            <v>0</v>
          </cell>
          <cell r="J579" t="str">
            <v>Não</v>
          </cell>
          <cell r="K579" t="str">
            <v>Mecânica</v>
          </cell>
          <cell r="L579" t="str">
            <v>Substituição do(s) Componente(s)</v>
          </cell>
          <cell r="M579" t="str">
            <v>Desgaste / Fadiga</v>
          </cell>
          <cell r="N579">
            <v>37939</v>
          </cell>
          <cell r="O579">
            <v>0.35416666666666669</v>
          </cell>
          <cell r="P579">
            <v>0</v>
          </cell>
          <cell r="T579">
            <v>37939</v>
          </cell>
          <cell r="U579">
            <v>0.41666666666666669</v>
          </cell>
          <cell r="V579">
            <v>0</v>
          </cell>
          <cell r="W579">
            <v>6.2499999997574662E-2</v>
          </cell>
          <cell r="X579">
            <v>0</v>
          </cell>
          <cell r="Y579">
            <v>0</v>
          </cell>
          <cell r="AB579">
            <v>11</v>
          </cell>
          <cell r="AC579">
            <v>11</v>
          </cell>
          <cell r="AD579">
            <v>0</v>
          </cell>
          <cell r="BF579">
            <v>0</v>
          </cell>
          <cell r="BG579">
            <v>0</v>
          </cell>
          <cell r="BH579">
            <v>0</v>
          </cell>
          <cell r="BI579">
            <v>0</v>
          </cell>
          <cell r="BJ579">
            <v>0</v>
          </cell>
          <cell r="BK579">
            <v>0</v>
          </cell>
          <cell r="BL579">
            <v>0</v>
          </cell>
          <cell r="BM579">
            <v>0</v>
          </cell>
          <cell r="BN579">
            <v>0</v>
          </cell>
          <cell r="BO579">
            <v>11</v>
          </cell>
          <cell r="BP579">
            <v>0</v>
          </cell>
          <cell r="BQ579">
            <v>0</v>
          </cell>
          <cell r="BR579">
            <v>0</v>
          </cell>
          <cell r="BS579">
            <v>0</v>
          </cell>
          <cell r="BT579">
            <v>0</v>
          </cell>
          <cell r="BU579">
            <v>0</v>
          </cell>
          <cell r="BV579">
            <v>0</v>
          </cell>
          <cell r="BW579">
            <v>0</v>
          </cell>
          <cell r="BX579">
            <v>0</v>
          </cell>
          <cell r="BY579">
            <v>0</v>
          </cell>
          <cell r="BZ579">
            <v>0</v>
          </cell>
          <cell r="CA579">
            <v>0</v>
          </cell>
          <cell r="CB579">
            <v>0</v>
          </cell>
          <cell r="CC579">
            <v>0</v>
          </cell>
          <cell r="CD579">
            <v>0</v>
          </cell>
        </row>
        <row r="580">
          <cell r="C580">
            <v>37938</v>
          </cell>
          <cell r="D580">
            <v>37971</v>
          </cell>
          <cell r="E580">
            <v>37947</v>
          </cell>
          <cell r="F580">
            <v>0.56944444444444442</v>
          </cell>
          <cell r="G580" t="str">
            <v>Linha de Pintura 3,2m</v>
          </cell>
          <cell r="H580" t="str">
            <v>O fio do Aspirador escapou do plug da tomada</v>
          </cell>
          <cell r="I580">
            <v>0</v>
          </cell>
          <cell r="J580" t="str">
            <v>Não</v>
          </cell>
          <cell r="K580" t="str">
            <v>Elétrica</v>
          </cell>
          <cell r="L580" t="str">
            <v>Substituição do(s) Componente(s)</v>
          </cell>
          <cell r="M580" t="str">
            <v>Falha Operacional</v>
          </cell>
          <cell r="N580">
            <v>37947</v>
          </cell>
          <cell r="O580">
            <v>0.56944444444444442</v>
          </cell>
          <cell r="P580">
            <v>0</v>
          </cell>
          <cell r="T580">
            <v>37947</v>
          </cell>
          <cell r="U580">
            <v>0.59027777777777779</v>
          </cell>
          <cell r="V580">
            <v>0</v>
          </cell>
          <cell r="W580">
            <v>2.0833333336567117E-2</v>
          </cell>
          <cell r="X580">
            <v>0</v>
          </cell>
          <cell r="Y580">
            <v>0</v>
          </cell>
          <cell r="AB580">
            <v>11</v>
          </cell>
          <cell r="AC580">
            <v>11</v>
          </cell>
          <cell r="AD580">
            <v>0</v>
          </cell>
          <cell r="BF580">
            <v>0</v>
          </cell>
          <cell r="BG580">
            <v>0</v>
          </cell>
          <cell r="BH580">
            <v>0</v>
          </cell>
          <cell r="BI580">
            <v>0</v>
          </cell>
          <cell r="BJ580">
            <v>0</v>
          </cell>
          <cell r="BK580">
            <v>0</v>
          </cell>
          <cell r="BL580">
            <v>0</v>
          </cell>
          <cell r="BM580">
            <v>0</v>
          </cell>
          <cell r="BN580">
            <v>0</v>
          </cell>
          <cell r="BO580">
            <v>11</v>
          </cell>
          <cell r="BP580">
            <v>0</v>
          </cell>
          <cell r="BQ580">
            <v>0</v>
          </cell>
          <cell r="BR580">
            <v>0</v>
          </cell>
          <cell r="BS580">
            <v>0</v>
          </cell>
          <cell r="BT580">
            <v>0</v>
          </cell>
          <cell r="BU580">
            <v>0</v>
          </cell>
          <cell r="BV580">
            <v>0</v>
          </cell>
          <cell r="BW580">
            <v>0</v>
          </cell>
          <cell r="BX580">
            <v>0</v>
          </cell>
          <cell r="BY580">
            <v>0</v>
          </cell>
          <cell r="BZ580">
            <v>0</v>
          </cell>
          <cell r="CA580">
            <v>0</v>
          </cell>
          <cell r="CB580">
            <v>0</v>
          </cell>
          <cell r="CC580">
            <v>0</v>
          </cell>
          <cell r="CD580">
            <v>0</v>
          </cell>
        </row>
        <row r="581">
          <cell r="C581">
            <v>37938</v>
          </cell>
          <cell r="D581">
            <v>37971</v>
          </cell>
          <cell r="E581">
            <v>37947</v>
          </cell>
          <cell r="F581">
            <v>0.5708333333333333</v>
          </cell>
          <cell r="G581" t="str">
            <v>Linha de Pintura 3,2m</v>
          </cell>
          <cell r="H581" t="str">
            <v>Vazamento de ar comprimido em excesso</v>
          </cell>
          <cell r="I581">
            <v>0</v>
          </cell>
          <cell r="J581" t="str">
            <v>Sim</v>
          </cell>
          <cell r="K581" t="str">
            <v>Mecânica</v>
          </cell>
          <cell r="L581" t="str">
            <v>Reparo</v>
          </cell>
          <cell r="M581" t="str">
            <v>Desgaste / Fadiga</v>
          </cell>
          <cell r="N581">
            <v>37947</v>
          </cell>
          <cell r="O581">
            <v>0.58333333333333337</v>
          </cell>
          <cell r="P581">
            <v>0</v>
          </cell>
          <cell r="T581">
            <v>37947</v>
          </cell>
          <cell r="U581">
            <v>0.60416666666666663</v>
          </cell>
          <cell r="V581">
            <v>0</v>
          </cell>
          <cell r="W581">
            <v>3.3333333330908044E-2</v>
          </cell>
          <cell r="X581">
            <v>0</v>
          </cell>
          <cell r="Y581">
            <v>0</v>
          </cell>
          <cell r="AB581">
            <v>11</v>
          </cell>
          <cell r="AC581">
            <v>11</v>
          </cell>
          <cell r="AD581">
            <v>0</v>
          </cell>
          <cell r="BF581">
            <v>0</v>
          </cell>
          <cell r="BG581">
            <v>0</v>
          </cell>
          <cell r="BH581">
            <v>0</v>
          </cell>
          <cell r="BI581">
            <v>0</v>
          </cell>
          <cell r="BJ581">
            <v>0</v>
          </cell>
          <cell r="BK581">
            <v>0</v>
          </cell>
          <cell r="BL581">
            <v>0</v>
          </cell>
          <cell r="BM581">
            <v>0</v>
          </cell>
          <cell r="BN581">
            <v>0</v>
          </cell>
          <cell r="BO581">
            <v>11</v>
          </cell>
          <cell r="BP581">
            <v>0</v>
          </cell>
          <cell r="BQ581">
            <v>0</v>
          </cell>
          <cell r="BR581">
            <v>0</v>
          </cell>
          <cell r="BS581">
            <v>0</v>
          </cell>
          <cell r="BT581">
            <v>0</v>
          </cell>
          <cell r="BU581">
            <v>0</v>
          </cell>
          <cell r="BV581">
            <v>0</v>
          </cell>
          <cell r="BW581">
            <v>0</v>
          </cell>
          <cell r="BX581">
            <v>0</v>
          </cell>
          <cell r="BY581">
            <v>0</v>
          </cell>
          <cell r="BZ581">
            <v>0</v>
          </cell>
          <cell r="CA581">
            <v>0</v>
          </cell>
          <cell r="CB581">
            <v>0</v>
          </cell>
          <cell r="CC581">
            <v>0</v>
          </cell>
          <cell r="CD581">
            <v>0</v>
          </cell>
        </row>
        <row r="582">
          <cell r="C582">
            <v>37938</v>
          </cell>
          <cell r="D582">
            <v>37971</v>
          </cell>
          <cell r="E582">
            <v>37950</v>
          </cell>
          <cell r="F582">
            <v>37950</v>
          </cell>
          <cell r="G582">
            <v>0.40277777777777773</v>
          </cell>
          <cell r="H582" t="str">
            <v>Filtro de ar não está permitindo regulagem</v>
          </cell>
          <cell r="I582">
            <v>0</v>
          </cell>
          <cell r="J582" t="str">
            <v>Não</v>
          </cell>
          <cell r="K582" t="str">
            <v>Mecânica</v>
          </cell>
          <cell r="L582" t="str">
            <v>Não</v>
          </cell>
          <cell r="M582" t="str">
            <v>Falha Operacional</v>
          </cell>
          <cell r="N582">
            <v>37950</v>
          </cell>
          <cell r="O582">
            <v>0.40625</v>
          </cell>
          <cell r="P582">
            <v>37950</v>
          </cell>
          <cell r="Q582">
            <v>0.40625</v>
          </cell>
          <cell r="T582">
            <v>37950</v>
          </cell>
          <cell r="U582">
            <v>0.43055555555555558</v>
          </cell>
          <cell r="V582">
            <v>37950</v>
          </cell>
          <cell r="W582">
            <v>0.43055555555555558</v>
          </cell>
          <cell r="X582">
            <v>2.4305555554747116E-2</v>
          </cell>
          <cell r="Y582">
            <v>2.4305555554747116E-2</v>
          </cell>
          <cell r="AB582">
            <v>11</v>
          </cell>
          <cell r="AC582">
            <v>11</v>
          </cell>
          <cell r="AD582">
            <v>0</v>
          </cell>
          <cell r="BF582">
            <v>0</v>
          </cell>
          <cell r="BG582">
            <v>0</v>
          </cell>
          <cell r="BH582">
            <v>0</v>
          </cell>
          <cell r="BI582">
            <v>0</v>
          </cell>
          <cell r="BJ582">
            <v>0</v>
          </cell>
          <cell r="BK582">
            <v>0</v>
          </cell>
          <cell r="BL582">
            <v>0</v>
          </cell>
          <cell r="BM582">
            <v>0</v>
          </cell>
          <cell r="BN582">
            <v>0</v>
          </cell>
          <cell r="BO582">
            <v>11</v>
          </cell>
          <cell r="BP582">
            <v>0</v>
          </cell>
          <cell r="BQ582">
            <v>0</v>
          </cell>
          <cell r="BR582">
            <v>0</v>
          </cell>
          <cell r="BS582">
            <v>0</v>
          </cell>
          <cell r="BT582">
            <v>0</v>
          </cell>
          <cell r="BU582">
            <v>0</v>
          </cell>
          <cell r="BV582">
            <v>0</v>
          </cell>
          <cell r="BW582">
            <v>0</v>
          </cell>
          <cell r="BX582">
            <v>0</v>
          </cell>
          <cell r="BY582">
            <v>0</v>
          </cell>
          <cell r="BZ582">
            <v>0</v>
          </cell>
          <cell r="CA582">
            <v>0</v>
          </cell>
          <cell r="CB582">
            <v>0</v>
          </cell>
          <cell r="CC582">
            <v>0</v>
          </cell>
          <cell r="CD582">
            <v>0</v>
          </cell>
        </row>
        <row r="583">
          <cell r="C583">
            <v>37938</v>
          </cell>
          <cell r="D583">
            <v>37971</v>
          </cell>
          <cell r="E583">
            <v>37950</v>
          </cell>
          <cell r="F583">
            <v>37950</v>
          </cell>
          <cell r="G583">
            <v>0.4375</v>
          </cell>
          <cell r="H583" t="str">
            <v>Máquina de embalar com um pedaço de fita travado</v>
          </cell>
          <cell r="I583">
            <v>0</v>
          </cell>
          <cell r="J583" t="str">
            <v>Sim</v>
          </cell>
          <cell r="K583" t="str">
            <v>Mecânica</v>
          </cell>
          <cell r="L583" t="str">
            <v>Sim</v>
          </cell>
          <cell r="M583" t="str">
            <v>Falha Operacional</v>
          </cell>
          <cell r="N583">
            <v>37950</v>
          </cell>
          <cell r="O583">
            <v>0.44444444444444442</v>
          </cell>
          <cell r="P583">
            <v>37950</v>
          </cell>
          <cell r="Q583">
            <v>0.44444444444444442</v>
          </cell>
          <cell r="T583">
            <v>37950</v>
          </cell>
          <cell r="U583">
            <v>0.45833333333333331</v>
          </cell>
          <cell r="V583">
            <v>37950</v>
          </cell>
          <cell r="W583">
            <v>0.45833333333333331</v>
          </cell>
          <cell r="X583">
            <v>1.3888888888888895E-2</v>
          </cell>
          <cell r="Y583">
            <v>1.3888888891314233E-2</v>
          </cell>
          <cell r="AB583">
            <v>11</v>
          </cell>
          <cell r="AC583">
            <v>11</v>
          </cell>
          <cell r="AD583">
            <v>0</v>
          </cell>
          <cell r="BF583">
            <v>0</v>
          </cell>
          <cell r="BG583">
            <v>0</v>
          </cell>
          <cell r="BH583">
            <v>0</v>
          </cell>
          <cell r="BI583">
            <v>0</v>
          </cell>
          <cell r="BJ583">
            <v>0</v>
          </cell>
          <cell r="BK583">
            <v>0</v>
          </cell>
          <cell r="BL583">
            <v>0</v>
          </cell>
          <cell r="BM583">
            <v>0</v>
          </cell>
          <cell r="BN583">
            <v>0</v>
          </cell>
          <cell r="BO583">
            <v>11</v>
          </cell>
          <cell r="BP583">
            <v>0</v>
          </cell>
          <cell r="BQ583">
            <v>0</v>
          </cell>
          <cell r="BR583">
            <v>0</v>
          </cell>
          <cell r="BS583">
            <v>0</v>
          </cell>
          <cell r="BT583">
            <v>0</v>
          </cell>
          <cell r="BU583">
            <v>0</v>
          </cell>
          <cell r="BV583">
            <v>0</v>
          </cell>
          <cell r="BW583">
            <v>0</v>
          </cell>
          <cell r="BX583">
            <v>0</v>
          </cell>
          <cell r="BY583">
            <v>0</v>
          </cell>
          <cell r="BZ583">
            <v>0</v>
          </cell>
          <cell r="CA583">
            <v>0</v>
          </cell>
          <cell r="CB583">
            <v>0</v>
          </cell>
          <cell r="CC583">
            <v>0</v>
          </cell>
          <cell r="CD583">
            <v>0</v>
          </cell>
        </row>
        <row r="584">
          <cell r="C584">
            <v>37938</v>
          </cell>
          <cell r="D584">
            <v>37971</v>
          </cell>
          <cell r="E584">
            <v>37952</v>
          </cell>
          <cell r="F584">
            <v>0.47569444444444442</v>
          </cell>
          <cell r="G584" t="str">
            <v>Linha de Pintura 3,2m</v>
          </cell>
          <cell r="H584" t="str">
            <v>Queimador do tanque de fosfato não funciona</v>
          </cell>
          <cell r="I584">
            <v>0</v>
          </cell>
          <cell r="J584" t="str">
            <v>Sim</v>
          </cell>
          <cell r="K584" t="str">
            <v>Elétrica</v>
          </cell>
          <cell r="L584" t="str">
            <v>Ajuste / Regulagem</v>
          </cell>
          <cell r="M584" t="str">
            <v>Falha de Projeto</v>
          </cell>
          <cell r="N584">
            <v>37952</v>
          </cell>
          <cell r="O584">
            <v>0.5</v>
          </cell>
          <cell r="P584">
            <v>0</v>
          </cell>
          <cell r="Q584">
            <v>1</v>
          </cell>
          <cell r="R584">
            <v>37953</v>
          </cell>
          <cell r="S584">
            <v>0.25</v>
          </cell>
          <cell r="T584">
            <v>37953</v>
          </cell>
          <cell r="U584">
            <v>0.45833333333333331</v>
          </cell>
          <cell r="V584">
            <v>0</v>
          </cell>
          <cell r="W584">
            <v>0.73263888888888884</v>
          </cell>
          <cell r="X584">
            <v>0</v>
          </cell>
          <cell r="Y584">
            <v>0</v>
          </cell>
          <cell r="AB584">
            <v>11</v>
          </cell>
          <cell r="AC584">
            <v>11</v>
          </cell>
          <cell r="AD584">
            <v>0</v>
          </cell>
          <cell r="BF584">
            <v>0</v>
          </cell>
          <cell r="BG584">
            <v>0</v>
          </cell>
          <cell r="BH584">
            <v>0</v>
          </cell>
          <cell r="BI584">
            <v>0</v>
          </cell>
          <cell r="BJ584">
            <v>0</v>
          </cell>
          <cell r="BK584">
            <v>0</v>
          </cell>
          <cell r="BL584">
            <v>0</v>
          </cell>
          <cell r="BM584">
            <v>0</v>
          </cell>
          <cell r="BN584">
            <v>0</v>
          </cell>
          <cell r="BO584">
            <v>11</v>
          </cell>
          <cell r="BP584">
            <v>0</v>
          </cell>
          <cell r="BQ584">
            <v>0</v>
          </cell>
          <cell r="BR584">
            <v>0</v>
          </cell>
          <cell r="BS584">
            <v>0</v>
          </cell>
          <cell r="BT584">
            <v>0</v>
          </cell>
          <cell r="BU584">
            <v>0</v>
          </cell>
          <cell r="BV584">
            <v>0</v>
          </cell>
          <cell r="BW584">
            <v>0</v>
          </cell>
          <cell r="BX584">
            <v>0</v>
          </cell>
          <cell r="BY584">
            <v>0</v>
          </cell>
          <cell r="BZ584">
            <v>0</v>
          </cell>
          <cell r="CA584">
            <v>0</v>
          </cell>
          <cell r="CB584">
            <v>0</v>
          </cell>
          <cell r="CC584">
            <v>0</v>
          </cell>
          <cell r="CD584">
            <v>0</v>
          </cell>
        </row>
        <row r="585">
          <cell r="C585">
            <v>37938</v>
          </cell>
          <cell r="D585">
            <v>37971</v>
          </cell>
          <cell r="E585">
            <v>37953</v>
          </cell>
          <cell r="F585">
            <v>0.53819444444444442</v>
          </cell>
          <cell r="G585" t="str">
            <v>Linha de Pintura 3,2m</v>
          </cell>
          <cell r="H585" t="str">
            <v>Transportador apresentou ruído estranho e apresentou a mensagem de "corrente travada"</v>
          </cell>
          <cell r="I585">
            <v>0</v>
          </cell>
          <cell r="J585" t="str">
            <v>Sim</v>
          </cell>
          <cell r="K585" t="str">
            <v>Mecânica</v>
          </cell>
          <cell r="L585" t="str">
            <v>Reparo</v>
          </cell>
          <cell r="M585" t="str">
            <v>Desgaste / Fadiga</v>
          </cell>
          <cell r="N585">
            <v>37953</v>
          </cell>
          <cell r="O585">
            <v>0.54166666666666663</v>
          </cell>
          <cell r="P585">
            <v>0</v>
          </cell>
          <cell r="T585">
            <v>37954</v>
          </cell>
          <cell r="U585">
            <v>0.79166666666666663</v>
          </cell>
          <cell r="V585">
            <v>0</v>
          </cell>
          <cell r="W585">
            <v>1.2534722222197971</v>
          </cell>
          <cell r="X585">
            <v>0</v>
          </cell>
          <cell r="Y585">
            <v>0</v>
          </cell>
          <cell r="AB585">
            <v>11</v>
          </cell>
          <cell r="AC585">
            <v>11</v>
          </cell>
          <cell r="AD585">
            <v>0</v>
          </cell>
          <cell r="BF585">
            <v>0</v>
          </cell>
          <cell r="BG585">
            <v>0</v>
          </cell>
          <cell r="BH585">
            <v>0</v>
          </cell>
          <cell r="BI585">
            <v>0</v>
          </cell>
          <cell r="BJ585">
            <v>0</v>
          </cell>
          <cell r="BK585">
            <v>0</v>
          </cell>
          <cell r="BL585">
            <v>0</v>
          </cell>
          <cell r="BM585">
            <v>0</v>
          </cell>
          <cell r="BN585">
            <v>0</v>
          </cell>
          <cell r="BO585">
            <v>11</v>
          </cell>
          <cell r="BP585">
            <v>0</v>
          </cell>
          <cell r="BQ585">
            <v>0</v>
          </cell>
          <cell r="BR585">
            <v>0</v>
          </cell>
          <cell r="BS585">
            <v>0</v>
          </cell>
          <cell r="BT585">
            <v>0</v>
          </cell>
          <cell r="BU585">
            <v>0</v>
          </cell>
          <cell r="BV585">
            <v>0</v>
          </cell>
          <cell r="BW585">
            <v>0</v>
          </cell>
          <cell r="BX585">
            <v>0</v>
          </cell>
          <cell r="BY585">
            <v>0</v>
          </cell>
          <cell r="BZ585">
            <v>0</v>
          </cell>
          <cell r="CA585">
            <v>0</v>
          </cell>
          <cell r="CB585">
            <v>0</v>
          </cell>
          <cell r="CC585">
            <v>0</v>
          </cell>
          <cell r="CD585">
            <v>0</v>
          </cell>
        </row>
        <row r="586">
          <cell r="C586">
            <v>37938</v>
          </cell>
          <cell r="D586">
            <v>37993</v>
          </cell>
          <cell r="E586">
            <v>37960</v>
          </cell>
          <cell r="F586">
            <v>0.34722222222222227</v>
          </cell>
          <cell r="G586" t="str">
            <v>Linha de Pintura 3,2m</v>
          </cell>
          <cell r="H586" t="str">
            <v>Corrente transportadora com defeito</v>
          </cell>
          <cell r="I586">
            <v>0</v>
          </cell>
          <cell r="J586" t="str">
            <v>Sim</v>
          </cell>
          <cell r="K586" t="str">
            <v>Mecânica</v>
          </cell>
          <cell r="L586" t="str">
            <v>Ajuste / Regulagem</v>
          </cell>
          <cell r="M586" t="str">
            <v>Desgaste / Fadiga</v>
          </cell>
          <cell r="N586">
            <v>0</v>
          </cell>
          <cell r="O586">
            <v>0.35416666666666669</v>
          </cell>
          <cell r="P586">
            <v>0</v>
          </cell>
          <cell r="T586">
            <v>0</v>
          </cell>
          <cell r="U586">
            <v>0.625</v>
          </cell>
          <cell r="V586">
            <v>0</v>
          </cell>
          <cell r="W586">
            <v>0</v>
          </cell>
          <cell r="X586">
            <v>0</v>
          </cell>
          <cell r="Y586">
            <v>0</v>
          </cell>
          <cell r="AB586">
            <v>0</v>
          </cell>
          <cell r="AC586">
            <v>11</v>
          </cell>
          <cell r="AD586">
            <v>0</v>
          </cell>
          <cell r="BF586">
            <v>0</v>
          </cell>
          <cell r="BG586">
            <v>0</v>
          </cell>
          <cell r="BH586">
            <v>0</v>
          </cell>
          <cell r="BI586">
            <v>0</v>
          </cell>
          <cell r="BJ586">
            <v>0</v>
          </cell>
          <cell r="BK586">
            <v>0</v>
          </cell>
          <cell r="BL586">
            <v>0</v>
          </cell>
          <cell r="BM586">
            <v>0</v>
          </cell>
          <cell r="BN586">
            <v>0</v>
          </cell>
          <cell r="BO586">
            <v>0</v>
          </cell>
          <cell r="BP586">
            <v>0</v>
          </cell>
          <cell r="BQ586">
            <v>0</v>
          </cell>
          <cell r="BR586">
            <v>0</v>
          </cell>
          <cell r="BS586">
            <v>0</v>
          </cell>
          <cell r="BT586">
            <v>0</v>
          </cell>
          <cell r="BU586">
            <v>0</v>
          </cell>
          <cell r="BV586">
            <v>0</v>
          </cell>
          <cell r="BW586">
            <v>0</v>
          </cell>
          <cell r="BX586">
            <v>0</v>
          </cell>
          <cell r="BY586">
            <v>0</v>
          </cell>
          <cell r="BZ586">
            <v>0</v>
          </cell>
          <cell r="CA586">
            <v>0</v>
          </cell>
          <cell r="CB586">
            <v>0</v>
          </cell>
          <cell r="CC586">
            <v>0</v>
          </cell>
          <cell r="CD586">
            <v>0</v>
          </cell>
        </row>
        <row r="587">
          <cell r="C587">
            <v>37938</v>
          </cell>
          <cell r="D587">
            <v>37977</v>
          </cell>
          <cell r="E587">
            <v>37965</v>
          </cell>
          <cell r="F587">
            <v>0.61458333333333337</v>
          </cell>
          <cell r="G587" t="str">
            <v>Linha de Pintura 3,2m</v>
          </cell>
          <cell r="H587" t="str">
            <v>Sensor da garra não aciona</v>
          </cell>
          <cell r="I587">
            <v>0</v>
          </cell>
          <cell r="J587" t="str">
            <v>Sim</v>
          </cell>
          <cell r="K587" t="str">
            <v>Elétrica</v>
          </cell>
          <cell r="L587" t="str">
            <v>Reaperto dos componentes</v>
          </cell>
          <cell r="M587" t="str">
            <v>Vibração</v>
          </cell>
          <cell r="N587">
            <v>37965</v>
          </cell>
          <cell r="O587">
            <v>0.625</v>
          </cell>
          <cell r="P587">
            <v>0</v>
          </cell>
          <cell r="T587">
            <v>37965</v>
          </cell>
          <cell r="U587">
            <v>0.63888888888888895</v>
          </cell>
          <cell r="V587">
            <v>0</v>
          </cell>
          <cell r="W587">
            <v>2.4305555557172398E-2</v>
          </cell>
          <cell r="X587">
            <v>0</v>
          </cell>
          <cell r="Y587">
            <v>0</v>
          </cell>
          <cell r="AB587">
            <v>12</v>
          </cell>
          <cell r="AC587">
            <v>11</v>
          </cell>
          <cell r="AD587">
            <v>0</v>
          </cell>
          <cell r="BF587">
            <v>0</v>
          </cell>
          <cell r="BG587">
            <v>0</v>
          </cell>
          <cell r="BH587">
            <v>0</v>
          </cell>
          <cell r="BI587">
            <v>0</v>
          </cell>
          <cell r="BJ587">
            <v>0</v>
          </cell>
          <cell r="BK587">
            <v>0</v>
          </cell>
          <cell r="BL587">
            <v>0</v>
          </cell>
          <cell r="BM587">
            <v>0</v>
          </cell>
          <cell r="BN587">
            <v>0</v>
          </cell>
          <cell r="BO587">
            <v>12</v>
          </cell>
          <cell r="BP587">
            <v>0</v>
          </cell>
          <cell r="BQ587">
            <v>0</v>
          </cell>
          <cell r="BR587">
            <v>0</v>
          </cell>
          <cell r="BS587">
            <v>0</v>
          </cell>
          <cell r="BT587">
            <v>0</v>
          </cell>
          <cell r="BU587">
            <v>0</v>
          </cell>
          <cell r="BV587">
            <v>0</v>
          </cell>
          <cell r="BW587">
            <v>0</v>
          </cell>
          <cell r="BX587">
            <v>0</v>
          </cell>
          <cell r="BY587">
            <v>0</v>
          </cell>
          <cell r="BZ587">
            <v>0</v>
          </cell>
          <cell r="CA587">
            <v>0</v>
          </cell>
          <cell r="CB587">
            <v>0</v>
          </cell>
          <cell r="CC587">
            <v>0</v>
          </cell>
          <cell r="CD587">
            <v>0</v>
          </cell>
        </row>
        <row r="588">
          <cell r="C588">
            <v>37938</v>
          </cell>
          <cell r="D588">
            <v>37993</v>
          </cell>
          <cell r="E588">
            <v>37972</v>
          </cell>
          <cell r="F588">
            <v>0.27083333333333331</v>
          </cell>
          <cell r="G588" t="str">
            <v>Linha de Pintura 3,2m</v>
          </cell>
          <cell r="H588" t="str">
            <v>Robô não se movimenta</v>
          </cell>
          <cell r="I588">
            <v>0</v>
          </cell>
          <cell r="J588" t="str">
            <v>Sim</v>
          </cell>
          <cell r="K588" t="str">
            <v>Elétrica</v>
          </cell>
          <cell r="L588" t="str">
            <v>Correção de mau contato</v>
          </cell>
          <cell r="M588" t="str">
            <v>Mau contato</v>
          </cell>
          <cell r="N588">
            <v>0</v>
          </cell>
          <cell r="O588">
            <v>0.27083333333333331</v>
          </cell>
          <cell r="P588">
            <v>0</v>
          </cell>
          <cell r="T588">
            <v>0</v>
          </cell>
          <cell r="U588">
            <v>0.56944444444444442</v>
          </cell>
          <cell r="V588">
            <v>0</v>
          </cell>
          <cell r="W588">
            <v>0</v>
          </cell>
          <cell r="X588">
            <v>0</v>
          </cell>
          <cell r="Y588">
            <v>0</v>
          </cell>
          <cell r="AB588">
            <v>0</v>
          </cell>
          <cell r="AC588">
            <v>11</v>
          </cell>
          <cell r="AD588">
            <v>0</v>
          </cell>
          <cell r="BF588">
            <v>0</v>
          </cell>
          <cell r="BG588">
            <v>0</v>
          </cell>
          <cell r="BH588">
            <v>0</v>
          </cell>
          <cell r="BI588">
            <v>0</v>
          </cell>
          <cell r="BJ588">
            <v>0</v>
          </cell>
          <cell r="BK588">
            <v>0</v>
          </cell>
          <cell r="BL588">
            <v>0</v>
          </cell>
          <cell r="BM588">
            <v>0</v>
          </cell>
          <cell r="BN588">
            <v>0</v>
          </cell>
          <cell r="BO588">
            <v>0</v>
          </cell>
          <cell r="BP588">
            <v>0</v>
          </cell>
          <cell r="BQ588">
            <v>0</v>
          </cell>
          <cell r="BR588">
            <v>0</v>
          </cell>
          <cell r="BS588">
            <v>0</v>
          </cell>
          <cell r="BT588">
            <v>0</v>
          </cell>
          <cell r="BU588">
            <v>0</v>
          </cell>
          <cell r="BV588">
            <v>0</v>
          </cell>
          <cell r="BW588">
            <v>0</v>
          </cell>
          <cell r="BX588">
            <v>0</v>
          </cell>
          <cell r="BY588">
            <v>0</v>
          </cell>
          <cell r="BZ588">
            <v>0</v>
          </cell>
          <cell r="CA588">
            <v>0</v>
          </cell>
          <cell r="CB588">
            <v>0</v>
          </cell>
          <cell r="CC588">
            <v>0</v>
          </cell>
          <cell r="CD588">
            <v>0</v>
          </cell>
        </row>
        <row r="589">
          <cell r="C589">
            <v>37938</v>
          </cell>
          <cell r="D589">
            <v>37993</v>
          </cell>
          <cell r="E589">
            <v>37984</v>
          </cell>
          <cell r="F589">
            <v>0.33333333333333331</v>
          </cell>
          <cell r="G589" t="str">
            <v>Linha de Pintura 3,2m</v>
          </cell>
          <cell r="H589" t="str">
            <v>Suporte para apoio das gancheiras está fora de posição</v>
          </cell>
          <cell r="I589">
            <v>0</v>
          </cell>
          <cell r="J589" t="str">
            <v>Sim</v>
          </cell>
          <cell r="K589" t="str">
            <v>Mecânica</v>
          </cell>
          <cell r="L589" t="str">
            <v>Ajuste / Regulagem</v>
          </cell>
          <cell r="M589" t="str">
            <v>Sobrecarga</v>
          </cell>
          <cell r="N589">
            <v>0</v>
          </cell>
          <cell r="O589">
            <v>0.34027777777777773</v>
          </cell>
          <cell r="P589">
            <v>0</v>
          </cell>
          <cell r="T589">
            <v>0</v>
          </cell>
          <cell r="U589">
            <v>0.41666666666666669</v>
          </cell>
          <cell r="V589">
            <v>0</v>
          </cell>
          <cell r="W589">
            <v>0</v>
          </cell>
          <cell r="X589">
            <v>0</v>
          </cell>
          <cell r="Y589">
            <v>0</v>
          </cell>
          <cell r="AB589">
            <v>0</v>
          </cell>
          <cell r="AC589">
            <v>11</v>
          </cell>
          <cell r="AD589">
            <v>0</v>
          </cell>
          <cell r="BF589">
            <v>0</v>
          </cell>
          <cell r="BG589">
            <v>0</v>
          </cell>
          <cell r="BH589">
            <v>0</v>
          </cell>
          <cell r="BI589">
            <v>0</v>
          </cell>
          <cell r="BJ589">
            <v>0</v>
          </cell>
          <cell r="BK589">
            <v>0</v>
          </cell>
          <cell r="BL589">
            <v>0</v>
          </cell>
          <cell r="BM589">
            <v>0</v>
          </cell>
          <cell r="BN589">
            <v>0</v>
          </cell>
          <cell r="BO589">
            <v>0</v>
          </cell>
          <cell r="BP589">
            <v>0</v>
          </cell>
          <cell r="BQ589">
            <v>0</v>
          </cell>
          <cell r="BR589">
            <v>0</v>
          </cell>
          <cell r="BS589">
            <v>0</v>
          </cell>
          <cell r="BT589">
            <v>0</v>
          </cell>
          <cell r="BU589">
            <v>0</v>
          </cell>
          <cell r="BV589">
            <v>0</v>
          </cell>
          <cell r="BW589">
            <v>0</v>
          </cell>
          <cell r="BX589">
            <v>0</v>
          </cell>
          <cell r="BY589">
            <v>0</v>
          </cell>
          <cell r="BZ589">
            <v>0</v>
          </cell>
          <cell r="CA589">
            <v>0</v>
          </cell>
          <cell r="CB589">
            <v>0</v>
          </cell>
          <cell r="CC589">
            <v>0</v>
          </cell>
          <cell r="CD589">
            <v>0</v>
          </cell>
        </row>
        <row r="590">
          <cell r="C590">
            <v>37938</v>
          </cell>
          <cell r="D590">
            <v>37993</v>
          </cell>
          <cell r="E590">
            <v>37984</v>
          </cell>
          <cell r="F590">
            <v>0.59027777777777779</v>
          </cell>
          <cell r="G590" t="str">
            <v>Linha de Pintura 3,2m</v>
          </cell>
          <cell r="H590" t="str">
            <v>Sistema de emergência da mesa Nº 02 do robô acionado</v>
          </cell>
          <cell r="I590">
            <v>0</v>
          </cell>
          <cell r="J590" t="str">
            <v>Sim</v>
          </cell>
          <cell r="K590" t="str">
            <v>Elétrica</v>
          </cell>
          <cell r="L590" t="str">
            <v>Ajuste / Regulagem</v>
          </cell>
          <cell r="M590" t="str">
            <v>Falha de Comando / Sistema</v>
          </cell>
          <cell r="N590">
            <v>0</v>
          </cell>
          <cell r="O590">
            <v>0.59027777777777779</v>
          </cell>
          <cell r="P590">
            <v>0</v>
          </cell>
          <cell r="T590">
            <v>0</v>
          </cell>
          <cell r="U590">
            <v>0.60416666666666663</v>
          </cell>
          <cell r="V590">
            <v>0</v>
          </cell>
          <cell r="W590">
            <v>0</v>
          </cell>
          <cell r="X590">
            <v>0</v>
          </cell>
          <cell r="Y590">
            <v>0</v>
          </cell>
          <cell r="AB590">
            <v>0</v>
          </cell>
          <cell r="AC590">
            <v>11</v>
          </cell>
          <cell r="AD590">
            <v>0</v>
          </cell>
          <cell r="BF590">
            <v>0</v>
          </cell>
          <cell r="BG590">
            <v>0</v>
          </cell>
          <cell r="BH590">
            <v>0</v>
          </cell>
          <cell r="BI590">
            <v>0</v>
          </cell>
          <cell r="BJ590">
            <v>0</v>
          </cell>
          <cell r="BK590">
            <v>0</v>
          </cell>
          <cell r="BL590">
            <v>0</v>
          </cell>
          <cell r="BM590">
            <v>0</v>
          </cell>
          <cell r="BN590">
            <v>0</v>
          </cell>
          <cell r="BO590">
            <v>0</v>
          </cell>
          <cell r="BP590">
            <v>0</v>
          </cell>
          <cell r="BQ590">
            <v>0</v>
          </cell>
          <cell r="BR590">
            <v>0</v>
          </cell>
          <cell r="BS590">
            <v>0</v>
          </cell>
          <cell r="BT590">
            <v>0</v>
          </cell>
          <cell r="BU590">
            <v>0</v>
          </cell>
          <cell r="BV590">
            <v>0</v>
          </cell>
          <cell r="BW590">
            <v>0</v>
          </cell>
          <cell r="BX590">
            <v>0</v>
          </cell>
          <cell r="BY590">
            <v>0</v>
          </cell>
          <cell r="BZ590">
            <v>0</v>
          </cell>
          <cell r="CA590">
            <v>0</v>
          </cell>
          <cell r="CB590">
            <v>0</v>
          </cell>
          <cell r="CC590">
            <v>0</v>
          </cell>
          <cell r="CD590">
            <v>0</v>
          </cell>
        </row>
        <row r="591">
          <cell r="C591">
            <v>37938</v>
          </cell>
          <cell r="D591">
            <v>37993</v>
          </cell>
          <cell r="E591">
            <v>37984</v>
          </cell>
          <cell r="F591">
            <v>0.75</v>
          </cell>
          <cell r="G591" t="str">
            <v>Linha de Pintura 3,2m</v>
          </cell>
          <cell r="H591" t="str">
            <v>Timer do lubrificador da corrente transportadora inadequado</v>
          </cell>
          <cell r="I591">
            <v>0</v>
          </cell>
          <cell r="J591" t="str">
            <v>Não</v>
          </cell>
          <cell r="K591" t="str">
            <v>Elétrica</v>
          </cell>
          <cell r="L591" t="str">
            <v>Desligamento do Componente</v>
          </cell>
          <cell r="M591" t="str">
            <v>Falha de Regulagem / Configuração / Dimensionamento</v>
          </cell>
          <cell r="N591">
            <v>0</v>
          </cell>
          <cell r="O591">
            <v>0.75</v>
          </cell>
          <cell r="P591">
            <v>0</v>
          </cell>
          <cell r="T591">
            <v>0</v>
          </cell>
          <cell r="U591">
            <v>0.77083333333333337</v>
          </cell>
          <cell r="V591">
            <v>0</v>
          </cell>
          <cell r="W591">
            <v>0</v>
          </cell>
          <cell r="X591">
            <v>0</v>
          </cell>
          <cell r="Y591">
            <v>0</v>
          </cell>
          <cell r="AB591">
            <v>0</v>
          </cell>
          <cell r="AC591">
            <v>11</v>
          </cell>
          <cell r="AD591">
            <v>0</v>
          </cell>
          <cell r="BF591">
            <v>0</v>
          </cell>
          <cell r="BG591">
            <v>0</v>
          </cell>
          <cell r="BH591">
            <v>0</v>
          </cell>
          <cell r="BI591">
            <v>0</v>
          </cell>
          <cell r="BJ591">
            <v>0</v>
          </cell>
          <cell r="BK591">
            <v>0</v>
          </cell>
          <cell r="BL591">
            <v>0</v>
          </cell>
          <cell r="BM591">
            <v>0</v>
          </cell>
          <cell r="BN591">
            <v>0</v>
          </cell>
          <cell r="BO591">
            <v>0</v>
          </cell>
          <cell r="BP591">
            <v>0</v>
          </cell>
          <cell r="BQ591">
            <v>0</v>
          </cell>
          <cell r="BR591">
            <v>0</v>
          </cell>
          <cell r="BS591">
            <v>0</v>
          </cell>
          <cell r="BT591">
            <v>0</v>
          </cell>
          <cell r="BU591">
            <v>0</v>
          </cell>
          <cell r="BV591">
            <v>0</v>
          </cell>
          <cell r="BW591">
            <v>0</v>
          </cell>
          <cell r="BX591">
            <v>0</v>
          </cell>
          <cell r="BY591">
            <v>0</v>
          </cell>
          <cell r="BZ591">
            <v>0</v>
          </cell>
          <cell r="CA591">
            <v>0</v>
          </cell>
          <cell r="CB591">
            <v>0</v>
          </cell>
          <cell r="CC591">
            <v>0</v>
          </cell>
          <cell r="CD591">
            <v>0</v>
          </cell>
        </row>
        <row r="592">
          <cell r="C592">
            <v>37938</v>
          </cell>
          <cell r="I592">
            <v>0</v>
          </cell>
          <cell r="N592">
            <v>0</v>
          </cell>
          <cell r="P592">
            <v>0</v>
          </cell>
          <cell r="T592">
            <v>0</v>
          </cell>
          <cell r="V592">
            <v>0</v>
          </cell>
          <cell r="W592">
            <v>0</v>
          </cell>
          <cell r="X592">
            <v>0</v>
          </cell>
          <cell r="Y592">
            <v>0</v>
          </cell>
          <cell r="AB592">
            <v>0</v>
          </cell>
          <cell r="AC592">
            <v>11</v>
          </cell>
          <cell r="AD592">
            <v>0</v>
          </cell>
          <cell r="BF592">
            <v>0</v>
          </cell>
          <cell r="BG592">
            <v>0</v>
          </cell>
          <cell r="BH592">
            <v>0</v>
          </cell>
          <cell r="BI592">
            <v>0</v>
          </cell>
          <cell r="BJ592">
            <v>0</v>
          </cell>
          <cell r="BK592">
            <v>0</v>
          </cell>
          <cell r="BL592">
            <v>0</v>
          </cell>
          <cell r="BM592">
            <v>0</v>
          </cell>
          <cell r="BN592">
            <v>0</v>
          </cell>
          <cell r="BO592">
            <v>0</v>
          </cell>
          <cell r="BP592">
            <v>0</v>
          </cell>
          <cell r="BQ592">
            <v>0</v>
          </cell>
          <cell r="BR592">
            <v>0</v>
          </cell>
          <cell r="BS592">
            <v>0</v>
          </cell>
          <cell r="BT592">
            <v>0</v>
          </cell>
          <cell r="BU592">
            <v>0</v>
          </cell>
          <cell r="BV592">
            <v>0</v>
          </cell>
          <cell r="BW592">
            <v>0</v>
          </cell>
          <cell r="BX592">
            <v>0</v>
          </cell>
          <cell r="BY592">
            <v>0</v>
          </cell>
          <cell r="BZ592">
            <v>0</v>
          </cell>
          <cell r="CA592">
            <v>0</v>
          </cell>
          <cell r="CB592">
            <v>0</v>
          </cell>
          <cell r="CC592">
            <v>0</v>
          </cell>
          <cell r="CD592">
            <v>0</v>
          </cell>
        </row>
        <row r="593">
          <cell r="C593">
            <v>37938</v>
          </cell>
          <cell r="I593">
            <v>0</v>
          </cell>
          <cell r="N593">
            <v>0</v>
          </cell>
          <cell r="P593">
            <v>0</v>
          </cell>
          <cell r="T593">
            <v>0</v>
          </cell>
          <cell r="V593">
            <v>0</v>
          </cell>
          <cell r="W593">
            <v>0</v>
          </cell>
          <cell r="X593">
            <v>0</v>
          </cell>
          <cell r="Y593">
            <v>0</v>
          </cell>
          <cell r="AB593">
            <v>0</v>
          </cell>
          <cell r="AC593">
            <v>11</v>
          </cell>
          <cell r="AD593">
            <v>0</v>
          </cell>
          <cell r="BF593">
            <v>0</v>
          </cell>
          <cell r="BG593">
            <v>0</v>
          </cell>
          <cell r="BH593">
            <v>0</v>
          </cell>
          <cell r="BI593">
            <v>0</v>
          </cell>
          <cell r="BJ593">
            <v>0</v>
          </cell>
          <cell r="BK593">
            <v>0</v>
          </cell>
          <cell r="BL593">
            <v>0</v>
          </cell>
          <cell r="BM593">
            <v>0</v>
          </cell>
          <cell r="BN593">
            <v>0</v>
          </cell>
          <cell r="BO593">
            <v>0</v>
          </cell>
          <cell r="BP593">
            <v>0</v>
          </cell>
          <cell r="BQ593">
            <v>0</v>
          </cell>
          <cell r="BR593">
            <v>0</v>
          </cell>
          <cell r="BS593">
            <v>0</v>
          </cell>
          <cell r="BT593">
            <v>0</v>
          </cell>
          <cell r="BU593">
            <v>0</v>
          </cell>
          <cell r="BV593">
            <v>0</v>
          </cell>
          <cell r="BW593">
            <v>0</v>
          </cell>
          <cell r="BX593">
            <v>0</v>
          </cell>
          <cell r="BY593">
            <v>0</v>
          </cell>
          <cell r="BZ593">
            <v>0</v>
          </cell>
          <cell r="CA593">
            <v>0</v>
          </cell>
          <cell r="CB593">
            <v>0</v>
          </cell>
          <cell r="CC593">
            <v>0</v>
          </cell>
          <cell r="CD593">
            <v>0</v>
          </cell>
        </row>
        <row r="594">
          <cell r="C594">
            <v>37938</v>
          </cell>
          <cell r="I594">
            <v>0</v>
          </cell>
          <cell r="N594">
            <v>0</v>
          </cell>
          <cell r="P594">
            <v>0</v>
          </cell>
          <cell r="T594">
            <v>0</v>
          </cell>
          <cell r="V594">
            <v>0</v>
          </cell>
          <cell r="W594">
            <v>0</v>
          </cell>
          <cell r="X594">
            <v>0</v>
          </cell>
          <cell r="Y594">
            <v>0</v>
          </cell>
          <cell r="AB594">
            <v>0</v>
          </cell>
          <cell r="AC594">
            <v>11</v>
          </cell>
          <cell r="AD594">
            <v>0</v>
          </cell>
          <cell r="BF594">
            <v>0</v>
          </cell>
          <cell r="BG594">
            <v>0</v>
          </cell>
          <cell r="BH594">
            <v>0</v>
          </cell>
          <cell r="BI594">
            <v>0</v>
          </cell>
          <cell r="BJ594">
            <v>0</v>
          </cell>
          <cell r="BK594">
            <v>0</v>
          </cell>
          <cell r="BL594">
            <v>0</v>
          </cell>
          <cell r="BM594">
            <v>0</v>
          </cell>
          <cell r="BN594">
            <v>0</v>
          </cell>
          <cell r="BO594">
            <v>0</v>
          </cell>
          <cell r="BP594">
            <v>0</v>
          </cell>
          <cell r="BQ594">
            <v>0</v>
          </cell>
          <cell r="BR594">
            <v>0</v>
          </cell>
          <cell r="BS594">
            <v>0</v>
          </cell>
          <cell r="BT594">
            <v>0</v>
          </cell>
          <cell r="BU594">
            <v>0</v>
          </cell>
          <cell r="BV594">
            <v>0</v>
          </cell>
          <cell r="BW594">
            <v>0</v>
          </cell>
          <cell r="BX594">
            <v>0</v>
          </cell>
          <cell r="BY594">
            <v>0</v>
          </cell>
          <cell r="BZ594">
            <v>0</v>
          </cell>
          <cell r="CA594">
            <v>0</v>
          </cell>
          <cell r="CB594">
            <v>0</v>
          </cell>
          <cell r="CC594">
            <v>0</v>
          </cell>
          <cell r="CD594">
            <v>0</v>
          </cell>
        </row>
        <row r="595">
          <cell r="C595">
            <v>37938</v>
          </cell>
          <cell r="D595">
            <v>38008</v>
          </cell>
          <cell r="E595">
            <v>38001</v>
          </cell>
          <cell r="F595">
            <v>0.26944444444444443</v>
          </cell>
          <cell r="G595" t="str">
            <v>Linha de Pintura 3,2m</v>
          </cell>
          <cell r="H595" t="str">
            <v>Engate rápido da Pistola de pintura líquida quebrado</v>
          </cell>
          <cell r="I595">
            <v>0</v>
          </cell>
          <cell r="J595" t="str">
            <v>Não</v>
          </cell>
          <cell r="K595" t="str">
            <v>Mecânica</v>
          </cell>
          <cell r="L595" t="str">
            <v>Substituição do(s) Componente(s)</v>
          </cell>
          <cell r="M595" t="str">
            <v>Desgaste / Fadiga</v>
          </cell>
          <cell r="N595">
            <v>0</v>
          </cell>
          <cell r="O595">
            <v>0.27083333333333331</v>
          </cell>
          <cell r="P595">
            <v>0</v>
          </cell>
          <cell r="T595">
            <v>0</v>
          </cell>
          <cell r="U595">
            <v>0.29166666666666669</v>
          </cell>
          <cell r="V595">
            <v>0</v>
          </cell>
          <cell r="W595">
            <v>0</v>
          </cell>
          <cell r="X595">
            <v>0</v>
          </cell>
          <cell r="Y595">
            <v>0</v>
          </cell>
          <cell r="AB595">
            <v>0</v>
          </cell>
          <cell r="AC595">
            <v>11</v>
          </cell>
          <cell r="AD595">
            <v>0</v>
          </cell>
          <cell r="BF595">
            <v>0</v>
          </cell>
          <cell r="BG595">
            <v>0</v>
          </cell>
          <cell r="BH595">
            <v>0</v>
          </cell>
          <cell r="BI595">
            <v>0</v>
          </cell>
          <cell r="BJ595">
            <v>0</v>
          </cell>
          <cell r="BK595">
            <v>0</v>
          </cell>
          <cell r="BL595">
            <v>0</v>
          </cell>
          <cell r="BM595">
            <v>0</v>
          </cell>
          <cell r="BN595">
            <v>0</v>
          </cell>
          <cell r="BO595">
            <v>0</v>
          </cell>
          <cell r="BP595">
            <v>0</v>
          </cell>
          <cell r="BQ595">
            <v>0</v>
          </cell>
          <cell r="BR595">
            <v>0</v>
          </cell>
          <cell r="BS595">
            <v>0</v>
          </cell>
          <cell r="BT595">
            <v>0</v>
          </cell>
          <cell r="BU595">
            <v>0</v>
          </cell>
          <cell r="BV595">
            <v>0</v>
          </cell>
          <cell r="BW595">
            <v>0</v>
          </cell>
          <cell r="BX595">
            <v>0</v>
          </cell>
          <cell r="BY595">
            <v>0</v>
          </cell>
          <cell r="BZ595">
            <v>0</v>
          </cell>
          <cell r="CA595">
            <v>0</v>
          </cell>
          <cell r="CB595">
            <v>0</v>
          </cell>
          <cell r="CC595">
            <v>0</v>
          </cell>
          <cell r="CD595">
            <v>0</v>
          </cell>
        </row>
        <row r="596">
          <cell r="C596">
            <v>37938</v>
          </cell>
          <cell r="I596">
            <v>0</v>
          </cell>
          <cell r="N596">
            <v>0</v>
          </cell>
          <cell r="P596">
            <v>0</v>
          </cell>
          <cell r="T596">
            <v>0</v>
          </cell>
          <cell r="V596">
            <v>0</v>
          </cell>
          <cell r="W596">
            <v>0</v>
          </cell>
          <cell r="X596">
            <v>0</v>
          </cell>
          <cell r="Y596">
            <v>0</v>
          </cell>
          <cell r="AB596">
            <v>0</v>
          </cell>
          <cell r="AC596">
            <v>11</v>
          </cell>
          <cell r="AD596">
            <v>0</v>
          </cell>
          <cell r="BF596">
            <v>0</v>
          </cell>
          <cell r="BG596">
            <v>0</v>
          </cell>
          <cell r="BH596">
            <v>0</v>
          </cell>
          <cell r="BI596">
            <v>0</v>
          </cell>
          <cell r="BJ596">
            <v>0</v>
          </cell>
          <cell r="BK596">
            <v>0</v>
          </cell>
          <cell r="BL596">
            <v>0</v>
          </cell>
          <cell r="BM596">
            <v>0</v>
          </cell>
          <cell r="BN596">
            <v>0</v>
          </cell>
          <cell r="BO596">
            <v>0</v>
          </cell>
          <cell r="BP596">
            <v>0</v>
          </cell>
          <cell r="BQ596">
            <v>0</v>
          </cell>
          <cell r="BR596">
            <v>0</v>
          </cell>
          <cell r="BS596">
            <v>0</v>
          </cell>
          <cell r="BT596">
            <v>0</v>
          </cell>
          <cell r="BU596">
            <v>0</v>
          </cell>
          <cell r="BV596">
            <v>0</v>
          </cell>
          <cell r="BW596">
            <v>0</v>
          </cell>
          <cell r="BX596">
            <v>0</v>
          </cell>
          <cell r="BY596">
            <v>0</v>
          </cell>
          <cell r="BZ596">
            <v>0</v>
          </cell>
          <cell r="CA596">
            <v>0</v>
          </cell>
          <cell r="CB596">
            <v>0</v>
          </cell>
          <cell r="CC596">
            <v>0</v>
          </cell>
          <cell r="CD596">
            <v>0</v>
          </cell>
        </row>
        <row r="597">
          <cell r="C597">
            <v>37950</v>
          </cell>
          <cell r="D597">
            <v>37971</v>
          </cell>
          <cell r="E597">
            <v>37964</v>
          </cell>
          <cell r="F597">
            <v>0.27083333333333331</v>
          </cell>
          <cell r="G597" t="str">
            <v>Perfiladora Gasparini</v>
          </cell>
          <cell r="H597" t="str">
            <v>Mangueira de Lubrificação furada</v>
          </cell>
          <cell r="I597">
            <v>0</v>
          </cell>
          <cell r="J597" t="str">
            <v>Sim</v>
          </cell>
          <cell r="K597" t="str">
            <v>Mecânica</v>
          </cell>
          <cell r="L597" t="str">
            <v>Reparo</v>
          </cell>
          <cell r="M597" t="str">
            <v>Falha Operacional</v>
          </cell>
          <cell r="N597">
            <v>37964</v>
          </cell>
          <cell r="O597">
            <v>0.27083333333333331</v>
          </cell>
          <cell r="P597">
            <v>0</v>
          </cell>
          <cell r="T597">
            <v>37964</v>
          </cell>
          <cell r="U597">
            <v>0.29166666666666669</v>
          </cell>
          <cell r="V597">
            <v>0</v>
          </cell>
          <cell r="W597">
            <v>2.0833333330908033E-2</v>
          </cell>
          <cell r="X597">
            <v>0</v>
          </cell>
          <cell r="Y597">
            <v>0</v>
          </cell>
          <cell r="AB597">
            <v>12</v>
          </cell>
          <cell r="AC597">
            <v>11</v>
          </cell>
          <cell r="AD597">
            <v>0</v>
          </cell>
          <cell r="BF597">
            <v>0</v>
          </cell>
          <cell r="BG597">
            <v>0</v>
          </cell>
          <cell r="BH597">
            <v>0</v>
          </cell>
          <cell r="BI597">
            <v>0</v>
          </cell>
          <cell r="BJ597">
            <v>0</v>
          </cell>
          <cell r="BK597">
            <v>0</v>
          </cell>
          <cell r="BL597">
            <v>0</v>
          </cell>
          <cell r="BM597">
            <v>0</v>
          </cell>
          <cell r="BN597">
            <v>0</v>
          </cell>
          <cell r="BO597">
            <v>0</v>
          </cell>
          <cell r="BP597">
            <v>0</v>
          </cell>
          <cell r="BQ597">
            <v>0</v>
          </cell>
          <cell r="BR597">
            <v>0</v>
          </cell>
          <cell r="BS597">
            <v>0</v>
          </cell>
          <cell r="BT597">
            <v>0</v>
          </cell>
          <cell r="BU597">
            <v>0</v>
          </cell>
          <cell r="BV597">
            <v>12</v>
          </cell>
          <cell r="BW597">
            <v>0</v>
          </cell>
          <cell r="BX597">
            <v>0</v>
          </cell>
          <cell r="BY597">
            <v>0</v>
          </cell>
          <cell r="BZ597">
            <v>0</v>
          </cell>
          <cell r="CA597">
            <v>0</v>
          </cell>
          <cell r="CB597">
            <v>0</v>
          </cell>
          <cell r="CC597">
            <v>0</v>
          </cell>
          <cell r="CD597">
            <v>0</v>
          </cell>
        </row>
        <row r="598">
          <cell r="C598">
            <v>37950</v>
          </cell>
          <cell r="D598">
            <v>37993</v>
          </cell>
          <cell r="E598">
            <v>37973</v>
          </cell>
          <cell r="F598">
            <v>0.29166666666666669</v>
          </cell>
          <cell r="G598" t="str">
            <v>Perfiladora Gasparini</v>
          </cell>
          <cell r="H598" t="str">
            <v>Máquina não liga - Alarme 37</v>
          </cell>
          <cell r="I598">
            <v>0</v>
          </cell>
          <cell r="J598" t="str">
            <v>Sim</v>
          </cell>
          <cell r="K598" t="str">
            <v>Elétrica</v>
          </cell>
          <cell r="L598" t="str">
            <v>Reinicialização do Equipamento / Componente</v>
          </cell>
          <cell r="M598" t="str">
            <v>Travamento de Componente</v>
          </cell>
          <cell r="N598">
            <v>0</v>
          </cell>
          <cell r="O598">
            <v>0.29166666666666669</v>
          </cell>
          <cell r="P598">
            <v>0</v>
          </cell>
          <cell r="T598">
            <v>0</v>
          </cell>
          <cell r="U598">
            <v>0.31805555555555554</v>
          </cell>
          <cell r="V598">
            <v>0</v>
          </cell>
          <cell r="W598">
            <v>0</v>
          </cell>
          <cell r="X598">
            <v>0</v>
          </cell>
          <cell r="Y598">
            <v>0</v>
          </cell>
          <cell r="AB598">
            <v>0</v>
          </cell>
          <cell r="AC598">
            <v>11</v>
          </cell>
          <cell r="AD598">
            <v>0</v>
          </cell>
          <cell r="BF598">
            <v>0</v>
          </cell>
          <cell r="BG598">
            <v>0</v>
          </cell>
          <cell r="BH598">
            <v>0</v>
          </cell>
          <cell r="BI598">
            <v>0</v>
          </cell>
          <cell r="BJ598">
            <v>0</v>
          </cell>
          <cell r="BK598">
            <v>0</v>
          </cell>
          <cell r="BL598">
            <v>0</v>
          </cell>
          <cell r="BM598">
            <v>0</v>
          </cell>
          <cell r="BN598">
            <v>0</v>
          </cell>
          <cell r="BO598">
            <v>0</v>
          </cell>
          <cell r="BP598">
            <v>0</v>
          </cell>
          <cell r="BQ598">
            <v>0</v>
          </cell>
          <cell r="BR598">
            <v>0</v>
          </cell>
          <cell r="BS598">
            <v>0</v>
          </cell>
          <cell r="BT598">
            <v>0</v>
          </cell>
          <cell r="BU598">
            <v>0</v>
          </cell>
          <cell r="BV598">
            <v>0</v>
          </cell>
          <cell r="BW598">
            <v>0</v>
          </cell>
          <cell r="BX598">
            <v>0</v>
          </cell>
          <cell r="BY598">
            <v>0</v>
          </cell>
          <cell r="BZ598">
            <v>0</v>
          </cell>
          <cell r="CA598">
            <v>0</v>
          </cell>
          <cell r="CB598">
            <v>0</v>
          </cell>
          <cell r="CC598">
            <v>0</v>
          </cell>
          <cell r="CD598">
            <v>0</v>
          </cell>
        </row>
        <row r="599">
          <cell r="C599">
            <v>37950</v>
          </cell>
          <cell r="D599">
            <v>38008</v>
          </cell>
          <cell r="E599">
            <v>37992</v>
          </cell>
          <cell r="F599">
            <v>0.48958333333333331</v>
          </cell>
          <cell r="G599" t="str">
            <v>Perfiladora Gasparini</v>
          </cell>
          <cell r="H599" t="str">
            <v>Excesso de fluxo de lubrificante de chapa</v>
          </cell>
          <cell r="I599">
            <v>0</v>
          </cell>
          <cell r="J599" t="str">
            <v>Não</v>
          </cell>
          <cell r="K599" t="str">
            <v>Mecânica</v>
          </cell>
          <cell r="L599" t="str">
            <v>Ajuste / Regulagem</v>
          </cell>
          <cell r="M599" t="str">
            <v>Falha de Ajuste / Parâmetros</v>
          </cell>
          <cell r="N599">
            <v>0</v>
          </cell>
          <cell r="O599">
            <v>0.48958333333333331</v>
          </cell>
          <cell r="P599">
            <v>0</v>
          </cell>
          <cell r="T599">
            <v>0</v>
          </cell>
          <cell r="U599">
            <v>0.5</v>
          </cell>
          <cell r="V599">
            <v>0</v>
          </cell>
          <cell r="W599">
            <v>0</v>
          </cell>
          <cell r="X599">
            <v>0</v>
          </cell>
          <cell r="Y599">
            <v>0</v>
          </cell>
          <cell r="AB599">
            <v>0</v>
          </cell>
          <cell r="AC599">
            <v>11</v>
          </cell>
          <cell r="AD599">
            <v>0</v>
          </cell>
          <cell r="BF599">
            <v>0</v>
          </cell>
          <cell r="BG599">
            <v>0</v>
          </cell>
          <cell r="BH599">
            <v>0</v>
          </cell>
          <cell r="BI599">
            <v>0</v>
          </cell>
          <cell r="BJ599">
            <v>0</v>
          </cell>
          <cell r="BK599">
            <v>0</v>
          </cell>
          <cell r="BL599">
            <v>0</v>
          </cell>
          <cell r="BM599">
            <v>0</v>
          </cell>
          <cell r="BN599">
            <v>0</v>
          </cell>
          <cell r="BO599">
            <v>0</v>
          </cell>
          <cell r="BP599">
            <v>0</v>
          </cell>
          <cell r="BQ599">
            <v>0</v>
          </cell>
          <cell r="BR599">
            <v>0</v>
          </cell>
          <cell r="BS599">
            <v>0</v>
          </cell>
          <cell r="BT599">
            <v>0</v>
          </cell>
          <cell r="BU599">
            <v>0</v>
          </cell>
          <cell r="BV599">
            <v>0</v>
          </cell>
          <cell r="BW599">
            <v>0</v>
          </cell>
          <cell r="BX599">
            <v>0</v>
          </cell>
          <cell r="BY599">
            <v>0</v>
          </cell>
          <cell r="BZ599">
            <v>0</v>
          </cell>
          <cell r="CA599">
            <v>0</v>
          </cell>
          <cell r="CB599">
            <v>0</v>
          </cell>
          <cell r="CC599">
            <v>0</v>
          </cell>
          <cell r="CD599">
            <v>0</v>
          </cell>
        </row>
        <row r="600">
          <cell r="C600">
            <v>37950</v>
          </cell>
          <cell r="D600">
            <v>38008</v>
          </cell>
          <cell r="E600">
            <v>37994</v>
          </cell>
          <cell r="F600">
            <v>0.25</v>
          </cell>
          <cell r="G600" t="str">
            <v>Perfiladora Gasparini</v>
          </cell>
          <cell r="H600" t="str">
            <v>Tesoura cortando fora do tempo</v>
          </cell>
          <cell r="I600">
            <v>0</v>
          </cell>
          <cell r="N600">
            <v>0</v>
          </cell>
          <cell r="P600">
            <v>0</v>
          </cell>
          <cell r="T600">
            <v>0</v>
          </cell>
          <cell r="V600">
            <v>0</v>
          </cell>
          <cell r="W600">
            <v>0</v>
          </cell>
          <cell r="X600">
            <v>0</v>
          </cell>
          <cell r="Y600">
            <v>0</v>
          </cell>
          <cell r="AB600">
            <v>0</v>
          </cell>
          <cell r="AC600">
            <v>11</v>
          </cell>
          <cell r="AD600">
            <v>0</v>
          </cell>
          <cell r="BF600">
            <v>0</v>
          </cell>
          <cell r="BG600">
            <v>0</v>
          </cell>
          <cell r="BH600">
            <v>0</v>
          </cell>
          <cell r="BI600">
            <v>0</v>
          </cell>
          <cell r="BJ600">
            <v>0</v>
          </cell>
          <cell r="BK600">
            <v>0</v>
          </cell>
          <cell r="BL600">
            <v>0</v>
          </cell>
          <cell r="BM600">
            <v>0</v>
          </cell>
          <cell r="BN600">
            <v>0</v>
          </cell>
          <cell r="BO600">
            <v>0</v>
          </cell>
          <cell r="BP600">
            <v>0</v>
          </cell>
          <cell r="BQ600">
            <v>0</v>
          </cell>
          <cell r="BR600">
            <v>0</v>
          </cell>
          <cell r="BS600">
            <v>0</v>
          </cell>
          <cell r="BT600">
            <v>0</v>
          </cell>
          <cell r="BU600">
            <v>0</v>
          </cell>
          <cell r="BV600">
            <v>0</v>
          </cell>
          <cell r="BW600">
            <v>0</v>
          </cell>
          <cell r="BX600">
            <v>0</v>
          </cell>
          <cell r="BY600">
            <v>0</v>
          </cell>
          <cell r="BZ600">
            <v>0</v>
          </cell>
          <cell r="CA600">
            <v>0</v>
          </cell>
          <cell r="CB600">
            <v>0</v>
          </cell>
          <cell r="CC600">
            <v>0</v>
          </cell>
          <cell r="CD600">
            <v>0</v>
          </cell>
        </row>
        <row r="601">
          <cell r="C601">
            <v>37950</v>
          </cell>
          <cell r="I601">
            <v>0</v>
          </cell>
          <cell r="N601">
            <v>0</v>
          </cell>
          <cell r="P601">
            <v>0</v>
          </cell>
          <cell r="T601">
            <v>0</v>
          </cell>
          <cell r="V601">
            <v>0</v>
          </cell>
          <cell r="W601">
            <v>0</v>
          </cell>
          <cell r="X601">
            <v>0</v>
          </cell>
          <cell r="Y601">
            <v>0</v>
          </cell>
          <cell r="AB601">
            <v>0</v>
          </cell>
          <cell r="AC601">
            <v>11</v>
          </cell>
          <cell r="AD601">
            <v>0</v>
          </cell>
          <cell r="BF601">
            <v>0</v>
          </cell>
          <cell r="BG601">
            <v>0</v>
          </cell>
          <cell r="BH601">
            <v>0</v>
          </cell>
          <cell r="BI601">
            <v>0</v>
          </cell>
          <cell r="BJ601">
            <v>0</v>
          </cell>
          <cell r="BK601">
            <v>0</v>
          </cell>
          <cell r="BL601">
            <v>0</v>
          </cell>
          <cell r="BM601">
            <v>0</v>
          </cell>
          <cell r="BN601">
            <v>0</v>
          </cell>
          <cell r="BO601">
            <v>0</v>
          </cell>
          <cell r="BP601">
            <v>0</v>
          </cell>
          <cell r="BQ601">
            <v>0</v>
          </cell>
          <cell r="BR601">
            <v>0</v>
          </cell>
          <cell r="BS601">
            <v>0</v>
          </cell>
          <cell r="BT601">
            <v>0</v>
          </cell>
          <cell r="BU601">
            <v>0</v>
          </cell>
          <cell r="BV601">
            <v>0</v>
          </cell>
          <cell r="BW601">
            <v>0</v>
          </cell>
          <cell r="BX601">
            <v>0</v>
          </cell>
          <cell r="BY601">
            <v>0</v>
          </cell>
          <cell r="BZ601">
            <v>0</v>
          </cell>
          <cell r="CA601">
            <v>0</v>
          </cell>
          <cell r="CB601">
            <v>0</v>
          </cell>
          <cell r="CC601">
            <v>0</v>
          </cell>
          <cell r="CD601">
            <v>0</v>
          </cell>
        </row>
        <row r="602">
          <cell r="C602">
            <v>37950</v>
          </cell>
          <cell r="I602">
            <v>0</v>
          </cell>
          <cell r="N602">
            <v>0</v>
          </cell>
          <cell r="P602">
            <v>0</v>
          </cell>
          <cell r="T602">
            <v>0</v>
          </cell>
          <cell r="V602">
            <v>0</v>
          </cell>
          <cell r="W602">
            <v>0</v>
          </cell>
          <cell r="X602">
            <v>0</v>
          </cell>
          <cell r="Y602">
            <v>0</v>
          </cell>
          <cell r="AB602">
            <v>0</v>
          </cell>
          <cell r="AC602">
            <v>11</v>
          </cell>
          <cell r="AD602">
            <v>0</v>
          </cell>
          <cell r="BF602">
            <v>0</v>
          </cell>
          <cell r="BG602">
            <v>0</v>
          </cell>
          <cell r="BH602">
            <v>0</v>
          </cell>
          <cell r="BI602">
            <v>0</v>
          </cell>
          <cell r="BJ602">
            <v>0</v>
          </cell>
          <cell r="BK602">
            <v>0</v>
          </cell>
          <cell r="BL602">
            <v>0</v>
          </cell>
          <cell r="BM602">
            <v>0</v>
          </cell>
          <cell r="BN602">
            <v>0</v>
          </cell>
          <cell r="BO602">
            <v>0</v>
          </cell>
          <cell r="BP602">
            <v>0</v>
          </cell>
          <cell r="BQ602">
            <v>0</v>
          </cell>
          <cell r="BR602">
            <v>0</v>
          </cell>
          <cell r="BS602">
            <v>0</v>
          </cell>
          <cell r="BT602">
            <v>0</v>
          </cell>
          <cell r="BU602">
            <v>0</v>
          </cell>
          <cell r="BV602">
            <v>0</v>
          </cell>
          <cell r="BW602">
            <v>0</v>
          </cell>
          <cell r="BX602">
            <v>0</v>
          </cell>
          <cell r="BY602">
            <v>0</v>
          </cell>
          <cell r="BZ602">
            <v>0</v>
          </cell>
          <cell r="CA602">
            <v>0</v>
          </cell>
          <cell r="CB602">
            <v>0</v>
          </cell>
          <cell r="CC602">
            <v>0</v>
          </cell>
          <cell r="CD602">
            <v>0</v>
          </cell>
        </row>
        <row r="603">
          <cell r="C603">
            <v>37950</v>
          </cell>
          <cell r="I603">
            <v>0</v>
          </cell>
          <cell r="N603">
            <v>0</v>
          </cell>
          <cell r="P603">
            <v>0</v>
          </cell>
          <cell r="T603">
            <v>0</v>
          </cell>
          <cell r="V603">
            <v>0</v>
          </cell>
          <cell r="W603">
            <v>0</v>
          </cell>
          <cell r="X603">
            <v>0</v>
          </cell>
          <cell r="Y603">
            <v>0</v>
          </cell>
          <cell r="AB603">
            <v>0</v>
          </cell>
          <cell r="AC603">
            <v>11</v>
          </cell>
          <cell r="AD603">
            <v>0</v>
          </cell>
          <cell r="BF603">
            <v>0</v>
          </cell>
          <cell r="BG603">
            <v>0</v>
          </cell>
          <cell r="BH603">
            <v>0</v>
          </cell>
          <cell r="BI603">
            <v>0</v>
          </cell>
          <cell r="BJ603">
            <v>0</v>
          </cell>
          <cell r="BK603">
            <v>0</v>
          </cell>
          <cell r="BL603">
            <v>0</v>
          </cell>
          <cell r="BM603">
            <v>0</v>
          </cell>
          <cell r="BN603">
            <v>0</v>
          </cell>
          <cell r="BO603">
            <v>0</v>
          </cell>
          <cell r="BP603">
            <v>0</v>
          </cell>
          <cell r="BQ603">
            <v>0</v>
          </cell>
          <cell r="BR603">
            <v>0</v>
          </cell>
          <cell r="BS603">
            <v>0</v>
          </cell>
          <cell r="BT603">
            <v>0</v>
          </cell>
          <cell r="BU603">
            <v>0</v>
          </cell>
          <cell r="BV603">
            <v>0</v>
          </cell>
          <cell r="BW603">
            <v>0</v>
          </cell>
          <cell r="BX603">
            <v>0</v>
          </cell>
          <cell r="BY603">
            <v>0</v>
          </cell>
          <cell r="BZ603">
            <v>0</v>
          </cell>
          <cell r="CA603">
            <v>0</v>
          </cell>
          <cell r="CB603">
            <v>0</v>
          </cell>
          <cell r="CC603">
            <v>0</v>
          </cell>
          <cell r="CD603">
            <v>0</v>
          </cell>
        </row>
        <row r="604">
          <cell r="C604">
            <v>37950</v>
          </cell>
          <cell r="I604">
            <v>0</v>
          </cell>
          <cell r="N604">
            <v>0</v>
          </cell>
          <cell r="P604">
            <v>0</v>
          </cell>
          <cell r="T604">
            <v>0</v>
          </cell>
          <cell r="V604">
            <v>0</v>
          </cell>
          <cell r="W604">
            <v>0</v>
          </cell>
          <cell r="X604">
            <v>0</v>
          </cell>
          <cell r="Y604">
            <v>0</v>
          </cell>
          <cell r="AB604">
            <v>0</v>
          </cell>
          <cell r="AC604">
            <v>11</v>
          </cell>
          <cell r="AD604">
            <v>0</v>
          </cell>
          <cell r="BF604">
            <v>0</v>
          </cell>
          <cell r="BG604">
            <v>0</v>
          </cell>
          <cell r="BH604">
            <v>0</v>
          </cell>
          <cell r="BI604">
            <v>0</v>
          </cell>
          <cell r="BJ604">
            <v>0</v>
          </cell>
          <cell r="BK604">
            <v>0</v>
          </cell>
          <cell r="BL604">
            <v>0</v>
          </cell>
          <cell r="BM604">
            <v>0</v>
          </cell>
          <cell r="BN604">
            <v>0</v>
          </cell>
          <cell r="BO604">
            <v>0</v>
          </cell>
          <cell r="BP604">
            <v>0</v>
          </cell>
          <cell r="BQ604">
            <v>0</v>
          </cell>
          <cell r="BR604">
            <v>0</v>
          </cell>
          <cell r="BS604">
            <v>0</v>
          </cell>
          <cell r="BT604">
            <v>0</v>
          </cell>
          <cell r="BU604">
            <v>0</v>
          </cell>
          <cell r="BV604">
            <v>0</v>
          </cell>
          <cell r="BW604">
            <v>0</v>
          </cell>
          <cell r="BX604">
            <v>0</v>
          </cell>
          <cell r="BY604">
            <v>0</v>
          </cell>
          <cell r="BZ604">
            <v>0</v>
          </cell>
          <cell r="CA604">
            <v>0</v>
          </cell>
          <cell r="CB604">
            <v>0</v>
          </cell>
          <cell r="CC604">
            <v>0</v>
          </cell>
          <cell r="CD604">
            <v>0</v>
          </cell>
        </row>
        <row r="605">
          <cell r="C605">
            <v>37950</v>
          </cell>
          <cell r="I605">
            <v>0</v>
          </cell>
          <cell r="N605">
            <v>0</v>
          </cell>
          <cell r="P605">
            <v>0</v>
          </cell>
          <cell r="T605">
            <v>0</v>
          </cell>
          <cell r="V605">
            <v>0</v>
          </cell>
          <cell r="W605">
            <v>0</v>
          </cell>
          <cell r="X605">
            <v>0</v>
          </cell>
          <cell r="Y605">
            <v>0</v>
          </cell>
          <cell r="AB605">
            <v>0</v>
          </cell>
          <cell r="AC605">
            <v>11</v>
          </cell>
          <cell r="AD605">
            <v>0</v>
          </cell>
          <cell r="BF605">
            <v>0</v>
          </cell>
          <cell r="BG605">
            <v>0</v>
          </cell>
          <cell r="BH605">
            <v>0</v>
          </cell>
          <cell r="BI605">
            <v>0</v>
          </cell>
          <cell r="BJ605">
            <v>0</v>
          </cell>
          <cell r="BK605">
            <v>0</v>
          </cell>
          <cell r="BL605">
            <v>0</v>
          </cell>
          <cell r="BM605">
            <v>0</v>
          </cell>
          <cell r="BN605">
            <v>0</v>
          </cell>
          <cell r="BO605">
            <v>0</v>
          </cell>
          <cell r="BP605">
            <v>0</v>
          </cell>
          <cell r="BQ605">
            <v>0</v>
          </cell>
          <cell r="BR605">
            <v>0</v>
          </cell>
          <cell r="BS605">
            <v>0</v>
          </cell>
          <cell r="BT605">
            <v>0</v>
          </cell>
          <cell r="BU605">
            <v>0</v>
          </cell>
          <cell r="BV605">
            <v>0</v>
          </cell>
          <cell r="BW605">
            <v>0</v>
          </cell>
          <cell r="BX605">
            <v>0</v>
          </cell>
          <cell r="BY605">
            <v>0</v>
          </cell>
          <cell r="BZ605">
            <v>0</v>
          </cell>
          <cell r="CA605">
            <v>0</v>
          </cell>
          <cell r="CB605">
            <v>0</v>
          </cell>
          <cell r="CC605">
            <v>0</v>
          </cell>
          <cell r="CD605">
            <v>0</v>
          </cell>
        </row>
        <row r="606">
          <cell r="C606">
            <v>37950</v>
          </cell>
          <cell r="I606">
            <v>0</v>
          </cell>
          <cell r="N606">
            <v>0</v>
          </cell>
          <cell r="P606">
            <v>0</v>
          </cell>
          <cell r="T606">
            <v>0</v>
          </cell>
          <cell r="V606">
            <v>0</v>
          </cell>
          <cell r="W606">
            <v>0</v>
          </cell>
          <cell r="X606">
            <v>0</v>
          </cell>
          <cell r="Y606">
            <v>0</v>
          </cell>
          <cell r="AB606">
            <v>0</v>
          </cell>
          <cell r="AC606">
            <v>11</v>
          </cell>
          <cell r="AD606">
            <v>0</v>
          </cell>
          <cell r="BF606">
            <v>0</v>
          </cell>
          <cell r="BG606">
            <v>0</v>
          </cell>
          <cell r="BH606">
            <v>0</v>
          </cell>
          <cell r="BI606">
            <v>0</v>
          </cell>
          <cell r="BJ606">
            <v>0</v>
          </cell>
          <cell r="BK606">
            <v>0</v>
          </cell>
          <cell r="BL606">
            <v>0</v>
          </cell>
          <cell r="BM606">
            <v>0</v>
          </cell>
          <cell r="BN606">
            <v>0</v>
          </cell>
          <cell r="BO606">
            <v>0</v>
          </cell>
          <cell r="BP606">
            <v>0</v>
          </cell>
          <cell r="BQ606">
            <v>0</v>
          </cell>
          <cell r="BR606">
            <v>0</v>
          </cell>
          <cell r="BS606">
            <v>0</v>
          </cell>
          <cell r="BT606">
            <v>0</v>
          </cell>
          <cell r="BU606">
            <v>0</v>
          </cell>
          <cell r="BV606">
            <v>0</v>
          </cell>
          <cell r="BW606">
            <v>0</v>
          </cell>
          <cell r="BX606">
            <v>0</v>
          </cell>
          <cell r="BY606">
            <v>0</v>
          </cell>
          <cell r="BZ606">
            <v>0</v>
          </cell>
          <cell r="CA606">
            <v>0</v>
          </cell>
          <cell r="CB606">
            <v>0</v>
          </cell>
          <cell r="CC606">
            <v>0</v>
          </cell>
          <cell r="CD606">
            <v>0</v>
          </cell>
        </row>
        <row r="607">
          <cell r="C607">
            <v>37950</v>
          </cell>
          <cell r="I607">
            <v>0</v>
          </cell>
          <cell r="N607">
            <v>0</v>
          </cell>
          <cell r="P607">
            <v>0</v>
          </cell>
          <cell r="T607">
            <v>0</v>
          </cell>
          <cell r="V607">
            <v>0</v>
          </cell>
          <cell r="W607">
            <v>0</v>
          </cell>
          <cell r="X607">
            <v>0</v>
          </cell>
          <cell r="Y607">
            <v>0</v>
          </cell>
          <cell r="AB607">
            <v>0</v>
          </cell>
          <cell r="AC607">
            <v>11</v>
          </cell>
          <cell r="AD607">
            <v>0</v>
          </cell>
          <cell r="BF607">
            <v>0</v>
          </cell>
          <cell r="BG607">
            <v>0</v>
          </cell>
          <cell r="BH607">
            <v>0</v>
          </cell>
          <cell r="BI607">
            <v>0</v>
          </cell>
          <cell r="BJ607">
            <v>0</v>
          </cell>
          <cell r="BK607">
            <v>0</v>
          </cell>
          <cell r="BL607">
            <v>0</v>
          </cell>
          <cell r="BM607">
            <v>0</v>
          </cell>
          <cell r="BN607">
            <v>0</v>
          </cell>
          <cell r="BO607">
            <v>0</v>
          </cell>
          <cell r="BP607">
            <v>0</v>
          </cell>
          <cell r="BQ607">
            <v>0</v>
          </cell>
          <cell r="BR607">
            <v>0</v>
          </cell>
          <cell r="BS607">
            <v>0</v>
          </cell>
          <cell r="BT607">
            <v>0</v>
          </cell>
          <cell r="BU607">
            <v>0</v>
          </cell>
          <cell r="BV607">
            <v>0</v>
          </cell>
          <cell r="BW607">
            <v>0</v>
          </cell>
          <cell r="BX607">
            <v>0</v>
          </cell>
          <cell r="BY607">
            <v>0</v>
          </cell>
          <cell r="BZ607">
            <v>0</v>
          </cell>
          <cell r="CA607">
            <v>0</v>
          </cell>
          <cell r="CB607">
            <v>0</v>
          </cell>
          <cell r="CC607">
            <v>0</v>
          </cell>
          <cell r="CD607">
            <v>0</v>
          </cell>
        </row>
        <row r="608">
          <cell r="C608">
            <v>37950</v>
          </cell>
          <cell r="I608">
            <v>0</v>
          </cell>
          <cell r="N608">
            <v>0</v>
          </cell>
          <cell r="P608">
            <v>0</v>
          </cell>
          <cell r="T608">
            <v>0</v>
          </cell>
          <cell r="V608">
            <v>0</v>
          </cell>
          <cell r="W608">
            <v>0</v>
          </cell>
          <cell r="X608">
            <v>0</v>
          </cell>
          <cell r="Y608">
            <v>0</v>
          </cell>
          <cell r="AB608">
            <v>0</v>
          </cell>
          <cell r="AC608">
            <v>11</v>
          </cell>
          <cell r="AD608">
            <v>0</v>
          </cell>
          <cell r="BF608">
            <v>0</v>
          </cell>
          <cell r="BG608">
            <v>0</v>
          </cell>
          <cell r="BH608">
            <v>0</v>
          </cell>
          <cell r="BI608">
            <v>0</v>
          </cell>
          <cell r="BJ608">
            <v>0</v>
          </cell>
          <cell r="BK608">
            <v>0</v>
          </cell>
          <cell r="BL608">
            <v>0</v>
          </cell>
          <cell r="BM608">
            <v>0</v>
          </cell>
          <cell r="BN608">
            <v>0</v>
          </cell>
          <cell r="BO608">
            <v>0</v>
          </cell>
          <cell r="BP608">
            <v>0</v>
          </cell>
          <cell r="BQ608">
            <v>0</v>
          </cell>
          <cell r="BR608">
            <v>0</v>
          </cell>
          <cell r="BS608">
            <v>0</v>
          </cell>
          <cell r="BT608">
            <v>0</v>
          </cell>
          <cell r="BU608">
            <v>0</v>
          </cell>
          <cell r="BV608">
            <v>0</v>
          </cell>
          <cell r="BW608">
            <v>0</v>
          </cell>
          <cell r="BX608">
            <v>0</v>
          </cell>
          <cell r="BY608">
            <v>0</v>
          </cell>
          <cell r="BZ608">
            <v>0</v>
          </cell>
          <cell r="CA608">
            <v>0</v>
          </cell>
          <cell r="CB608">
            <v>0</v>
          </cell>
          <cell r="CC608">
            <v>0</v>
          </cell>
          <cell r="CD608">
            <v>0</v>
          </cell>
        </row>
        <row r="609">
          <cell r="C609">
            <v>37950</v>
          </cell>
          <cell r="I609">
            <v>0</v>
          </cell>
          <cell r="N609">
            <v>0</v>
          </cell>
          <cell r="P609">
            <v>0</v>
          </cell>
          <cell r="T609">
            <v>0</v>
          </cell>
          <cell r="V609">
            <v>0</v>
          </cell>
          <cell r="W609">
            <v>0</v>
          </cell>
          <cell r="X609">
            <v>0</v>
          </cell>
          <cell r="Y609">
            <v>0</v>
          </cell>
          <cell r="AB609">
            <v>0</v>
          </cell>
          <cell r="AC609">
            <v>11</v>
          </cell>
          <cell r="AD609">
            <v>0</v>
          </cell>
          <cell r="BF609">
            <v>0</v>
          </cell>
          <cell r="BG609">
            <v>0</v>
          </cell>
          <cell r="BH609">
            <v>0</v>
          </cell>
          <cell r="BI609">
            <v>0</v>
          </cell>
          <cell r="BJ609">
            <v>0</v>
          </cell>
          <cell r="BK609">
            <v>0</v>
          </cell>
          <cell r="BL609">
            <v>0</v>
          </cell>
          <cell r="BM609">
            <v>0</v>
          </cell>
          <cell r="BN609">
            <v>0</v>
          </cell>
          <cell r="BO609">
            <v>0</v>
          </cell>
          <cell r="BP609">
            <v>0</v>
          </cell>
          <cell r="BQ609">
            <v>0</v>
          </cell>
          <cell r="BR609">
            <v>0</v>
          </cell>
          <cell r="BS609">
            <v>0</v>
          </cell>
          <cell r="BT609">
            <v>0</v>
          </cell>
          <cell r="BU609">
            <v>0</v>
          </cell>
          <cell r="BV609">
            <v>0</v>
          </cell>
          <cell r="BW609">
            <v>0</v>
          </cell>
          <cell r="BX609">
            <v>0</v>
          </cell>
          <cell r="BY609">
            <v>0</v>
          </cell>
          <cell r="BZ609">
            <v>0</v>
          </cell>
          <cell r="CA609">
            <v>0</v>
          </cell>
          <cell r="CB609">
            <v>0</v>
          </cell>
          <cell r="CC609">
            <v>0</v>
          </cell>
          <cell r="CD609">
            <v>0</v>
          </cell>
        </row>
        <row r="610">
          <cell r="C610">
            <v>37950</v>
          </cell>
          <cell r="I610">
            <v>0</v>
          </cell>
          <cell r="N610">
            <v>0</v>
          </cell>
          <cell r="P610">
            <v>0</v>
          </cell>
          <cell r="T610">
            <v>0</v>
          </cell>
          <cell r="V610">
            <v>0</v>
          </cell>
          <cell r="W610">
            <v>0</v>
          </cell>
          <cell r="X610">
            <v>0</v>
          </cell>
          <cell r="Y610">
            <v>0</v>
          </cell>
          <cell r="AB610">
            <v>0</v>
          </cell>
          <cell r="AC610">
            <v>11</v>
          </cell>
          <cell r="AD610">
            <v>0</v>
          </cell>
          <cell r="BF610">
            <v>0</v>
          </cell>
          <cell r="BG610">
            <v>0</v>
          </cell>
          <cell r="BH610">
            <v>0</v>
          </cell>
          <cell r="BI610">
            <v>0</v>
          </cell>
          <cell r="BJ610">
            <v>0</v>
          </cell>
          <cell r="BK610">
            <v>0</v>
          </cell>
          <cell r="BL610">
            <v>0</v>
          </cell>
          <cell r="BM610">
            <v>0</v>
          </cell>
          <cell r="BN610">
            <v>0</v>
          </cell>
          <cell r="BO610">
            <v>0</v>
          </cell>
          <cell r="BP610">
            <v>0</v>
          </cell>
          <cell r="BQ610">
            <v>0</v>
          </cell>
          <cell r="BR610">
            <v>0</v>
          </cell>
          <cell r="BS610">
            <v>0</v>
          </cell>
          <cell r="BT610">
            <v>0</v>
          </cell>
          <cell r="BU610">
            <v>0</v>
          </cell>
          <cell r="BV610">
            <v>0</v>
          </cell>
          <cell r="BW610">
            <v>0</v>
          </cell>
          <cell r="BX610">
            <v>0</v>
          </cell>
          <cell r="BY610">
            <v>0</v>
          </cell>
          <cell r="BZ610">
            <v>0</v>
          </cell>
          <cell r="CA610">
            <v>0</v>
          </cell>
          <cell r="CB610">
            <v>0</v>
          </cell>
          <cell r="CC610">
            <v>0</v>
          </cell>
          <cell r="CD610">
            <v>0</v>
          </cell>
        </row>
        <row r="611">
          <cell r="C611">
            <v>37950</v>
          </cell>
          <cell r="I611">
            <v>0</v>
          </cell>
          <cell r="N611">
            <v>0</v>
          </cell>
          <cell r="P611">
            <v>0</v>
          </cell>
          <cell r="T611">
            <v>0</v>
          </cell>
          <cell r="V611">
            <v>0</v>
          </cell>
          <cell r="W611">
            <v>0</v>
          </cell>
          <cell r="X611">
            <v>0</v>
          </cell>
          <cell r="Y611">
            <v>0</v>
          </cell>
          <cell r="AB611">
            <v>0</v>
          </cell>
          <cell r="AC611">
            <v>11</v>
          </cell>
          <cell r="AD611">
            <v>0</v>
          </cell>
          <cell r="BF611">
            <v>0</v>
          </cell>
          <cell r="BG611">
            <v>0</v>
          </cell>
          <cell r="BH611">
            <v>0</v>
          </cell>
          <cell r="BI611">
            <v>0</v>
          </cell>
          <cell r="BJ611">
            <v>0</v>
          </cell>
          <cell r="BK611">
            <v>0</v>
          </cell>
          <cell r="BL611">
            <v>0</v>
          </cell>
          <cell r="BM611">
            <v>0</v>
          </cell>
          <cell r="BN611">
            <v>0</v>
          </cell>
          <cell r="BO611">
            <v>0</v>
          </cell>
          <cell r="BP611">
            <v>0</v>
          </cell>
          <cell r="BQ611">
            <v>0</v>
          </cell>
          <cell r="BR611">
            <v>0</v>
          </cell>
          <cell r="BS611">
            <v>0</v>
          </cell>
          <cell r="BT611">
            <v>0</v>
          </cell>
          <cell r="BU611">
            <v>0</v>
          </cell>
          <cell r="BV611">
            <v>0</v>
          </cell>
          <cell r="BW611">
            <v>0</v>
          </cell>
          <cell r="BX611">
            <v>0</v>
          </cell>
          <cell r="BY611">
            <v>0</v>
          </cell>
          <cell r="BZ611">
            <v>0</v>
          </cell>
          <cell r="CA611">
            <v>0</v>
          </cell>
          <cell r="CB611">
            <v>0</v>
          </cell>
          <cell r="CC611">
            <v>0</v>
          </cell>
          <cell r="CD611">
            <v>0</v>
          </cell>
        </row>
        <row r="612">
          <cell r="C612">
            <v>37950</v>
          </cell>
          <cell r="I612">
            <v>0</v>
          </cell>
          <cell r="N612">
            <v>0</v>
          </cell>
          <cell r="P612">
            <v>0</v>
          </cell>
          <cell r="T612">
            <v>0</v>
          </cell>
          <cell r="V612">
            <v>0</v>
          </cell>
          <cell r="W612">
            <v>0</v>
          </cell>
          <cell r="X612">
            <v>0</v>
          </cell>
          <cell r="Y612">
            <v>0</v>
          </cell>
          <cell r="AB612">
            <v>0</v>
          </cell>
          <cell r="AC612">
            <v>11</v>
          </cell>
          <cell r="AD612">
            <v>0</v>
          </cell>
          <cell r="BF612">
            <v>0</v>
          </cell>
          <cell r="BG612">
            <v>0</v>
          </cell>
          <cell r="BH612">
            <v>0</v>
          </cell>
          <cell r="BI612">
            <v>0</v>
          </cell>
          <cell r="BJ612">
            <v>0</v>
          </cell>
          <cell r="BK612">
            <v>0</v>
          </cell>
          <cell r="BL612">
            <v>0</v>
          </cell>
          <cell r="BM612">
            <v>0</v>
          </cell>
          <cell r="BN612">
            <v>0</v>
          </cell>
          <cell r="BO612">
            <v>0</v>
          </cell>
          <cell r="BP612">
            <v>0</v>
          </cell>
          <cell r="BQ612">
            <v>0</v>
          </cell>
          <cell r="BR612">
            <v>0</v>
          </cell>
          <cell r="BS612">
            <v>0</v>
          </cell>
          <cell r="BT612">
            <v>0</v>
          </cell>
          <cell r="BU612">
            <v>0</v>
          </cell>
          <cell r="BV612">
            <v>0</v>
          </cell>
          <cell r="BW612">
            <v>0</v>
          </cell>
          <cell r="BX612">
            <v>0</v>
          </cell>
          <cell r="BY612">
            <v>0</v>
          </cell>
          <cell r="BZ612">
            <v>0</v>
          </cell>
          <cell r="CA612">
            <v>0</v>
          </cell>
          <cell r="CB612">
            <v>0</v>
          </cell>
          <cell r="CC612">
            <v>0</v>
          </cell>
          <cell r="CD612">
            <v>0</v>
          </cell>
        </row>
        <row r="613">
          <cell r="C613">
            <v>37950</v>
          </cell>
          <cell r="I613">
            <v>0</v>
          </cell>
          <cell r="N613">
            <v>0</v>
          </cell>
          <cell r="P613">
            <v>0</v>
          </cell>
          <cell r="T613">
            <v>0</v>
          </cell>
          <cell r="V613">
            <v>0</v>
          </cell>
          <cell r="W613">
            <v>0</v>
          </cell>
          <cell r="X613">
            <v>0</v>
          </cell>
          <cell r="Y613">
            <v>0</v>
          </cell>
          <cell r="AB613">
            <v>0</v>
          </cell>
          <cell r="AC613">
            <v>11</v>
          </cell>
          <cell r="AD613">
            <v>0</v>
          </cell>
          <cell r="BF613">
            <v>0</v>
          </cell>
          <cell r="BG613">
            <v>0</v>
          </cell>
          <cell r="BH613">
            <v>0</v>
          </cell>
          <cell r="BI613">
            <v>0</v>
          </cell>
          <cell r="BJ613">
            <v>0</v>
          </cell>
          <cell r="BK613">
            <v>0</v>
          </cell>
          <cell r="BL613">
            <v>0</v>
          </cell>
          <cell r="BM613">
            <v>0</v>
          </cell>
          <cell r="BN613">
            <v>0</v>
          </cell>
          <cell r="BO613">
            <v>0</v>
          </cell>
          <cell r="BP613">
            <v>0</v>
          </cell>
          <cell r="BQ613">
            <v>0</v>
          </cell>
          <cell r="BR613">
            <v>0</v>
          </cell>
          <cell r="BS613">
            <v>0</v>
          </cell>
          <cell r="BT613">
            <v>0</v>
          </cell>
          <cell r="BU613">
            <v>0</v>
          </cell>
          <cell r="BV613">
            <v>0</v>
          </cell>
          <cell r="BW613">
            <v>0</v>
          </cell>
          <cell r="BX613">
            <v>0</v>
          </cell>
          <cell r="BY613">
            <v>0</v>
          </cell>
          <cell r="BZ613">
            <v>0</v>
          </cell>
          <cell r="CA613">
            <v>0</v>
          </cell>
          <cell r="CB613">
            <v>0</v>
          </cell>
          <cell r="CC613">
            <v>0</v>
          </cell>
          <cell r="CD613">
            <v>0</v>
          </cell>
        </row>
        <row r="614">
          <cell r="C614">
            <v>37950</v>
          </cell>
          <cell r="I614">
            <v>0</v>
          </cell>
          <cell r="N614">
            <v>0</v>
          </cell>
          <cell r="P614">
            <v>0</v>
          </cell>
          <cell r="T614">
            <v>0</v>
          </cell>
          <cell r="V614">
            <v>0</v>
          </cell>
          <cell r="W614">
            <v>0</v>
          </cell>
          <cell r="X614">
            <v>0</v>
          </cell>
          <cell r="Y614">
            <v>0</v>
          </cell>
          <cell r="AB614">
            <v>0</v>
          </cell>
          <cell r="AC614">
            <v>11</v>
          </cell>
          <cell r="AD614">
            <v>0</v>
          </cell>
          <cell r="BF614">
            <v>0</v>
          </cell>
          <cell r="BG614">
            <v>0</v>
          </cell>
          <cell r="BH614">
            <v>0</v>
          </cell>
          <cell r="BI614">
            <v>0</v>
          </cell>
          <cell r="BJ614">
            <v>0</v>
          </cell>
          <cell r="BK614">
            <v>0</v>
          </cell>
          <cell r="BL614">
            <v>0</v>
          </cell>
          <cell r="BM614">
            <v>0</v>
          </cell>
          <cell r="BN614">
            <v>0</v>
          </cell>
          <cell r="BO614">
            <v>0</v>
          </cell>
          <cell r="BP614">
            <v>0</v>
          </cell>
          <cell r="BQ614">
            <v>0</v>
          </cell>
          <cell r="BR614">
            <v>0</v>
          </cell>
          <cell r="BS614">
            <v>0</v>
          </cell>
          <cell r="BT614">
            <v>0</v>
          </cell>
          <cell r="BU614">
            <v>0</v>
          </cell>
          <cell r="BV614">
            <v>0</v>
          </cell>
          <cell r="BW614">
            <v>0</v>
          </cell>
          <cell r="BX614">
            <v>0</v>
          </cell>
          <cell r="BY614">
            <v>0</v>
          </cell>
          <cell r="BZ614">
            <v>0</v>
          </cell>
          <cell r="CA614">
            <v>0</v>
          </cell>
          <cell r="CB614">
            <v>0</v>
          </cell>
          <cell r="CC614">
            <v>0</v>
          </cell>
          <cell r="CD614">
            <v>0</v>
          </cell>
        </row>
        <row r="615">
          <cell r="C615">
            <v>37950</v>
          </cell>
          <cell r="I615">
            <v>0</v>
          </cell>
          <cell r="N615">
            <v>0</v>
          </cell>
          <cell r="P615">
            <v>0</v>
          </cell>
          <cell r="T615">
            <v>0</v>
          </cell>
          <cell r="V615">
            <v>0</v>
          </cell>
          <cell r="W615">
            <v>0</v>
          </cell>
          <cell r="X615">
            <v>0</v>
          </cell>
          <cell r="Y615">
            <v>0</v>
          </cell>
          <cell r="AB615">
            <v>0</v>
          </cell>
          <cell r="AC615">
            <v>11</v>
          </cell>
          <cell r="AD615">
            <v>0</v>
          </cell>
          <cell r="BF615">
            <v>0</v>
          </cell>
          <cell r="BG615">
            <v>0</v>
          </cell>
          <cell r="BH615">
            <v>0</v>
          </cell>
          <cell r="BI615">
            <v>0</v>
          </cell>
          <cell r="BJ615">
            <v>0</v>
          </cell>
          <cell r="BK615">
            <v>0</v>
          </cell>
          <cell r="BL615">
            <v>0</v>
          </cell>
          <cell r="BM615">
            <v>0</v>
          </cell>
          <cell r="BN615">
            <v>0</v>
          </cell>
          <cell r="BO615">
            <v>0</v>
          </cell>
          <cell r="BP615">
            <v>0</v>
          </cell>
          <cell r="BQ615">
            <v>0</v>
          </cell>
          <cell r="BR615">
            <v>0</v>
          </cell>
          <cell r="BS615">
            <v>0</v>
          </cell>
          <cell r="BT615">
            <v>0</v>
          </cell>
          <cell r="BU615">
            <v>0</v>
          </cell>
          <cell r="BV615">
            <v>0</v>
          </cell>
          <cell r="BW615">
            <v>0</v>
          </cell>
          <cell r="BX615">
            <v>0</v>
          </cell>
          <cell r="BY615">
            <v>0</v>
          </cell>
          <cell r="BZ615">
            <v>0</v>
          </cell>
          <cell r="CA615">
            <v>0</v>
          </cell>
          <cell r="CB615">
            <v>0</v>
          </cell>
          <cell r="CC615">
            <v>0</v>
          </cell>
          <cell r="CD615">
            <v>0</v>
          </cell>
        </row>
        <row r="616">
          <cell r="C616">
            <v>37950</v>
          </cell>
          <cell r="I616">
            <v>0</v>
          </cell>
          <cell r="N616">
            <v>0</v>
          </cell>
          <cell r="P616">
            <v>0</v>
          </cell>
          <cell r="T616">
            <v>0</v>
          </cell>
          <cell r="V616">
            <v>0</v>
          </cell>
          <cell r="W616">
            <v>0</v>
          </cell>
          <cell r="X616">
            <v>0</v>
          </cell>
          <cell r="Y616">
            <v>0</v>
          </cell>
          <cell r="AB616">
            <v>0</v>
          </cell>
          <cell r="AC616">
            <v>11</v>
          </cell>
          <cell r="AD616">
            <v>0</v>
          </cell>
          <cell r="BF616">
            <v>0</v>
          </cell>
          <cell r="BG616">
            <v>0</v>
          </cell>
          <cell r="BH616">
            <v>0</v>
          </cell>
          <cell r="BI616">
            <v>0</v>
          </cell>
          <cell r="BJ616">
            <v>0</v>
          </cell>
          <cell r="BK616">
            <v>0</v>
          </cell>
          <cell r="BL616">
            <v>0</v>
          </cell>
          <cell r="BM616">
            <v>0</v>
          </cell>
          <cell r="BN616">
            <v>0</v>
          </cell>
          <cell r="BO616">
            <v>0</v>
          </cell>
          <cell r="BP616">
            <v>0</v>
          </cell>
          <cell r="BQ616">
            <v>0</v>
          </cell>
          <cell r="BR616">
            <v>0</v>
          </cell>
          <cell r="BS616">
            <v>0</v>
          </cell>
          <cell r="BT616">
            <v>0</v>
          </cell>
          <cell r="BU616">
            <v>0</v>
          </cell>
          <cell r="BV616">
            <v>0</v>
          </cell>
          <cell r="BW616">
            <v>0</v>
          </cell>
          <cell r="BX616">
            <v>0</v>
          </cell>
          <cell r="BY616">
            <v>0</v>
          </cell>
          <cell r="BZ616">
            <v>0</v>
          </cell>
          <cell r="CA616">
            <v>0</v>
          </cell>
          <cell r="CB616">
            <v>0</v>
          </cell>
          <cell r="CC616">
            <v>0</v>
          </cell>
          <cell r="CD616">
            <v>0</v>
          </cell>
        </row>
        <row r="617">
          <cell r="C617">
            <v>37950</v>
          </cell>
          <cell r="D617">
            <v>37971</v>
          </cell>
          <cell r="E617">
            <v>37956</v>
          </cell>
          <cell r="F617">
            <v>0.52430555555555558</v>
          </cell>
          <cell r="G617" t="str">
            <v>Perfiladora Fagor Largueros</v>
          </cell>
          <cell r="H617" t="str">
            <v>Motor do eixo está com problemas</v>
          </cell>
          <cell r="I617">
            <v>0</v>
          </cell>
          <cell r="J617" t="str">
            <v>Sim</v>
          </cell>
          <cell r="K617" t="str">
            <v>Mecânica</v>
          </cell>
          <cell r="L617" t="str">
            <v>Destravamento dos Componentes</v>
          </cell>
          <cell r="M617" t="str">
            <v>Falha de Montagem / Preparação</v>
          </cell>
          <cell r="N617">
            <v>37956</v>
          </cell>
          <cell r="O617">
            <v>0.52777777777777779</v>
          </cell>
          <cell r="P617">
            <v>0</v>
          </cell>
          <cell r="T617">
            <v>37956</v>
          </cell>
          <cell r="U617">
            <v>0.55555555555555558</v>
          </cell>
          <cell r="V617">
            <v>3.4722222222222099E-3</v>
          </cell>
          <cell r="W617">
            <v>3.1249999999191536E-2</v>
          </cell>
          <cell r="X617">
            <v>0</v>
          </cell>
          <cell r="Y617">
            <v>0</v>
          </cell>
          <cell r="AB617">
            <v>12</v>
          </cell>
          <cell r="AC617">
            <v>11</v>
          </cell>
          <cell r="AD617">
            <v>0</v>
          </cell>
          <cell r="BF617">
            <v>0</v>
          </cell>
          <cell r="BG617">
            <v>0</v>
          </cell>
          <cell r="BH617">
            <v>0</v>
          </cell>
          <cell r="BI617">
            <v>0</v>
          </cell>
          <cell r="BJ617">
            <v>0</v>
          </cell>
          <cell r="BK617">
            <v>0</v>
          </cell>
          <cell r="BL617">
            <v>0</v>
          </cell>
          <cell r="BM617">
            <v>0</v>
          </cell>
          <cell r="BN617">
            <v>0</v>
          </cell>
          <cell r="BO617">
            <v>0</v>
          </cell>
          <cell r="BP617">
            <v>0</v>
          </cell>
          <cell r="BQ617">
            <v>0</v>
          </cell>
          <cell r="BR617">
            <v>0</v>
          </cell>
          <cell r="BS617">
            <v>0</v>
          </cell>
          <cell r="BT617">
            <v>12</v>
          </cell>
          <cell r="BU617">
            <v>0</v>
          </cell>
          <cell r="BV617">
            <v>0</v>
          </cell>
          <cell r="BW617">
            <v>0</v>
          </cell>
          <cell r="BX617">
            <v>0</v>
          </cell>
          <cell r="BY617">
            <v>0</v>
          </cell>
          <cell r="BZ617">
            <v>0</v>
          </cell>
          <cell r="CA617">
            <v>0</v>
          </cell>
          <cell r="CB617">
            <v>0</v>
          </cell>
          <cell r="CC617">
            <v>0</v>
          </cell>
          <cell r="CD617">
            <v>0</v>
          </cell>
        </row>
        <row r="618">
          <cell r="C618">
            <v>37950</v>
          </cell>
          <cell r="D618">
            <v>37972</v>
          </cell>
          <cell r="E618">
            <v>37964</v>
          </cell>
          <cell r="F618">
            <v>0.58333333333333337</v>
          </cell>
          <cell r="G618" t="str">
            <v>Células de Solda Automática</v>
          </cell>
          <cell r="H618" t="str">
            <v>Máquina não liga</v>
          </cell>
          <cell r="I618">
            <v>0</v>
          </cell>
          <cell r="J618" t="str">
            <v>Sim</v>
          </cell>
          <cell r="K618" t="str">
            <v>Elétrica</v>
          </cell>
          <cell r="L618" t="str">
            <v>Reparo</v>
          </cell>
          <cell r="M618" t="str">
            <v>Desgaste / Fadiga</v>
          </cell>
          <cell r="N618">
            <v>37964</v>
          </cell>
          <cell r="O618">
            <v>0.59722222222222221</v>
          </cell>
          <cell r="P618">
            <v>0</v>
          </cell>
          <cell r="T618">
            <v>37964</v>
          </cell>
          <cell r="U618">
            <v>0.61111111111111105</v>
          </cell>
          <cell r="V618">
            <v>0</v>
          </cell>
          <cell r="W618">
            <v>2.7777777776160861E-2</v>
          </cell>
          <cell r="X618">
            <v>0</v>
          </cell>
          <cell r="Y618">
            <v>0</v>
          </cell>
          <cell r="AB618">
            <v>12</v>
          </cell>
          <cell r="AC618">
            <v>11</v>
          </cell>
          <cell r="AD618">
            <v>0</v>
          </cell>
          <cell r="BF618">
            <v>12</v>
          </cell>
          <cell r="BG618">
            <v>0</v>
          </cell>
          <cell r="BH618">
            <v>0</v>
          </cell>
          <cell r="BI618">
            <v>0</v>
          </cell>
          <cell r="BJ618">
            <v>0</v>
          </cell>
          <cell r="BK618">
            <v>0</v>
          </cell>
          <cell r="BL618">
            <v>0</v>
          </cell>
          <cell r="BM618">
            <v>0</v>
          </cell>
          <cell r="BN618">
            <v>0</v>
          </cell>
          <cell r="BO618">
            <v>0</v>
          </cell>
          <cell r="BP618">
            <v>0</v>
          </cell>
          <cell r="BQ618">
            <v>0</v>
          </cell>
          <cell r="BR618">
            <v>0</v>
          </cell>
          <cell r="BS618">
            <v>0</v>
          </cell>
          <cell r="BT618">
            <v>0</v>
          </cell>
          <cell r="BU618">
            <v>0</v>
          </cell>
          <cell r="BV618">
            <v>0</v>
          </cell>
          <cell r="BW618">
            <v>0</v>
          </cell>
          <cell r="BX618">
            <v>0</v>
          </cell>
          <cell r="BY618">
            <v>0</v>
          </cell>
          <cell r="BZ618">
            <v>0</v>
          </cell>
          <cell r="CA618">
            <v>0</v>
          </cell>
          <cell r="CB618">
            <v>0</v>
          </cell>
          <cell r="CC618">
            <v>0</v>
          </cell>
          <cell r="CD618">
            <v>0</v>
          </cell>
        </row>
        <row r="619">
          <cell r="C619">
            <v>37950</v>
          </cell>
          <cell r="D619">
            <v>37972</v>
          </cell>
          <cell r="E619">
            <v>37965</v>
          </cell>
          <cell r="F619">
            <v>0.90277777777777779</v>
          </cell>
          <cell r="G619" t="str">
            <v>Células de Solda Automática</v>
          </cell>
          <cell r="H619" t="str">
            <v>A fresa de limpeza da tocha não pára de jogar óleo (anti-respingos)</v>
          </cell>
          <cell r="I619">
            <v>0</v>
          </cell>
          <cell r="J619" t="str">
            <v>Não</v>
          </cell>
          <cell r="K619" t="str">
            <v>Mecânica</v>
          </cell>
          <cell r="L619" t="str">
            <v>Destravamento dos Componentes</v>
          </cell>
          <cell r="M619" t="str">
            <v>Falha de Comando / Sistema</v>
          </cell>
          <cell r="N619">
            <v>37965</v>
          </cell>
          <cell r="O619">
            <v>0.90625</v>
          </cell>
          <cell r="P619">
            <v>0</v>
          </cell>
          <cell r="T619">
            <v>37965</v>
          </cell>
          <cell r="U619">
            <v>0.92361111111111116</v>
          </cell>
          <cell r="V619">
            <v>0</v>
          </cell>
          <cell r="W619">
            <v>1.7361111109494232E-2</v>
          </cell>
          <cell r="X619">
            <v>0</v>
          </cell>
          <cell r="Y619">
            <v>0</v>
          </cell>
          <cell r="AB619">
            <v>12</v>
          </cell>
          <cell r="AC619">
            <v>11</v>
          </cell>
          <cell r="AD619">
            <v>0</v>
          </cell>
          <cell r="BF619">
            <v>12</v>
          </cell>
          <cell r="BG619">
            <v>0</v>
          </cell>
          <cell r="BH619">
            <v>0</v>
          </cell>
          <cell r="BI619">
            <v>0</v>
          </cell>
          <cell r="BJ619">
            <v>0</v>
          </cell>
          <cell r="BK619">
            <v>0</v>
          </cell>
          <cell r="BL619">
            <v>0</v>
          </cell>
          <cell r="BM619">
            <v>0</v>
          </cell>
          <cell r="BN619">
            <v>0</v>
          </cell>
          <cell r="BO619">
            <v>0</v>
          </cell>
          <cell r="BP619">
            <v>0</v>
          </cell>
          <cell r="BQ619">
            <v>0</v>
          </cell>
          <cell r="BR619">
            <v>0</v>
          </cell>
          <cell r="BS619">
            <v>0</v>
          </cell>
          <cell r="BT619">
            <v>0</v>
          </cell>
          <cell r="BU619">
            <v>0</v>
          </cell>
          <cell r="BV619">
            <v>0</v>
          </cell>
          <cell r="BW619">
            <v>0</v>
          </cell>
          <cell r="BX619">
            <v>0</v>
          </cell>
          <cell r="BY619">
            <v>0</v>
          </cell>
          <cell r="BZ619">
            <v>0</v>
          </cell>
          <cell r="CA619">
            <v>0</v>
          </cell>
          <cell r="CB619">
            <v>0</v>
          </cell>
          <cell r="CC619">
            <v>0</v>
          </cell>
          <cell r="CD619">
            <v>0</v>
          </cell>
        </row>
        <row r="620">
          <cell r="C620">
            <v>37950</v>
          </cell>
          <cell r="I620">
            <v>0</v>
          </cell>
          <cell r="N620">
            <v>0</v>
          </cell>
          <cell r="P620">
            <v>0</v>
          </cell>
          <cell r="T620">
            <v>0</v>
          </cell>
          <cell r="V620">
            <v>0</v>
          </cell>
          <cell r="W620">
            <v>0</v>
          </cell>
          <cell r="X620">
            <v>0</v>
          </cell>
          <cell r="Y620">
            <v>0</v>
          </cell>
          <cell r="AB620">
            <v>0</v>
          </cell>
          <cell r="AC620">
            <v>11</v>
          </cell>
          <cell r="AD620">
            <v>0</v>
          </cell>
          <cell r="BF620">
            <v>0</v>
          </cell>
          <cell r="BG620">
            <v>0</v>
          </cell>
          <cell r="BH620">
            <v>0</v>
          </cell>
          <cell r="BI620">
            <v>0</v>
          </cell>
          <cell r="BJ620">
            <v>0</v>
          </cell>
          <cell r="BK620">
            <v>0</v>
          </cell>
          <cell r="BL620">
            <v>0</v>
          </cell>
          <cell r="BM620">
            <v>0</v>
          </cell>
          <cell r="BN620">
            <v>0</v>
          </cell>
          <cell r="BO620">
            <v>0</v>
          </cell>
          <cell r="BP620">
            <v>0</v>
          </cell>
          <cell r="BQ620">
            <v>0</v>
          </cell>
          <cell r="BR620">
            <v>0</v>
          </cell>
          <cell r="BS620">
            <v>0</v>
          </cell>
          <cell r="BT620">
            <v>0</v>
          </cell>
          <cell r="BU620">
            <v>0</v>
          </cell>
          <cell r="BV620">
            <v>0</v>
          </cell>
          <cell r="BW620">
            <v>0</v>
          </cell>
          <cell r="BX620">
            <v>0</v>
          </cell>
          <cell r="BY620">
            <v>0</v>
          </cell>
          <cell r="BZ620">
            <v>0</v>
          </cell>
          <cell r="CA620">
            <v>0</v>
          </cell>
          <cell r="CB620">
            <v>0</v>
          </cell>
          <cell r="CC620">
            <v>0</v>
          </cell>
          <cell r="CD620">
            <v>0</v>
          </cell>
        </row>
        <row r="621">
          <cell r="C621">
            <v>37950</v>
          </cell>
          <cell r="D621">
            <v>37972</v>
          </cell>
          <cell r="E621">
            <v>37967</v>
          </cell>
          <cell r="F621">
            <v>0.25</v>
          </cell>
          <cell r="G621" t="str">
            <v>Células de Solda Automática</v>
          </cell>
          <cell r="H621" t="str">
            <v>Mangueira de ar furada</v>
          </cell>
          <cell r="I621">
            <v>0</v>
          </cell>
          <cell r="J621" t="str">
            <v>Sim</v>
          </cell>
          <cell r="K621" t="str">
            <v>Mecânica</v>
          </cell>
          <cell r="L621" t="str">
            <v>Substituição do(s) Componente(s)</v>
          </cell>
          <cell r="M621" t="str">
            <v>Falha Operacional</v>
          </cell>
          <cell r="N621">
            <v>37967</v>
          </cell>
          <cell r="O621">
            <v>0.27083333333333331</v>
          </cell>
          <cell r="P621">
            <v>0</v>
          </cell>
          <cell r="T621">
            <v>37967</v>
          </cell>
          <cell r="U621">
            <v>0.3125</v>
          </cell>
          <cell r="V621">
            <v>0</v>
          </cell>
          <cell r="W621">
            <v>6.25E-2</v>
          </cell>
          <cell r="X621">
            <v>0</v>
          </cell>
          <cell r="Y621">
            <v>0</v>
          </cell>
          <cell r="AB621">
            <v>12</v>
          </cell>
          <cell r="AC621">
            <v>11</v>
          </cell>
          <cell r="AD621">
            <v>0</v>
          </cell>
          <cell r="BF621">
            <v>12</v>
          </cell>
          <cell r="BG621">
            <v>0</v>
          </cell>
          <cell r="BH621">
            <v>0</v>
          </cell>
          <cell r="BI621">
            <v>0</v>
          </cell>
          <cell r="BJ621">
            <v>0</v>
          </cell>
          <cell r="BK621">
            <v>0</v>
          </cell>
          <cell r="BL621">
            <v>0</v>
          </cell>
          <cell r="BM621">
            <v>0</v>
          </cell>
          <cell r="BN621">
            <v>0</v>
          </cell>
          <cell r="BO621">
            <v>0</v>
          </cell>
          <cell r="BP621">
            <v>0</v>
          </cell>
          <cell r="BQ621">
            <v>0</v>
          </cell>
          <cell r="BR621">
            <v>0</v>
          </cell>
          <cell r="BS621">
            <v>0</v>
          </cell>
          <cell r="BT621">
            <v>0</v>
          </cell>
          <cell r="BU621">
            <v>0</v>
          </cell>
          <cell r="BV621">
            <v>0</v>
          </cell>
          <cell r="BW621">
            <v>0</v>
          </cell>
          <cell r="BX621">
            <v>0</v>
          </cell>
          <cell r="BY621">
            <v>0</v>
          </cell>
          <cell r="BZ621">
            <v>0</v>
          </cell>
          <cell r="CA621">
            <v>0</v>
          </cell>
          <cell r="CB621">
            <v>0</v>
          </cell>
          <cell r="CC621">
            <v>0</v>
          </cell>
          <cell r="CD621">
            <v>0</v>
          </cell>
        </row>
        <row r="622">
          <cell r="C622">
            <v>37950</v>
          </cell>
          <cell r="I622">
            <v>0</v>
          </cell>
          <cell r="N622">
            <v>0</v>
          </cell>
          <cell r="P622">
            <v>0</v>
          </cell>
          <cell r="T622">
            <v>0</v>
          </cell>
          <cell r="V622">
            <v>0</v>
          </cell>
          <cell r="W622">
            <v>0</v>
          </cell>
          <cell r="X622">
            <v>0</v>
          </cell>
          <cell r="Y622">
            <v>0</v>
          </cell>
          <cell r="AB622">
            <v>0</v>
          </cell>
          <cell r="AC622">
            <v>11</v>
          </cell>
          <cell r="AD622">
            <v>0</v>
          </cell>
          <cell r="BF622">
            <v>0</v>
          </cell>
          <cell r="BG622">
            <v>0</v>
          </cell>
          <cell r="BH622">
            <v>0</v>
          </cell>
          <cell r="BI622">
            <v>0</v>
          </cell>
          <cell r="BJ622">
            <v>0</v>
          </cell>
          <cell r="BK622">
            <v>0</v>
          </cell>
          <cell r="BL622">
            <v>0</v>
          </cell>
          <cell r="BM622">
            <v>0</v>
          </cell>
          <cell r="BN622">
            <v>0</v>
          </cell>
          <cell r="BO622">
            <v>0</v>
          </cell>
          <cell r="BP622">
            <v>0</v>
          </cell>
          <cell r="BQ622">
            <v>0</v>
          </cell>
          <cell r="BR622">
            <v>0</v>
          </cell>
          <cell r="BS622">
            <v>0</v>
          </cell>
          <cell r="BT622">
            <v>0</v>
          </cell>
          <cell r="BU622">
            <v>0</v>
          </cell>
          <cell r="BV622">
            <v>0</v>
          </cell>
          <cell r="BW622">
            <v>0</v>
          </cell>
          <cell r="BX622">
            <v>0</v>
          </cell>
          <cell r="BY622">
            <v>0</v>
          </cell>
          <cell r="BZ622">
            <v>0</v>
          </cell>
          <cell r="CA622">
            <v>0</v>
          </cell>
          <cell r="CB622">
            <v>0</v>
          </cell>
          <cell r="CC622">
            <v>0</v>
          </cell>
          <cell r="CD622">
            <v>0</v>
          </cell>
        </row>
        <row r="623">
          <cell r="C623">
            <v>37950</v>
          </cell>
          <cell r="D623">
            <v>37977</v>
          </cell>
          <cell r="E623">
            <v>37962</v>
          </cell>
          <cell r="F623">
            <v>0.69444444444444453</v>
          </cell>
          <cell r="G623" t="str">
            <v>Células de Solda Automática</v>
          </cell>
          <cell r="H623" t="str">
            <v>Came de segurança da divisória de proteção está mal fixado</v>
          </cell>
          <cell r="I623">
            <v>0</v>
          </cell>
          <cell r="J623" t="str">
            <v>Não</v>
          </cell>
          <cell r="K623" t="str">
            <v>Mecânica</v>
          </cell>
          <cell r="L623" t="str">
            <v>Montagem / Instalação</v>
          </cell>
          <cell r="M623" t="str">
            <v>Falha de Montagem / Preparação</v>
          </cell>
          <cell r="N623">
            <v>37962</v>
          </cell>
          <cell r="O623">
            <v>0.69444444444444453</v>
          </cell>
          <cell r="P623">
            <v>0</v>
          </cell>
          <cell r="T623">
            <v>37962</v>
          </cell>
          <cell r="U623">
            <v>0.70833333333333337</v>
          </cell>
          <cell r="V623">
            <v>0</v>
          </cell>
          <cell r="W623">
            <v>1.3888888891314122E-2</v>
          </cell>
          <cell r="X623">
            <v>0</v>
          </cell>
          <cell r="Y623">
            <v>0</v>
          </cell>
          <cell r="AB623">
            <v>12</v>
          </cell>
          <cell r="AC623">
            <v>11</v>
          </cell>
          <cell r="AD623">
            <v>0</v>
          </cell>
          <cell r="BF623">
            <v>12</v>
          </cell>
          <cell r="BG623">
            <v>0</v>
          </cell>
          <cell r="BH623">
            <v>0</v>
          </cell>
          <cell r="BI623">
            <v>0</v>
          </cell>
          <cell r="BJ623">
            <v>0</v>
          </cell>
          <cell r="BK623">
            <v>0</v>
          </cell>
          <cell r="BL623">
            <v>0</v>
          </cell>
          <cell r="BM623">
            <v>0</v>
          </cell>
          <cell r="BN623">
            <v>0</v>
          </cell>
          <cell r="BO623">
            <v>0</v>
          </cell>
          <cell r="BP623">
            <v>0</v>
          </cell>
          <cell r="BQ623">
            <v>0</v>
          </cell>
          <cell r="BR623">
            <v>0</v>
          </cell>
          <cell r="BS623">
            <v>0</v>
          </cell>
          <cell r="BT623">
            <v>0</v>
          </cell>
          <cell r="BU623">
            <v>0</v>
          </cell>
          <cell r="BV623">
            <v>0</v>
          </cell>
          <cell r="BW623">
            <v>0</v>
          </cell>
          <cell r="BX623">
            <v>0</v>
          </cell>
          <cell r="BY623">
            <v>0</v>
          </cell>
          <cell r="BZ623">
            <v>0</v>
          </cell>
          <cell r="CA623">
            <v>0</v>
          </cell>
          <cell r="CB623">
            <v>0</v>
          </cell>
          <cell r="CC623">
            <v>0</v>
          </cell>
          <cell r="CD623">
            <v>0</v>
          </cell>
        </row>
        <row r="624">
          <cell r="C624">
            <v>37950</v>
          </cell>
          <cell r="D624">
            <v>37977</v>
          </cell>
          <cell r="E624">
            <v>37962</v>
          </cell>
          <cell r="F624">
            <v>0.66666666666666663</v>
          </cell>
          <cell r="G624" t="str">
            <v>Células de Solda Automática</v>
          </cell>
          <cell r="H624" t="str">
            <v>Sensor de impacto com problema (robô n.04)</v>
          </cell>
          <cell r="I624">
            <v>0</v>
          </cell>
          <cell r="J624" t="str">
            <v>Não</v>
          </cell>
          <cell r="K624" t="str">
            <v>Elétrica</v>
          </cell>
          <cell r="L624" t="str">
            <v>Substituição do(s) Componente(s)</v>
          </cell>
          <cell r="M624" t="str">
            <v>Falha Operacional</v>
          </cell>
          <cell r="N624">
            <v>37962</v>
          </cell>
          <cell r="O624">
            <v>0.66666666666666663</v>
          </cell>
          <cell r="P624">
            <v>0</v>
          </cell>
          <cell r="Q624">
            <v>0.66666666666666663</v>
          </cell>
          <cell r="R624">
            <v>37971</v>
          </cell>
          <cell r="S624">
            <v>0.58333333333333337</v>
          </cell>
          <cell r="T624">
            <v>37971</v>
          </cell>
          <cell r="U624">
            <v>0.625</v>
          </cell>
          <cell r="V624">
            <v>0</v>
          </cell>
          <cell r="W624">
            <v>4.166666666666663E-2</v>
          </cell>
          <cell r="X624">
            <v>0</v>
          </cell>
          <cell r="Y624">
            <v>0</v>
          </cell>
          <cell r="AB624">
            <v>12</v>
          </cell>
          <cell r="AC624">
            <v>11</v>
          </cell>
          <cell r="AD624">
            <v>0</v>
          </cell>
          <cell r="BF624">
            <v>12</v>
          </cell>
          <cell r="BG624">
            <v>0</v>
          </cell>
          <cell r="BH624">
            <v>0</v>
          </cell>
          <cell r="BI624">
            <v>0</v>
          </cell>
          <cell r="BJ624">
            <v>0</v>
          </cell>
          <cell r="BK624">
            <v>0</v>
          </cell>
          <cell r="BL624">
            <v>0</v>
          </cell>
          <cell r="BM624">
            <v>0</v>
          </cell>
          <cell r="BN624">
            <v>0</v>
          </cell>
          <cell r="BO624">
            <v>0</v>
          </cell>
          <cell r="BP624">
            <v>0</v>
          </cell>
          <cell r="BQ624">
            <v>0</v>
          </cell>
          <cell r="BR624">
            <v>0</v>
          </cell>
          <cell r="BS624">
            <v>0</v>
          </cell>
          <cell r="BT624">
            <v>0</v>
          </cell>
          <cell r="BU624">
            <v>0</v>
          </cell>
          <cell r="BV624">
            <v>0</v>
          </cell>
          <cell r="BW624">
            <v>0</v>
          </cell>
          <cell r="BX624">
            <v>0</v>
          </cell>
          <cell r="BY624">
            <v>0</v>
          </cell>
          <cell r="BZ624">
            <v>0</v>
          </cell>
          <cell r="CA624">
            <v>0</v>
          </cell>
          <cell r="CB624">
            <v>0</v>
          </cell>
          <cell r="CC624">
            <v>0</v>
          </cell>
          <cell r="CD624">
            <v>0</v>
          </cell>
        </row>
        <row r="625">
          <cell r="C625">
            <v>37950</v>
          </cell>
          <cell r="D625">
            <v>37972</v>
          </cell>
          <cell r="E625">
            <v>37967</v>
          </cell>
          <cell r="F625">
            <v>0.85416666666666663</v>
          </cell>
          <cell r="G625" t="str">
            <v>Células de Solda Automática</v>
          </cell>
          <cell r="H625" t="str">
            <v>Fresa não limpa o bocal de solda</v>
          </cell>
          <cell r="I625">
            <v>0</v>
          </cell>
          <cell r="J625" t="str">
            <v>Não</v>
          </cell>
          <cell r="K625" t="str">
            <v>Mecânica</v>
          </cell>
          <cell r="L625" t="str">
            <v>Substituição do(s) Componente(s)</v>
          </cell>
          <cell r="M625" t="str">
            <v>Falha de Comando / Sistema</v>
          </cell>
          <cell r="N625">
            <v>37967</v>
          </cell>
          <cell r="O625">
            <v>0.85763888888888884</v>
          </cell>
          <cell r="P625">
            <v>0</v>
          </cell>
          <cell r="T625">
            <v>37967</v>
          </cell>
          <cell r="U625">
            <v>0.87152777777777779</v>
          </cell>
          <cell r="V625">
            <v>0</v>
          </cell>
          <cell r="W625">
            <v>1.3888888892122697E-2</v>
          </cell>
          <cell r="X625">
            <v>0</v>
          </cell>
          <cell r="Y625">
            <v>0</v>
          </cell>
          <cell r="AB625">
            <v>12</v>
          </cell>
          <cell r="AC625">
            <v>11</v>
          </cell>
          <cell r="AD625">
            <v>0</v>
          </cell>
          <cell r="BF625">
            <v>12</v>
          </cell>
          <cell r="BG625">
            <v>0</v>
          </cell>
          <cell r="BH625">
            <v>0</v>
          </cell>
          <cell r="BI625">
            <v>0</v>
          </cell>
          <cell r="BJ625">
            <v>0</v>
          </cell>
          <cell r="BK625">
            <v>0</v>
          </cell>
          <cell r="BL625">
            <v>0</v>
          </cell>
          <cell r="BM625">
            <v>0</v>
          </cell>
          <cell r="BN625">
            <v>0</v>
          </cell>
          <cell r="BO625">
            <v>0</v>
          </cell>
          <cell r="BP625">
            <v>0</v>
          </cell>
          <cell r="BQ625">
            <v>0</v>
          </cell>
          <cell r="BR625">
            <v>0</v>
          </cell>
          <cell r="BS625">
            <v>0</v>
          </cell>
          <cell r="BT625">
            <v>0</v>
          </cell>
          <cell r="BU625">
            <v>0</v>
          </cell>
          <cell r="BV625">
            <v>0</v>
          </cell>
          <cell r="BW625">
            <v>0</v>
          </cell>
          <cell r="BX625">
            <v>0</v>
          </cell>
          <cell r="BY625">
            <v>0</v>
          </cell>
          <cell r="BZ625">
            <v>0</v>
          </cell>
          <cell r="CA625">
            <v>0</v>
          </cell>
          <cell r="CB625">
            <v>0</v>
          </cell>
          <cell r="CC625">
            <v>0</v>
          </cell>
          <cell r="CD625">
            <v>0</v>
          </cell>
        </row>
        <row r="626">
          <cell r="C626">
            <v>37950</v>
          </cell>
          <cell r="D626">
            <v>37993</v>
          </cell>
          <cell r="E626">
            <v>37979</v>
          </cell>
          <cell r="F626">
            <v>0.66666666666666663</v>
          </cell>
          <cell r="G626" t="str">
            <v>Células de Solda Automática</v>
          </cell>
          <cell r="H626" t="str">
            <v>Alarme no CLP (BUSF): falha de comunicação da mesa com o CLP</v>
          </cell>
          <cell r="I626">
            <v>0</v>
          </cell>
          <cell r="J626" t="str">
            <v>Sim</v>
          </cell>
          <cell r="K626" t="str">
            <v>Elétrica</v>
          </cell>
          <cell r="L626" t="str">
            <v>Correção de mau contato</v>
          </cell>
          <cell r="M626" t="str">
            <v>Mau contato</v>
          </cell>
          <cell r="N626">
            <v>0</v>
          </cell>
          <cell r="O626">
            <v>0.66666666666666663</v>
          </cell>
          <cell r="P626">
            <v>0</v>
          </cell>
          <cell r="T626">
            <v>0</v>
          </cell>
          <cell r="U626">
            <v>0.68194444444444446</v>
          </cell>
          <cell r="V626">
            <v>0</v>
          </cell>
          <cell r="W626">
            <v>0</v>
          </cell>
          <cell r="X626">
            <v>0</v>
          </cell>
          <cell r="Y626">
            <v>0</v>
          </cell>
          <cell r="AB626">
            <v>0</v>
          </cell>
          <cell r="AC626">
            <v>11</v>
          </cell>
          <cell r="AD626">
            <v>0</v>
          </cell>
          <cell r="BF626">
            <v>0</v>
          </cell>
          <cell r="BG626">
            <v>0</v>
          </cell>
          <cell r="BH626">
            <v>0</v>
          </cell>
          <cell r="BI626">
            <v>0</v>
          </cell>
          <cell r="BJ626">
            <v>0</v>
          </cell>
          <cell r="BK626">
            <v>0</v>
          </cell>
          <cell r="BL626">
            <v>0</v>
          </cell>
          <cell r="BM626">
            <v>0</v>
          </cell>
          <cell r="BN626">
            <v>0</v>
          </cell>
          <cell r="BO626">
            <v>0</v>
          </cell>
          <cell r="BP626">
            <v>0</v>
          </cell>
          <cell r="BQ626">
            <v>0</v>
          </cell>
          <cell r="BR626">
            <v>0</v>
          </cell>
          <cell r="BS626">
            <v>0</v>
          </cell>
          <cell r="BT626">
            <v>0</v>
          </cell>
          <cell r="BU626">
            <v>0</v>
          </cell>
          <cell r="BV626">
            <v>0</v>
          </cell>
          <cell r="BW626">
            <v>0</v>
          </cell>
          <cell r="BX626">
            <v>0</v>
          </cell>
          <cell r="BY626">
            <v>0</v>
          </cell>
          <cell r="BZ626">
            <v>0</v>
          </cell>
          <cell r="CA626">
            <v>0</v>
          </cell>
          <cell r="CB626">
            <v>0</v>
          </cell>
          <cell r="CC626">
            <v>0</v>
          </cell>
          <cell r="CD626">
            <v>0</v>
          </cell>
        </row>
        <row r="627">
          <cell r="C627">
            <v>37950</v>
          </cell>
          <cell r="D627">
            <v>37993</v>
          </cell>
          <cell r="E627">
            <v>37970</v>
          </cell>
          <cell r="F627">
            <v>0.27777777777777779</v>
          </cell>
          <cell r="G627" t="str">
            <v>Perfiladora Fagor Largueros</v>
          </cell>
          <cell r="H627" t="str">
            <v>Máquina não funciona no comando do robô</v>
          </cell>
          <cell r="I627">
            <v>0</v>
          </cell>
          <cell r="J627" t="str">
            <v>Não</v>
          </cell>
          <cell r="K627" t="str">
            <v>Elétrica</v>
          </cell>
          <cell r="L627" t="str">
            <v>Mesmo após acompanhamento do funcionamento, o problema não foi detectado</v>
          </cell>
          <cell r="M627" t="str">
            <v>Falha de Comando / Sistema</v>
          </cell>
          <cell r="N627">
            <v>0</v>
          </cell>
          <cell r="O627">
            <v>0.29166666666666669</v>
          </cell>
          <cell r="P627">
            <v>0</v>
          </cell>
          <cell r="T627">
            <v>0</v>
          </cell>
          <cell r="U627">
            <v>0.34722222222222227</v>
          </cell>
          <cell r="V627">
            <v>0</v>
          </cell>
          <cell r="W627">
            <v>0</v>
          </cell>
          <cell r="X627">
            <v>0</v>
          </cell>
          <cell r="Y627">
            <v>0</v>
          </cell>
          <cell r="AB627">
            <v>0</v>
          </cell>
          <cell r="AC627">
            <v>11</v>
          </cell>
          <cell r="AD627">
            <v>0</v>
          </cell>
          <cell r="BF627">
            <v>0</v>
          </cell>
          <cell r="BG627">
            <v>0</v>
          </cell>
          <cell r="BH627">
            <v>0</v>
          </cell>
          <cell r="BI627">
            <v>0</v>
          </cell>
          <cell r="BJ627">
            <v>0</v>
          </cell>
          <cell r="BK627">
            <v>0</v>
          </cell>
          <cell r="BL627">
            <v>0</v>
          </cell>
          <cell r="BM627">
            <v>0</v>
          </cell>
          <cell r="BN627">
            <v>0</v>
          </cell>
          <cell r="BO627">
            <v>0</v>
          </cell>
          <cell r="BP627">
            <v>0</v>
          </cell>
          <cell r="BQ627">
            <v>0</v>
          </cell>
          <cell r="BR627">
            <v>0</v>
          </cell>
          <cell r="BS627">
            <v>0</v>
          </cell>
          <cell r="BT627">
            <v>0</v>
          </cell>
          <cell r="BU627">
            <v>0</v>
          </cell>
          <cell r="BV627">
            <v>0</v>
          </cell>
          <cell r="BW627">
            <v>0</v>
          </cell>
          <cell r="BX627">
            <v>0</v>
          </cell>
          <cell r="BY627">
            <v>0</v>
          </cell>
          <cell r="BZ627">
            <v>0</v>
          </cell>
          <cell r="CA627">
            <v>0</v>
          </cell>
          <cell r="CB627">
            <v>0</v>
          </cell>
          <cell r="CC627">
            <v>0</v>
          </cell>
          <cell r="CD627">
            <v>0</v>
          </cell>
        </row>
        <row r="628">
          <cell r="C628">
            <v>37950</v>
          </cell>
          <cell r="I628">
            <v>0</v>
          </cell>
          <cell r="N628">
            <v>0</v>
          </cell>
          <cell r="P628">
            <v>0</v>
          </cell>
          <cell r="T628">
            <v>0</v>
          </cell>
          <cell r="V628">
            <v>0</v>
          </cell>
          <cell r="W628">
            <v>0</v>
          </cell>
          <cell r="X628">
            <v>0</v>
          </cell>
          <cell r="Y628">
            <v>0</v>
          </cell>
          <cell r="AB628">
            <v>0</v>
          </cell>
          <cell r="AC628">
            <v>11</v>
          </cell>
          <cell r="AD628">
            <v>0</v>
          </cell>
          <cell r="BF628">
            <v>0</v>
          </cell>
          <cell r="BG628">
            <v>0</v>
          </cell>
          <cell r="BH628">
            <v>0</v>
          </cell>
          <cell r="BI628">
            <v>0</v>
          </cell>
          <cell r="BJ628">
            <v>0</v>
          </cell>
          <cell r="BK628">
            <v>0</v>
          </cell>
          <cell r="BL628">
            <v>0</v>
          </cell>
          <cell r="BM628">
            <v>0</v>
          </cell>
          <cell r="BN628">
            <v>0</v>
          </cell>
          <cell r="BO628">
            <v>0</v>
          </cell>
          <cell r="BP628">
            <v>0</v>
          </cell>
          <cell r="BQ628">
            <v>0</v>
          </cell>
          <cell r="BR628">
            <v>0</v>
          </cell>
          <cell r="BS628">
            <v>0</v>
          </cell>
          <cell r="BT628">
            <v>0</v>
          </cell>
          <cell r="BU628">
            <v>0</v>
          </cell>
          <cell r="BV628">
            <v>0</v>
          </cell>
          <cell r="BW628">
            <v>0</v>
          </cell>
          <cell r="BX628">
            <v>0</v>
          </cell>
          <cell r="BY628">
            <v>0</v>
          </cell>
          <cell r="BZ628">
            <v>0</v>
          </cell>
          <cell r="CA628">
            <v>0</v>
          </cell>
          <cell r="CB628">
            <v>0</v>
          </cell>
          <cell r="CC628">
            <v>0</v>
          </cell>
          <cell r="CD628">
            <v>0</v>
          </cell>
        </row>
        <row r="629">
          <cell r="C629">
            <v>37950</v>
          </cell>
          <cell r="D629">
            <v>37993</v>
          </cell>
          <cell r="E629">
            <v>37909</v>
          </cell>
          <cell r="F629">
            <v>0.38263888888888892</v>
          </cell>
          <cell r="G629" t="str">
            <v>Células de Solda Automática</v>
          </cell>
          <cell r="H629" t="str">
            <v>Vazamento de água na conexão de refrigeração da tocha</v>
          </cell>
          <cell r="I629">
            <v>0</v>
          </cell>
          <cell r="J629" t="str">
            <v>Sim</v>
          </cell>
          <cell r="K629" t="str">
            <v>Mecânica</v>
          </cell>
          <cell r="L629" t="str">
            <v>Contenção do vazamento</v>
          </cell>
          <cell r="M629" t="str">
            <v>Desgaste / Fadiga</v>
          </cell>
          <cell r="N629">
            <v>0</v>
          </cell>
          <cell r="O629">
            <v>0.41666666666666669</v>
          </cell>
          <cell r="P629">
            <v>0</v>
          </cell>
          <cell r="T629">
            <v>0</v>
          </cell>
          <cell r="U629">
            <v>0.45833333333333331</v>
          </cell>
          <cell r="V629">
            <v>0</v>
          </cell>
          <cell r="W629">
            <v>0</v>
          </cell>
          <cell r="X629">
            <v>0</v>
          </cell>
          <cell r="Y629">
            <v>0</v>
          </cell>
          <cell r="AB629">
            <v>0</v>
          </cell>
          <cell r="AC629">
            <v>11</v>
          </cell>
          <cell r="AD629">
            <v>0</v>
          </cell>
          <cell r="BF629">
            <v>0</v>
          </cell>
          <cell r="BG629">
            <v>0</v>
          </cell>
          <cell r="BH629">
            <v>0</v>
          </cell>
          <cell r="BI629">
            <v>0</v>
          </cell>
          <cell r="BJ629">
            <v>0</v>
          </cell>
          <cell r="BK629">
            <v>0</v>
          </cell>
          <cell r="BL629">
            <v>0</v>
          </cell>
          <cell r="BM629">
            <v>0</v>
          </cell>
          <cell r="BN629">
            <v>0</v>
          </cell>
          <cell r="BO629">
            <v>0</v>
          </cell>
          <cell r="BP629">
            <v>0</v>
          </cell>
          <cell r="BQ629">
            <v>0</v>
          </cell>
          <cell r="BR629">
            <v>0</v>
          </cell>
          <cell r="BS629">
            <v>0</v>
          </cell>
          <cell r="BT629">
            <v>0</v>
          </cell>
          <cell r="BU629">
            <v>0</v>
          </cell>
          <cell r="BV629">
            <v>0</v>
          </cell>
          <cell r="BW629">
            <v>0</v>
          </cell>
          <cell r="BX629">
            <v>0</v>
          </cell>
          <cell r="BY629">
            <v>0</v>
          </cell>
          <cell r="BZ629">
            <v>0</v>
          </cell>
          <cell r="CA629">
            <v>0</v>
          </cell>
          <cell r="CB629">
            <v>0</v>
          </cell>
          <cell r="CC629">
            <v>0</v>
          </cell>
          <cell r="CD629">
            <v>0</v>
          </cell>
        </row>
        <row r="630">
          <cell r="C630">
            <v>37950</v>
          </cell>
          <cell r="D630">
            <v>37972</v>
          </cell>
          <cell r="E630">
            <v>37970</v>
          </cell>
          <cell r="F630">
            <v>0.54166666666666663</v>
          </cell>
          <cell r="G630" t="str">
            <v>Células de Solda Automática</v>
          </cell>
          <cell r="H630" t="str">
            <v>Cilindro de contagem na esteira está quebrado</v>
          </cell>
          <cell r="I630">
            <v>0</v>
          </cell>
          <cell r="J630" t="str">
            <v>Não</v>
          </cell>
          <cell r="K630" t="str">
            <v>Mecânica</v>
          </cell>
          <cell r="L630" t="str">
            <v>Reparo</v>
          </cell>
          <cell r="M630" t="str">
            <v>Falha Operacional</v>
          </cell>
          <cell r="N630">
            <v>37970</v>
          </cell>
          <cell r="O630">
            <v>0.62847222222222221</v>
          </cell>
          <cell r="P630">
            <v>0</v>
          </cell>
          <cell r="T630">
            <v>37970</v>
          </cell>
          <cell r="U630">
            <v>0.66666666666666663</v>
          </cell>
          <cell r="V630">
            <v>0</v>
          </cell>
          <cell r="W630">
            <v>3.8194444442019138E-2</v>
          </cell>
          <cell r="X630">
            <v>0</v>
          </cell>
          <cell r="Y630">
            <v>0</v>
          </cell>
          <cell r="AB630">
            <v>12</v>
          </cell>
          <cell r="AC630">
            <v>11</v>
          </cell>
          <cell r="AD630">
            <v>0</v>
          </cell>
          <cell r="BF630">
            <v>12</v>
          </cell>
          <cell r="BG630">
            <v>0</v>
          </cell>
          <cell r="BH630">
            <v>0</v>
          </cell>
          <cell r="BI630">
            <v>0</v>
          </cell>
          <cell r="BJ630">
            <v>0</v>
          </cell>
          <cell r="BK630">
            <v>0</v>
          </cell>
          <cell r="BL630">
            <v>0</v>
          </cell>
          <cell r="BM630">
            <v>0</v>
          </cell>
          <cell r="BN630">
            <v>0</v>
          </cell>
          <cell r="BO630">
            <v>0</v>
          </cell>
          <cell r="BP630">
            <v>0</v>
          </cell>
          <cell r="BQ630">
            <v>0</v>
          </cell>
          <cell r="BR630">
            <v>0</v>
          </cell>
          <cell r="BS630">
            <v>0</v>
          </cell>
          <cell r="BT630">
            <v>0</v>
          </cell>
          <cell r="BU630">
            <v>0</v>
          </cell>
          <cell r="BV630">
            <v>0</v>
          </cell>
          <cell r="BW630">
            <v>0</v>
          </cell>
          <cell r="BX630">
            <v>0</v>
          </cell>
          <cell r="BY630">
            <v>0</v>
          </cell>
          <cell r="BZ630">
            <v>0</v>
          </cell>
          <cell r="CA630">
            <v>0</v>
          </cell>
          <cell r="CB630">
            <v>0</v>
          </cell>
          <cell r="CC630">
            <v>0</v>
          </cell>
          <cell r="CD630">
            <v>0</v>
          </cell>
        </row>
        <row r="631">
          <cell r="C631">
            <v>37950</v>
          </cell>
          <cell r="D631">
            <v>37993</v>
          </cell>
          <cell r="E631">
            <v>37972</v>
          </cell>
          <cell r="F631">
            <v>0.27430555555555552</v>
          </cell>
          <cell r="G631" t="str">
            <v>Células de Solda Automática</v>
          </cell>
          <cell r="H631" t="str">
            <v>Cilindro da esfera alimentadora</v>
          </cell>
          <cell r="I631">
            <v>0</v>
          </cell>
          <cell r="J631" t="str">
            <v>Sim</v>
          </cell>
          <cell r="K631" t="str">
            <v>Mecânica</v>
          </cell>
          <cell r="L631" t="str">
            <v>Substituição do(s) Componente(s)</v>
          </cell>
          <cell r="M631" t="str">
            <v>Falha de Regulagem / Configuração / Dimensionamento</v>
          </cell>
          <cell r="N631">
            <v>0</v>
          </cell>
          <cell r="O631">
            <v>0.375</v>
          </cell>
          <cell r="P631">
            <v>0</v>
          </cell>
          <cell r="T631">
            <v>0</v>
          </cell>
          <cell r="U631">
            <v>0.4375</v>
          </cell>
          <cell r="V631">
            <v>0</v>
          </cell>
          <cell r="W631">
            <v>0</v>
          </cell>
          <cell r="X631">
            <v>0</v>
          </cell>
          <cell r="Y631">
            <v>0</v>
          </cell>
          <cell r="AB631">
            <v>0</v>
          </cell>
          <cell r="AC631">
            <v>11</v>
          </cell>
          <cell r="AD631">
            <v>0</v>
          </cell>
          <cell r="BF631">
            <v>0</v>
          </cell>
          <cell r="BG631">
            <v>0</v>
          </cell>
          <cell r="BH631">
            <v>0</v>
          </cell>
          <cell r="BI631">
            <v>0</v>
          </cell>
          <cell r="BJ631">
            <v>0</v>
          </cell>
          <cell r="BK631">
            <v>0</v>
          </cell>
          <cell r="BL631">
            <v>0</v>
          </cell>
          <cell r="BM631">
            <v>0</v>
          </cell>
          <cell r="BN631">
            <v>0</v>
          </cell>
          <cell r="BO631">
            <v>0</v>
          </cell>
          <cell r="BP631">
            <v>0</v>
          </cell>
          <cell r="BQ631">
            <v>0</v>
          </cell>
          <cell r="BR631">
            <v>0</v>
          </cell>
          <cell r="BS631">
            <v>0</v>
          </cell>
          <cell r="BT631">
            <v>0</v>
          </cell>
          <cell r="BU631">
            <v>0</v>
          </cell>
          <cell r="BV631">
            <v>0</v>
          </cell>
          <cell r="BW631">
            <v>0</v>
          </cell>
          <cell r="BX631">
            <v>0</v>
          </cell>
          <cell r="BY631">
            <v>0</v>
          </cell>
          <cell r="BZ631">
            <v>0</v>
          </cell>
          <cell r="CA631">
            <v>0</v>
          </cell>
          <cell r="CB631">
            <v>0</v>
          </cell>
          <cell r="CC631">
            <v>0</v>
          </cell>
          <cell r="CD631">
            <v>0</v>
          </cell>
        </row>
        <row r="632">
          <cell r="C632">
            <v>37950</v>
          </cell>
          <cell r="D632">
            <v>37993</v>
          </cell>
          <cell r="E632">
            <v>38345</v>
          </cell>
          <cell r="F632">
            <v>0.5625</v>
          </cell>
          <cell r="G632" t="str">
            <v>Células de Solda Automática</v>
          </cell>
          <cell r="H632" t="str">
            <v>Motor Power do robô de Manipulação não está acionando</v>
          </cell>
          <cell r="I632">
            <v>0</v>
          </cell>
          <cell r="J632" t="str">
            <v>Sim</v>
          </cell>
          <cell r="K632" t="str">
            <v>Elétrica</v>
          </cell>
          <cell r="L632" t="str">
            <v>Substituição do(s) Componente(s)</v>
          </cell>
          <cell r="M632" t="str">
            <v>Falha de Comando / Sistema</v>
          </cell>
          <cell r="N632">
            <v>0</v>
          </cell>
          <cell r="O632">
            <v>0.61111111111111105</v>
          </cell>
          <cell r="P632">
            <v>0</v>
          </cell>
          <cell r="T632">
            <v>0</v>
          </cell>
          <cell r="U632">
            <v>0.62430555555555556</v>
          </cell>
          <cell r="V632">
            <v>0</v>
          </cell>
          <cell r="W632">
            <v>0</v>
          </cell>
          <cell r="X632">
            <v>0</v>
          </cell>
          <cell r="Y632">
            <v>0</v>
          </cell>
          <cell r="AB632">
            <v>0</v>
          </cell>
          <cell r="AC632">
            <v>11</v>
          </cell>
          <cell r="AD632">
            <v>0</v>
          </cell>
          <cell r="BF632">
            <v>0</v>
          </cell>
          <cell r="BG632">
            <v>0</v>
          </cell>
          <cell r="BH632">
            <v>0</v>
          </cell>
          <cell r="BI632">
            <v>0</v>
          </cell>
          <cell r="BJ632">
            <v>0</v>
          </cell>
          <cell r="BK632">
            <v>0</v>
          </cell>
          <cell r="BL632">
            <v>0</v>
          </cell>
          <cell r="BM632">
            <v>0</v>
          </cell>
          <cell r="BN632">
            <v>0</v>
          </cell>
          <cell r="BO632">
            <v>0</v>
          </cell>
          <cell r="BP632">
            <v>0</v>
          </cell>
          <cell r="BQ632">
            <v>0</v>
          </cell>
          <cell r="BR632">
            <v>0</v>
          </cell>
          <cell r="BS632">
            <v>0</v>
          </cell>
          <cell r="BT632">
            <v>0</v>
          </cell>
          <cell r="BU632">
            <v>0</v>
          </cell>
          <cell r="BV632">
            <v>0</v>
          </cell>
          <cell r="BW632">
            <v>0</v>
          </cell>
          <cell r="BX632">
            <v>0</v>
          </cell>
          <cell r="BY632">
            <v>0</v>
          </cell>
          <cell r="BZ632">
            <v>0</v>
          </cell>
          <cell r="CA632">
            <v>0</v>
          </cell>
          <cell r="CB632">
            <v>0</v>
          </cell>
          <cell r="CC632">
            <v>0</v>
          </cell>
          <cell r="CD632">
            <v>0</v>
          </cell>
        </row>
        <row r="633">
          <cell r="C633">
            <v>37950</v>
          </cell>
          <cell r="D633">
            <v>37993</v>
          </cell>
          <cell r="E633">
            <v>37984</v>
          </cell>
          <cell r="F633">
            <v>0.29166666666666669</v>
          </cell>
          <cell r="G633" t="str">
            <v>Células de Solda Automática</v>
          </cell>
          <cell r="H633" t="str">
            <v>Cabo de Comunicação BUSF rompido</v>
          </cell>
          <cell r="I633">
            <v>0</v>
          </cell>
          <cell r="J633" t="str">
            <v>Sim</v>
          </cell>
          <cell r="K633" t="str">
            <v>Elétrica</v>
          </cell>
          <cell r="L633" t="str">
            <v>Reparo</v>
          </cell>
          <cell r="M633" t="str">
            <v>Desgaste / Fadiga</v>
          </cell>
          <cell r="N633">
            <v>0</v>
          </cell>
          <cell r="O633">
            <v>0.29166666666666669</v>
          </cell>
          <cell r="P633">
            <v>0</v>
          </cell>
          <cell r="T633">
            <v>0</v>
          </cell>
          <cell r="U633">
            <v>0.33333333333333331</v>
          </cell>
          <cell r="V633">
            <v>0</v>
          </cell>
          <cell r="W633">
            <v>0</v>
          </cell>
          <cell r="X633">
            <v>0</v>
          </cell>
          <cell r="Y633">
            <v>0</v>
          </cell>
          <cell r="AB633">
            <v>0</v>
          </cell>
          <cell r="AC633">
            <v>11</v>
          </cell>
          <cell r="AD633">
            <v>0</v>
          </cell>
          <cell r="BF633">
            <v>0</v>
          </cell>
          <cell r="BG633">
            <v>0</v>
          </cell>
          <cell r="BH633">
            <v>0</v>
          </cell>
          <cell r="BI633">
            <v>0</v>
          </cell>
          <cell r="BJ633">
            <v>0</v>
          </cell>
          <cell r="BK633">
            <v>0</v>
          </cell>
          <cell r="BL633">
            <v>0</v>
          </cell>
          <cell r="BM633">
            <v>0</v>
          </cell>
          <cell r="BN633">
            <v>0</v>
          </cell>
          <cell r="BO633">
            <v>0</v>
          </cell>
          <cell r="BP633">
            <v>0</v>
          </cell>
          <cell r="BQ633">
            <v>0</v>
          </cell>
          <cell r="BR633">
            <v>0</v>
          </cell>
          <cell r="BS633">
            <v>0</v>
          </cell>
          <cell r="BT633">
            <v>0</v>
          </cell>
          <cell r="BU633">
            <v>0</v>
          </cell>
          <cell r="BV633">
            <v>0</v>
          </cell>
          <cell r="BW633">
            <v>0</v>
          </cell>
          <cell r="BX633">
            <v>0</v>
          </cell>
          <cell r="BY633">
            <v>0</v>
          </cell>
          <cell r="BZ633">
            <v>0</v>
          </cell>
          <cell r="CA633">
            <v>0</v>
          </cell>
          <cell r="CB633">
            <v>0</v>
          </cell>
          <cell r="CC633">
            <v>0</v>
          </cell>
          <cell r="CD633">
            <v>0</v>
          </cell>
        </row>
        <row r="634">
          <cell r="C634">
            <v>37950</v>
          </cell>
          <cell r="D634">
            <v>37993</v>
          </cell>
          <cell r="E634">
            <v>37984</v>
          </cell>
          <cell r="F634">
            <v>0.3923611111111111</v>
          </cell>
          <cell r="G634" t="str">
            <v>Células de Solda Automática</v>
          </cell>
          <cell r="H634" t="str">
            <v>Falha no sensor ao depositar o conector Esquerdo</v>
          </cell>
          <cell r="I634">
            <v>0</v>
          </cell>
          <cell r="J634" t="str">
            <v>Sim</v>
          </cell>
          <cell r="K634" t="str">
            <v>Elétrica</v>
          </cell>
          <cell r="L634" t="str">
            <v>Regulagem do Componente</v>
          </cell>
          <cell r="M634" t="str">
            <v>Falha de Comando / Sistema</v>
          </cell>
          <cell r="N634">
            <v>0</v>
          </cell>
          <cell r="O634">
            <v>0.39583333333333331</v>
          </cell>
          <cell r="P634">
            <v>0</v>
          </cell>
          <cell r="T634">
            <v>0</v>
          </cell>
          <cell r="U634">
            <v>0.41666666666666669</v>
          </cell>
          <cell r="V634">
            <v>0</v>
          </cell>
          <cell r="W634">
            <v>0</v>
          </cell>
          <cell r="X634">
            <v>0</v>
          </cell>
          <cell r="Y634">
            <v>0</v>
          </cell>
          <cell r="AB634">
            <v>0</v>
          </cell>
          <cell r="AC634">
            <v>11</v>
          </cell>
          <cell r="AD634">
            <v>0</v>
          </cell>
          <cell r="BF634">
            <v>0</v>
          </cell>
          <cell r="BG634">
            <v>0</v>
          </cell>
          <cell r="BH634">
            <v>0</v>
          </cell>
          <cell r="BI634">
            <v>0</v>
          </cell>
          <cell r="BJ634">
            <v>0</v>
          </cell>
          <cell r="BK634">
            <v>0</v>
          </cell>
          <cell r="BL634">
            <v>0</v>
          </cell>
          <cell r="BM634">
            <v>0</v>
          </cell>
          <cell r="BN634">
            <v>0</v>
          </cell>
          <cell r="BO634">
            <v>0</v>
          </cell>
          <cell r="BP634">
            <v>0</v>
          </cell>
          <cell r="BQ634">
            <v>0</v>
          </cell>
          <cell r="BR634">
            <v>0</v>
          </cell>
          <cell r="BS634">
            <v>0</v>
          </cell>
          <cell r="BT634">
            <v>0</v>
          </cell>
          <cell r="BU634">
            <v>0</v>
          </cell>
          <cell r="BV634">
            <v>0</v>
          </cell>
          <cell r="BW634">
            <v>0</v>
          </cell>
          <cell r="BX634">
            <v>0</v>
          </cell>
          <cell r="BY634">
            <v>0</v>
          </cell>
          <cell r="BZ634">
            <v>0</v>
          </cell>
          <cell r="CA634">
            <v>0</v>
          </cell>
          <cell r="CB634">
            <v>0</v>
          </cell>
          <cell r="CC634">
            <v>0</v>
          </cell>
          <cell r="CD634">
            <v>0</v>
          </cell>
        </row>
        <row r="635">
          <cell r="C635">
            <v>37950</v>
          </cell>
          <cell r="D635">
            <v>37993</v>
          </cell>
          <cell r="E635">
            <v>37992</v>
          </cell>
          <cell r="F635">
            <v>0.4236111111111111</v>
          </cell>
          <cell r="G635" t="str">
            <v>Células de Solda Automática</v>
          </cell>
          <cell r="H635" t="str">
            <v>Problema no Cabo de Comunicação BUSF</v>
          </cell>
          <cell r="I635">
            <v>0</v>
          </cell>
          <cell r="J635" t="str">
            <v>Sim</v>
          </cell>
          <cell r="K635" t="str">
            <v>Elétrica</v>
          </cell>
          <cell r="L635" t="str">
            <v>Substituição do(s) Componente(s)</v>
          </cell>
          <cell r="M635" t="str">
            <v>Desgaste / Fadiga</v>
          </cell>
          <cell r="N635">
            <v>0</v>
          </cell>
          <cell r="O635">
            <v>0.44791666666666669</v>
          </cell>
          <cell r="P635">
            <v>0</v>
          </cell>
          <cell r="T635">
            <v>0</v>
          </cell>
          <cell r="U635">
            <v>0.46527777777777773</v>
          </cell>
          <cell r="V635">
            <v>0</v>
          </cell>
          <cell r="W635">
            <v>0</v>
          </cell>
          <cell r="X635">
            <v>0</v>
          </cell>
          <cell r="Y635">
            <v>0</v>
          </cell>
          <cell r="AB635">
            <v>0</v>
          </cell>
          <cell r="AC635">
            <v>11</v>
          </cell>
          <cell r="AD635">
            <v>0</v>
          </cell>
          <cell r="BF635">
            <v>0</v>
          </cell>
          <cell r="BG635">
            <v>0</v>
          </cell>
          <cell r="BH635">
            <v>0</v>
          </cell>
          <cell r="BI635">
            <v>0</v>
          </cell>
          <cell r="BJ635">
            <v>0</v>
          </cell>
          <cell r="BK635">
            <v>0</v>
          </cell>
          <cell r="BL635">
            <v>0</v>
          </cell>
          <cell r="BM635">
            <v>0</v>
          </cell>
          <cell r="BN635">
            <v>0</v>
          </cell>
          <cell r="BO635">
            <v>0</v>
          </cell>
          <cell r="BP635">
            <v>0</v>
          </cell>
          <cell r="BQ635">
            <v>0</v>
          </cell>
          <cell r="BR635">
            <v>0</v>
          </cell>
          <cell r="BS635">
            <v>0</v>
          </cell>
          <cell r="BT635">
            <v>0</v>
          </cell>
          <cell r="BU635">
            <v>0</v>
          </cell>
          <cell r="BV635">
            <v>0</v>
          </cell>
          <cell r="BW635">
            <v>0</v>
          </cell>
          <cell r="BX635">
            <v>0</v>
          </cell>
          <cell r="BY635">
            <v>0</v>
          </cell>
          <cell r="BZ635">
            <v>0</v>
          </cell>
          <cell r="CA635">
            <v>0</v>
          </cell>
          <cell r="CB635">
            <v>0</v>
          </cell>
          <cell r="CC635">
            <v>0</v>
          </cell>
          <cell r="CD635">
            <v>0</v>
          </cell>
        </row>
        <row r="636">
          <cell r="C636">
            <v>37950</v>
          </cell>
          <cell r="D636">
            <v>37993</v>
          </cell>
          <cell r="E636">
            <v>37992</v>
          </cell>
          <cell r="F636">
            <v>0.52777777777777779</v>
          </cell>
          <cell r="G636" t="str">
            <v>Células de Solda Automática</v>
          </cell>
          <cell r="H636" t="str">
            <v>Problema no Cabo de Comunicação BUSF</v>
          </cell>
          <cell r="I636">
            <v>0</v>
          </cell>
          <cell r="J636" t="str">
            <v>Sim</v>
          </cell>
          <cell r="K636" t="str">
            <v>Elétrica</v>
          </cell>
          <cell r="N636">
            <v>0</v>
          </cell>
          <cell r="P636">
            <v>0</v>
          </cell>
          <cell r="T636">
            <v>0</v>
          </cell>
          <cell r="V636">
            <v>0</v>
          </cell>
          <cell r="W636">
            <v>0</v>
          </cell>
          <cell r="X636">
            <v>0</v>
          </cell>
          <cell r="Y636">
            <v>0</v>
          </cell>
          <cell r="AB636">
            <v>0</v>
          </cell>
          <cell r="AC636">
            <v>11</v>
          </cell>
          <cell r="AD636">
            <v>0</v>
          </cell>
          <cell r="BF636">
            <v>0</v>
          </cell>
          <cell r="BG636">
            <v>0</v>
          </cell>
          <cell r="BH636">
            <v>0</v>
          </cell>
          <cell r="BI636">
            <v>0</v>
          </cell>
          <cell r="BJ636">
            <v>0</v>
          </cell>
          <cell r="BK636">
            <v>0</v>
          </cell>
          <cell r="BL636">
            <v>0</v>
          </cell>
          <cell r="BM636">
            <v>0</v>
          </cell>
          <cell r="BN636">
            <v>0</v>
          </cell>
          <cell r="BO636">
            <v>0</v>
          </cell>
          <cell r="BP636">
            <v>0</v>
          </cell>
          <cell r="BQ636">
            <v>0</v>
          </cell>
          <cell r="BR636">
            <v>0</v>
          </cell>
          <cell r="BS636">
            <v>0</v>
          </cell>
          <cell r="BT636">
            <v>0</v>
          </cell>
          <cell r="BU636">
            <v>0</v>
          </cell>
          <cell r="BV636">
            <v>0</v>
          </cell>
          <cell r="BW636">
            <v>0</v>
          </cell>
          <cell r="BX636">
            <v>0</v>
          </cell>
          <cell r="BY636">
            <v>0</v>
          </cell>
          <cell r="BZ636">
            <v>0</v>
          </cell>
          <cell r="CA636">
            <v>0</v>
          </cell>
          <cell r="CB636">
            <v>0</v>
          </cell>
          <cell r="CC636">
            <v>0</v>
          </cell>
          <cell r="CD636">
            <v>0</v>
          </cell>
        </row>
        <row r="637">
          <cell r="C637">
            <v>37953</v>
          </cell>
          <cell r="D637">
            <v>37971</v>
          </cell>
          <cell r="E637">
            <v>37953</v>
          </cell>
          <cell r="F637">
            <v>0.34027777777777773</v>
          </cell>
          <cell r="G637" t="str">
            <v>Linha de Pintura 15m</v>
          </cell>
          <cell r="H637" t="str">
            <v>Anomalia no Variador V2</v>
          </cell>
          <cell r="I637">
            <v>0</v>
          </cell>
          <cell r="J637" t="str">
            <v>Sim</v>
          </cell>
          <cell r="K637" t="str">
            <v>Elétrica</v>
          </cell>
          <cell r="L637" t="str">
            <v>Destravamento dos Componentes</v>
          </cell>
          <cell r="M637" t="str">
            <v>Sobrecarga</v>
          </cell>
          <cell r="N637">
            <v>37953</v>
          </cell>
          <cell r="O637">
            <v>0.35416666666666669</v>
          </cell>
          <cell r="P637">
            <v>0</v>
          </cell>
          <cell r="T637">
            <v>37953</v>
          </cell>
          <cell r="U637">
            <v>0.375</v>
          </cell>
          <cell r="V637">
            <v>1.3888888888888951E-2</v>
          </cell>
          <cell r="W637">
            <v>3.4722222222222265E-2</v>
          </cell>
          <cell r="X637">
            <v>0</v>
          </cell>
          <cell r="Y637">
            <v>0</v>
          </cell>
          <cell r="AB637">
            <v>11</v>
          </cell>
          <cell r="AC637">
            <v>11</v>
          </cell>
          <cell r="AD637">
            <v>0</v>
          </cell>
          <cell r="BF637">
            <v>0</v>
          </cell>
          <cell r="BG637">
            <v>0</v>
          </cell>
          <cell r="BH637">
            <v>0</v>
          </cell>
          <cell r="BI637">
            <v>0</v>
          </cell>
          <cell r="BJ637">
            <v>0</v>
          </cell>
          <cell r="BK637">
            <v>0</v>
          </cell>
          <cell r="BL637">
            <v>0</v>
          </cell>
          <cell r="BM637">
            <v>0</v>
          </cell>
          <cell r="BN637">
            <v>11</v>
          </cell>
          <cell r="BO637">
            <v>0</v>
          </cell>
          <cell r="BP637">
            <v>0</v>
          </cell>
          <cell r="BQ637">
            <v>0</v>
          </cell>
          <cell r="BR637">
            <v>0</v>
          </cell>
          <cell r="BS637">
            <v>0</v>
          </cell>
          <cell r="BT637">
            <v>0</v>
          </cell>
          <cell r="BU637">
            <v>0</v>
          </cell>
          <cell r="BV637">
            <v>0</v>
          </cell>
          <cell r="BW637">
            <v>0</v>
          </cell>
          <cell r="BX637">
            <v>0</v>
          </cell>
          <cell r="BY637">
            <v>0</v>
          </cell>
          <cell r="BZ637">
            <v>0</v>
          </cell>
          <cell r="CA637">
            <v>0</v>
          </cell>
          <cell r="CB637">
            <v>0</v>
          </cell>
          <cell r="CC637">
            <v>0</v>
          </cell>
          <cell r="CD637">
            <v>0</v>
          </cell>
        </row>
        <row r="638">
          <cell r="C638">
            <v>37953</v>
          </cell>
          <cell r="D638">
            <v>37971</v>
          </cell>
          <cell r="E638">
            <v>37953</v>
          </cell>
          <cell r="F638">
            <v>0.84375</v>
          </cell>
          <cell r="G638" t="str">
            <v>Linha de Pintura 15m</v>
          </cell>
          <cell r="H638" t="str">
            <v>Linha Travada</v>
          </cell>
          <cell r="I638">
            <v>0</v>
          </cell>
          <cell r="J638" t="str">
            <v>Sim</v>
          </cell>
          <cell r="K638" t="str">
            <v>Mecânica</v>
          </cell>
          <cell r="L638" t="str">
            <v>Destravamento dos Componentes</v>
          </cell>
          <cell r="M638" t="str">
            <v>Falha de Comando / Sistema</v>
          </cell>
          <cell r="N638">
            <v>37953</v>
          </cell>
          <cell r="O638">
            <v>0.84375</v>
          </cell>
          <cell r="P638">
            <v>0</v>
          </cell>
          <cell r="T638">
            <v>37953</v>
          </cell>
          <cell r="U638">
            <v>0.88541666666666663</v>
          </cell>
          <cell r="V638">
            <v>0</v>
          </cell>
          <cell r="W638">
            <v>4.1666666664241347E-2</v>
          </cell>
          <cell r="X638">
            <v>0</v>
          </cell>
          <cell r="Y638">
            <v>0</v>
          </cell>
          <cell r="AB638">
            <v>11</v>
          </cell>
          <cell r="AC638">
            <v>11</v>
          </cell>
          <cell r="AD638">
            <v>0</v>
          </cell>
          <cell r="BF638">
            <v>0</v>
          </cell>
          <cell r="BG638">
            <v>0</v>
          </cell>
          <cell r="BH638">
            <v>0</v>
          </cell>
          <cell r="BI638">
            <v>0</v>
          </cell>
          <cell r="BJ638">
            <v>0</v>
          </cell>
          <cell r="BK638">
            <v>0</v>
          </cell>
          <cell r="BL638">
            <v>0</v>
          </cell>
          <cell r="BM638">
            <v>0</v>
          </cell>
          <cell r="BN638">
            <v>11</v>
          </cell>
          <cell r="BO638">
            <v>0</v>
          </cell>
          <cell r="BP638">
            <v>0</v>
          </cell>
          <cell r="BQ638">
            <v>0</v>
          </cell>
          <cell r="BR638">
            <v>0</v>
          </cell>
          <cell r="BS638">
            <v>0</v>
          </cell>
          <cell r="BT638">
            <v>0</v>
          </cell>
          <cell r="BU638">
            <v>0</v>
          </cell>
          <cell r="BV638">
            <v>0</v>
          </cell>
          <cell r="BW638">
            <v>0</v>
          </cell>
          <cell r="BX638">
            <v>0</v>
          </cell>
          <cell r="BY638">
            <v>0</v>
          </cell>
          <cell r="BZ638">
            <v>0</v>
          </cell>
          <cell r="CA638">
            <v>0</v>
          </cell>
          <cell r="CB638">
            <v>0</v>
          </cell>
          <cell r="CC638">
            <v>0</v>
          </cell>
          <cell r="CD638">
            <v>0</v>
          </cell>
        </row>
        <row r="639">
          <cell r="C639">
            <v>37953</v>
          </cell>
          <cell r="D639">
            <v>37971</v>
          </cell>
          <cell r="E639">
            <v>37958</v>
          </cell>
          <cell r="F639">
            <v>0.52083333333333337</v>
          </cell>
          <cell r="G639" t="str">
            <v>Linha de Pintura 15m</v>
          </cell>
          <cell r="H639" t="str">
            <v>Nível baixo na bomba do fosfato</v>
          </cell>
          <cell r="I639">
            <v>0</v>
          </cell>
          <cell r="J639" t="str">
            <v>Sim</v>
          </cell>
          <cell r="K639" t="str">
            <v>Elétrica</v>
          </cell>
          <cell r="L639" t="str">
            <v>Ajuste / Regulagem</v>
          </cell>
          <cell r="M639" t="str">
            <v>Falha Operacional</v>
          </cell>
          <cell r="N639">
            <v>37958</v>
          </cell>
          <cell r="O639">
            <v>0.52083333333333337</v>
          </cell>
          <cell r="P639">
            <v>0</v>
          </cell>
          <cell r="T639">
            <v>37958</v>
          </cell>
          <cell r="U639">
            <v>0.52430555555555558</v>
          </cell>
          <cell r="V639">
            <v>0</v>
          </cell>
          <cell r="W639">
            <v>3.4722222214137455E-3</v>
          </cell>
          <cell r="X639">
            <v>0</v>
          </cell>
          <cell r="Y639">
            <v>0</v>
          </cell>
          <cell r="AB639">
            <v>12</v>
          </cell>
          <cell r="AC639">
            <v>11</v>
          </cell>
          <cell r="AD639">
            <v>0</v>
          </cell>
          <cell r="BF639">
            <v>0</v>
          </cell>
          <cell r="BG639">
            <v>0</v>
          </cell>
          <cell r="BH639">
            <v>0</v>
          </cell>
          <cell r="BI639">
            <v>0</v>
          </cell>
          <cell r="BJ639">
            <v>0</v>
          </cell>
          <cell r="BK639">
            <v>0</v>
          </cell>
          <cell r="BL639">
            <v>0</v>
          </cell>
          <cell r="BM639">
            <v>0</v>
          </cell>
          <cell r="BN639">
            <v>12</v>
          </cell>
          <cell r="BO639">
            <v>0</v>
          </cell>
          <cell r="BP639">
            <v>0</v>
          </cell>
          <cell r="BQ639">
            <v>0</v>
          </cell>
          <cell r="BR639">
            <v>0</v>
          </cell>
          <cell r="BS639">
            <v>0</v>
          </cell>
          <cell r="BT639">
            <v>0</v>
          </cell>
          <cell r="BU639">
            <v>0</v>
          </cell>
          <cell r="BV639">
            <v>0</v>
          </cell>
          <cell r="BW639">
            <v>0</v>
          </cell>
          <cell r="BX639">
            <v>0</v>
          </cell>
          <cell r="BY639">
            <v>0</v>
          </cell>
          <cell r="BZ639">
            <v>0</v>
          </cell>
          <cell r="CA639">
            <v>0</v>
          </cell>
          <cell r="CB639">
            <v>0</v>
          </cell>
          <cell r="CC639">
            <v>0</v>
          </cell>
          <cell r="CD639">
            <v>0</v>
          </cell>
        </row>
        <row r="640">
          <cell r="C640">
            <v>37953</v>
          </cell>
          <cell r="D640">
            <v>37971</v>
          </cell>
          <cell r="E640">
            <v>37957</v>
          </cell>
          <cell r="F640">
            <v>0.91666666666666663</v>
          </cell>
          <cell r="G640" t="str">
            <v>Linha de Pintura 15m</v>
          </cell>
          <cell r="H640" t="str">
            <v>Vazamento no reservatório do fosfato</v>
          </cell>
          <cell r="I640">
            <v>0</v>
          </cell>
          <cell r="J640" t="str">
            <v>Não</v>
          </cell>
          <cell r="K640" t="str">
            <v>Mecânica</v>
          </cell>
          <cell r="L640" t="str">
            <v>Contenção do vazamento</v>
          </cell>
          <cell r="M640" t="str">
            <v>Falha de Montagem / Preparação</v>
          </cell>
          <cell r="N640">
            <v>37957</v>
          </cell>
          <cell r="O640">
            <v>0.91666666666666663</v>
          </cell>
          <cell r="P640">
            <v>0</v>
          </cell>
          <cell r="T640">
            <v>37957</v>
          </cell>
          <cell r="U640">
            <v>0.95833333333333337</v>
          </cell>
          <cell r="V640">
            <v>0</v>
          </cell>
          <cell r="W640">
            <v>4.1666666669092023E-2</v>
          </cell>
          <cell r="X640">
            <v>0</v>
          </cell>
          <cell r="Y640">
            <v>0</v>
          </cell>
          <cell r="AB640">
            <v>12</v>
          </cell>
          <cell r="AC640">
            <v>11</v>
          </cell>
          <cell r="AD640">
            <v>0</v>
          </cell>
          <cell r="BF640">
            <v>0</v>
          </cell>
          <cell r="BG640">
            <v>0</v>
          </cell>
          <cell r="BH640">
            <v>0</v>
          </cell>
          <cell r="BI640">
            <v>0</v>
          </cell>
          <cell r="BJ640">
            <v>0</v>
          </cell>
          <cell r="BK640">
            <v>0</v>
          </cell>
          <cell r="BL640">
            <v>0</v>
          </cell>
          <cell r="BM640">
            <v>0</v>
          </cell>
          <cell r="BN640">
            <v>12</v>
          </cell>
          <cell r="BO640">
            <v>0</v>
          </cell>
          <cell r="BP640">
            <v>0</v>
          </cell>
          <cell r="BQ640">
            <v>0</v>
          </cell>
          <cell r="BR640">
            <v>0</v>
          </cell>
          <cell r="BS640">
            <v>0</v>
          </cell>
          <cell r="BT640">
            <v>0</v>
          </cell>
          <cell r="BU640">
            <v>0</v>
          </cell>
          <cell r="BV640">
            <v>0</v>
          </cell>
          <cell r="BW640">
            <v>0</v>
          </cell>
          <cell r="BX640">
            <v>0</v>
          </cell>
          <cell r="BY640">
            <v>0</v>
          </cell>
          <cell r="BZ640">
            <v>0</v>
          </cell>
          <cell r="CA640">
            <v>0</v>
          </cell>
          <cell r="CB640">
            <v>0</v>
          </cell>
          <cell r="CC640">
            <v>0</v>
          </cell>
          <cell r="CD640">
            <v>0</v>
          </cell>
        </row>
        <row r="641">
          <cell r="C641">
            <v>37953</v>
          </cell>
          <cell r="I641">
            <v>0</v>
          </cell>
          <cell r="N641">
            <v>0</v>
          </cell>
          <cell r="P641">
            <v>0</v>
          </cell>
          <cell r="T641">
            <v>0</v>
          </cell>
          <cell r="V641">
            <v>0</v>
          </cell>
          <cell r="W641">
            <v>0</v>
          </cell>
          <cell r="X641">
            <v>0</v>
          </cell>
          <cell r="Y641">
            <v>0</v>
          </cell>
          <cell r="AB641">
            <v>0</v>
          </cell>
          <cell r="AC641">
            <v>11</v>
          </cell>
          <cell r="AD641">
            <v>0</v>
          </cell>
          <cell r="BF641">
            <v>0</v>
          </cell>
          <cell r="BG641">
            <v>0</v>
          </cell>
          <cell r="BH641">
            <v>0</v>
          </cell>
          <cell r="BI641">
            <v>0</v>
          </cell>
          <cell r="BJ641">
            <v>0</v>
          </cell>
          <cell r="BK641">
            <v>0</v>
          </cell>
          <cell r="BL641">
            <v>0</v>
          </cell>
          <cell r="BM641">
            <v>0</v>
          </cell>
          <cell r="BN641">
            <v>0</v>
          </cell>
          <cell r="BO641">
            <v>0</v>
          </cell>
          <cell r="BP641">
            <v>0</v>
          </cell>
          <cell r="BQ641">
            <v>0</v>
          </cell>
          <cell r="BR641">
            <v>0</v>
          </cell>
          <cell r="BS641">
            <v>0</v>
          </cell>
          <cell r="BT641">
            <v>0</v>
          </cell>
          <cell r="BU641">
            <v>0</v>
          </cell>
          <cell r="BV641">
            <v>0</v>
          </cell>
          <cell r="BW641">
            <v>0</v>
          </cell>
          <cell r="BX641">
            <v>0</v>
          </cell>
          <cell r="BY641">
            <v>0</v>
          </cell>
          <cell r="BZ641">
            <v>0</v>
          </cell>
          <cell r="CA641">
            <v>0</v>
          </cell>
          <cell r="CB641">
            <v>0</v>
          </cell>
          <cell r="CC641">
            <v>0</v>
          </cell>
          <cell r="CD641">
            <v>0</v>
          </cell>
        </row>
        <row r="642">
          <cell r="C642">
            <v>37953</v>
          </cell>
          <cell r="D642">
            <v>37971</v>
          </cell>
          <cell r="E642">
            <v>37957</v>
          </cell>
          <cell r="F642">
            <v>0.85416666666666663</v>
          </cell>
          <cell r="G642" t="str">
            <v>Linha de Pintura 8,5m</v>
          </cell>
          <cell r="H642" t="str">
            <v>Linha Travada</v>
          </cell>
          <cell r="I642">
            <v>0</v>
          </cell>
          <cell r="J642" t="str">
            <v>Sim</v>
          </cell>
          <cell r="K642" t="str">
            <v>Mecânica</v>
          </cell>
          <cell r="L642" t="str">
            <v>Destravamento dos Componentes</v>
          </cell>
          <cell r="M642" t="str">
            <v>Falha de Comando / Sistema</v>
          </cell>
          <cell r="N642">
            <v>37957</v>
          </cell>
          <cell r="O642">
            <v>0.85416666666666663</v>
          </cell>
          <cell r="P642">
            <v>0</v>
          </cell>
          <cell r="T642">
            <v>37957</v>
          </cell>
          <cell r="U642">
            <v>0.875</v>
          </cell>
          <cell r="V642">
            <v>0</v>
          </cell>
          <cell r="W642">
            <v>2.083333333333337E-2</v>
          </cell>
          <cell r="X642">
            <v>0</v>
          </cell>
          <cell r="Y642">
            <v>0</v>
          </cell>
          <cell r="AB642">
            <v>12</v>
          </cell>
          <cell r="AC642">
            <v>11</v>
          </cell>
          <cell r="AD642">
            <v>0</v>
          </cell>
          <cell r="BF642">
            <v>0</v>
          </cell>
          <cell r="BG642">
            <v>0</v>
          </cell>
          <cell r="BH642">
            <v>0</v>
          </cell>
          <cell r="BI642">
            <v>0</v>
          </cell>
          <cell r="BJ642">
            <v>0</v>
          </cell>
          <cell r="BK642">
            <v>0</v>
          </cell>
          <cell r="BL642">
            <v>0</v>
          </cell>
          <cell r="BM642">
            <v>0</v>
          </cell>
          <cell r="BN642">
            <v>0</v>
          </cell>
          <cell r="BO642">
            <v>0</v>
          </cell>
          <cell r="BP642">
            <v>12</v>
          </cell>
          <cell r="BQ642">
            <v>0</v>
          </cell>
          <cell r="BR642">
            <v>0</v>
          </cell>
          <cell r="BS642">
            <v>0</v>
          </cell>
          <cell r="BT642">
            <v>0</v>
          </cell>
          <cell r="BU642">
            <v>0</v>
          </cell>
          <cell r="BV642">
            <v>0</v>
          </cell>
          <cell r="BW642">
            <v>0</v>
          </cell>
          <cell r="BX642">
            <v>0</v>
          </cell>
          <cell r="BY642">
            <v>0</v>
          </cell>
          <cell r="BZ642">
            <v>0</v>
          </cell>
          <cell r="CA642">
            <v>0</v>
          </cell>
          <cell r="CB642">
            <v>0</v>
          </cell>
          <cell r="CC642">
            <v>0</v>
          </cell>
          <cell r="CD642">
            <v>0</v>
          </cell>
        </row>
        <row r="643">
          <cell r="C643">
            <v>37953</v>
          </cell>
          <cell r="D643">
            <v>37971</v>
          </cell>
          <cell r="E643">
            <v>37959</v>
          </cell>
          <cell r="F643">
            <v>0.375</v>
          </cell>
          <cell r="G643" t="str">
            <v>Linha de Pintura 15m</v>
          </cell>
          <cell r="H643" t="str">
            <v>Mangueira da Pistola Manual danificada</v>
          </cell>
          <cell r="I643">
            <v>0</v>
          </cell>
          <cell r="J643" t="str">
            <v>Não</v>
          </cell>
          <cell r="K643" t="str">
            <v>Mecânica</v>
          </cell>
          <cell r="L643" t="str">
            <v>Substituição do(s) Componente(s)</v>
          </cell>
          <cell r="M643" t="str">
            <v>Desgaste / Fadiga</v>
          </cell>
          <cell r="N643">
            <v>37959</v>
          </cell>
          <cell r="O643">
            <v>0.37847222222222227</v>
          </cell>
          <cell r="P643">
            <v>0</v>
          </cell>
          <cell r="T643">
            <v>37959</v>
          </cell>
          <cell r="U643">
            <v>0.3923611111111111</v>
          </cell>
          <cell r="V643">
            <v>0</v>
          </cell>
          <cell r="W643">
            <v>1.3888888887271966E-2</v>
          </cell>
          <cell r="X643">
            <v>0</v>
          </cell>
          <cell r="Y643">
            <v>0</v>
          </cell>
          <cell r="AB643">
            <v>12</v>
          </cell>
          <cell r="AC643">
            <v>11</v>
          </cell>
          <cell r="AD643">
            <v>0</v>
          </cell>
          <cell r="BF643">
            <v>0</v>
          </cell>
          <cell r="BG643">
            <v>0</v>
          </cell>
          <cell r="BH643">
            <v>0</v>
          </cell>
          <cell r="BI643">
            <v>0</v>
          </cell>
          <cell r="BJ643">
            <v>0</v>
          </cell>
          <cell r="BK643">
            <v>0</v>
          </cell>
          <cell r="BL643">
            <v>0</v>
          </cell>
          <cell r="BM643">
            <v>0</v>
          </cell>
          <cell r="BN643">
            <v>12</v>
          </cell>
          <cell r="BO643">
            <v>0</v>
          </cell>
          <cell r="BP643">
            <v>0</v>
          </cell>
          <cell r="BQ643">
            <v>0</v>
          </cell>
          <cell r="BR643">
            <v>0</v>
          </cell>
          <cell r="BS643">
            <v>0</v>
          </cell>
          <cell r="BT643">
            <v>0</v>
          </cell>
          <cell r="BU643">
            <v>0</v>
          </cell>
          <cell r="BV643">
            <v>0</v>
          </cell>
          <cell r="BW643">
            <v>0</v>
          </cell>
          <cell r="BX643">
            <v>0</v>
          </cell>
          <cell r="BY643">
            <v>0</v>
          </cell>
          <cell r="BZ643">
            <v>0</v>
          </cell>
          <cell r="CA643">
            <v>0</v>
          </cell>
          <cell r="CB643">
            <v>0</v>
          </cell>
          <cell r="CC643">
            <v>0</v>
          </cell>
          <cell r="CD643">
            <v>0</v>
          </cell>
        </row>
        <row r="644">
          <cell r="C644">
            <v>37953</v>
          </cell>
          <cell r="D644">
            <v>37971</v>
          </cell>
          <cell r="E644">
            <v>37959</v>
          </cell>
          <cell r="F644">
            <v>0.67361111111111116</v>
          </cell>
          <cell r="G644" t="str">
            <v>Linha de Pintura 15m</v>
          </cell>
          <cell r="H644" t="str">
            <v>Elevador fora do nível</v>
          </cell>
          <cell r="I644">
            <v>0</v>
          </cell>
          <cell r="J644" t="str">
            <v>Sim</v>
          </cell>
          <cell r="K644" t="str">
            <v>Elétrica</v>
          </cell>
          <cell r="L644" t="str">
            <v>Ajuste / Regulagem</v>
          </cell>
          <cell r="M644" t="str">
            <v>Falha de Comando / Sistema</v>
          </cell>
          <cell r="N644">
            <v>37959</v>
          </cell>
          <cell r="O644">
            <v>0.68055555555555547</v>
          </cell>
          <cell r="P644">
            <v>0</v>
          </cell>
          <cell r="T644">
            <v>37959</v>
          </cell>
          <cell r="U644">
            <v>0.70138888888888884</v>
          </cell>
          <cell r="V644">
            <v>0</v>
          </cell>
          <cell r="W644">
            <v>2.7777777779394608E-2</v>
          </cell>
          <cell r="X644">
            <v>0</v>
          </cell>
          <cell r="Y644">
            <v>0</v>
          </cell>
          <cell r="AB644">
            <v>12</v>
          </cell>
          <cell r="AC644">
            <v>11</v>
          </cell>
          <cell r="AD644">
            <v>0</v>
          </cell>
          <cell r="BF644">
            <v>0</v>
          </cell>
          <cell r="BG644">
            <v>0</v>
          </cell>
          <cell r="BH644">
            <v>0</v>
          </cell>
          <cell r="BI644">
            <v>0</v>
          </cell>
          <cell r="BJ644">
            <v>0</v>
          </cell>
          <cell r="BK644">
            <v>0</v>
          </cell>
          <cell r="BL644">
            <v>0</v>
          </cell>
          <cell r="BM644">
            <v>0</v>
          </cell>
          <cell r="BN644">
            <v>12</v>
          </cell>
          <cell r="BO644">
            <v>0</v>
          </cell>
          <cell r="BP644">
            <v>0</v>
          </cell>
          <cell r="BQ644">
            <v>0</v>
          </cell>
          <cell r="BR644">
            <v>0</v>
          </cell>
          <cell r="BS644">
            <v>0</v>
          </cell>
          <cell r="BT644">
            <v>0</v>
          </cell>
          <cell r="BU644">
            <v>0</v>
          </cell>
          <cell r="BV644">
            <v>0</v>
          </cell>
          <cell r="BW644">
            <v>0</v>
          </cell>
          <cell r="BX644">
            <v>0</v>
          </cell>
          <cell r="BY644">
            <v>0</v>
          </cell>
          <cell r="BZ644">
            <v>0</v>
          </cell>
          <cell r="CA644">
            <v>0</v>
          </cell>
          <cell r="CB644">
            <v>0</v>
          </cell>
          <cell r="CC644">
            <v>0</v>
          </cell>
          <cell r="CD644">
            <v>0</v>
          </cell>
        </row>
        <row r="645">
          <cell r="C645">
            <v>37953</v>
          </cell>
          <cell r="D645">
            <v>37971</v>
          </cell>
          <cell r="E645">
            <v>37959</v>
          </cell>
          <cell r="F645">
            <v>0.68402777777777779</v>
          </cell>
          <cell r="G645" t="str">
            <v>Linha de Pintura 15m</v>
          </cell>
          <cell r="H645" t="str">
            <v>Bastidor Travado</v>
          </cell>
          <cell r="I645">
            <v>0</v>
          </cell>
          <cell r="J645" t="str">
            <v>Sim</v>
          </cell>
          <cell r="K645" t="str">
            <v>Mecânica</v>
          </cell>
          <cell r="L645" t="str">
            <v>Destravamento dos Componentes</v>
          </cell>
          <cell r="M645" t="str">
            <v>Travamento de Componente</v>
          </cell>
          <cell r="N645">
            <v>37959</v>
          </cell>
          <cell r="O645">
            <v>0.6875</v>
          </cell>
          <cell r="P645">
            <v>0</v>
          </cell>
          <cell r="T645">
            <v>37959</v>
          </cell>
          <cell r="U645">
            <v>0.69444444444444453</v>
          </cell>
          <cell r="V645">
            <v>0</v>
          </cell>
          <cell r="W645">
            <v>1.0416666667475094E-2</v>
          </cell>
          <cell r="X645">
            <v>0</v>
          </cell>
          <cell r="Y645">
            <v>0</v>
          </cell>
          <cell r="AB645">
            <v>12</v>
          </cell>
          <cell r="AC645">
            <v>11</v>
          </cell>
          <cell r="AD645">
            <v>0</v>
          </cell>
          <cell r="BF645">
            <v>0</v>
          </cell>
          <cell r="BG645">
            <v>0</v>
          </cell>
          <cell r="BH645">
            <v>0</v>
          </cell>
          <cell r="BI645">
            <v>0</v>
          </cell>
          <cell r="BJ645">
            <v>0</v>
          </cell>
          <cell r="BK645">
            <v>0</v>
          </cell>
          <cell r="BL645">
            <v>0</v>
          </cell>
          <cell r="BM645">
            <v>0</v>
          </cell>
          <cell r="BN645">
            <v>12</v>
          </cell>
          <cell r="BO645">
            <v>0</v>
          </cell>
          <cell r="BP645">
            <v>0</v>
          </cell>
          <cell r="BQ645">
            <v>0</v>
          </cell>
          <cell r="BR645">
            <v>0</v>
          </cell>
          <cell r="BS645">
            <v>0</v>
          </cell>
          <cell r="BT645">
            <v>0</v>
          </cell>
          <cell r="BU645">
            <v>0</v>
          </cell>
          <cell r="BV645">
            <v>0</v>
          </cell>
          <cell r="BW645">
            <v>0</v>
          </cell>
          <cell r="BX645">
            <v>0</v>
          </cell>
          <cell r="BY645">
            <v>0</v>
          </cell>
          <cell r="BZ645">
            <v>0</v>
          </cell>
          <cell r="CA645">
            <v>0</v>
          </cell>
          <cell r="CB645">
            <v>0</v>
          </cell>
          <cell r="CC645">
            <v>0</v>
          </cell>
          <cell r="CD645">
            <v>0</v>
          </cell>
        </row>
        <row r="646">
          <cell r="C646">
            <v>37953</v>
          </cell>
          <cell r="D646">
            <v>37971</v>
          </cell>
          <cell r="E646">
            <v>37960</v>
          </cell>
          <cell r="F646">
            <v>0.86111111111111116</v>
          </cell>
          <cell r="G646" t="str">
            <v>Linha de Pintura 8,5m</v>
          </cell>
          <cell r="H646" t="str">
            <v>Vazamento de ar comprimido em excesso</v>
          </cell>
          <cell r="I646">
            <v>0</v>
          </cell>
          <cell r="J646" t="str">
            <v>Não</v>
          </cell>
          <cell r="K646" t="str">
            <v>Mecânica</v>
          </cell>
          <cell r="L646" t="str">
            <v>Contenção do vazamento</v>
          </cell>
          <cell r="M646" t="str">
            <v>Defeito de Fabricação</v>
          </cell>
          <cell r="N646">
            <v>37960</v>
          </cell>
          <cell r="O646">
            <v>0.875</v>
          </cell>
          <cell r="P646">
            <v>0</v>
          </cell>
          <cell r="T646">
            <v>37960</v>
          </cell>
          <cell r="U646">
            <v>0.93055555555555547</v>
          </cell>
          <cell r="V646">
            <v>0</v>
          </cell>
          <cell r="W646">
            <v>5.5555555554747116E-2</v>
          </cell>
          <cell r="X646">
            <v>0</v>
          </cell>
          <cell r="Y646">
            <v>0</v>
          </cell>
          <cell r="AB646">
            <v>12</v>
          </cell>
          <cell r="AC646">
            <v>11</v>
          </cell>
          <cell r="AD646">
            <v>0</v>
          </cell>
          <cell r="BF646">
            <v>0</v>
          </cell>
          <cell r="BG646">
            <v>0</v>
          </cell>
          <cell r="BH646">
            <v>0</v>
          </cell>
          <cell r="BI646">
            <v>0</v>
          </cell>
          <cell r="BJ646">
            <v>0</v>
          </cell>
          <cell r="BK646">
            <v>0</v>
          </cell>
          <cell r="BL646">
            <v>0</v>
          </cell>
          <cell r="BM646">
            <v>0</v>
          </cell>
          <cell r="BN646">
            <v>0</v>
          </cell>
          <cell r="BO646">
            <v>0</v>
          </cell>
          <cell r="BP646">
            <v>12</v>
          </cell>
          <cell r="BQ646">
            <v>0</v>
          </cell>
          <cell r="BR646">
            <v>0</v>
          </cell>
          <cell r="BS646">
            <v>0</v>
          </cell>
          <cell r="BT646">
            <v>0</v>
          </cell>
          <cell r="BU646">
            <v>0</v>
          </cell>
          <cell r="BV646">
            <v>0</v>
          </cell>
          <cell r="BW646">
            <v>0</v>
          </cell>
          <cell r="BX646">
            <v>0</v>
          </cell>
          <cell r="BY646">
            <v>0</v>
          </cell>
          <cell r="BZ646">
            <v>0</v>
          </cell>
          <cell r="CA646">
            <v>0</v>
          </cell>
          <cell r="CB646">
            <v>0</v>
          </cell>
          <cell r="CC646">
            <v>0</v>
          </cell>
          <cell r="CD646">
            <v>0</v>
          </cell>
        </row>
        <row r="647">
          <cell r="C647">
            <v>37953</v>
          </cell>
          <cell r="D647">
            <v>37971</v>
          </cell>
          <cell r="E647">
            <v>37963</v>
          </cell>
          <cell r="F647">
            <v>0.65277777777777779</v>
          </cell>
          <cell r="G647" t="str">
            <v>Linha de Pintura 8,5m</v>
          </cell>
          <cell r="H647" t="str">
            <v>Exaustor não funciona</v>
          </cell>
          <cell r="I647">
            <v>0</v>
          </cell>
          <cell r="J647" t="str">
            <v>Sim</v>
          </cell>
          <cell r="K647" t="str">
            <v>Elétrica</v>
          </cell>
          <cell r="L647" t="str">
            <v>Substituição do(s) Componente(s)</v>
          </cell>
          <cell r="M647" t="str">
            <v>Sobrecarga</v>
          </cell>
          <cell r="N647">
            <v>37963</v>
          </cell>
          <cell r="O647">
            <v>0.65277777777777779</v>
          </cell>
          <cell r="P647">
            <v>0</v>
          </cell>
          <cell r="T647">
            <v>37963</v>
          </cell>
          <cell r="U647">
            <v>0.67361111111111116</v>
          </cell>
          <cell r="V647">
            <v>0</v>
          </cell>
          <cell r="W647">
            <v>2.0833333331716442E-2</v>
          </cell>
          <cell r="X647">
            <v>0</v>
          </cell>
          <cell r="Y647">
            <v>0</v>
          </cell>
          <cell r="AB647">
            <v>12</v>
          </cell>
          <cell r="AC647">
            <v>11</v>
          </cell>
          <cell r="AD647">
            <v>0</v>
          </cell>
          <cell r="BF647">
            <v>0</v>
          </cell>
          <cell r="BG647">
            <v>0</v>
          </cell>
          <cell r="BH647">
            <v>0</v>
          </cell>
          <cell r="BI647">
            <v>0</v>
          </cell>
          <cell r="BJ647">
            <v>0</v>
          </cell>
          <cell r="BK647">
            <v>0</v>
          </cell>
          <cell r="BL647">
            <v>0</v>
          </cell>
          <cell r="BM647">
            <v>0</v>
          </cell>
          <cell r="BN647">
            <v>0</v>
          </cell>
          <cell r="BO647">
            <v>0</v>
          </cell>
          <cell r="BP647">
            <v>12</v>
          </cell>
          <cell r="BQ647">
            <v>0</v>
          </cell>
          <cell r="BR647">
            <v>0</v>
          </cell>
          <cell r="BS647">
            <v>0</v>
          </cell>
          <cell r="BT647">
            <v>0</v>
          </cell>
          <cell r="BU647">
            <v>0</v>
          </cell>
          <cell r="BV647">
            <v>0</v>
          </cell>
          <cell r="BW647">
            <v>0</v>
          </cell>
          <cell r="BX647">
            <v>0</v>
          </cell>
          <cell r="BY647">
            <v>0</v>
          </cell>
          <cell r="BZ647">
            <v>0</v>
          </cell>
          <cell r="CA647">
            <v>0</v>
          </cell>
          <cell r="CB647">
            <v>0</v>
          </cell>
          <cell r="CC647">
            <v>0</v>
          </cell>
          <cell r="CD647">
            <v>0</v>
          </cell>
        </row>
        <row r="648">
          <cell r="C648">
            <v>37953</v>
          </cell>
          <cell r="I648">
            <v>0</v>
          </cell>
          <cell r="N648">
            <v>0</v>
          </cell>
          <cell r="P648">
            <v>0</v>
          </cell>
          <cell r="T648">
            <v>0</v>
          </cell>
          <cell r="V648">
            <v>0</v>
          </cell>
          <cell r="W648">
            <v>0</v>
          </cell>
          <cell r="X648">
            <v>0</v>
          </cell>
          <cell r="Y648">
            <v>0</v>
          </cell>
          <cell r="AB648">
            <v>0</v>
          </cell>
          <cell r="AC648">
            <v>11</v>
          </cell>
          <cell r="AD648">
            <v>0</v>
          </cell>
          <cell r="BF648">
            <v>0</v>
          </cell>
          <cell r="BG648">
            <v>0</v>
          </cell>
          <cell r="BH648">
            <v>0</v>
          </cell>
          <cell r="BI648">
            <v>0</v>
          </cell>
          <cell r="BJ648">
            <v>0</v>
          </cell>
          <cell r="BK648">
            <v>0</v>
          </cell>
          <cell r="BL648">
            <v>0</v>
          </cell>
          <cell r="BM648">
            <v>0</v>
          </cell>
          <cell r="BN648">
            <v>0</v>
          </cell>
          <cell r="BO648">
            <v>0</v>
          </cell>
          <cell r="BP648">
            <v>0</v>
          </cell>
          <cell r="BQ648">
            <v>0</v>
          </cell>
          <cell r="BR648">
            <v>0</v>
          </cell>
          <cell r="BS648">
            <v>0</v>
          </cell>
          <cell r="BT648">
            <v>0</v>
          </cell>
          <cell r="BU648">
            <v>0</v>
          </cell>
          <cell r="BV648">
            <v>0</v>
          </cell>
          <cell r="BW648">
            <v>0</v>
          </cell>
          <cell r="BX648">
            <v>0</v>
          </cell>
          <cell r="BY648">
            <v>0</v>
          </cell>
          <cell r="BZ648">
            <v>0</v>
          </cell>
          <cell r="CA648">
            <v>0</v>
          </cell>
          <cell r="CB648">
            <v>0</v>
          </cell>
          <cell r="CC648">
            <v>0</v>
          </cell>
          <cell r="CD648">
            <v>0</v>
          </cell>
        </row>
        <row r="649">
          <cell r="C649">
            <v>37953</v>
          </cell>
          <cell r="I649">
            <v>0</v>
          </cell>
          <cell r="N649">
            <v>0</v>
          </cell>
          <cell r="P649">
            <v>0</v>
          </cell>
          <cell r="T649">
            <v>0</v>
          </cell>
          <cell r="V649">
            <v>0</v>
          </cell>
          <cell r="W649">
            <v>0</v>
          </cell>
          <cell r="X649">
            <v>0</v>
          </cell>
          <cell r="Y649">
            <v>0</v>
          </cell>
          <cell r="AB649">
            <v>0</v>
          </cell>
          <cell r="AC649">
            <v>11</v>
          </cell>
          <cell r="AD649">
            <v>0</v>
          </cell>
          <cell r="BF649">
            <v>0</v>
          </cell>
          <cell r="BG649">
            <v>0</v>
          </cell>
          <cell r="BH649">
            <v>0</v>
          </cell>
          <cell r="BI649">
            <v>0</v>
          </cell>
          <cell r="BJ649">
            <v>0</v>
          </cell>
          <cell r="BK649">
            <v>0</v>
          </cell>
          <cell r="BL649">
            <v>0</v>
          </cell>
          <cell r="BM649">
            <v>0</v>
          </cell>
          <cell r="BN649">
            <v>0</v>
          </cell>
          <cell r="BO649">
            <v>0</v>
          </cell>
          <cell r="BP649">
            <v>0</v>
          </cell>
          <cell r="BQ649">
            <v>0</v>
          </cell>
          <cell r="BR649">
            <v>0</v>
          </cell>
          <cell r="BS649">
            <v>0</v>
          </cell>
          <cell r="BT649">
            <v>0</v>
          </cell>
          <cell r="BU649">
            <v>0</v>
          </cell>
          <cell r="BV649">
            <v>0</v>
          </cell>
          <cell r="BW649">
            <v>0</v>
          </cell>
          <cell r="BX649">
            <v>0</v>
          </cell>
          <cell r="BY649">
            <v>0</v>
          </cell>
          <cell r="BZ649">
            <v>0</v>
          </cell>
          <cell r="CA649">
            <v>0</v>
          </cell>
          <cell r="CB649">
            <v>0</v>
          </cell>
          <cell r="CC649">
            <v>0</v>
          </cell>
          <cell r="CD649">
            <v>0</v>
          </cell>
        </row>
        <row r="650">
          <cell r="C650">
            <v>37953</v>
          </cell>
          <cell r="I650">
            <v>0</v>
          </cell>
          <cell r="N650">
            <v>0</v>
          </cell>
          <cell r="P650">
            <v>0</v>
          </cell>
          <cell r="T650">
            <v>0</v>
          </cell>
          <cell r="V650">
            <v>0</v>
          </cell>
          <cell r="W650">
            <v>0</v>
          </cell>
          <cell r="X650">
            <v>0</v>
          </cell>
          <cell r="Y650">
            <v>0</v>
          </cell>
          <cell r="AB650">
            <v>0</v>
          </cell>
          <cell r="AC650">
            <v>11</v>
          </cell>
          <cell r="AD650">
            <v>0</v>
          </cell>
          <cell r="BF650">
            <v>0</v>
          </cell>
          <cell r="BG650">
            <v>0</v>
          </cell>
          <cell r="BH650">
            <v>0</v>
          </cell>
          <cell r="BI650">
            <v>0</v>
          </cell>
          <cell r="BJ650">
            <v>0</v>
          </cell>
          <cell r="BK650">
            <v>0</v>
          </cell>
          <cell r="BL650">
            <v>0</v>
          </cell>
          <cell r="BM650">
            <v>0</v>
          </cell>
          <cell r="BN650">
            <v>0</v>
          </cell>
          <cell r="BO650">
            <v>0</v>
          </cell>
          <cell r="BP650">
            <v>0</v>
          </cell>
          <cell r="BQ650">
            <v>0</v>
          </cell>
          <cell r="BR650">
            <v>0</v>
          </cell>
          <cell r="BS650">
            <v>0</v>
          </cell>
          <cell r="BT650">
            <v>0</v>
          </cell>
          <cell r="BU650">
            <v>0</v>
          </cell>
          <cell r="BV650">
            <v>0</v>
          </cell>
          <cell r="BW650">
            <v>0</v>
          </cell>
          <cell r="BX650">
            <v>0</v>
          </cell>
          <cell r="BY650">
            <v>0</v>
          </cell>
          <cell r="BZ650">
            <v>0</v>
          </cell>
          <cell r="CA650">
            <v>0</v>
          </cell>
          <cell r="CB650">
            <v>0</v>
          </cell>
          <cell r="CC650">
            <v>0</v>
          </cell>
          <cell r="CD650">
            <v>0</v>
          </cell>
        </row>
        <row r="651">
          <cell r="C651">
            <v>37953</v>
          </cell>
          <cell r="I651">
            <v>0</v>
          </cell>
          <cell r="N651">
            <v>0</v>
          </cell>
          <cell r="P651">
            <v>0</v>
          </cell>
          <cell r="T651">
            <v>0</v>
          </cell>
          <cell r="V651">
            <v>0</v>
          </cell>
          <cell r="W651">
            <v>0</v>
          </cell>
          <cell r="X651">
            <v>0</v>
          </cell>
          <cell r="Y651">
            <v>0</v>
          </cell>
          <cell r="AB651">
            <v>0</v>
          </cell>
          <cell r="AC651">
            <v>11</v>
          </cell>
          <cell r="AD651">
            <v>0</v>
          </cell>
          <cell r="BF651">
            <v>0</v>
          </cell>
          <cell r="BG651">
            <v>0</v>
          </cell>
          <cell r="BH651">
            <v>0</v>
          </cell>
          <cell r="BI651">
            <v>0</v>
          </cell>
          <cell r="BJ651">
            <v>0</v>
          </cell>
          <cell r="BK651">
            <v>0</v>
          </cell>
          <cell r="BL651">
            <v>0</v>
          </cell>
          <cell r="BM651">
            <v>0</v>
          </cell>
          <cell r="BN651">
            <v>0</v>
          </cell>
          <cell r="BO651">
            <v>0</v>
          </cell>
          <cell r="BP651">
            <v>0</v>
          </cell>
          <cell r="BQ651">
            <v>0</v>
          </cell>
          <cell r="BR651">
            <v>0</v>
          </cell>
          <cell r="BS651">
            <v>0</v>
          </cell>
          <cell r="BT651">
            <v>0</v>
          </cell>
          <cell r="BU651">
            <v>0</v>
          </cell>
          <cell r="BV651">
            <v>0</v>
          </cell>
          <cell r="BW651">
            <v>0</v>
          </cell>
          <cell r="BX651">
            <v>0</v>
          </cell>
          <cell r="BY651">
            <v>0</v>
          </cell>
          <cell r="BZ651">
            <v>0</v>
          </cell>
          <cell r="CA651">
            <v>0</v>
          </cell>
          <cell r="CB651">
            <v>0</v>
          </cell>
          <cell r="CC651">
            <v>0</v>
          </cell>
          <cell r="CD651">
            <v>0</v>
          </cell>
        </row>
        <row r="652">
          <cell r="C652">
            <v>37953</v>
          </cell>
          <cell r="I652">
            <v>0</v>
          </cell>
          <cell r="N652">
            <v>0</v>
          </cell>
          <cell r="P652">
            <v>0</v>
          </cell>
          <cell r="T652">
            <v>0</v>
          </cell>
          <cell r="V652">
            <v>0</v>
          </cell>
          <cell r="W652">
            <v>0</v>
          </cell>
          <cell r="X652">
            <v>0</v>
          </cell>
          <cell r="Y652">
            <v>0</v>
          </cell>
          <cell r="AB652">
            <v>0</v>
          </cell>
          <cell r="AC652">
            <v>11</v>
          </cell>
          <cell r="AD652">
            <v>0</v>
          </cell>
          <cell r="BF652">
            <v>0</v>
          </cell>
          <cell r="BG652">
            <v>0</v>
          </cell>
          <cell r="BH652">
            <v>0</v>
          </cell>
          <cell r="BI652">
            <v>0</v>
          </cell>
          <cell r="BJ652">
            <v>0</v>
          </cell>
          <cell r="BK652">
            <v>0</v>
          </cell>
          <cell r="BL652">
            <v>0</v>
          </cell>
          <cell r="BM652">
            <v>0</v>
          </cell>
          <cell r="BN652">
            <v>0</v>
          </cell>
          <cell r="BO652">
            <v>0</v>
          </cell>
          <cell r="BP652">
            <v>0</v>
          </cell>
          <cell r="BQ652">
            <v>0</v>
          </cell>
          <cell r="BR652">
            <v>0</v>
          </cell>
          <cell r="BS652">
            <v>0</v>
          </cell>
          <cell r="BT652">
            <v>0</v>
          </cell>
          <cell r="BU652">
            <v>0</v>
          </cell>
          <cell r="BV652">
            <v>0</v>
          </cell>
          <cell r="BW652">
            <v>0</v>
          </cell>
          <cell r="BX652">
            <v>0</v>
          </cell>
          <cell r="BY652">
            <v>0</v>
          </cell>
          <cell r="BZ652">
            <v>0</v>
          </cell>
          <cell r="CA652">
            <v>0</v>
          </cell>
          <cell r="CB652">
            <v>0</v>
          </cell>
          <cell r="CC652">
            <v>0</v>
          </cell>
          <cell r="CD652">
            <v>0</v>
          </cell>
        </row>
        <row r="653">
          <cell r="C653">
            <v>37953</v>
          </cell>
          <cell r="I653">
            <v>0</v>
          </cell>
          <cell r="N653">
            <v>0</v>
          </cell>
          <cell r="P653">
            <v>0</v>
          </cell>
          <cell r="T653">
            <v>0</v>
          </cell>
          <cell r="V653">
            <v>0</v>
          </cell>
          <cell r="W653">
            <v>0</v>
          </cell>
          <cell r="X653">
            <v>0</v>
          </cell>
          <cell r="Y653">
            <v>0</v>
          </cell>
          <cell r="AB653">
            <v>0</v>
          </cell>
          <cell r="AC653">
            <v>11</v>
          </cell>
          <cell r="AD653">
            <v>0</v>
          </cell>
          <cell r="BF653">
            <v>0</v>
          </cell>
          <cell r="BG653">
            <v>0</v>
          </cell>
          <cell r="BH653">
            <v>0</v>
          </cell>
          <cell r="BI653">
            <v>0</v>
          </cell>
          <cell r="BJ653">
            <v>0</v>
          </cell>
          <cell r="BK653">
            <v>0</v>
          </cell>
          <cell r="BL653">
            <v>0</v>
          </cell>
          <cell r="BM653">
            <v>0</v>
          </cell>
          <cell r="BN653">
            <v>0</v>
          </cell>
          <cell r="BO653">
            <v>0</v>
          </cell>
          <cell r="BP653">
            <v>0</v>
          </cell>
          <cell r="BQ653">
            <v>0</v>
          </cell>
          <cell r="BR653">
            <v>0</v>
          </cell>
          <cell r="BS653">
            <v>0</v>
          </cell>
          <cell r="BT653">
            <v>0</v>
          </cell>
          <cell r="BU653">
            <v>0</v>
          </cell>
          <cell r="BV653">
            <v>0</v>
          </cell>
          <cell r="BW653">
            <v>0</v>
          </cell>
          <cell r="BX653">
            <v>0</v>
          </cell>
          <cell r="BY653">
            <v>0</v>
          </cell>
          <cell r="BZ653">
            <v>0</v>
          </cell>
          <cell r="CA653">
            <v>0</v>
          </cell>
          <cell r="CB653">
            <v>0</v>
          </cell>
          <cell r="CC653">
            <v>0</v>
          </cell>
          <cell r="CD653">
            <v>0</v>
          </cell>
        </row>
        <row r="654">
          <cell r="C654">
            <v>37953</v>
          </cell>
          <cell r="I654">
            <v>0</v>
          </cell>
          <cell r="N654">
            <v>0</v>
          </cell>
          <cell r="P654">
            <v>0</v>
          </cell>
          <cell r="T654">
            <v>0</v>
          </cell>
          <cell r="V654">
            <v>0</v>
          </cell>
          <cell r="W654">
            <v>0</v>
          </cell>
          <cell r="X654">
            <v>0</v>
          </cell>
          <cell r="Y654">
            <v>0</v>
          </cell>
          <cell r="AB654">
            <v>0</v>
          </cell>
          <cell r="AC654">
            <v>11</v>
          </cell>
          <cell r="AD654">
            <v>0</v>
          </cell>
          <cell r="BF654">
            <v>0</v>
          </cell>
          <cell r="BG654">
            <v>0</v>
          </cell>
          <cell r="BH654">
            <v>0</v>
          </cell>
          <cell r="BI654">
            <v>0</v>
          </cell>
          <cell r="BJ654">
            <v>0</v>
          </cell>
          <cell r="BK654">
            <v>0</v>
          </cell>
          <cell r="BL654">
            <v>0</v>
          </cell>
          <cell r="BM654">
            <v>0</v>
          </cell>
          <cell r="BN654">
            <v>0</v>
          </cell>
          <cell r="BO654">
            <v>0</v>
          </cell>
          <cell r="BP654">
            <v>0</v>
          </cell>
          <cell r="BQ654">
            <v>0</v>
          </cell>
          <cell r="BR654">
            <v>0</v>
          </cell>
          <cell r="BS654">
            <v>0</v>
          </cell>
          <cell r="BT654">
            <v>0</v>
          </cell>
          <cell r="BU654">
            <v>0</v>
          </cell>
          <cell r="BV654">
            <v>0</v>
          </cell>
          <cell r="BW654">
            <v>0</v>
          </cell>
          <cell r="BX654">
            <v>0</v>
          </cell>
          <cell r="BY654">
            <v>0</v>
          </cell>
          <cell r="BZ654">
            <v>0</v>
          </cell>
          <cell r="CA654">
            <v>0</v>
          </cell>
          <cell r="CB654">
            <v>0</v>
          </cell>
          <cell r="CC654">
            <v>0</v>
          </cell>
          <cell r="CD654">
            <v>0</v>
          </cell>
        </row>
        <row r="655">
          <cell r="C655">
            <v>37953</v>
          </cell>
          <cell r="I655">
            <v>0</v>
          </cell>
          <cell r="N655">
            <v>0</v>
          </cell>
          <cell r="P655">
            <v>0</v>
          </cell>
          <cell r="T655">
            <v>0</v>
          </cell>
          <cell r="V655">
            <v>0</v>
          </cell>
          <cell r="W655">
            <v>0</v>
          </cell>
          <cell r="X655">
            <v>0</v>
          </cell>
          <cell r="Y655">
            <v>0</v>
          </cell>
          <cell r="AB655">
            <v>0</v>
          </cell>
          <cell r="AC655">
            <v>11</v>
          </cell>
          <cell r="AD655">
            <v>0</v>
          </cell>
          <cell r="BF655">
            <v>0</v>
          </cell>
          <cell r="BG655">
            <v>0</v>
          </cell>
          <cell r="BH655">
            <v>0</v>
          </cell>
          <cell r="BI655">
            <v>0</v>
          </cell>
          <cell r="BJ655">
            <v>0</v>
          </cell>
          <cell r="BK655">
            <v>0</v>
          </cell>
          <cell r="BL655">
            <v>0</v>
          </cell>
          <cell r="BM655">
            <v>0</v>
          </cell>
          <cell r="BN655">
            <v>0</v>
          </cell>
          <cell r="BO655">
            <v>0</v>
          </cell>
          <cell r="BP655">
            <v>0</v>
          </cell>
          <cell r="BQ655">
            <v>0</v>
          </cell>
          <cell r="BR655">
            <v>0</v>
          </cell>
          <cell r="BS655">
            <v>0</v>
          </cell>
          <cell r="BT655">
            <v>0</v>
          </cell>
          <cell r="BU655">
            <v>0</v>
          </cell>
          <cell r="BV655">
            <v>0</v>
          </cell>
          <cell r="BW655">
            <v>0</v>
          </cell>
          <cell r="BX655">
            <v>0</v>
          </cell>
          <cell r="BY655">
            <v>0</v>
          </cell>
          <cell r="BZ655">
            <v>0</v>
          </cell>
          <cell r="CA655">
            <v>0</v>
          </cell>
          <cell r="CB655">
            <v>0</v>
          </cell>
          <cell r="CC655">
            <v>0</v>
          </cell>
          <cell r="CD655">
            <v>0</v>
          </cell>
        </row>
        <row r="656">
          <cell r="C656">
            <v>37953</v>
          </cell>
          <cell r="I656">
            <v>0</v>
          </cell>
          <cell r="N656">
            <v>0</v>
          </cell>
          <cell r="P656">
            <v>0</v>
          </cell>
          <cell r="T656">
            <v>0</v>
          </cell>
          <cell r="V656">
            <v>0</v>
          </cell>
          <cell r="W656">
            <v>0</v>
          </cell>
          <cell r="X656">
            <v>0</v>
          </cell>
          <cell r="Y656">
            <v>0</v>
          </cell>
          <cell r="AB656">
            <v>0</v>
          </cell>
          <cell r="AC656">
            <v>11</v>
          </cell>
          <cell r="AD656">
            <v>0</v>
          </cell>
          <cell r="BF656">
            <v>0</v>
          </cell>
          <cell r="BG656">
            <v>0</v>
          </cell>
          <cell r="BH656">
            <v>0</v>
          </cell>
          <cell r="BI656">
            <v>0</v>
          </cell>
          <cell r="BJ656">
            <v>0</v>
          </cell>
          <cell r="BK656">
            <v>0</v>
          </cell>
          <cell r="BL656">
            <v>0</v>
          </cell>
          <cell r="BM656">
            <v>0</v>
          </cell>
          <cell r="BN656">
            <v>0</v>
          </cell>
          <cell r="BO656">
            <v>0</v>
          </cell>
          <cell r="BP656">
            <v>0</v>
          </cell>
          <cell r="BQ656">
            <v>0</v>
          </cell>
          <cell r="BR656">
            <v>0</v>
          </cell>
          <cell r="BS656">
            <v>0</v>
          </cell>
          <cell r="BT656">
            <v>0</v>
          </cell>
          <cell r="BU656">
            <v>0</v>
          </cell>
          <cell r="BV656">
            <v>0</v>
          </cell>
          <cell r="BW656">
            <v>0</v>
          </cell>
          <cell r="BX656">
            <v>0</v>
          </cell>
          <cell r="BY656">
            <v>0</v>
          </cell>
          <cell r="BZ656">
            <v>0</v>
          </cell>
          <cell r="CA656">
            <v>0</v>
          </cell>
          <cell r="CB656">
            <v>0</v>
          </cell>
          <cell r="CC656">
            <v>0</v>
          </cell>
          <cell r="CD656">
            <v>0</v>
          </cell>
        </row>
        <row r="657">
          <cell r="C657">
            <v>37963</v>
          </cell>
          <cell r="D657">
            <v>37971</v>
          </cell>
          <cell r="E657">
            <v>37963</v>
          </cell>
          <cell r="F657">
            <v>0.41666666666666669</v>
          </cell>
          <cell r="G657" t="str">
            <v>Linha de Pintura 8,5m</v>
          </cell>
          <cell r="H657" t="str">
            <v>Vazamento de ar comprimido em excesso</v>
          </cell>
          <cell r="I657">
            <v>0</v>
          </cell>
          <cell r="J657" t="str">
            <v>Não</v>
          </cell>
          <cell r="K657" t="str">
            <v>Mecânica</v>
          </cell>
          <cell r="L657" t="str">
            <v>Contenção do vazamento</v>
          </cell>
          <cell r="M657" t="str">
            <v>Defeito de Fabricação</v>
          </cell>
          <cell r="N657">
            <v>37963</v>
          </cell>
          <cell r="O657">
            <v>0.41666666666666669</v>
          </cell>
          <cell r="P657">
            <v>0</v>
          </cell>
          <cell r="T657">
            <v>37963</v>
          </cell>
          <cell r="U657">
            <v>0.5625</v>
          </cell>
          <cell r="V657">
            <v>0</v>
          </cell>
          <cell r="W657">
            <v>0.14583333333333331</v>
          </cell>
          <cell r="X657">
            <v>0</v>
          </cell>
          <cell r="Y657">
            <v>0</v>
          </cell>
          <cell r="AB657">
            <v>12</v>
          </cell>
          <cell r="AC657">
            <v>12</v>
          </cell>
          <cell r="AD657">
            <v>0</v>
          </cell>
          <cell r="BF657">
            <v>0</v>
          </cell>
          <cell r="BG657">
            <v>0</v>
          </cell>
          <cell r="BH657">
            <v>0</v>
          </cell>
          <cell r="BI657">
            <v>0</v>
          </cell>
          <cell r="BJ657">
            <v>0</v>
          </cell>
          <cell r="BK657">
            <v>0</v>
          </cell>
          <cell r="BL657">
            <v>0</v>
          </cell>
          <cell r="BM657">
            <v>0</v>
          </cell>
          <cell r="BN657">
            <v>0</v>
          </cell>
          <cell r="BO657">
            <v>0</v>
          </cell>
          <cell r="BP657">
            <v>12</v>
          </cell>
          <cell r="BQ657">
            <v>0</v>
          </cell>
          <cell r="BR657">
            <v>0</v>
          </cell>
          <cell r="BS657">
            <v>0</v>
          </cell>
          <cell r="BT657">
            <v>0</v>
          </cell>
          <cell r="BU657">
            <v>0</v>
          </cell>
          <cell r="BV657">
            <v>0</v>
          </cell>
          <cell r="BW657">
            <v>0</v>
          </cell>
          <cell r="BX657">
            <v>0</v>
          </cell>
          <cell r="BY657">
            <v>0</v>
          </cell>
          <cell r="BZ657">
            <v>0</v>
          </cell>
          <cell r="CA657">
            <v>0</v>
          </cell>
          <cell r="CB657">
            <v>0</v>
          </cell>
          <cell r="CC657">
            <v>0</v>
          </cell>
          <cell r="CD657">
            <v>0</v>
          </cell>
        </row>
        <row r="658">
          <cell r="C658">
            <v>37963</v>
          </cell>
          <cell r="D658">
            <v>37971</v>
          </cell>
          <cell r="E658">
            <v>37962</v>
          </cell>
          <cell r="F658">
            <v>0.41666666666666669</v>
          </cell>
          <cell r="G658" t="str">
            <v>Linha de Pintura 8,5m</v>
          </cell>
          <cell r="H658" t="str">
            <v>Problemas nos módulos 03 e 06</v>
          </cell>
          <cell r="I658">
            <v>0</v>
          </cell>
          <cell r="J658" t="str">
            <v>Não</v>
          </cell>
          <cell r="K658" t="str">
            <v>Elétrica</v>
          </cell>
          <cell r="L658" t="str">
            <v>Substituição do(s) Componente(s)</v>
          </cell>
          <cell r="M658" t="str">
            <v>Curto-circuito</v>
          </cell>
          <cell r="N658">
            <v>37962</v>
          </cell>
          <cell r="O658">
            <v>0.41666666666666669</v>
          </cell>
          <cell r="P658">
            <v>0</v>
          </cell>
          <cell r="T658">
            <v>37962</v>
          </cell>
          <cell r="U658">
            <v>0.4375</v>
          </cell>
          <cell r="V658">
            <v>0</v>
          </cell>
          <cell r="W658">
            <v>2.0833333333333315E-2</v>
          </cell>
          <cell r="X658">
            <v>0</v>
          </cell>
          <cell r="Y658">
            <v>0</v>
          </cell>
          <cell r="AB658">
            <v>12</v>
          </cell>
          <cell r="AC658">
            <v>12</v>
          </cell>
          <cell r="AD658">
            <v>0</v>
          </cell>
          <cell r="BF658">
            <v>0</v>
          </cell>
          <cell r="BG658">
            <v>0</v>
          </cell>
          <cell r="BH658">
            <v>0</v>
          </cell>
          <cell r="BI658">
            <v>0</v>
          </cell>
          <cell r="BJ658">
            <v>0</v>
          </cell>
          <cell r="BK658">
            <v>0</v>
          </cell>
          <cell r="BL658">
            <v>0</v>
          </cell>
          <cell r="BM658">
            <v>0</v>
          </cell>
          <cell r="BN658">
            <v>0</v>
          </cell>
          <cell r="BO658">
            <v>0</v>
          </cell>
          <cell r="BP658">
            <v>12</v>
          </cell>
          <cell r="BQ658">
            <v>0</v>
          </cell>
          <cell r="BR658">
            <v>0</v>
          </cell>
          <cell r="BS658">
            <v>0</v>
          </cell>
          <cell r="BT658">
            <v>0</v>
          </cell>
          <cell r="BU658">
            <v>0</v>
          </cell>
          <cell r="BV658">
            <v>0</v>
          </cell>
          <cell r="BW658">
            <v>0</v>
          </cell>
          <cell r="BX658">
            <v>0</v>
          </cell>
          <cell r="BY658">
            <v>0</v>
          </cell>
          <cell r="BZ658">
            <v>0</v>
          </cell>
          <cell r="CA658">
            <v>0</v>
          </cell>
          <cell r="CB658">
            <v>0</v>
          </cell>
          <cell r="CC658">
            <v>0</v>
          </cell>
          <cell r="CD658">
            <v>0</v>
          </cell>
        </row>
        <row r="659">
          <cell r="C659">
            <v>37963</v>
          </cell>
          <cell r="D659">
            <v>37993</v>
          </cell>
          <cell r="E659">
            <v>37965</v>
          </cell>
          <cell r="F659">
            <v>0.58333333333333337</v>
          </cell>
          <cell r="G659" t="str">
            <v>Linha de Pintura 8,5m</v>
          </cell>
          <cell r="H659" t="str">
            <v>Anomalia no parô 03</v>
          </cell>
          <cell r="I659">
            <v>0</v>
          </cell>
          <cell r="J659" t="str">
            <v>Sim</v>
          </cell>
          <cell r="K659" t="str">
            <v>Elétrica</v>
          </cell>
          <cell r="L659" t="str">
            <v>Ajuste / Regulagem</v>
          </cell>
          <cell r="M659" t="str">
            <v>Falha de Regulagem / Configuração / Dimensionamento</v>
          </cell>
          <cell r="N659">
            <v>0</v>
          </cell>
          <cell r="O659">
            <v>0.58680555555555558</v>
          </cell>
          <cell r="P659">
            <v>0</v>
          </cell>
          <cell r="T659">
            <v>0</v>
          </cell>
          <cell r="U659">
            <v>0.625</v>
          </cell>
          <cell r="V659">
            <v>0</v>
          </cell>
          <cell r="W659">
            <v>0</v>
          </cell>
          <cell r="X659">
            <v>0</v>
          </cell>
          <cell r="Y659">
            <v>0</v>
          </cell>
          <cell r="AB659">
            <v>0</v>
          </cell>
          <cell r="AC659">
            <v>12</v>
          </cell>
          <cell r="AD659">
            <v>0</v>
          </cell>
          <cell r="BF659">
            <v>0</v>
          </cell>
          <cell r="BG659">
            <v>0</v>
          </cell>
          <cell r="BH659">
            <v>0</v>
          </cell>
          <cell r="BI659">
            <v>0</v>
          </cell>
          <cell r="BJ659">
            <v>0</v>
          </cell>
          <cell r="BK659">
            <v>0</v>
          </cell>
          <cell r="BL659">
            <v>0</v>
          </cell>
          <cell r="BM659">
            <v>0</v>
          </cell>
          <cell r="BN659">
            <v>0</v>
          </cell>
          <cell r="BO659">
            <v>0</v>
          </cell>
          <cell r="BP659">
            <v>0</v>
          </cell>
          <cell r="BQ659">
            <v>0</v>
          </cell>
          <cell r="BR659">
            <v>0</v>
          </cell>
          <cell r="BS659">
            <v>0</v>
          </cell>
          <cell r="BT659">
            <v>0</v>
          </cell>
          <cell r="BU659">
            <v>0</v>
          </cell>
          <cell r="BV659">
            <v>0</v>
          </cell>
          <cell r="BW659">
            <v>0</v>
          </cell>
          <cell r="BX659">
            <v>0</v>
          </cell>
          <cell r="BY659">
            <v>0</v>
          </cell>
          <cell r="BZ659">
            <v>0</v>
          </cell>
          <cell r="CA659">
            <v>0</v>
          </cell>
          <cell r="CB659">
            <v>0</v>
          </cell>
          <cell r="CC659">
            <v>0</v>
          </cell>
          <cell r="CD659">
            <v>0</v>
          </cell>
        </row>
        <row r="660">
          <cell r="C660">
            <v>37963</v>
          </cell>
          <cell r="D660">
            <v>37977</v>
          </cell>
          <cell r="E660">
            <v>37965</v>
          </cell>
          <cell r="F660">
            <v>0.66666666666666663</v>
          </cell>
          <cell r="G660" t="str">
            <v>Linha de Pintura 8,5m</v>
          </cell>
          <cell r="H660" t="str">
            <v>Anomalia na Descarga</v>
          </cell>
          <cell r="I660">
            <v>0</v>
          </cell>
          <cell r="J660" t="str">
            <v>Sim</v>
          </cell>
          <cell r="K660" t="str">
            <v>Elétrica</v>
          </cell>
          <cell r="L660" t="str">
            <v>Reaperto dos componentes</v>
          </cell>
          <cell r="M660" t="str">
            <v>Vibração</v>
          </cell>
          <cell r="N660">
            <v>37965</v>
          </cell>
          <cell r="O660">
            <v>0.6875</v>
          </cell>
          <cell r="P660">
            <v>0</v>
          </cell>
          <cell r="T660">
            <v>37965</v>
          </cell>
          <cell r="U660">
            <v>0.70833333333333337</v>
          </cell>
          <cell r="V660">
            <v>0</v>
          </cell>
          <cell r="W660">
            <v>4.1666666669092023E-2</v>
          </cell>
          <cell r="X660">
            <v>0</v>
          </cell>
          <cell r="Y660">
            <v>0</v>
          </cell>
          <cell r="AB660">
            <v>12</v>
          </cell>
          <cell r="AC660">
            <v>12</v>
          </cell>
          <cell r="AD660">
            <v>0</v>
          </cell>
          <cell r="BF660">
            <v>0</v>
          </cell>
          <cell r="BG660">
            <v>0</v>
          </cell>
          <cell r="BH660">
            <v>0</v>
          </cell>
          <cell r="BI660">
            <v>0</v>
          </cell>
          <cell r="BJ660">
            <v>0</v>
          </cell>
          <cell r="BK660">
            <v>0</v>
          </cell>
          <cell r="BL660">
            <v>0</v>
          </cell>
          <cell r="BM660">
            <v>0</v>
          </cell>
          <cell r="BN660">
            <v>0</v>
          </cell>
          <cell r="BO660">
            <v>0</v>
          </cell>
          <cell r="BP660">
            <v>12</v>
          </cell>
          <cell r="BQ660">
            <v>0</v>
          </cell>
          <cell r="BR660">
            <v>0</v>
          </cell>
          <cell r="BS660">
            <v>0</v>
          </cell>
          <cell r="BT660">
            <v>0</v>
          </cell>
          <cell r="BU660">
            <v>0</v>
          </cell>
          <cell r="BV660">
            <v>0</v>
          </cell>
          <cell r="BW660">
            <v>0</v>
          </cell>
          <cell r="BX660">
            <v>0</v>
          </cell>
          <cell r="BY660">
            <v>0</v>
          </cell>
          <cell r="BZ660">
            <v>0</v>
          </cell>
          <cell r="CA660">
            <v>0</v>
          </cell>
          <cell r="CB660">
            <v>0</v>
          </cell>
          <cell r="CC660">
            <v>0</v>
          </cell>
          <cell r="CD660">
            <v>0</v>
          </cell>
        </row>
        <row r="661">
          <cell r="C661">
            <v>37963</v>
          </cell>
          <cell r="D661">
            <v>37972</v>
          </cell>
          <cell r="E661">
            <v>37965</v>
          </cell>
          <cell r="F661">
            <v>0.83333333333333337</v>
          </cell>
          <cell r="G661" t="str">
            <v>Linha de Pintura 8,5m</v>
          </cell>
          <cell r="H661" t="str">
            <v>Linha Travada</v>
          </cell>
          <cell r="I661">
            <v>0</v>
          </cell>
          <cell r="J661" t="str">
            <v>Sim</v>
          </cell>
          <cell r="K661" t="str">
            <v>Mecânica</v>
          </cell>
          <cell r="L661" t="str">
            <v>Destravamento dos Componentes</v>
          </cell>
          <cell r="M661" t="str">
            <v>Falha de Comando / Sistema</v>
          </cell>
          <cell r="N661">
            <v>37965</v>
          </cell>
          <cell r="O661">
            <v>0.84375</v>
          </cell>
          <cell r="P661">
            <v>0</v>
          </cell>
          <cell r="Q661">
            <v>1</v>
          </cell>
          <cell r="R661">
            <v>37966</v>
          </cell>
          <cell r="S661">
            <v>0.25</v>
          </cell>
          <cell r="T661">
            <v>37966</v>
          </cell>
          <cell r="U661">
            <v>0.3125</v>
          </cell>
          <cell r="V661">
            <v>0</v>
          </cell>
          <cell r="W661">
            <v>0.22916666666666663</v>
          </cell>
          <cell r="X661">
            <v>0</v>
          </cell>
          <cell r="Y661">
            <v>0</v>
          </cell>
          <cell r="AB661">
            <v>12</v>
          </cell>
          <cell r="AC661">
            <v>12</v>
          </cell>
          <cell r="AD661">
            <v>0</v>
          </cell>
          <cell r="BF661">
            <v>0</v>
          </cell>
          <cell r="BG661">
            <v>0</v>
          </cell>
          <cell r="BH661">
            <v>0</v>
          </cell>
          <cell r="BI661">
            <v>0</v>
          </cell>
          <cell r="BJ661">
            <v>0</v>
          </cell>
          <cell r="BK661">
            <v>0</v>
          </cell>
          <cell r="BL661">
            <v>0</v>
          </cell>
          <cell r="BM661">
            <v>0</v>
          </cell>
          <cell r="BN661">
            <v>0</v>
          </cell>
          <cell r="BO661">
            <v>0</v>
          </cell>
          <cell r="BP661">
            <v>12</v>
          </cell>
          <cell r="BQ661">
            <v>0</v>
          </cell>
          <cell r="BR661">
            <v>0</v>
          </cell>
          <cell r="BS661">
            <v>0</v>
          </cell>
          <cell r="BT661">
            <v>0</v>
          </cell>
          <cell r="BU661">
            <v>0</v>
          </cell>
          <cell r="BV661">
            <v>0</v>
          </cell>
          <cell r="BW661">
            <v>0</v>
          </cell>
          <cell r="BX661">
            <v>0</v>
          </cell>
          <cell r="BY661">
            <v>0</v>
          </cell>
          <cell r="BZ661">
            <v>0</v>
          </cell>
          <cell r="CA661">
            <v>0</v>
          </cell>
          <cell r="CB661">
            <v>0</v>
          </cell>
          <cell r="CC661">
            <v>0</v>
          </cell>
          <cell r="CD661">
            <v>0</v>
          </cell>
        </row>
        <row r="662">
          <cell r="C662">
            <v>37963</v>
          </cell>
          <cell r="D662">
            <v>37993</v>
          </cell>
          <cell r="E662">
            <v>37971</v>
          </cell>
          <cell r="F662">
            <v>0.25</v>
          </cell>
          <cell r="G662" t="str">
            <v>Linha de Pintura 8,5m</v>
          </cell>
          <cell r="H662" t="str">
            <v>Vazamento no sistema de exaustão</v>
          </cell>
          <cell r="I662">
            <v>0</v>
          </cell>
          <cell r="J662" t="str">
            <v>Sim</v>
          </cell>
          <cell r="K662" t="str">
            <v>Mecânica</v>
          </cell>
          <cell r="L662" t="str">
            <v>Soldagem da Caixa do Pulmão</v>
          </cell>
          <cell r="M662" t="str">
            <v>Defeito de Fabricação</v>
          </cell>
          <cell r="N662">
            <v>0</v>
          </cell>
          <cell r="O662">
            <v>0.27083333333333331</v>
          </cell>
          <cell r="P662">
            <v>0</v>
          </cell>
          <cell r="T662">
            <v>0</v>
          </cell>
          <cell r="U662">
            <v>0.33333333333333331</v>
          </cell>
          <cell r="V662">
            <v>0</v>
          </cell>
          <cell r="W662">
            <v>0</v>
          </cell>
          <cell r="X662">
            <v>0</v>
          </cell>
          <cell r="Y662">
            <v>0</v>
          </cell>
          <cell r="AB662">
            <v>0</v>
          </cell>
          <cell r="AC662">
            <v>12</v>
          </cell>
          <cell r="AD662">
            <v>0</v>
          </cell>
          <cell r="BF662">
            <v>0</v>
          </cell>
          <cell r="BG662">
            <v>0</v>
          </cell>
          <cell r="BH662">
            <v>0</v>
          </cell>
          <cell r="BI662">
            <v>0</v>
          </cell>
          <cell r="BJ662">
            <v>0</v>
          </cell>
          <cell r="BK662">
            <v>0</v>
          </cell>
          <cell r="BL662">
            <v>0</v>
          </cell>
          <cell r="BM662">
            <v>0</v>
          </cell>
          <cell r="BN662">
            <v>0</v>
          </cell>
          <cell r="BO662">
            <v>0</v>
          </cell>
          <cell r="BP662">
            <v>0</v>
          </cell>
          <cell r="BQ662">
            <v>0</v>
          </cell>
          <cell r="BR662">
            <v>0</v>
          </cell>
          <cell r="BS662">
            <v>0</v>
          </cell>
          <cell r="BT662">
            <v>0</v>
          </cell>
          <cell r="BU662">
            <v>0</v>
          </cell>
          <cell r="BV662">
            <v>0</v>
          </cell>
          <cell r="BW662">
            <v>0</v>
          </cell>
          <cell r="BX662">
            <v>0</v>
          </cell>
          <cell r="BY662">
            <v>0</v>
          </cell>
          <cell r="BZ662">
            <v>0</v>
          </cell>
          <cell r="CA662">
            <v>0</v>
          </cell>
          <cell r="CB662">
            <v>0</v>
          </cell>
          <cell r="CC662">
            <v>0</v>
          </cell>
          <cell r="CD662">
            <v>0</v>
          </cell>
        </row>
        <row r="663">
          <cell r="C663">
            <v>37963</v>
          </cell>
          <cell r="D663">
            <v>37993</v>
          </cell>
          <cell r="E663">
            <v>37974</v>
          </cell>
          <cell r="F663">
            <v>0.25</v>
          </cell>
          <cell r="G663" t="str">
            <v>Linha de Pintura 8,5m</v>
          </cell>
          <cell r="H663" t="str">
            <v>Vazamento no sistema de exaustão</v>
          </cell>
          <cell r="I663">
            <v>0</v>
          </cell>
          <cell r="J663" t="str">
            <v>Sim</v>
          </cell>
          <cell r="K663" t="str">
            <v>Mecânica</v>
          </cell>
          <cell r="L663" t="str">
            <v>Soldagem da Caixa do Pulmão</v>
          </cell>
          <cell r="M663" t="str">
            <v>Falha de Projeto</v>
          </cell>
          <cell r="N663">
            <v>0</v>
          </cell>
          <cell r="O663">
            <v>0.25</v>
          </cell>
          <cell r="P663">
            <v>0</v>
          </cell>
          <cell r="T663">
            <v>0</v>
          </cell>
          <cell r="U663">
            <v>0.30555555555555552</v>
          </cell>
          <cell r="V663">
            <v>0</v>
          </cell>
          <cell r="W663">
            <v>0</v>
          </cell>
          <cell r="X663">
            <v>0</v>
          </cell>
          <cell r="Y663">
            <v>0</v>
          </cell>
          <cell r="AB663">
            <v>0</v>
          </cell>
          <cell r="AC663">
            <v>12</v>
          </cell>
          <cell r="AD663">
            <v>0</v>
          </cell>
          <cell r="BF663">
            <v>0</v>
          </cell>
          <cell r="BG663">
            <v>0</v>
          </cell>
          <cell r="BH663">
            <v>0</v>
          </cell>
          <cell r="BI663">
            <v>0</v>
          </cell>
          <cell r="BJ663">
            <v>0</v>
          </cell>
          <cell r="BK663">
            <v>0</v>
          </cell>
          <cell r="BL663">
            <v>0</v>
          </cell>
          <cell r="BM663">
            <v>0</v>
          </cell>
          <cell r="BN663">
            <v>0</v>
          </cell>
          <cell r="BO663">
            <v>0</v>
          </cell>
          <cell r="BP663">
            <v>0</v>
          </cell>
          <cell r="BQ663">
            <v>0</v>
          </cell>
          <cell r="BR663">
            <v>0</v>
          </cell>
          <cell r="BS663">
            <v>0</v>
          </cell>
          <cell r="BT663">
            <v>0</v>
          </cell>
          <cell r="BU663">
            <v>0</v>
          </cell>
          <cell r="BV663">
            <v>0</v>
          </cell>
          <cell r="BW663">
            <v>0</v>
          </cell>
          <cell r="BX663">
            <v>0</v>
          </cell>
          <cell r="BY663">
            <v>0</v>
          </cell>
          <cell r="BZ663">
            <v>0</v>
          </cell>
          <cell r="CA663">
            <v>0</v>
          </cell>
          <cell r="CB663">
            <v>0</v>
          </cell>
          <cell r="CC663">
            <v>0</v>
          </cell>
          <cell r="CD663">
            <v>0</v>
          </cell>
        </row>
        <row r="664">
          <cell r="C664">
            <v>37963</v>
          </cell>
          <cell r="I664">
            <v>0</v>
          </cell>
          <cell r="N664">
            <v>0</v>
          </cell>
          <cell r="P664">
            <v>0</v>
          </cell>
          <cell r="T664">
            <v>0</v>
          </cell>
          <cell r="V664">
            <v>0</v>
          </cell>
          <cell r="W664">
            <v>0</v>
          </cell>
          <cell r="X664">
            <v>0</v>
          </cell>
          <cell r="Y664">
            <v>0</v>
          </cell>
          <cell r="AB664">
            <v>0</v>
          </cell>
          <cell r="AC664">
            <v>12</v>
          </cell>
          <cell r="AD664">
            <v>0</v>
          </cell>
          <cell r="BF664">
            <v>0</v>
          </cell>
          <cell r="BG664">
            <v>0</v>
          </cell>
          <cell r="BH664">
            <v>0</v>
          </cell>
          <cell r="BI664">
            <v>0</v>
          </cell>
          <cell r="BJ664">
            <v>0</v>
          </cell>
          <cell r="BK664">
            <v>0</v>
          </cell>
          <cell r="BL664">
            <v>0</v>
          </cell>
          <cell r="BM664">
            <v>0</v>
          </cell>
          <cell r="BN664">
            <v>0</v>
          </cell>
          <cell r="BO664">
            <v>0</v>
          </cell>
          <cell r="BP664">
            <v>0</v>
          </cell>
          <cell r="BQ664">
            <v>0</v>
          </cell>
          <cell r="BR664">
            <v>0</v>
          </cell>
          <cell r="BS664">
            <v>0</v>
          </cell>
          <cell r="BT664">
            <v>0</v>
          </cell>
          <cell r="BU664">
            <v>0</v>
          </cell>
          <cell r="BV664">
            <v>0</v>
          </cell>
          <cell r="BW664">
            <v>0</v>
          </cell>
          <cell r="BX664">
            <v>0</v>
          </cell>
          <cell r="BY664">
            <v>0</v>
          </cell>
          <cell r="BZ664">
            <v>0</v>
          </cell>
          <cell r="CA664">
            <v>0</v>
          </cell>
          <cell r="CB664">
            <v>0</v>
          </cell>
          <cell r="CC664">
            <v>0</v>
          </cell>
          <cell r="CD664">
            <v>0</v>
          </cell>
        </row>
        <row r="665">
          <cell r="C665">
            <v>37963</v>
          </cell>
          <cell r="I665">
            <v>0</v>
          </cell>
          <cell r="N665">
            <v>0</v>
          </cell>
          <cell r="P665">
            <v>0</v>
          </cell>
          <cell r="T665">
            <v>0</v>
          </cell>
          <cell r="V665">
            <v>0</v>
          </cell>
          <cell r="W665">
            <v>0</v>
          </cell>
          <cell r="X665">
            <v>0</v>
          </cell>
          <cell r="Y665">
            <v>0</v>
          </cell>
          <cell r="AB665">
            <v>0</v>
          </cell>
          <cell r="AC665">
            <v>12</v>
          </cell>
          <cell r="AD665">
            <v>0</v>
          </cell>
          <cell r="BF665">
            <v>0</v>
          </cell>
          <cell r="BG665">
            <v>0</v>
          </cell>
          <cell r="BH665">
            <v>0</v>
          </cell>
          <cell r="BI665">
            <v>0</v>
          </cell>
          <cell r="BJ665">
            <v>0</v>
          </cell>
          <cell r="BK665">
            <v>0</v>
          </cell>
          <cell r="BL665">
            <v>0</v>
          </cell>
          <cell r="BM665">
            <v>0</v>
          </cell>
          <cell r="BN665">
            <v>0</v>
          </cell>
          <cell r="BO665">
            <v>0</v>
          </cell>
          <cell r="BP665">
            <v>0</v>
          </cell>
          <cell r="BQ665">
            <v>0</v>
          </cell>
          <cell r="BR665">
            <v>0</v>
          </cell>
          <cell r="BS665">
            <v>0</v>
          </cell>
          <cell r="BT665">
            <v>0</v>
          </cell>
          <cell r="BU665">
            <v>0</v>
          </cell>
          <cell r="BV665">
            <v>0</v>
          </cell>
          <cell r="BW665">
            <v>0</v>
          </cell>
          <cell r="BX665">
            <v>0</v>
          </cell>
          <cell r="BY665">
            <v>0</v>
          </cell>
          <cell r="BZ665">
            <v>0</v>
          </cell>
          <cell r="CA665">
            <v>0</v>
          </cell>
          <cell r="CB665">
            <v>0</v>
          </cell>
          <cell r="CC665">
            <v>0</v>
          </cell>
          <cell r="CD665">
            <v>0</v>
          </cell>
        </row>
        <row r="666">
          <cell r="C666">
            <v>37963</v>
          </cell>
          <cell r="I666">
            <v>0</v>
          </cell>
          <cell r="N666">
            <v>0</v>
          </cell>
          <cell r="P666">
            <v>0</v>
          </cell>
          <cell r="T666">
            <v>0</v>
          </cell>
          <cell r="V666">
            <v>0</v>
          </cell>
          <cell r="W666">
            <v>0</v>
          </cell>
          <cell r="X666">
            <v>0</v>
          </cell>
          <cell r="Y666">
            <v>0</v>
          </cell>
          <cell r="AB666">
            <v>0</v>
          </cell>
          <cell r="AC666">
            <v>12</v>
          </cell>
          <cell r="AD666">
            <v>0</v>
          </cell>
          <cell r="BF666">
            <v>0</v>
          </cell>
          <cell r="BG666">
            <v>0</v>
          </cell>
          <cell r="BH666">
            <v>0</v>
          </cell>
          <cell r="BI666">
            <v>0</v>
          </cell>
          <cell r="BJ666">
            <v>0</v>
          </cell>
          <cell r="BK666">
            <v>0</v>
          </cell>
          <cell r="BL666">
            <v>0</v>
          </cell>
          <cell r="BM666">
            <v>0</v>
          </cell>
          <cell r="BN666">
            <v>0</v>
          </cell>
          <cell r="BO666">
            <v>0</v>
          </cell>
          <cell r="BP666">
            <v>0</v>
          </cell>
          <cell r="BQ666">
            <v>0</v>
          </cell>
          <cell r="BR666">
            <v>0</v>
          </cell>
          <cell r="BS666">
            <v>0</v>
          </cell>
          <cell r="BT666">
            <v>0</v>
          </cell>
          <cell r="BU666">
            <v>0</v>
          </cell>
          <cell r="BV666">
            <v>0</v>
          </cell>
          <cell r="BW666">
            <v>0</v>
          </cell>
          <cell r="BX666">
            <v>0</v>
          </cell>
          <cell r="BY666">
            <v>0</v>
          </cell>
          <cell r="BZ666">
            <v>0</v>
          </cell>
          <cell r="CA666">
            <v>0</v>
          </cell>
          <cell r="CB666">
            <v>0</v>
          </cell>
          <cell r="CC666">
            <v>0</v>
          </cell>
          <cell r="CD666">
            <v>0</v>
          </cell>
        </row>
        <row r="667">
          <cell r="C667">
            <v>37963</v>
          </cell>
          <cell r="I667">
            <v>0</v>
          </cell>
          <cell r="N667">
            <v>0</v>
          </cell>
          <cell r="P667">
            <v>0</v>
          </cell>
          <cell r="T667">
            <v>0</v>
          </cell>
          <cell r="V667">
            <v>0</v>
          </cell>
          <cell r="W667">
            <v>0</v>
          </cell>
          <cell r="X667">
            <v>0</v>
          </cell>
          <cell r="Y667">
            <v>0</v>
          </cell>
          <cell r="AB667">
            <v>0</v>
          </cell>
          <cell r="AC667">
            <v>12</v>
          </cell>
          <cell r="AD667">
            <v>0</v>
          </cell>
          <cell r="BF667">
            <v>0</v>
          </cell>
          <cell r="BG667">
            <v>0</v>
          </cell>
          <cell r="BH667">
            <v>0</v>
          </cell>
          <cell r="BI667">
            <v>0</v>
          </cell>
          <cell r="BJ667">
            <v>0</v>
          </cell>
          <cell r="BK667">
            <v>0</v>
          </cell>
          <cell r="BL667">
            <v>0</v>
          </cell>
          <cell r="BM667">
            <v>0</v>
          </cell>
          <cell r="BN667">
            <v>0</v>
          </cell>
          <cell r="BO667">
            <v>0</v>
          </cell>
          <cell r="BP667">
            <v>0</v>
          </cell>
          <cell r="BQ667">
            <v>0</v>
          </cell>
          <cell r="BR667">
            <v>0</v>
          </cell>
          <cell r="BS667">
            <v>0</v>
          </cell>
          <cell r="BT667">
            <v>0</v>
          </cell>
          <cell r="BU667">
            <v>0</v>
          </cell>
          <cell r="BV667">
            <v>0</v>
          </cell>
          <cell r="BW667">
            <v>0</v>
          </cell>
          <cell r="BX667">
            <v>0</v>
          </cell>
          <cell r="BY667">
            <v>0</v>
          </cell>
          <cell r="BZ667">
            <v>0</v>
          </cell>
          <cell r="CA667">
            <v>0</v>
          </cell>
          <cell r="CB667">
            <v>0</v>
          </cell>
          <cell r="CC667">
            <v>0</v>
          </cell>
          <cell r="CD667">
            <v>0</v>
          </cell>
        </row>
        <row r="668">
          <cell r="C668">
            <v>37963</v>
          </cell>
          <cell r="I668">
            <v>0</v>
          </cell>
          <cell r="N668">
            <v>0</v>
          </cell>
          <cell r="P668">
            <v>0</v>
          </cell>
          <cell r="T668">
            <v>0</v>
          </cell>
          <cell r="V668">
            <v>0</v>
          </cell>
          <cell r="W668">
            <v>0</v>
          </cell>
          <cell r="X668">
            <v>0</v>
          </cell>
          <cell r="Y668">
            <v>0</v>
          </cell>
          <cell r="AB668">
            <v>0</v>
          </cell>
          <cell r="AC668">
            <v>12</v>
          </cell>
          <cell r="AD668">
            <v>0</v>
          </cell>
          <cell r="BF668">
            <v>0</v>
          </cell>
          <cell r="BG668">
            <v>0</v>
          </cell>
          <cell r="BH668">
            <v>0</v>
          </cell>
          <cell r="BI668">
            <v>0</v>
          </cell>
          <cell r="BJ668">
            <v>0</v>
          </cell>
          <cell r="BK668">
            <v>0</v>
          </cell>
          <cell r="BL668">
            <v>0</v>
          </cell>
          <cell r="BM668">
            <v>0</v>
          </cell>
          <cell r="BN668">
            <v>0</v>
          </cell>
          <cell r="BO668">
            <v>0</v>
          </cell>
          <cell r="BP668">
            <v>0</v>
          </cell>
          <cell r="BQ668">
            <v>0</v>
          </cell>
          <cell r="BR668">
            <v>0</v>
          </cell>
          <cell r="BS668">
            <v>0</v>
          </cell>
          <cell r="BT668">
            <v>0</v>
          </cell>
          <cell r="BU668">
            <v>0</v>
          </cell>
          <cell r="BV668">
            <v>0</v>
          </cell>
          <cell r="BW668">
            <v>0</v>
          </cell>
          <cell r="BX668">
            <v>0</v>
          </cell>
          <cell r="BY668">
            <v>0</v>
          </cell>
          <cell r="BZ668">
            <v>0</v>
          </cell>
          <cell r="CA668">
            <v>0</v>
          </cell>
          <cell r="CB668">
            <v>0</v>
          </cell>
          <cell r="CC668">
            <v>0</v>
          </cell>
          <cell r="CD668">
            <v>0</v>
          </cell>
        </row>
        <row r="669">
          <cell r="C669">
            <v>37963</v>
          </cell>
          <cell r="D669">
            <v>37993</v>
          </cell>
          <cell r="E669">
            <v>37991</v>
          </cell>
          <cell r="F669">
            <v>0.33333333333333331</v>
          </cell>
          <cell r="G669" t="str">
            <v>Linha de Pintura 8,5m</v>
          </cell>
          <cell r="H669" t="str">
            <v>Pistola manual apresenta mau contato no cabo</v>
          </cell>
          <cell r="I669">
            <v>0</v>
          </cell>
          <cell r="J669" t="str">
            <v>Não</v>
          </cell>
          <cell r="K669" t="str">
            <v>Elétrica</v>
          </cell>
          <cell r="L669" t="str">
            <v>Correção de mau contato</v>
          </cell>
          <cell r="M669" t="str">
            <v>Mau contato</v>
          </cell>
          <cell r="N669">
            <v>0</v>
          </cell>
          <cell r="O669">
            <v>0.33333333333333331</v>
          </cell>
          <cell r="P669">
            <v>0</v>
          </cell>
          <cell r="T669">
            <v>0</v>
          </cell>
          <cell r="U669">
            <v>0.375</v>
          </cell>
          <cell r="V669">
            <v>0</v>
          </cell>
          <cell r="W669">
            <v>0</v>
          </cell>
          <cell r="X669">
            <v>0</v>
          </cell>
          <cell r="Y669">
            <v>0</v>
          </cell>
          <cell r="AB669">
            <v>0</v>
          </cell>
          <cell r="AC669">
            <v>12</v>
          </cell>
          <cell r="AD669">
            <v>0</v>
          </cell>
          <cell r="BF669">
            <v>0</v>
          </cell>
          <cell r="BG669">
            <v>0</v>
          </cell>
          <cell r="BH669">
            <v>0</v>
          </cell>
          <cell r="BI669">
            <v>0</v>
          </cell>
          <cell r="BJ669">
            <v>0</v>
          </cell>
          <cell r="BK669">
            <v>0</v>
          </cell>
          <cell r="BL669">
            <v>0</v>
          </cell>
          <cell r="BM669">
            <v>0</v>
          </cell>
          <cell r="BN669">
            <v>0</v>
          </cell>
          <cell r="BO669">
            <v>0</v>
          </cell>
          <cell r="BP669">
            <v>0</v>
          </cell>
          <cell r="BQ669">
            <v>0</v>
          </cell>
          <cell r="BR669">
            <v>0</v>
          </cell>
          <cell r="BS669">
            <v>0</v>
          </cell>
          <cell r="BT669">
            <v>0</v>
          </cell>
          <cell r="BU669">
            <v>0</v>
          </cell>
          <cell r="BV669">
            <v>0</v>
          </cell>
          <cell r="BW669">
            <v>0</v>
          </cell>
          <cell r="BX669">
            <v>0</v>
          </cell>
          <cell r="BY669">
            <v>0</v>
          </cell>
          <cell r="BZ669">
            <v>0</v>
          </cell>
          <cell r="CA669">
            <v>0</v>
          </cell>
          <cell r="CB669">
            <v>0</v>
          </cell>
          <cell r="CC669">
            <v>0</v>
          </cell>
          <cell r="CD669">
            <v>0</v>
          </cell>
        </row>
        <row r="670">
          <cell r="C670">
            <v>37963</v>
          </cell>
          <cell r="I670">
            <v>0</v>
          </cell>
          <cell r="N670">
            <v>0</v>
          </cell>
          <cell r="P670">
            <v>0</v>
          </cell>
          <cell r="T670">
            <v>0</v>
          </cell>
          <cell r="V670">
            <v>0</v>
          </cell>
          <cell r="W670">
            <v>0</v>
          </cell>
          <cell r="X670">
            <v>0</v>
          </cell>
          <cell r="Y670">
            <v>0</v>
          </cell>
          <cell r="AB670">
            <v>0</v>
          </cell>
          <cell r="AC670">
            <v>12</v>
          </cell>
          <cell r="AD670">
            <v>0</v>
          </cell>
          <cell r="BF670">
            <v>0</v>
          </cell>
          <cell r="BG670">
            <v>0</v>
          </cell>
          <cell r="BH670">
            <v>0</v>
          </cell>
          <cell r="BI670">
            <v>0</v>
          </cell>
          <cell r="BJ670">
            <v>0</v>
          </cell>
          <cell r="BK670">
            <v>0</v>
          </cell>
          <cell r="BL670">
            <v>0</v>
          </cell>
          <cell r="BM670">
            <v>0</v>
          </cell>
          <cell r="BN670">
            <v>0</v>
          </cell>
          <cell r="BO670">
            <v>0</v>
          </cell>
          <cell r="BP670">
            <v>0</v>
          </cell>
          <cell r="BQ670">
            <v>0</v>
          </cell>
          <cell r="BR670">
            <v>0</v>
          </cell>
          <cell r="BS670">
            <v>0</v>
          </cell>
          <cell r="BT670">
            <v>0</v>
          </cell>
          <cell r="BU670">
            <v>0</v>
          </cell>
          <cell r="BV670">
            <v>0</v>
          </cell>
          <cell r="BW670">
            <v>0</v>
          </cell>
          <cell r="BX670">
            <v>0</v>
          </cell>
          <cell r="BY670">
            <v>0</v>
          </cell>
          <cell r="BZ670">
            <v>0</v>
          </cell>
          <cell r="CA670">
            <v>0</v>
          </cell>
          <cell r="CB670">
            <v>0</v>
          </cell>
          <cell r="CC670">
            <v>0</v>
          </cell>
          <cell r="CD670">
            <v>0</v>
          </cell>
        </row>
        <row r="671">
          <cell r="C671">
            <v>37963</v>
          </cell>
          <cell r="I671">
            <v>0</v>
          </cell>
          <cell r="N671">
            <v>0</v>
          </cell>
          <cell r="P671">
            <v>0</v>
          </cell>
          <cell r="T671">
            <v>0</v>
          </cell>
          <cell r="V671">
            <v>0</v>
          </cell>
          <cell r="W671">
            <v>0</v>
          </cell>
          <cell r="X671">
            <v>0</v>
          </cell>
          <cell r="Y671">
            <v>0</v>
          </cell>
          <cell r="AB671">
            <v>0</v>
          </cell>
          <cell r="AC671">
            <v>12</v>
          </cell>
          <cell r="AD671">
            <v>0</v>
          </cell>
          <cell r="BF671">
            <v>0</v>
          </cell>
          <cell r="BG671">
            <v>0</v>
          </cell>
          <cell r="BH671">
            <v>0</v>
          </cell>
          <cell r="BI671">
            <v>0</v>
          </cell>
          <cell r="BJ671">
            <v>0</v>
          </cell>
          <cell r="BK671">
            <v>0</v>
          </cell>
          <cell r="BL671">
            <v>0</v>
          </cell>
          <cell r="BM671">
            <v>0</v>
          </cell>
          <cell r="BN671">
            <v>0</v>
          </cell>
          <cell r="BO671">
            <v>0</v>
          </cell>
          <cell r="BP671">
            <v>0</v>
          </cell>
          <cell r="BQ671">
            <v>0</v>
          </cell>
          <cell r="BR671">
            <v>0</v>
          </cell>
          <cell r="BS671">
            <v>0</v>
          </cell>
          <cell r="BT671">
            <v>0</v>
          </cell>
          <cell r="BU671">
            <v>0</v>
          </cell>
          <cell r="BV671">
            <v>0</v>
          </cell>
          <cell r="BW671">
            <v>0</v>
          </cell>
          <cell r="BX671">
            <v>0</v>
          </cell>
          <cell r="BY671">
            <v>0</v>
          </cell>
          <cell r="BZ671">
            <v>0</v>
          </cell>
          <cell r="CA671">
            <v>0</v>
          </cell>
          <cell r="CB671">
            <v>0</v>
          </cell>
          <cell r="CC671">
            <v>0</v>
          </cell>
          <cell r="CD671">
            <v>0</v>
          </cell>
        </row>
        <row r="672">
          <cell r="C672">
            <v>37963</v>
          </cell>
          <cell r="D672">
            <v>37993</v>
          </cell>
          <cell r="E672">
            <v>37992</v>
          </cell>
          <cell r="F672">
            <v>0.375</v>
          </cell>
          <cell r="G672" t="str">
            <v>Linha de Pintura 8,5m</v>
          </cell>
          <cell r="H672" t="str">
            <v>Cabo da pistola manual rompido</v>
          </cell>
          <cell r="I672">
            <v>0</v>
          </cell>
          <cell r="J672" t="str">
            <v>Não</v>
          </cell>
          <cell r="K672" t="str">
            <v>Elétrica</v>
          </cell>
          <cell r="L672" t="str">
            <v>Reparo</v>
          </cell>
          <cell r="M672" t="str">
            <v>Falha Operacional</v>
          </cell>
          <cell r="N672">
            <v>0</v>
          </cell>
          <cell r="O672">
            <v>0.375</v>
          </cell>
          <cell r="P672">
            <v>0</v>
          </cell>
          <cell r="T672">
            <v>0</v>
          </cell>
          <cell r="U672">
            <v>0.41180555555555554</v>
          </cell>
          <cell r="V672">
            <v>0</v>
          </cell>
          <cell r="W672">
            <v>0</v>
          </cell>
          <cell r="X672">
            <v>0</v>
          </cell>
          <cell r="Y672">
            <v>0</v>
          </cell>
          <cell r="AB672">
            <v>0</v>
          </cell>
          <cell r="AC672">
            <v>12</v>
          </cell>
          <cell r="AD672">
            <v>0</v>
          </cell>
          <cell r="BF672">
            <v>0</v>
          </cell>
          <cell r="BG672">
            <v>0</v>
          </cell>
          <cell r="BH672">
            <v>0</v>
          </cell>
          <cell r="BI672">
            <v>0</v>
          </cell>
          <cell r="BJ672">
            <v>0</v>
          </cell>
          <cell r="BK672">
            <v>0</v>
          </cell>
          <cell r="BL672">
            <v>0</v>
          </cell>
          <cell r="BM672">
            <v>0</v>
          </cell>
          <cell r="BN672">
            <v>0</v>
          </cell>
          <cell r="BO672">
            <v>0</v>
          </cell>
          <cell r="BP672">
            <v>0</v>
          </cell>
          <cell r="BQ672">
            <v>0</v>
          </cell>
          <cell r="BR672">
            <v>0</v>
          </cell>
          <cell r="BS672">
            <v>0</v>
          </cell>
          <cell r="BT672">
            <v>0</v>
          </cell>
          <cell r="BU672">
            <v>0</v>
          </cell>
          <cell r="BV672">
            <v>0</v>
          </cell>
          <cell r="BW672">
            <v>0</v>
          </cell>
          <cell r="BX672">
            <v>0</v>
          </cell>
          <cell r="BY672">
            <v>0</v>
          </cell>
          <cell r="BZ672">
            <v>0</v>
          </cell>
          <cell r="CA672">
            <v>0</v>
          </cell>
          <cell r="CB672">
            <v>0</v>
          </cell>
          <cell r="CC672">
            <v>0</v>
          </cell>
          <cell r="CD672">
            <v>0</v>
          </cell>
        </row>
        <row r="673">
          <cell r="C673">
            <v>37963</v>
          </cell>
          <cell r="I673">
            <v>0</v>
          </cell>
          <cell r="N673">
            <v>0</v>
          </cell>
          <cell r="P673">
            <v>0</v>
          </cell>
          <cell r="T673">
            <v>0</v>
          </cell>
          <cell r="V673">
            <v>0</v>
          </cell>
          <cell r="W673">
            <v>0</v>
          </cell>
          <cell r="X673">
            <v>0</v>
          </cell>
          <cell r="Y673">
            <v>0</v>
          </cell>
          <cell r="AB673">
            <v>0</v>
          </cell>
          <cell r="AC673">
            <v>12</v>
          </cell>
          <cell r="AD673">
            <v>0</v>
          </cell>
          <cell r="BF673">
            <v>0</v>
          </cell>
          <cell r="BG673">
            <v>0</v>
          </cell>
          <cell r="BH673">
            <v>0</v>
          </cell>
          <cell r="BI673">
            <v>0</v>
          </cell>
          <cell r="BJ673">
            <v>0</v>
          </cell>
          <cell r="BK673">
            <v>0</v>
          </cell>
          <cell r="BL673">
            <v>0</v>
          </cell>
          <cell r="BM673">
            <v>0</v>
          </cell>
          <cell r="BN673">
            <v>0</v>
          </cell>
          <cell r="BO673">
            <v>0</v>
          </cell>
          <cell r="BP673">
            <v>0</v>
          </cell>
          <cell r="BQ673">
            <v>0</v>
          </cell>
          <cell r="BR673">
            <v>0</v>
          </cell>
          <cell r="BS673">
            <v>0</v>
          </cell>
          <cell r="BT673">
            <v>0</v>
          </cell>
          <cell r="BU673">
            <v>0</v>
          </cell>
          <cell r="BV673">
            <v>0</v>
          </cell>
          <cell r="BW673">
            <v>0</v>
          </cell>
          <cell r="BX673">
            <v>0</v>
          </cell>
          <cell r="BY673">
            <v>0</v>
          </cell>
          <cell r="BZ673">
            <v>0</v>
          </cell>
          <cell r="CA673">
            <v>0</v>
          </cell>
          <cell r="CB673">
            <v>0</v>
          </cell>
          <cell r="CC673">
            <v>0</v>
          </cell>
          <cell r="CD673">
            <v>0</v>
          </cell>
        </row>
        <row r="674">
          <cell r="C674">
            <v>37963</v>
          </cell>
          <cell r="I674">
            <v>0</v>
          </cell>
          <cell r="N674">
            <v>0</v>
          </cell>
          <cell r="P674">
            <v>0</v>
          </cell>
          <cell r="T674">
            <v>0</v>
          </cell>
          <cell r="V674">
            <v>0</v>
          </cell>
          <cell r="W674">
            <v>0</v>
          </cell>
          <cell r="X674">
            <v>0</v>
          </cell>
          <cell r="Y674">
            <v>0</v>
          </cell>
          <cell r="AB674">
            <v>0</v>
          </cell>
          <cell r="AC674">
            <v>12</v>
          </cell>
          <cell r="AD674">
            <v>0</v>
          </cell>
          <cell r="BF674">
            <v>0</v>
          </cell>
          <cell r="BG674">
            <v>0</v>
          </cell>
          <cell r="BH674">
            <v>0</v>
          </cell>
          <cell r="BI674">
            <v>0</v>
          </cell>
          <cell r="BJ674">
            <v>0</v>
          </cell>
          <cell r="BK674">
            <v>0</v>
          </cell>
          <cell r="BL674">
            <v>0</v>
          </cell>
          <cell r="BM674">
            <v>0</v>
          </cell>
          <cell r="BN674">
            <v>0</v>
          </cell>
          <cell r="BO674">
            <v>0</v>
          </cell>
          <cell r="BP674">
            <v>0</v>
          </cell>
          <cell r="BQ674">
            <v>0</v>
          </cell>
          <cell r="BR674">
            <v>0</v>
          </cell>
          <cell r="BS674">
            <v>0</v>
          </cell>
          <cell r="BT674">
            <v>0</v>
          </cell>
          <cell r="BU674">
            <v>0</v>
          </cell>
          <cell r="BV674">
            <v>0</v>
          </cell>
          <cell r="BW674">
            <v>0</v>
          </cell>
          <cell r="BX674">
            <v>0</v>
          </cell>
          <cell r="BY674">
            <v>0</v>
          </cell>
          <cell r="BZ674">
            <v>0</v>
          </cell>
          <cell r="CA674">
            <v>0</v>
          </cell>
          <cell r="CB674">
            <v>0</v>
          </cell>
          <cell r="CC674">
            <v>0</v>
          </cell>
          <cell r="CD674">
            <v>0</v>
          </cell>
        </row>
        <row r="675">
          <cell r="C675">
            <v>37963</v>
          </cell>
          <cell r="I675">
            <v>0</v>
          </cell>
          <cell r="N675">
            <v>0</v>
          </cell>
          <cell r="P675">
            <v>0</v>
          </cell>
          <cell r="T675">
            <v>0</v>
          </cell>
          <cell r="V675">
            <v>0</v>
          </cell>
          <cell r="W675">
            <v>0</v>
          </cell>
          <cell r="X675">
            <v>0</v>
          </cell>
          <cell r="Y675">
            <v>0</v>
          </cell>
          <cell r="AB675">
            <v>0</v>
          </cell>
          <cell r="AC675">
            <v>12</v>
          </cell>
          <cell r="AD675">
            <v>0</v>
          </cell>
          <cell r="BF675">
            <v>0</v>
          </cell>
          <cell r="BG675">
            <v>0</v>
          </cell>
          <cell r="BH675">
            <v>0</v>
          </cell>
          <cell r="BI675">
            <v>0</v>
          </cell>
          <cell r="BJ675">
            <v>0</v>
          </cell>
          <cell r="BK675">
            <v>0</v>
          </cell>
          <cell r="BL675">
            <v>0</v>
          </cell>
          <cell r="BM675">
            <v>0</v>
          </cell>
          <cell r="BN675">
            <v>0</v>
          </cell>
          <cell r="BO675">
            <v>0</v>
          </cell>
          <cell r="BP675">
            <v>0</v>
          </cell>
          <cell r="BQ675">
            <v>0</v>
          </cell>
          <cell r="BR675">
            <v>0</v>
          </cell>
          <cell r="BS675">
            <v>0</v>
          </cell>
          <cell r="BT675">
            <v>0</v>
          </cell>
          <cell r="BU675">
            <v>0</v>
          </cell>
          <cell r="BV675">
            <v>0</v>
          </cell>
          <cell r="BW675">
            <v>0</v>
          </cell>
          <cell r="BX675">
            <v>0</v>
          </cell>
          <cell r="BY675">
            <v>0</v>
          </cell>
          <cell r="BZ675">
            <v>0</v>
          </cell>
          <cell r="CA675">
            <v>0</v>
          </cell>
          <cell r="CB675">
            <v>0</v>
          </cell>
          <cell r="CC675">
            <v>0</v>
          </cell>
          <cell r="CD675">
            <v>0</v>
          </cell>
        </row>
        <row r="676">
          <cell r="C676">
            <v>37963</v>
          </cell>
          <cell r="I676">
            <v>0</v>
          </cell>
          <cell r="N676">
            <v>0</v>
          </cell>
          <cell r="P676">
            <v>0</v>
          </cell>
          <cell r="T676">
            <v>0</v>
          </cell>
          <cell r="V676">
            <v>0</v>
          </cell>
          <cell r="W676">
            <v>0</v>
          </cell>
          <cell r="X676">
            <v>0</v>
          </cell>
          <cell r="Y676">
            <v>0</v>
          </cell>
          <cell r="AB676">
            <v>0</v>
          </cell>
          <cell r="AC676">
            <v>12</v>
          </cell>
          <cell r="AD676">
            <v>0</v>
          </cell>
          <cell r="BF676">
            <v>0</v>
          </cell>
          <cell r="BG676">
            <v>0</v>
          </cell>
          <cell r="BH676">
            <v>0</v>
          </cell>
          <cell r="BI676">
            <v>0</v>
          </cell>
          <cell r="BJ676">
            <v>0</v>
          </cell>
          <cell r="BK676">
            <v>0</v>
          </cell>
          <cell r="BL676">
            <v>0</v>
          </cell>
          <cell r="BM676">
            <v>0</v>
          </cell>
          <cell r="BN676">
            <v>0</v>
          </cell>
          <cell r="BO676">
            <v>0</v>
          </cell>
          <cell r="BP676">
            <v>0</v>
          </cell>
          <cell r="BQ676">
            <v>0</v>
          </cell>
          <cell r="BR676">
            <v>0</v>
          </cell>
          <cell r="BS676">
            <v>0</v>
          </cell>
          <cell r="BT676">
            <v>0</v>
          </cell>
          <cell r="BU676">
            <v>0</v>
          </cell>
          <cell r="BV676">
            <v>0</v>
          </cell>
          <cell r="BW676">
            <v>0</v>
          </cell>
          <cell r="BX676">
            <v>0</v>
          </cell>
          <cell r="BY676">
            <v>0</v>
          </cell>
          <cell r="BZ676">
            <v>0</v>
          </cell>
          <cell r="CA676">
            <v>0</v>
          </cell>
          <cell r="CB676">
            <v>0</v>
          </cell>
          <cell r="CC676">
            <v>0</v>
          </cell>
          <cell r="CD676">
            <v>0</v>
          </cell>
        </row>
        <row r="677">
          <cell r="C677">
            <v>37963</v>
          </cell>
          <cell r="I677">
            <v>0</v>
          </cell>
          <cell r="N677">
            <v>0</v>
          </cell>
          <cell r="P677">
            <v>0</v>
          </cell>
          <cell r="T677">
            <v>0</v>
          </cell>
          <cell r="V677">
            <v>0</v>
          </cell>
          <cell r="W677">
            <v>0</v>
          </cell>
          <cell r="X677">
            <v>0</v>
          </cell>
          <cell r="Y677">
            <v>0</v>
          </cell>
          <cell r="AB677">
            <v>0</v>
          </cell>
          <cell r="AC677">
            <v>12</v>
          </cell>
          <cell r="AD677">
            <v>0</v>
          </cell>
          <cell r="BF677">
            <v>0</v>
          </cell>
          <cell r="BG677">
            <v>0</v>
          </cell>
          <cell r="BH677">
            <v>0</v>
          </cell>
          <cell r="BI677">
            <v>0</v>
          </cell>
          <cell r="BJ677">
            <v>0</v>
          </cell>
          <cell r="BK677">
            <v>0</v>
          </cell>
          <cell r="BL677">
            <v>0</v>
          </cell>
          <cell r="BM677">
            <v>0</v>
          </cell>
          <cell r="BN677">
            <v>0</v>
          </cell>
          <cell r="BO677">
            <v>0</v>
          </cell>
          <cell r="BP677">
            <v>0</v>
          </cell>
          <cell r="BQ677">
            <v>0</v>
          </cell>
          <cell r="BR677">
            <v>0</v>
          </cell>
          <cell r="BS677">
            <v>0</v>
          </cell>
          <cell r="BT677">
            <v>0</v>
          </cell>
          <cell r="BU677">
            <v>0</v>
          </cell>
          <cell r="BV677">
            <v>0</v>
          </cell>
          <cell r="BW677">
            <v>0</v>
          </cell>
          <cell r="BX677">
            <v>0</v>
          </cell>
          <cell r="BY677">
            <v>0</v>
          </cell>
          <cell r="BZ677">
            <v>0</v>
          </cell>
          <cell r="CA677">
            <v>0</v>
          </cell>
          <cell r="CB677">
            <v>0</v>
          </cell>
          <cell r="CC677">
            <v>0</v>
          </cell>
          <cell r="CD677">
            <v>0</v>
          </cell>
        </row>
        <row r="678">
          <cell r="C678">
            <v>37963</v>
          </cell>
          <cell r="I678">
            <v>0</v>
          </cell>
          <cell r="N678">
            <v>0</v>
          </cell>
          <cell r="P678">
            <v>0</v>
          </cell>
          <cell r="T678">
            <v>0</v>
          </cell>
          <cell r="V678">
            <v>0</v>
          </cell>
          <cell r="W678">
            <v>0</v>
          </cell>
          <cell r="X678">
            <v>0</v>
          </cell>
          <cell r="Y678">
            <v>0</v>
          </cell>
          <cell r="AB678">
            <v>0</v>
          </cell>
          <cell r="AC678">
            <v>12</v>
          </cell>
          <cell r="AD678">
            <v>0</v>
          </cell>
          <cell r="BF678">
            <v>0</v>
          </cell>
          <cell r="BG678">
            <v>0</v>
          </cell>
          <cell r="BH678">
            <v>0</v>
          </cell>
          <cell r="BI678">
            <v>0</v>
          </cell>
          <cell r="BJ678">
            <v>0</v>
          </cell>
          <cell r="BK678">
            <v>0</v>
          </cell>
          <cell r="BL678">
            <v>0</v>
          </cell>
          <cell r="BM678">
            <v>0</v>
          </cell>
          <cell r="BN678">
            <v>0</v>
          </cell>
          <cell r="BO678">
            <v>0</v>
          </cell>
          <cell r="BP678">
            <v>0</v>
          </cell>
          <cell r="BQ678">
            <v>0</v>
          </cell>
          <cell r="BR678">
            <v>0</v>
          </cell>
          <cell r="BS678">
            <v>0</v>
          </cell>
          <cell r="BT678">
            <v>0</v>
          </cell>
          <cell r="BU678">
            <v>0</v>
          </cell>
          <cell r="BV678">
            <v>0</v>
          </cell>
          <cell r="BW678">
            <v>0</v>
          </cell>
          <cell r="BX678">
            <v>0</v>
          </cell>
          <cell r="BY678">
            <v>0</v>
          </cell>
          <cell r="BZ678">
            <v>0</v>
          </cell>
          <cell r="CA678">
            <v>0</v>
          </cell>
          <cell r="CB678">
            <v>0</v>
          </cell>
          <cell r="CC678">
            <v>0</v>
          </cell>
          <cell r="CD678">
            <v>0</v>
          </cell>
        </row>
        <row r="679">
          <cell r="C679">
            <v>37963</v>
          </cell>
          <cell r="D679">
            <v>37977</v>
          </cell>
          <cell r="E679">
            <v>37966</v>
          </cell>
          <cell r="F679">
            <v>0.85416666666666663</v>
          </cell>
          <cell r="G679" t="str">
            <v>Linha de Pintura 15m</v>
          </cell>
          <cell r="H679" t="str">
            <v>Exaustor não funciona</v>
          </cell>
          <cell r="I679">
            <v>0</v>
          </cell>
          <cell r="J679" t="str">
            <v>Sim</v>
          </cell>
          <cell r="K679" t="str">
            <v>Elétrica</v>
          </cell>
          <cell r="L679" t="str">
            <v>Substituição do(s) Componente(s)</v>
          </cell>
          <cell r="M679" t="str">
            <v>Sobrecarga</v>
          </cell>
          <cell r="N679">
            <v>37966</v>
          </cell>
          <cell r="O679">
            <v>0.86111111111111116</v>
          </cell>
          <cell r="P679">
            <v>0</v>
          </cell>
          <cell r="T679">
            <v>37966</v>
          </cell>
          <cell r="U679">
            <v>0.86805555555555547</v>
          </cell>
          <cell r="V679">
            <v>0</v>
          </cell>
          <cell r="W679">
            <v>1.3888888888080486E-2</v>
          </cell>
          <cell r="X679">
            <v>0</v>
          </cell>
          <cell r="Y679">
            <v>0</v>
          </cell>
          <cell r="AB679">
            <v>12</v>
          </cell>
          <cell r="AC679">
            <v>12</v>
          </cell>
          <cell r="AD679">
            <v>0</v>
          </cell>
          <cell r="BF679">
            <v>0</v>
          </cell>
          <cell r="BG679">
            <v>0</v>
          </cell>
          <cell r="BH679">
            <v>0</v>
          </cell>
          <cell r="BI679">
            <v>0</v>
          </cell>
          <cell r="BJ679">
            <v>0</v>
          </cell>
          <cell r="BK679">
            <v>0</v>
          </cell>
          <cell r="BL679">
            <v>0</v>
          </cell>
          <cell r="BM679">
            <v>0</v>
          </cell>
          <cell r="BN679">
            <v>12</v>
          </cell>
          <cell r="BO679">
            <v>0</v>
          </cell>
          <cell r="BP679">
            <v>0</v>
          </cell>
          <cell r="BQ679">
            <v>0</v>
          </cell>
          <cell r="BR679">
            <v>0</v>
          </cell>
          <cell r="BS679">
            <v>0</v>
          </cell>
          <cell r="BT679">
            <v>0</v>
          </cell>
          <cell r="BU679">
            <v>0</v>
          </cell>
          <cell r="BV679">
            <v>0</v>
          </cell>
          <cell r="BW679">
            <v>0</v>
          </cell>
          <cell r="BX679">
            <v>0</v>
          </cell>
          <cell r="BY679">
            <v>0</v>
          </cell>
          <cell r="BZ679">
            <v>0</v>
          </cell>
          <cell r="CA679">
            <v>0</v>
          </cell>
          <cell r="CB679">
            <v>0</v>
          </cell>
          <cell r="CC679">
            <v>0</v>
          </cell>
          <cell r="CD679">
            <v>0</v>
          </cell>
        </row>
        <row r="680">
          <cell r="C680">
            <v>37963</v>
          </cell>
          <cell r="D680">
            <v>37993</v>
          </cell>
          <cell r="E680">
            <v>37965</v>
          </cell>
          <cell r="F680">
            <v>0.43333333333333335</v>
          </cell>
          <cell r="G680" t="str">
            <v>Linha de Pintura 15m</v>
          </cell>
          <cell r="H680" t="str">
            <v>Elevador fora do nível</v>
          </cell>
          <cell r="I680">
            <v>0</v>
          </cell>
          <cell r="J680" t="str">
            <v>Não</v>
          </cell>
          <cell r="K680" t="str">
            <v>Elétrica</v>
          </cell>
          <cell r="L680" t="str">
            <v>Ajuste / Regulagem</v>
          </cell>
          <cell r="M680" t="str">
            <v>Falha de Comando / Sistema</v>
          </cell>
          <cell r="N680">
            <v>0</v>
          </cell>
          <cell r="O680">
            <v>0.4375</v>
          </cell>
          <cell r="P680">
            <v>0</v>
          </cell>
          <cell r="T680">
            <v>0</v>
          </cell>
          <cell r="U680">
            <v>0.4513888888888889</v>
          </cell>
          <cell r="V680">
            <v>0</v>
          </cell>
          <cell r="W680">
            <v>0</v>
          </cell>
          <cell r="X680">
            <v>0</v>
          </cell>
          <cell r="Y680">
            <v>0</v>
          </cell>
          <cell r="AB680">
            <v>0</v>
          </cell>
          <cell r="AC680">
            <v>12</v>
          </cell>
          <cell r="AD680">
            <v>0</v>
          </cell>
          <cell r="BF680">
            <v>0</v>
          </cell>
          <cell r="BG680">
            <v>0</v>
          </cell>
          <cell r="BH680">
            <v>0</v>
          </cell>
          <cell r="BI680">
            <v>0</v>
          </cell>
          <cell r="BJ680">
            <v>0</v>
          </cell>
          <cell r="BK680">
            <v>0</v>
          </cell>
          <cell r="BL680">
            <v>0</v>
          </cell>
          <cell r="BM680">
            <v>0</v>
          </cell>
          <cell r="BN680">
            <v>0</v>
          </cell>
          <cell r="BO680">
            <v>0</v>
          </cell>
          <cell r="BP680">
            <v>0</v>
          </cell>
          <cell r="BQ680">
            <v>0</v>
          </cell>
          <cell r="BR680">
            <v>0</v>
          </cell>
          <cell r="BS680">
            <v>0</v>
          </cell>
          <cell r="BT680">
            <v>0</v>
          </cell>
          <cell r="BU680">
            <v>0</v>
          </cell>
          <cell r="BV680">
            <v>0</v>
          </cell>
          <cell r="BW680">
            <v>0</v>
          </cell>
          <cell r="BX680">
            <v>0</v>
          </cell>
          <cell r="BY680">
            <v>0</v>
          </cell>
          <cell r="BZ680">
            <v>0</v>
          </cell>
          <cell r="CA680">
            <v>0</v>
          </cell>
          <cell r="CB680">
            <v>0</v>
          </cell>
          <cell r="CC680">
            <v>0</v>
          </cell>
          <cell r="CD680">
            <v>0</v>
          </cell>
        </row>
        <row r="681">
          <cell r="C681">
            <v>37963</v>
          </cell>
          <cell r="D681">
            <v>37977</v>
          </cell>
          <cell r="E681">
            <v>37966</v>
          </cell>
          <cell r="F681">
            <v>0.79166666666666663</v>
          </cell>
          <cell r="G681" t="str">
            <v>Linha de Pintura 15m</v>
          </cell>
          <cell r="H681" t="str">
            <v>Pistola de Líquido parada</v>
          </cell>
          <cell r="I681">
            <v>0</v>
          </cell>
          <cell r="J681" t="str">
            <v>Não</v>
          </cell>
          <cell r="K681" t="str">
            <v>Mecânica</v>
          </cell>
          <cell r="L681" t="str">
            <v>Substituição do(s) Componente(s)</v>
          </cell>
          <cell r="M681" t="str">
            <v>Falha Operacional</v>
          </cell>
          <cell r="N681">
            <v>37966</v>
          </cell>
          <cell r="O681">
            <v>0.79166666666666663</v>
          </cell>
          <cell r="P681">
            <v>0</v>
          </cell>
          <cell r="T681">
            <v>37966</v>
          </cell>
          <cell r="U681">
            <v>0.81944444444444453</v>
          </cell>
          <cell r="V681">
            <v>0</v>
          </cell>
          <cell r="W681">
            <v>2.7777777778586255E-2</v>
          </cell>
          <cell r="X681">
            <v>0</v>
          </cell>
          <cell r="Y681">
            <v>0</v>
          </cell>
          <cell r="AB681">
            <v>12</v>
          </cell>
          <cell r="AC681">
            <v>12</v>
          </cell>
          <cell r="AD681">
            <v>0</v>
          </cell>
          <cell r="BF681">
            <v>0</v>
          </cell>
          <cell r="BG681">
            <v>0</v>
          </cell>
          <cell r="BH681">
            <v>0</v>
          </cell>
          <cell r="BI681">
            <v>0</v>
          </cell>
          <cell r="BJ681">
            <v>0</v>
          </cell>
          <cell r="BK681">
            <v>0</v>
          </cell>
          <cell r="BL681">
            <v>0</v>
          </cell>
          <cell r="BM681">
            <v>0</v>
          </cell>
          <cell r="BN681">
            <v>12</v>
          </cell>
          <cell r="BO681">
            <v>0</v>
          </cell>
          <cell r="BP681">
            <v>0</v>
          </cell>
          <cell r="BQ681">
            <v>0</v>
          </cell>
          <cell r="BR681">
            <v>0</v>
          </cell>
          <cell r="BS681">
            <v>0</v>
          </cell>
          <cell r="BT681">
            <v>0</v>
          </cell>
          <cell r="BU681">
            <v>0</v>
          </cell>
          <cell r="BV681">
            <v>0</v>
          </cell>
          <cell r="BW681">
            <v>0</v>
          </cell>
          <cell r="BX681">
            <v>0</v>
          </cell>
          <cell r="BY681">
            <v>0</v>
          </cell>
          <cell r="BZ681">
            <v>0</v>
          </cell>
          <cell r="CA681">
            <v>0</v>
          </cell>
          <cell r="CB681">
            <v>0</v>
          </cell>
          <cell r="CC681">
            <v>0</v>
          </cell>
          <cell r="CD681">
            <v>0</v>
          </cell>
        </row>
        <row r="682">
          <cell r="C682">
            <v>37963</v>
          </cell>
          <cell r="D682">
            <v>37977</v>
          </cell>
          <cell r="E682">
            <v>37967</v>
          </cell>
          <cell r="F682">
            <v>0.45833333333333331</v>
          </cell>
          <cell r="G682" t="str">
            <v>Linha de Pintura 15m</v>
          </cell>
          <cell r="H682" t="str">
            <v>Pistola no. 07 com problema no Venturi</v>
          </cell>
          <cell r="I682">
            <v>0</v>
          </cell>
          <cell r="J682" t="str">
            <v>Sim</v>
          </cell>
          <cell r="K682" t="str">
            <v>Mecânica</v>
          </cell>
          <cell r="L682" t="str">
            <v>Substituição do(s) Componente(s)</v>
          </cell>
          <cell r="M682" t="str">
            <v>Desgaste / Fadiga</v>
          </cell>
          <cell r="N682">
            <v>37967</v>
          </cell>
          <cell r="O682">
            <v>0.45833333333333331</v>
          </cell>
          <cell r="P682">
            <v>0</v>
          </cell>
          <cell r="T682">
            <v>37967</v>
          </cell>
          <cell r="U682">
            <v>0.46875</v>
          </cell>
          <cell r="V682">
            <v>0</v>
          </cell>
          <cell r="W682">
            <v>1.0416666666666685E-2</v>
          </cell>
          <cell r="X682">
            <v>0</v>
          </cell>
          <cell r="Y682">
            <v>0</v>
          </cell>
          <cell r="AB682">
            <v>12</v>
          </cell>
          <cell r="AC682">
            <v>12</v>
          </cell>
          <cell r="AD682">
            <v>0</v>
          </cell>
          <cell r="BF682">
            <v>0</v>
          </cell>
          <cell r="BG682">
            <v>0</v>
          </cell>
          <cell r="BH682">
            <v>0</v>
          </cell>
          <cell r="BI682">
            <v>0</v>
          </cell>
          <cell r="BJ682">
            <v>0</v>
          </cell>
          <cell r="BK682">
            <v>0</v>
          </cell>
          <cell r="BL682">
            <v>0</v>
          </cell>
          <cell r="BM682">
            <v>0</v>
          </cell>
          <cell r="BN682">
            <v>12</v>
          </cell>
          <cell r="BO682">
            <v>0</v>
          </cell>
          <cell r="BP682">
            <v>0</v>
          </cell>
          <cell r="BQ682">
            <v>0</v>
          </cell>
          <cell r="BR682">
            <v>0</v>
          </cell>
          <cell r="BS682">
            <v>0</v>
          </cell>
          <cell r="BT682">
            <v>0</v>
          </cell>
          <cell r="BU682">
            <v>0</v>
          </cell>
          <cell r="BV682">
            <v>0</v>
          </cell>
          <cell r="BW682">
            <v>0</v>
          </cell>
          <cell r="BX682">
            <v>0</v>
          </cell>
          <cell r="BY682">
            <v>0</v>
          </cell>
          <cell r="BZ682">
            <v>0</v>
          </cell>
          <cell r="CA682">
            <v>0</v>
          </cell>
          <cell r="CB682">
            <v>0</v>
          </cell>
          <cell r="CC682">
            <v>0</v>
          </cell>
          <cell r="CD682">
            <v>0</v>
          </cell>
        </row>
        <row r="683">
          <cell r="C683">
            <v>37963</v>
          </cell>
          <cell r="E683">
            <v>37971</v>
          </cell>
          <cell r="F683">
            <v>0.84375</v>
          </cell>
          <cell r="G683" t="str">
            <v>Linha de Pintura 8,5m</v>
          </cell>
          <cell r="H683" t="str">
            <v>Exaustor não funciona</v>
          </cell>
          <cell r="I683">
            <v>0</v>
          </cell>
          <cell r="J683" t="str">
            <v>Sim</v>
          </cell>
          <cell r="K683" t="str">
            <v>Elétrica</v>
          </cell>
          <cell r="L683" t="str">
            <v>Substituição do(s) Componente(s)</v>
          </cell>
          <cell r="M683" t="str">
            <v>Sobrecarga</v>
          </cell>
          <cell r="N683">
            <v>0</v>
          </cell>
          <cell r="P683">
            <v>0</v>
          </cell>
          <cell r="T683">
            <v>0</v>
          </cell>
          <cell r="V683">
            <v>0</v>
          </cell>
          <cell r="W683">
            <v>0</v>
          </cell>
          <cell r="X683">
            <v>0</v>
          </cell>
          <cell r="Y683">
            <v>0</v>
          </cell>
          <cell r="AB683">
            <v>0</v>
          </cell>
          <cell r="AC683">
            <v>12</v>
          </cell>
          <cell r="AD683">
            <v>0</v>
          </cell>
          <cell r="BF683">
            <v>0</v>
          </cell>
          <cell r="BG683">
            <v>0</v>
          </cell>
          <cell r="BH683">
            <v>0</v>
          </cell>
          <cell r="BI683">
            <v>0</v>
          </cell>
          <cell r="BJ683">
            <v>0</v>
          </cell>
          <cell r="BK683">
            <v>0</v>
          </cell>
          <cell r="BL683">
            <v>0</v>
          </cell>
          <cell r="BM683">
            <v>0</v>
          </cell>
          <cell r="BN683">
            <v>0</v>
          </cell>
          <cell r="BO683">
            <v>0</v>
          </cell>
          <cell r="BP683">
            <v>1</v>
          </cell>
          <cell r="BQ683">
            <v>0</v>
          </cell>
          <cell r="BR683">
            <v>0</v>
          </cell>
          <cell r="BS683">
            <v>0</v>
          </cell>
          <cell r="BT683">
            <v>0</v>
          </cell>
          <cell r="BU683">
            <v>0</v>
          </cell>
          <cell r="BV683">
            <v>0</v>
          </cell>
          <cell r="BW683">
            <v>0</v>
          </cell>
          <cell r="BX683">
            <v>0</v>
          </cell>
          <cell r="BY683">
            <v>0</v>
          </cell>
          <cell r="BZ683">
            <v>0</v>
          </cell>
          <cell r="CA683">
            <v>0</v>
          </cell>
          <cell r="CB683">
            <v>0</v>
          </cell>
          <cell r="CC683">
            <v>0</v>
          </cell>
          <cell r="CD683">
            <v>0</v>
          </cell>
        </row>
        <row r="684">
          <cell r="C684">
            <v>37963</v>
          </cell>
          <cell r="D684">
            <v>37993</v>
          </cell>
          <cell r="E684">
            <v>37972</v>
          </cell>
          <cell r="F684">
            <v>0.29166666666666669</v>
          </cell>
          <cell r="G684" t="str">
            <v>Linha de Pintura 15m</v>
          </cell>
          <cell r="H684" t="str">
            <v>Prendedor do braço da pistola 13 quebrado conforme regulagem</v>
          </cell>
          <cell r="I684">
            <v>0</v>
          </cell>
          <cell r="J684" t="str">
            <v>Não</v>
          </cell>
          <cell r="K684" t="str">
            <v>Mecânica</v>
          </cell>
          <cell r="L684" t="str">
            <v>Substituição do(s) Componente(s)</v>
          </cell>
          <cell r="M684" t="str">
            <v>Defeito de Fabricação</v>
          </cell>
          <cell r="N684">
            <v>0</v>
          </cell>
          <cell r="O684">
            <v>0.30208333333333331</v>
          </cell>
          <cell r="P684">
            <v>0</v>
          </cell>
          <cell r="T684">
            <v>0</v>
          </cell>
          <cell r="U684">
            <v>0.34722222222222227</v>
          </cell>
          <cell r="V684">
            <v>0</v>
          </cell>
          <cell r="W684">
            <v>0</v>
          </cell>
          <cell r="X684">
            <v>0</v>
          </cell>
          <cell r="Y684">
            <v>0</v>
          </cell>
          <cell r="AB684">
            <v>0</v>
          </cell>
          <cell r="AC684">
            <v>12</v>
          </cell>
          <cell r="AD684">
            <v>0</v>
          </cell>
          <cell r="BF684">
            <v>0</v>
          </cell>
          <cell r="BG684">
            <v>0</v>
          </cell>
          <cell r="BH684">
            <v>0</v>
          </cell>
          <cell r="BI684">
            <v>0</v>
          </cell>
          <cell r="BJ684">
            <v>0</v>
          </cell>
          <cell r="BK684">
            <v>0</v>
          </cell>
          <cell r="BL684">
            <v>0</v>
          </cell>
          <cell r="BM684">
            <v>0</v>
          </cell>
          <cell r="BN684">
            <v>0</v>
          </cell>
          <cell r="BO684">
            <v>0</v>
          </cell>
          <cell r="BP684">
            <v>0</v>
          </cell>
          <cell r="BQ684">
            <v>0</v>
          </cell>
          <cell r="BR684">
            <v>0</v>
          </cell>
          <cell r="BS684">
            <v>0</v>
          </cell>
          <cell r="BT684">
            <v>0</v>
          </cell>
          <cell r="BU684">
            <v>0</v>
          </cell>
          <cell r="BV684">
            <v>0</v>
          </cell>
          <cell r="BW684">
            <v>0</v>
          </cell>
          <cell r="BX684">
            <v>0</v>
          </cell>
          <cell r="BY684">
            <v>0</v>
          </cell>
          <cell r="BZ684">
            <v>0</v>
          </cell>
          <cell r="CA684">
            <v>0</v>
          </cell>
          <cell r="CB684">
            <v>0</v>
          </cell>
          <cell r="CC684">
            <v>0</v>
          </cell>
          <cell r="CD684">
            <v>0</v>
          </cell>
        </row>
        <row r="685">
          <cell r="C685">
            <v>37963</v>
          </cell>
          <cell r="D685">
            <v>37993</v>
          </cell>
          <cell r="E685">
            <v>37973</v>
          </cell>
          <cell r="F685">
            <v>0.38194444444444442</v>
          </cell>
          <cell r="G685" t="str">
            <v>Linha de Pintura 15m</v>
          </cell>
          <cell r="H685" t="str">
            <v>Elevador fora do nível</v>
          </cell>
          <cell r="I685">
            <v>0</v>
          </cell>
          <cell r="J685" t="str">
            <v>Não</v>
          </cell>
          <cell r="K685" t="str">
            <v>Elétrica</v>
          </cell>
          <cell r="L685" t="str">
            <v>Ajuste / Regulagem</v>
          </cell>
          <cell r="M685" t="str">
            <v>Falha de Comando / Sistema</v>
          </cell>
          <cell r="N685">
            <v>0</v>
          </cell>
          <cell r="O685">
            <v>0.38194444444444442</v>
          </cell>
          <cell r="P685">
            <v>0</v>
          </cell>
          <cell r="T685">
            <v>0</v>
          </cell>
          <cell r="U685">
            <v>0.3888888888888889</v>
          </cell>
          <cell r="V685">
            <v>0</v>
          </cell>
          <cell r="W685">
            <v>0</v>
          </cell>
          <cell r="X685">
            <v>0</v>
          </cell>
          <cell r="Y685">
            <v>0</v>
          </cell>
          <cell r="AB685">
            <v>0</v>
          </cell>
          <cell r="AC685">
            <v>12</v>
          </cell>
          <cell r="AD685">
            <v>0</v>
          </cell>
          <cell r="BF685">
            <v>0</v>
          </cell>
          <cell r="BG685">
            <v>0</v>
          </cell>
          <cell r="BH685">
            <v>0</v>
          </cell>
          <cell r="BI685">
            <v>0</v>
          </cell>
          <cell r="BJ685">
            <v>0</v>
          </cell>
          <cell r="BK685">
            <v>0</v>
          </cell>
          <cell r="BL685">
            <v>0</v>
          </cell>
          <cell r="BM685">
            <v>0</v>
          </cell>
          <cell r="BN685">
            <v>0</v>
          </cell>
          <cell r="BO685">
            <v>0</v>
          </cell>
          <cell r="BP685">
            <v>0</v>
          </cell>
          <cell r="BQ685">
            <v>0</v>
          </cell>
          <cell r="BR685">
            <v>0</v>
          </cell>
          <cell r="BS685">
            <v>0</v>
          </cell>
          <cell r="BT685">
            <v>0</v>
          </cell>
          <cell r="BU685">
            <v>0</v>
          </cell>
          <cell r="BV685">
            <v>0</v>
          </cell>
          <cell r="BW685">
            <v>0</v>
          </cell>
          <cell r="BX685">
            <v>0</v>
          </cell>
          <cell r="BY685">
            <v>0</v>
          </cell>
          <cell r="BZ685">
            <v>0</v>
          </cell>
          <cell r="CA685">
            <v>0</v>
          </cell>
          <cell r="CB685">
            <v>0</v>
          </cell>
          <cell r="CC685">
            <v>0</v>
          </cell>
          <cell r="CD685">
            <v>0</v>
          </cell>
        </row>
        <row r="686">
          <cell r="C686">
            <v>37963</v>
          </cell>
          <cell r="D686">
            <v>37993</v>
          </cell>
          <cell r="E686">
            <v>37973</v>
          </cell>
          <cell r="F686">
            <v>0.72916666666666663</v>
          </cell>
          <cell r="G686" t="str">
            <v>Linha de Pintura 8,5m</v>
          </cell>
          <cell r="H686" t="str">
            <v>Bastidor Travado</v>
          </cell>
          <cell r="I686">
            <v>0</v>
          </cell>
          <cell r="J686" t="str">
            <v>Não</v>
          </cell>
          <cell r="K686" t="str">
            <v>Mecânica</v>
          </cell>
          <cell r="L686" t="str">
            <v>Destravamento dos Componentes</v>
          </cell>
          <cell r="M686" t="str">
            <v>Falha de Comando / Sistema</v>
          </cell>
          <cell r="N686">
            <v>0</v>
          </cell>
          <cell r="O686">
            <v>0.73263888888888884</v>
          </cell>
          <cell r="P686">
            <v>0</v>
          </cell>
          <cell r="T686">
            <v>0</v>
          </cell>
          <cell r="U686">
            <v>0.74305555555555547</v>
          </cell>
          <cell r="V686">
            <v>0</v>
          </cell>
          <cell r="W686">
            <v>0</v>
          </cell>
          <cell r="X686">
            <v>0</v>
          </cell>
          <cell r="Y686">
            <v>0</v>
          </cell>
          <cell r="AB686">
            <v>0</v>
          </cell>
          <cell r="AC686">
            <v>12</v>
          </cell>
          <cell r="AD686">
            <v>0</v>
          </cell>
          <cell r="BF686">
            <v>0</v>
          </cell>
          <cell r="BG686">
            <v>0</v>
          </cell>
          <cell r="BH686">
            <v>0</v>
          </cell>
          <cell r="BI686">
            <v>0</v>
          </cell>
          <cell r="BJ686">
            <v>0</v>
          </cell>
          <cell r="BK686">
            <v>0</v>
          </cell>
          <cell r="BL686">
            <v>0</v>
          </cell>
          <cell r="BM686">
            <v>0</v>
          </cell>
          <cell r="BN686">
            <v>0</v>
          </cell>
          <cell r="BO686">
            <v>0</v>
          </cell>
          <cell r="BP686">
            <v>0</v>
          </cell>
          <cell r="BQ686">
            <v>0</v>
          </cell>
          <cell r="BR686">
            <v>0</v>
          </cell>
          <cell r="BS686">
            <v>0</v>
          </cell>
          <cell r="BT686">
            <v>0</v>
          </cell>
          <cell r="BU686">
            <v>0</v>
          </cell>
          <cell r="BV686">
            <v>0</v>
          </cell>
          <cell r="BW686">
            <v>0</v>
          </cell>
          <cell r="BX686">
            <v>0</v>
          </cell>
          <cell r="BY686">
            <v>0</v>
          </cell>
          <cell r="BZ686">
            <v>0</v>
          </cell>
          <cell r="CA686">
            <v>0</v>
          </cell>
          <cell r="CB686">
            <v>0</v>
          </cell>
          <cell r="CC686">
            <v>0</v>
          </cell>
          <cell r="CD686">
            <v>0</v>
          </cell>
        </row>
        <row r="687">
          <cell r="C687">
            <v>37963</v>
          </cell>
          <cell r="D687">
            <v>37993</v>
          </cell>
          <cell r="E687">
            <v>37974</v>
          </cell>
          <cell r="F687">
            <v>0.60416666666666663</v>
          </cell>
          <cell r="G687" t="str">
            <v>Linha de Pintura 15m</v>
          </cell>
          <cell r="H687" t="str">
            <v>Bomba do Enxágüe 02 travada</v>
          </cell>
          <cell r="I687">
            <v>0</v>
          </cell>
          <cell r="J687" t="str">
            <v>Não</v>
          </cell>
          <cell r="K687" t="str">
            <v>Mecânica</v>
          </cell>
          <cell r="L687" t="str">
            <v>Mesmo após acompanhamento do funcionamento, o problema não foi detectado</v>
          </cell>
          <cell r="M687" t="str">
            <v>Falha Operacional</v>
          </cell>
          <cell r="N687">
            <v>0</v>
          </cell>
          <cell r="O687">
            <v>0.60763888888888895</v>
          </cell>
          <cell r="P687">
            <v>0</v>
          </cell>
          <cell r="T687">
            <v>0</v>
          </cell>
          <cell r="U687">
            <v>0.61805555555555558</v>
          </cell>
          <cell r="V687">
            <v>0</v>
          </cell>
          <cell r="W687">
            <v>0</v>
          </cell>
          <cell r="X687">
            <v>0</v>
          </cell>
          <cell r="Y687">
            <v>0</v>
          </cell>
          <cell r="AB687">
            <v>0</v>
          </cell>
          <cell r="AC687">
            <v>12</v>
          </cell>
          <cell r="AD687">
            <v>0</v>
          </cell>
          <cell r="BF687">
            <v>0</v>
          </cell>
          <cell r="BG687">
            <v>0</v>
          </cell>
          <cell r="BH687">
            <v>0</v>
          </cell>
          <cell r="BI687">
            <v>0</v>
          </cell>
          <cell r="BJ687">
            <v>0</v>
          </cell>
          <cell r="BK687">
            <v>0</v>
          </cell>
          <cell r="BL687">
            <v>0</v>
          </cell>
          <cell r="BM687">
            <v>0</v>
          </cell>
          <cell r="BN687">
            <v>0</v>
          </cell>
          <cell r="BO687">
            <v>0</v>
          </cell>
          <cell r="BP687">
            <v>0</v>
          </cell>
          <cell r="BQ687">
            <v>0</v>
          </cell>
          <cell r="BR687">
            <v>0</v>
          </cell>
          <cell r="BS687">
            <v>0</v>
          </cell>
          <cell r="BT687">
            <v>0</v>
          </cell>
          <cell r="BU687">
            <v>0</v>
          </cell>
          <cell r="BV687">
            <v>0</v>
          </cell>
          <cell r="BW687">
            <v>0</v>
          </cell>
          <cell r="BX687">
            <v>0</v>
          </cell>
          <cell r="BY687">
            <v>0</v>
          </cell>
          <cell r="BZ687">
            <v>0</v>
          </cell>
          <cell r="CA687">
            <v>0</v>
          </cell>
          <cell r="CB687">
            <v>0</v>
          </cell>
          <cell r="CC687">
            <v>0</v>
          </cell>
          <cell r="CD687">
            <v>0</v>
          </cell>
        </row>
        <row r="688">
          <cell r="C688">
            <v>37963</v>
          </cell>
          <cell r="D688">
            <v>37993</v>
          </cell>
          <cell r="E688">
            <v>37974</v>
          </cell>
          <cell r="F688">
            <v>0.66666666666666663</v>
          </cell>
          <cell r="G688" t="str">
            <v>Linha de Pintura 15m</v>
          </cell>
          <cell r="H688" t="str">
            <v>Linha Travada</v>
          </cell>
          <cell r="I688">
            <v>0</v>
          </cell>
          <cell r="J688" t="str">
            <v>Sim</v>
          </cell>
          <cell r="K688" t="str">
            <v>Elétrica</v>
          </cell>
          <cell r="L688" t="str">
            <v>Mesmo após acompanhamento do funcionamento, o problema não foi detectado</v>
          </cell>
          <cell r="M688" t="str">
            <v>Falha Operacional</v>
          </cell>
          <cell r="N688">
            <v>0</v>
          </cell>
          <cell r="O688">
            <v>0.68055555555555547</v>
          </cell>
          <cell r="P688">
            <v>0</v>
          </cell>
          <cell r="T688">
            <v>0</v>
          </cell>
          <cell r="U688">
            <v>0.6875</v>
          </cell>
          <cell r="V688">
            <v>0</v>
          </cell>
          <cell r="W688">
            <v>0</v>
          </cell>
          <cell r="X688">
            <v>0</v>
          </cell>
          <cell r="Y688">
            <v>0</v>
          </cell>
          <cell r="AB688">
            <v>0</v>
          </cell>
          <cell r="AC688">
            <v>12</v>
          </cell>
          <cell r="AD688">
            <v>0</v>
          </cell>
          <cell r="BF688">
            <v>0</v>
          </cell>
          <cell r="BG688">
            <v>0</v>
          </cell>
          <cell r="BH688">
            <v>0</v>
          </cell>
          <cell r="BI688">
            <v>0</v>
          </cell>
          <cell r="BJ688">
            <v>0</v>
          </cell>
          <cell r="BK688">
            <v>0</v>
          </cell>
          <cell r="BL688">
            <v>0</v>
          </cell>
          <cell r="BM688">
            <v>0</v>
          </cell>
          <cell r="BN688">
            <v>0</v>
          </cell>
          <cell r="BO688">
            <v>0</v>
          </cell>
          <cell r="BP688">
            <v>0</v>
          </cell>
          <cell r="BQ688">
            <v>0</v>
          </cell>
          <cell r="BR688">
            <v>0</v>
          </cell>
          <cell r="BS688">
            <v>0</v>
          </cell>
          <cell r="BT688">
            <v>0</v>
          </cell>
          <cell r="BU688">
            <v>0</v>
          </cell>
          <cell r="BV688">
            <v>0</v>
          </cell>
          <cell r="BW688">
            <v>0</v>
          </cell>
          <cell r="BX688">
            <v>0</v>
          </cell>
          <cell r="BY688">
            <v>0</v>
          </cell>
          <cell r="BZ688">
            <v>0</v>
          </cell>
          <cell r="CA688">
            <v>0</v>
          </cell>
          <cell r="CB688">
            <v>0</v>
          </cell>
          <cell r="CC688">
            <v>0</v>
          </cell>
          <cell r="CD688">
            <v>0</v>
          </cell>
        </row>
        <row r="689">
          <cell r="C689">
            <v>37963</v>
          </cell>
          <cell r="D689">
            <v>37993</v>
          </cell>
          <cell r="E689">
            <v>37978</v>
          </cell>
          <cell r="F689">
            <v>0.70833333333333337</v>
          </cell>
          <cell r="G689" t="str">
            <v>Linha de Pintura 15m</v>
          </cell>
          <cell r="H689" t="str">
            <v>Linha Travada</v>
          </cell>
          <cell r="I689">
            <v>0</v>
          </cell>
          <cell r="J689" t="str">
            <v>Sim</v>
          </cell>
          <cell r="K689" t="str">
            <v>Elétrica</v>
          </cell>
          <cell r="L689" t="str">
            <v>Recontagem dos bastidores nos estoques e correção</v>
          </cell>
          <cell r="M689" t="str">
            <v>Falha Operacional</v>
          </cell>
          <cell r="N689">
            <v>0</v>
          </cell>
          <cell r="O689">
            <v>0.70833333333333337</v>
          </cell>
          <cell r="P689">
            <v>0</v>
          </cell>
          <cell r="T689">
            <v>0</v>
          </cell>
          <cell r="U689">
            <v>0.77430555555555547</v>
          </cell>
          <cell r="V689">
            <v>0</v>
          </cell>
          <cell r="W689">
            <v>0</v>
          </cell>
          <cell r="X689">
            <v>0</v>
          </cell>
          <cell r="Y689">
            <v>0</v>
          </cell>
          <cell r="AB689">
            <v>0</v>
          </cell>
          <cell r="AC689">
            <v>12</v>
          </cell>
          <cell r="AD689">
            <v>0</v>
          </cell>
          <cell r="BF689">
            <v>0</v>
          </cell>
          <cell r="BG689">
            <v>0</v>
          </cell>
          <cell r="BH689">
            <v>0</v>
          </cell>
          <cell r="BI689">
            <v>0</v>
          </cell>
          <cell r="BJ689">
            <v>0</v>
          </cell>
          <cell r="BK689">
            <v>0</v>
          </cell>
          <cell r="BL689">
            <v>0</v>
          </cell>
          <cell r="BM689">
            <v>0</v>
          </cell>
          <cell r="BN689">
            <v>0</v>
          </cell>
          <cell r="BO689">
            <v>0</v>
          </cell>
          <cell r="BP689">
            <v>0</v>
          </cell>
          <cell r="BQ689">
            <v>0</v>
          </cell>
          <cell r="BR689">
            <v>0</v>
          </cell>
          <cell r="BS689">
            <v>0</v>
          </cell>
          <cell r="BT689">
            <v>0</v>
          </cell>
          <cell r="BU689">
            <v>0</v>
          </cell>
          <cell r="BV689">
            <v>0</v>
          </cell>
          <cell r="BW689">
            <v>0</v>
          </cell>
          <cell r="BX689">
            <v>0</v>
          </cell>
          <cell r="BY689">
            <v>0</v>
          </cell>
          <cell r="BZ689">
            <v>0</v>
          </cell>
          <cell r="CA689">
            <v>0</v>
          </cell>
          <cell r="CB689">
            <v>0</v>
          </cell>
          <cell r="CC689">
            <v>0</v>
          </cell>
          <cell r="CD689">
            <v>0</v>
          </cell>
        </row>
        <row r="690">
          <cell r="C690">
            <v>37963</v>
          </cell>
          <cell r="I690">
            <v>0</v>
          </cell>
          <cell r="N690">
            <v>0</v>
          </cell>
          <cell r="P690">
            <v>0</v>
          </cell>
          <cell r="T690">
            <v>0</v>
          </cell>
          <cell r="V690">
            <v>0</v>
          </cell>
          <cell r="W690">
            <v>0</v>
          </cell>
          <cell r="X690">
            <v>0</v>
          </cell>
          <cell r="Y690">
            <v>0</v>
          </cell>
          <cell r="AB690">
            <v>0</v>
          </cell>
          <cell r="AC690">
            <v>12</v>
          </cell>
          <cell r="AD690">
            <v>0</v>
          </cell>
          <cell r="BF690">
            <v>0</v>
          </cell>
          <cell r="BG690">
            <v>0</v>
          </cell>
          <cell r="BH690">
            <v>0</v>
          </cell>
          <cell r="BI690">
            <v>0</v>
          </cell>
          <cell r="BJ690">
            <v>0</v>
          </cell>
          <cell r="BK690">
            <v>0</v>
          </cell>
          <cell r="BL690">
            <v>0</v>
          </cell>
          <cell r="BM690">
            <v>0</v>
          </cell>
          <cell r="BN690">
            <v>0</v>
          </cell>
          <cell r="BO690">
            <v>0</v>
          </cell>
          <cell r="BP690">
            <v>0</v>
          </cell>
          <cell r="BQ690">
            <v>0</v>
          </cell>
          <cell r="BR690">
            <v>0</v>
          </cell>
          <cell r="BS690">
            <v>0</v>
          </cell>
          <cell r="BT690">
            <v>0</v>
          </cell>
          <cell r="BU690">
            <v>0</v>
          </cell>
          <cell r="BV690">
            <v>0</v>
          </cell>
          <cell r="BW690">
            <v>0</v>
          </cell>
          <cell r="BX690">
            <v>0</v>
          </cell>
          <cell r="BY690">
            <v>0</v>
          </cell>
          <cell r="BZ690">
            <v>0</v>
          </cell>
          <cell r="CA690">
            <v>0</v>
          </cell>
          <cell r="CB690">
            <v>0</v>
          </cell>
          <cell r="CC690">
            <v>0</v>
          </cell>
          <cell r="CD690">
            <v>0</v>
          </cell>
        </row>
        <row r="691">
          <cell r="C691">
            <v>37963</v>
          </cell>
          <cell r="I691">
            <v>0</v>
          </cell>
          <cell r="N691">
            <v>0</v>
          </cell>
          <cell r="P691">
            <v>0</v>
          </cell>
          <cell r="T691">
            <v>0</v>
          </cell>
          <cell r="V691">
            <v>0</v>
          </cell>
          <cell r="W691">
            <v>0</v>
          </cell>
          <cell r="X691">
            <v>0</v>
          </cell>
          <cell r="Y691">
            <v>0</v>
          </cell>
          <cell r="AB691">
            <v>0</v>
          </cell>
          <cell r="AC691">
            <v>12</v>
          </cell>
          <cell r="AD691">
            <v>0</v>
          </cell>
          <cell r="BF691">
            <v>0</v>
          </cell>
          <cell r="BG691">
            <v>0</v>
          </cell>
          <cell r="BH691">
            <v>0</v>
          </cell>
          <cell r="BI691">
            <v>0</v>
          </cell>
          <cell r="BJ691">
            <v>0</v>
          </cell>
          <cell r="BK691">
            <v>0</v>
          </cell>
          <cell r="BL691">
            <v>0</v>
          </cell>
          <cell r="BM691">
            <v>0</v>
          </cell>
          <cell r="BN691">
            <v>0</v>
          </cell>
          <cell r="BO691">
            <v>0</v>
          </cell>
          <cell r="BP691">
            <v>0</v>
          </cell>
          <cell r="BQ691">
            <v>0</v>
          </cell>
          <cell r="BR691">
            <v>0</v>
          </cell>
          <cell r="BS691">
            <v>0</v>
          </cell>
          <cell r="BT691">
            <v>0</v>
          </cell>
          <cell r="BU691">
            <v>0</v>
          </cell>
          <cell r="BV691">
            <v>0</v>
          </cell>
          <cell r="BW691">
            <v>0</v>
          </cell>
          <cell r="BX691">
            <v>0</v>
          </cell>
          <cell r="BY691">
            <v>0</v>
          </cell>
          <cell r="BZ691">
            <v>0</v>
          </cell>
          <cell r="CA691">
            <v>0</v>
          </cell>
          <cell r="CB691">
            <v>0</v>
          </cell>
          <cell r="CC691">
            <v>0</v>
          </cell>
          <cell r="CD691">
            <v>0</v>
          </cell>
        </row>
        <row r="692">
          <cell r="C692">
            <v>37963</v>
          </cell>
          <cell r="D692">
            <v>37993</v>
          </cell>
          <cell r="E692">
            <v>37985</v>
          </cell>
          <cell r="F692">
            <v>0.58333333333333337</v>
          </cell>
          <cell r="G692" t="str">
            <v>Linha de Pintura 15m</v>
          </cell>
          <cell r="H692" t="str">
            <v>Parôs 03 e 11 não estão liberando</v>
          </cell>
          <cell r="I692">
            <v>0</v>
          </cell>
          <cell r="J692" t="str">
            <v>Sim</v>
          </cell>
          <cell r="K692" t="str">
            <v>Elétrica</v>
          </cell>
          <cell r="L692" t="str">
            <v>Recontagem dos bastidores nos estoques e correção</v>
          </cell>
          <cell r="M692" t="str">
            <v>Falha Operacional</v>
          </cell>
          <cell r="N692">
            <v>0</v>
          </cell>
          <cell r="O692">
            <v>0.58333333333333337</v>
          </cell>
          <cell r="P692">
            <v>0</v>
          </cell>
          <cell r="T692">
            <v>0</v>
          </cell>
          <cell r="U692">
            <v>0.66666666666666663</v>
          </cell>
          <cell r="V692">
            <v>0</v>
          </cell>
          <cell r="W692">
            <v>0</v>
          </cell>
          <cell r="X692">
            <v>0</v>
          </cell>
          <cell r="Y692">
            <v>0</v>
          </cell>
          <cell r="AB692">
            <v>0</v>
          </cell>
          <cell r="AC692">
            <v>12</v>
          </cell>
          <cell r="AD692">
            <v>0</v>
          </cell>
          <cell r="BF692">
            <v>0</v>
          </cell>
          <cell r="BG692">
            <v>0</v>
          </cell>
          <cell r="BH692">
            <v>0</v>
          </cell>
          <cell r="BI692">
            <v>0</v>
          </cell>
          <cell r="BJ692">
            <v>0</v>
          </cell>
          <cell r="BK692">
            <v>0</v>
          </cell>
          <cell r="BL692">
            <v>0</v>
          </cell>
          <cell r="BM692">
            <v>0</v>
          </cell>
          <cell r="BN692">
            <v>0</v>
          </cell>
          <cell r="BO692">
            <v>0</v>
          </cell>
          <cell r="BP692">
            <v>0</v>
          </cell>
          <cell r="BQ692">
            <v>0</v>
          </cell>
          <cell r="BR692">
            <v>0</v>
          </cell>
          <cell r="BS692">
            <v>0</v>
          </cell>
          <cell r="BT692">
            <v>0</v>
          </cell>
          <cell r="BU692">
            <v>0</v>
          </cell>
          <cell r="BV692">
            <v>0</v>
          </cell>
          <cell r="BW692">
            <v>0</v>
          </cell>
          <cell r="BX692">
            <v>0</v>
          </cell>
          <cell r="BY692">
            <v>0</v>
          </cell>
          <cell r="BZ692">
            <v>0</v>
          </cell>
          <cell r="CA692">
            <v>0</v>
          </cell>
          <cell r="CB692">
            <v>0</v>
          </cell>
          <cell r="CC692">
            <v>0</v>
          </cell>
          <cell r="CD692">
            <v>0</v>
          </cell>
        </row>
        <row r="693">
          <cell r="C693">
            <v>37963</v>
          </cell>
          <cell r="I693">
            <v>0</v>
          </cell>
          <cell r="N693">
            <v>0</v>
          </cell>
          <cell r="P693">
            <v>0</v>
          </cell>
          <cell r="T693">
            <v>0</v>
          </cell>
          <cell r="V693">
            <v>0</v>
          </cell>
          <cell r="W693">
            <v>0</v>
          </cell>
          <cell r="X693">
            <v>0</v>
          </cell>
          <cell r="Y693">
            <v>0</v>
          </cell>
          <cell r="AB693">
            <v>0</v>
          </cell>
          <cell r="AC693">
            <v>12</v>
          </cell>
          <cell r="AD693">
            <v>0</v>
          </cell>
          <cell r="BF693">
            <v>0</v>
          </cell>
          <cell r="BG693">
            <v>0</v>
          </cell>
          <cell r="BH693">
            <v>0</v>
          </cell>
          <cell r="BI693">
            <v>0</v>
          </cell>
          <cell r="BJ693">
            <v>0</v>
          </cell>
          <cell r="BK693">
            <v>0</v>
          </cell>
          <cell r="BL693">
            <v>0</v>
          </cell>
          <cell r="BM693">
            <v>0</v>
          </cell>
          <cell r="BN693">
            <v>0</v>
          </cell>
          <cell r="BO693">
            <v>0</v>
          </cell>
          <cell r="BP693">
            <v>0</v>
          </cell>
          <cell r="BQ693">
            <v>0</v>
          </cell>
          <cell r="BR693">
            <v>0</v>
          </cell>
          <cell r="BS693">
            <v>0</v>
          </cell>
          <cell r="BT693">
            <v>0</v>
          </cell>
          <cell r="BU693">
            <v>0</v>
          </cell>
          <cell r="BV693">
            <v>0</v>
          </cell>
          <cell r="BW693">
            <v>0</v>
          </cell>
          <cell r="BX693">
            <v>0</v>
          </cell>
          <cell r="BY693">
            <v>0</v>
          </cell>
          <cell r="BZ693">
            <v>0</v>
          </cell>
          <cell r="CA693">
            <v>0</v>
          </cell>
          <cell r="CB693">
            <v>0</v>
          </cell>
          <cell r="CC693">
            <v>0</v>
          </cell>
          <cell r="CD693">
            <v>0</v>
          </cell>
        </row>
        <row r="694">
          <cell r="C694">
            <v>37963</v>
          </cell>
          <cell r="I694">
            <v>0</v>
          </cell>
          <cell r="N694">
            <v>0</v>
          </cell>
          <cell r="P694">
            <v>0</v>
          </cell>
          <cell r="T694">
            <v>0</v>
          </cell>
          <cell r="V694">
            <v>0</v>
          </cell>
          <cell r="W694">
            <v>0</v>
          </cell>
          <cell r="X694">
            <v>0</v>
          </cell>
          <cell r="Y694">
            <v>0</v>
          </cell>
          <cell r="AB694">
            <v>0</v>
          </cell>
          <cell r="AC694">
            <v>12</v>
          </cell>
          <cell r="AD694">
            <v>0</v>
          </cell>
          <cell r="BF694">
            <v>0</v>
          </cell>
          <cell r="BG694">
            <v>0</v>
          </cell>
          <cell r="BH694">
            <v>0</v>
          </cell>
          <cell r="BI694">
            <v>0</v>
          </cell>
          <cell r="BJ694">
            <v>0</v>
          </cell>
          <cell r="BK694">
            <v>0</v>
          </cell>
          <cell r="BL694">
            <v>0</v>
          </cell>
          <cell r="BM694">
            <v>0</v>
          </cell>
          <cell r="BN694">
            <v>0</v>
          </cell>
          <cell r="BO694">
            <v>0</v>
          </cell>
          <cell r="BP694">
            <v>0</v>
          </cell>
          <cell r="BQ694">
            <v>0</v>
          </cell>
          <cell r="BR694">
            <v>0</v>
          </cell>
          <cell r="BS694">
            <v>0</v>
          </cell>
          <cell r="BT694">
            <v>0</v>
          </cell>
          <cell r="BU694">
            <v>0</v>
          </cell>
          <cell r="BV694">
            <v>0</v>
          </cell>
          <cell r="BW694">
            <v>0</v>
          </cell>
          <cell r="BX694">
            <v>0</v>
          </cell>
          <cell r="BY694">
            <v>0</v>
          </cell>
          <cell r="BZ694">
            <v>0</v>
          </cell>
          <cell r="CA694">
            <v>0</v>
          </cell>
          <cell r="CB694">
            <v>0</v>
          </cell>
          <cell r="CC694">
            <v>0</v>
          </cell>
          <cell r="CD694">
            <v>0</v>
          </cell>
        </row>
        <row r="695">
          <cell r="C695">
            <v>37963</v>
          </cell>
          <cell r="I695">
            <v>0</v>
          </cell>
          <cell r="N695">
            <v>0</v>
          </cell>
          <cell r="P695">
            <v>0</v>
          </cell>
          <cell r="T695">
            <v>0</v>
          </cell>
          <cell r="V695">
            <v>0</v>
          </cell>
          <cell r="W695">
            <v>0</v>
          </cell>
          <cell r="X695">
            <v>0</v>
          </cell>
          <cell r="Y695">
            <v>0</v>
          </cell>
          <cell r="AB695">
            <v>0</v>
          </cell>
          <cell r="AC695">
            <v>12</v>
          </cell>
          <cell r="AD695">
            <v>0</v>
          </cell>
          <cell r="BF695">
            <v>0</v>
          </cell>
          <cell r="BG695">
            <v>0</v>
          </cell>
          <cell r="BH695">
            <v>0</v>
          </cell>
          <cell r="BI695">
            <v>0</v>
          </cell>
          <cell r="BJ695">
            <v>0</v>
          </cell>
          <cell r="BK695">
            <v>0</v>
          </cell>
          <cell r="BL695">
            <v>0</v>
          </cell>
          <cell r="BM695">
            <v>0</v>
          </cell>
          <cell r="BN695">
            <v>0</v>
          </cell>
          <cell r="BO695">
            <v>0</v>
          </cell>
          <cell r="BP695">
            <v>0</v>
          </cell>
          <cell r="BQ695">
            <v>0</v>
          </cell>
          <cell r="BR695">
            <v>0</v>
          </cell>
          <cell r="BS695">
            <v>0</v>
          </cell>
          <cell r="BT695">
            <v>0</v>
          </cell>
          <cell r="BU695">
            <v>0</v>
          </cell>
          <cell r="BV695">
            <v>0</v>
          </cell>
          <cell r="BW695">
            <v>0</v>
          </cell>
          <cell r="BX695">
            <v>0</v>
          </cell>
          <cell r="BY695">
            <v>0</v>
          </cell>
          <cell r="BZ695">
            <v>0</v>
          </cell>
          <cell r="CA695">
            <v>0</v>
          </cell>
          <cell r="CB695">
            <v>0</v>
          </cell>
          <cell r="CC695">
            <v>0</v>
          </cell>
          <cell r="CD695">
            <v>0</v>
          </cell>
        </row>
        <row r="696">
          <cell r="C696">
            <v>37963</v>
          </cell>
          <cell r="I696">
            <v>0</v>
          </cell>
          <cell r="N696">
            <v>0</v>
          </cell>
          <cell r="P696">
            <v>0</v>
          </cell>
          <cell r="T696">
            <v>0</v>
          </cell>
          <cell r="V696">
            <v>0</v>
          </cell>
          <cell r="W696">
            <v>0</v>
          </cell>
          <cell r="X696">
            <v>0</v>
          </cell>
          <cell r="Y696">
            <v>0</v>
          </cell>
          <cell r="AB696">
            <v>0</v>
          </cell>
          <cell r="AC696">
            <v>12</v>
          </cell>
          <cell r="AD696">
            <v>0</v>
          </cell>
          <cell r="BF696">
            <v>0</v>
          </cell>
          <cell r="BG696">
            <v>0</v>
          </cell>
          <cell r="BH696">
            <v>0</v>
          </cell>
          <cell r="BI696">
            <v>0</v>
          </cell>
          <cell r="BJ696">
            <v>0</v>
          </cell>
          <cell r="BK696">
            <v>0</v>
          </cell>
          <cell r="BL696">
            <v>0</v>
          </cell>
          <cell r="BM696">
            <v>0</v>
          </cell>
          <cell r="BN696">
            <v>0</v>
          </cell>
          <cell r="BO696">
            <v>0</v>
          </cell>
          <cell r="BP696">
            <v>0</v>
          </cell>
          <cell r="BQ696">
            <v>0</v>
          </cell>
          <cell r="BR696">
            <v>0</v>
          </cell>
          <cell r="BS696">
            <v>0</v>
          </cell>
          <cell r="BT696">
            <v>0</v>
          </cell>
          <cell r="BU696">
            <v>0</v>
          </cell>
          <cell r="BV696">
            <v>0</v>
          </cell>
          <cell r="BW696">
            <v>0</v>
          </cell>
          <cell r="BX696">
            <v>0</v>
          </cell>
          <cell r="BY696">
            <v>0</v>
          </cell>
          <cell r="BZ696">
            <v>0</v>
          </cell>
          <cell r="CA696">
            <v>0</v>
          </cell>
          <cell r="CB696">
            <v>0</v>
          </cell>
          <cell r="CC696">
            <v>0</v>
          </cell>
          <cell r="CD696">
            <v>0</v>
          </cell>
        </row>
        <row r="697">
          <cell r="C697">
            <v>37963</v>
          </cell>
          <cell r="I697">
            <v>0</v>
          </cell>
          <cell r="N697">
            <v>0</v>
          </cell>
          <cell r="P697">
            <v>0</v>
          </cell>
          <cell r="T697">
            <v>0</v>
          </cell>
          <cell r="V697">
            <v>0</v>
          </cell>
          <cell r="W697">
            <v>0</v>
          </cell>
          <cell r="X697">
            <v>0</v>
          </cell>
          <cell r="Y697">
            <v>0</v>
          </cell>
          <cell r="AB697">
            <v>0</v>
          </cell>
          <cell r="AC697">
            <v>12</v>
          </cell>
          <cell r="AD697">
            <v>0</v>
          </cell>
          <cell r="BF697">
            <v>0</v>
          </cell>
          <cell r="BG697">
            <v>0</v>
          </cell>
          <cell r="BH697">
            <v>0</v>
          </cell>
          <cell r="BI697">
            <v>0</v>
          </cell>
          <cell r="BJ697">
            <v>0</v>
          </cell>
          <cell r="BK697">
            <v>0</v>
          </cell>
          <cell r="BL697">
            <v>0</v>
          </cell>
          <cell r="BM697">
            <v>0</v>
          </cell>
          <cell r="BN697">
            <v>0</v>
          </cell>
          <cell r="BO697">
            <v>0</v>
          </cell>
          <cell r="BP697">
            <v>0</v>
          </cell>
          <cell r="BQ697">
            <v>0</v>
          </cell>
          <cell r="BR697">
            <v>0</v>
          </cell>
          <cell r="BS697">
            <v>0</v>
          </cell>
          <cell r="BT697">
            <v>0</v>
          </cell>
          <cell r="BU697">
            <v>0</v>
          </cell>
          <cell r="BV697">
            <v>0</v>
          </cell>
          <cell r="BW697">
            <v>0</v>
          </cell>
          <cell r="BX697">
            <v>0</v>
          </cell>
          <cell r="BY697">
            <v>0</v>
          </cell>
          <cell r="BZ697">
            <v>0</v>
          </cell>
          <cell r="CA697">
            <v>0</v>
          </cell>
          <cell r="CB697">
            <v>0</v>
          </cell>
          <cell r="CC697">
            <v>0</v>
          </cell>
          <cell r="CD697">
            <v>0</v>
          </cell>
        </row>
        <row r="698">
          <cell r="C698">
            <v>37963</v>
          </cell>
          <cell r="I698">
            <v>0</v>
          </cell>
          <cell r="N698">
            <v>0</v>
          </cell>
          <cell r="P698">
            <v>0</v>
          </cell>
          <cell r="T698">
            <v>0</v>
          </cell>
          <cell r="V698">
            <v>0</v>
          </cell>
          <cell r="W698">
            <v>0</v>
          </cell>
          <cell r="X698">
            <v>0</v>
          </cell>
          <cell r="Y698">
            <v>0</v>
          </cell>
          <cell r="AB698">
            <v>0</v>
          </cell>
          <cell r="AC698">
            <v>12</v>
          </cell>
          <cell r="AD698">
            <v>0</v>
          </cell>
          <cell r="BF698">
            <v>0</v>
          </cell>
          <cell r="BG698">
            <v>0</v>
          </cell>
          <cell r="BH698">
            <v>0</v>
          </cell>
          <cell r="BI698">
            <v>0</v>
          </cell>
          <cell r="BJ698">
            <v>0</v>
          </cell>
          <cell r="BK698">
            <v>0</v>
          </cell>
          <cell r="BL698">
            <v>0</v>
          </cell>
          <cell r="BM698">
            <v>0</v>
          </cell>
          <cell r="BN698">
            <v>0</v>
          </cell>
          <cell r="BO698">
            <v>0</v>
          </cell>
          <cell r="BP698">
            <v>0</v>
          </cell>
          <cell r="BQ698">
            <v>0</v>
          </cell>
          <cell r="BR698">
            <v>0</v>
          </cell>
          <cell r="BS698">
            <v>0</v>
          </cell>
          <cell r="BT698">
            <v>0</v>
          </cell>
          <cell r="BU698">
            <v>0</v>
          </cell>
          <cell r="BV698">
            <v>0</v>
          </cell>
          <cell r="BW698">
            <v>0</v>
          </cell>
          <cell r="BX698">
            <v>0</v>
          </cell>
          <cell r="BY698">
            <v>0</v>
          </cell>
          <cell r="BZ698">
            <v>0</v>
          </cell>
          <cell r="CA698">
            <v>0</v>
          </cell>
          <cell r="CB698">
            <v>0</v>
          </cell>
          <cell r="CC698">
            <v>0</v>
          </cell>
          <cell r="CD698">
            <v>0</v>
          </cell>
        </row>
        <row r="699">
          <cell r="C699">
            <v>37963</v>
          </cell>
          <cell r="D699" t="str">
            <v>,0,</v>
          </cell>
          <cell r="E699">
            <v>37985</v>
          </cell>
          <cell r="F699">
            <v>0.38541666666666669</v>
          </cell>
          <cell r="G699" t="str">
            <v>Linha de Pintura 3,2m</v>
          </cell>
          <cell r="H699" t="str">
            <v>Pinça quebrada</v>
          </cell>
          <cell r="I699">
            <v>0</v>
          </cell>
          <cell r="J699" t="str">
            <v>Sim</v>
          </cell>
          <cell r="K699" t="str">
            <v>Mecânica</v>
          </cell>
          <cell r="L699" t="str">
            <v>Substituição do(s) Componente(s)</v>
          </cell>
          <cell r="M699" t="str">
            <v>Desgaste / Fadiga</v>
          </cell>
          <cell r="N699">
            <v>0</v>
          </cell>
          <cell r="O699">
            <v>0.3888888888888889</v>
          </cell>
          <cell r="P699">
            <v>0</v>
          </cell>
          <cell r="T699">
            <v>0</v>
          </cell>
          <cell r="U699">
            <v>0.42708333333333331</v>
          </cell>
          <cell r="V699">
            <v>0</v>
          </cell>
          <cell r="W699">
            <v>0</v>
          </cell>
          <cell r="X699">
            <v>0</v>
          </cell>
          <cell r="Y699">
            <v>0</v>
          </cell>
          <cell r="AB699">
            <v>0</v>
          </cell>
          <cell r="AC699">
            <v>12</v>
          </cell>
          <cell r="AD699">
            <v>0</v>
          </cell>
          <cell r="BF699">
            <v>0</v>
          </cell>
          <cell r="BG699">
            <v>0</v>
          </cell>
          <cell r="BH699">
            <v>0</v>
          </cell>
          <cell r="BI699">
            <v>0</v>
          </cell>
          <cell r="BJ699">
            <v>0</v>
          </cell>
          <cell r="BK699">
            <v>0</v>
          </cell>
          <cell r="BL699">
            <v>0</v>
          </cell>
          <cell r="BM699">
            <v>0</v>
          </cell>
          <cell r="BN699">
            <v>0</v>
          </cell>
          <cell r="BO699">
            <v>0</v>
          </cell>
          <cell r="BP699">
            <v>0</v>
          </cell>
          <cell r="BQ699">
            <v>0</v>
          </cell>
          <cell r="BR699">
            <v>0</v>
          </cell>
          <cell r="BS699">
            <v>0</v>
          </cell>
          <cell r="BT699">
            <v>0</v>
          </cell>
          <cell r="BU699">
            <v>0</v>
          </cell>
          <cell r="BV699">
            <v>0</v>
          </cell>
          <cell r="BW699">
            <v>0</v>
          </cell>
          <cell r="BX699">
            <v>0</v>
          </cell>
          <cell r="BY699">
            <v>0</v>
          </cell>
          <cell r="BZ699">
            <v>0</v>
          </cell>
          <cell r="CA699">
            <v>0</v>
          </cell>
          <cell r="CB699">
            <v>0</v>
          </cell>
          <cell r="CC699">
            <v>0</v>
          </cell>
          <cell r="CD699">
            <v>0</v>
          </cell>
        </row>
        <row r="700">
          <cell r="C700">
            <v>37963</v>
          </cell>
          <cell r="I700">
            <v>0</v>
          </cell>
          <cell r="N700">
            <v>0</v>
          </cell>
          <cell r="P700">
            <v>0</v>
          </cell>
          <cell r="T700">
            <v>0</v>
          </cell>
          <cell r="V700">
            <v>0</v>
          </cell>
          <cell r="W700">
            <v>0</v>
          </cell>
          <cell r="X700">
            <v>0</v>
          </cell>
          <cell r="Y700">
            <v>0</v>
          </cell>
          <cell r="AB700">
            <v>0</v>
          </cell>
          <cell r="AC700">
            <v>12</v>
          </cell>
          <cell r="AD700">
            <v>0</v>
          </cell>
          <cell r="BF700">
            <v>0</v>
          </cell>
          <cell r="BG700">
            <v>0</v>
          </cell>
          <cell r="BH700">
            <v>0</v>
          </cell>
          <cell r="BI700">
            <v>0</v>
          </cell>
          <cell r="BJ700">
            <v>0</v>
          </cell>
          <cell r="BK700">
            <v>0</v>
          </cell>
          <cell r="BL700">
            <v>0</v>
          </cell>
          <cell r="BM700">
            <v>0</v>
          </cell>
          <cell r="BN700">
            <v>0</v>
          </cell>
          <cell r="BO700">
            <v>0</v>
          </cell>
          <cell r="BP700">
            <v>0</v>
          </cell>
          <cell r="BQ700">
            <v>0</v>
          </cell>
          <cell r="BR700">
            <v>0</v>
          </cell>
          <cell r="BS700">
            <v>0</v>
          </cell>
          <cell r="BT700">
            <v>0</v>
          </cell>
          <cell r="BU700">
            <v>0</v>
          </cell>
          <cell r="BV700">
            <v>0</v>
          </cell>
          <cell r="BW700">
            <v>0</v>
          </cell>
          <cell r="BX700">
            <v>0</v>
          </cell>
          <cell r="BY700">
            <v>0</v>
          </cell>
          <cell r="BZ700">
            <v>0</v>
          </cell>
          <cell r="CA700">
            <v>0</v>
          </cell>
          <cell r="CB700">
            <v>0</v>
          </cell>
          <cell r="CC700">
            <v>0</v>
          </cell>
          <cell r="CD700">
            <v>0</v>
          </cell>
        </row>
        <row r="701">
          <cell r="C701">
            <v>37963</v>
          </cell>
          <cell r="I701">
            <v>0</v>
          </cell>
          <cell r="N701">
            <v>0</v>
          </cell>
          <cell r="P701">
            <v>0</v>
          </cell>
          <cell r="T701">
            <v>0</v>
          </cell>
          <cell r="V701">
            <v>0</v>
          </cell>
          <cell r="W701">
            <v>0</v>
          </cell>
          <cell r="X701">
            <v>0</v>
          </cell>
          <cell r="Y701">
            <v>0</v>
          </cell>
          <cell r="AB701">
            <v>0</v>
          </cell>
          <cell r="AC701">
            <v>12</v>
          </cell>
          <cell r="AD701">
            <v>0</v>
          </cell>
          <cell r="BF701">
            <v>0</v>
          </cell>
          <cell r="BG701">
            <v>0</v>
          </cell>
          <cell r="BH701">
            <v>0</v>
          </cell>
          <cell r="BI701">
            <v>0</v>
          </cell>
          <cell r="BJ701">
            <v>0</v>
          </cell>
          <cell r="BK701">
            <v>0</v>
          </cell>
          <cell r="BL701">
            <v>0</v>
          </cell>
          <cell r="BM701">
            <v>0</v>
          </cell>
          <cell r="BN701">
            <v>0</v>
          </cell>
          <cell r="BO701">
            <v>0</v>
          </cell>
          <cell r="BP701">
            <v>0</v>
          </cell>
          <cell r="BQ701">
            <v>0</v>
          </cell>
          <cell r="BR701">
            <v>0</v>
          </cell>
          <cell r="BS701">
            <v>0</v>
          </cell>
          <cell r="BT701">
            <v>0</v>
          </cell>
          <cell r="BU701">
            <v>0</v>
          </cell>
          <cell r="BV701">
            <v>0</v>
          </cell>
          <cell r="BW701">
            <v>0</v>
          </cell>
          <cell r="BX701">
            <v>0</v>
          </cell>
          <cell r="BY701">
            <v>0</v>
          </cell>
          <cell r="BZ701">
            <v>0</v>
          </cell>
          <cell r="CA701">
            <v>0</v>
          </cell>
          <cell r="CB701">
            <v>0</v>
          </cell>
          <cell r="CC701">
            <v>0</v>
          </cell>
          <cell r="CD701">
            <v>0</v>
          </cell>
        </row>
        <row r="702">
          <cell r="C702">
            <v>37963</v>
          </cell>
          <cell r="I702">
            <v>0</v>
          </cell>
          <cell r="N702">
            <v>0</v>
          </cell>
          <cell r="P702">
            <v>0</v>
          </cell>
          <cell r="T702">
            <v>0</v>
          </cell>
          <cell r="V702">
            <v>0</v>
          </cell>
          <cell r="W702">
            <v>0</v>
          </cell>
          <cell r="X702">
            <v>0</v>
          </cell>
          <cell r="Y702">
            <v>0</v>
          </cell>
          <cell r="AB702">
            <v>0</v>
          </cell>
          <cell r="AC702">
            <v>12</v>
          </cell>
          <cell r="AD702">
            <v>0</v>
          </cell>
          <cell r="BF702">
            <v>0</v>
          </cell>
          <cell r="BG702">
            <v>0</v>
          </cell>
          <cell r="BH702">
            <v>0</v>
          </cell>
          <cell r="BI702">
            <v>0</v>
          </cell>
          <cell r="BJ702">
            <v>0</v>
          </cell>
          <cell r="BK702">
            <v>0</v>
          </cell>
          <cell r="BL702">
            <v>0</v>
          </cell>
          <cell r="BM702">
            <v>0</v>
          </cell>
          <cell r="BN702">
            <v>0</v>
          </cell>
          <cell r="BO702">
            <v>0</v>
          </cell>
          <cell r="BP702">
            <v>0</v>
          </cell>
          <cell r="BQ702">
            <v>0</v>
          </cell>
          <cell r="BR702">
            <v>0</v>
          </cell>
          <cell r="BS702">
            <v>0</v>
          </cell>
          <cell r="BT702">
            <v>0</v>
          </cell>
          <cell r="BU702">
            <v>0</v>
          </cell>
          <cell r="BV702">
            <v>0</v>
          </cell>
          <cell r="BW702">
            <v>0</v>
          </cell>
          <cell r="BX702">
            <v>0</v>
          </cell>
          <cell r="BY702">
            <v>0</v>
          </cell>
          <cell r="BZ702">
            <v>0</v>
          </cell>
          <cell r="CA702">
            <v>0</v>
          </cell>
          <cell r="CB702">
            <v>0</v>
          </cell>
          <cell r="CC702">
            <v>0</v>
          </cell>
          <cell r="CD702">
            <v>0</v>
          </cell>
        </row>
        <row r="703">
          <cell r="C703">
            <v>37963</v>
          </cell>
          <cell r="I703">
            <v>0</v>
          </cell>
          <cell r="N703">
            <v>0</v>
          </cell>
          <cell r="P703">
            <v>0</v>
          </cell>
          <cell r="T703">
            <v>0</v>
          </cell>
          <cell r="V703">
            <v>0</v>
          </cell>
          <cell r="W703">
            <v>0</v>
          </cell>
          <cell r="X703">
            <v>0</v>
          </cell>
          <cell r="Y703">
            <v>0</v>
          </cell>
          <cell r="AB703">
            <v>0</v>
          </cell>
          <cell r="AC703">
            <v>12</v>
          </cell>
          <cell r="AD703">
            <v>0</v>
          </cell>
          <cell r="BF703">
            <v>0</v>
          </cell>
          <cell r="BG703">
            <v>0</v>
          </cell>
          <cell r="BH703">
            <v>0</v>
          </cell>
          <cell r="BI703">
            <v>0</v>
          </cell>
          <cell r="BJ703">
            <v>0</v>
          </cell>
          <cell r="BK703">
            <v>0</v>
          </cell>
          <cell r="BL703">
            <v>0</v>
          </cell>
          <cell r="BM703">
            <v>0</v>
          </cell>
          <cell r="BN703">
            <v>0</v>
          </cell>
          <cell r="BO703">
            <v>0</v>
          </cell>
          <cell r="BP703">
            <v>0</v>
          </cell>
          <cell r="BQ703">
            <v>0</v>
          </cell>
          <cell r="BR703">
            <v>0</v>
          </cell>
          <cell r="BS703">
            <v>0</v>
          </cell>
          <cell r="BT703">
            <v>0</v>
          </cell>
          <cell r="BU703">
            <v>0</v>
          </cell>
          <cell r="BV703">
            <v>0</v>
          </cell>
          <cell r="BW703">
            <v>0</v>
          </cell>
          <cell r="BX703">
            <v>0</v>
          </cell>
          <cell r="BY703">
            <v>0</v>
          </cell>
          <cell r="BZ703">
            <v>0</v>
          </cell>
          <cell r="CA703">
            <v>0</v>
          </cell>
          <cell r="CB703">
            <v>0</v>
          </cell>
          <cell r="CC703">
            <v>0</v>
          </cell>
          <cell r="CD703">
            <v>0</v>
          </cell>
        </row>
        <row r="704">
          <cell r="C704">
            <v>37963</v>
          </cell>
          <cell r="I704">
            <v>0</v>
          </cell>
          <cell r="N704">
            <v>0</v>
          </cell>
          <cell r="P704">
            <v>0</v>
          </cell>
          <cell r="T704">
            <v>0</v>
          </cell>
          <cell r="V704">
            <v>0</v>
          </cell>
          <cell r="W704">
            <v>0</v>
          </cell>
          <cell r="X704">
            <v>0</v>
          </cell>
          <cell r="Y704">
            <v>0</v>
          </cell>
          <cell r="AB704">
            <v>0</v>
          </cell>
          <cell r="AC704">
            <v>12</v>
          </cell>
          <cell r="AD704">
            <v>0</v>
          </cell>
          <cell r="BF704">
            <v>0</v>
          </cell>
          <cell r="BG704">
            <v>0</v>
          </cell>
          <cell r="BH704">
            <v>0</v>
          </cell>
          <cell r="BI704">
            <v>0</v>
          </cell>
          <cell r="BJ704">
            <v>0</v>
          </cell>
          <cell r="BK704">
            <v>0</v>
          </cell>
          <cell r="BL704">
            <v>0</v>
          </cell>
          <cell r="BM704">
            <v>0</v>
          </cell>
          <cell r="BN704">
            <v>0</v>
          </cell>
          <cell r="BO704">
            <v>0</v>
          </cell>
          <cell r="BP704">
            <v>0</v>
          </cell>
          <cell r="BQ704">
            <v>0</v>
          </cell>
          <cell r="BR704">
            <v>0</v>
          </cell>
          <cell r="BS704">
            <v>0</v>
          </cell>
          <cell r="BT704">
            <v>0</v>
          </cell>
          <cell r="BU704">
            <v>0</v>
          </cell>
          <cell r="BV704">
            <v>0</v>
          </cell>
          <cell r="BW704">
            <v>0</v>
          </cell>
          <cell r="BX704">
            <v>0</v>
          </cell>
          <cell r="BY704">
            <v>0</v>
          </cell>
          <cell r="BZ704">
            <v>0</v>
          </cell>
          <cell r="CA704">
            <v>0</v>
          </cell>
          <cell r="CB704">
            <v>0</v>
          </cell>
          <cell r="CC704">
            <v>0</v>
          </cell>
          <cell r="CD704">
            <v>0</v>
          </cell>
        </row>
        <row r="705">
          <cell r="C705">
            <v>37963</v>
          </cell>
          <cell r="I705">
            <v>0</v>
          </cell>
          <cell r="N705">
            <v>0</v>
          </cell>
          <cell r="P705">
            <v>0</v>
          </cell>
          <cell r="T705">
            <v>0</v>
          </cell>
          <cell r="V705">
            <v>0</v>
          </cell>
          <cell r="W705">
            <v>0</v>
          </cell>
          <cell r="X705">
            <v>0</v>
          </cell>
          <cell r="Y705">
            <v>0</v>
          </cell>
          <cell r="AB705">
            <v>0</v>
          </cell>
          <cell r="AC705">
            <v>12</v>
          </cell>
          <cell r="AD705">
            <v>0</v>
          </cell>
          <cell r="BF705">
            <v>0</v>
          </cell>
          <cell r="BG705">
            <v>0</v>
          </cell>
          <cell r="BH705">
            <v>0</v>
          </cell>
          <cell r="BI705">
            <v>0</v>
          </cell>
          <cell r="BJ705">
            <v>0</v>
          </cell>
          <cell r="BK705">
            <v>0</v>
          </cell>
          <cell r="BL705">
            <v>0</v>
          </cell>
          <cell r="BM705">
            <v>0</v>
          </cell>
          <cell r="BN705">
            <v>0</v>
          </cell>
          <cell r="BO705">
            <v>0</v>
          </cell>
          <cell r="BP705">
            <v>0</v>
          </cell>
          <cell r="BQ705">
            <v>0</v>
          </cell>
          <cell r="BR705">
            <v>0</v>
          </cell>
          <cell r="BS705">
            <v>0</v>
          </cell>
          <cell r="BT705">
            <v>0</v>
          </cell>
          <cell r="BU705">
            <v>0</v>
          </cell>
          <cell r="BV705">
            <v>0</v>
          </cell>
          <cell r="BW705">
            <v>0</v>
          </cell>
          <cell r="BX705">
            <v>0</v>
          </cell>
          <cell r="BY705">
            <v>0</v>
          </cell>
          <cell r="BZ705">
            <v>0</v>
          </cell>
          <cell r="CA705">
            <v>0</v>
          </cell>
          <cell r="CB705">
            <v>0</v>
          </cell>
          <cell r="CC705">
            <v>0</v>
          </cell>
          <cell r="CD705">
            <v>0</v>
          </cell>
        </row>
        <row r="706">
          <cell r="C706">
            <v>37963</v>
          </cell>
          <cell r="I706">
            <v>0</v>
          </cell>
          <cell r="N706">
            <v>0</v>
          </cell>
          <cell r="P706">
            <v>0</v>
          </cell>
          <cell r="T706">
            <v>0</v>
          </cell>
          <cell r="V706">
            <v>0</v>
          </cell>
          <cell r="W706">
            <v>0</v>
          </cell>
          <cell r="X706">
            <v>0</v>
          </cell>
          <cell r="Y706">
            <v>0</v>
          </cell>
          <cell r="AB706">
            <v>0</v>
          </cell>
          <cell r="AC706">
            <v>12</v>
          </cell>
          <cell r="AD706">
            <v>0</v>
          </cell>
          <cell r="BF706">
            <v>0</v>
          </cell>
          <cell r="BG706">
            <v>0</v>
          </cell>
          <cell r="BH706">
            <v>0</v>
          </cell>
          <cell r="BI706">
            <v>0</v>
          </cell>
          <cell r="BJ706">
            <v>0</v>
          </cell>
          <cell r="BK706">
            <v>0</v>
          </cell>
          <cell r="BL706">
            <v>0</v>
          </cell>
          <cell r="BM706">
            <v>0</v>
          </cell>
          <cell r="BN706">
            <v>0</v>
          </cell>
          <cell r="BO706">
            <v>0</v>
          </cell>
          <cell r="BP706">
            <v>0</v>
          </cell>
          <cell r="BQ706">
            <v>0</v>
          </cell>
          <cell r="BR706">
            <v>0</v>
          </cell>
          <cell r="BS706">
            <v>0</v>
          </cell>
          <cell r="BT706">
            <v>0</v>
          </cell>
          <cell r="BU706">
            <v>0</v>
          </cell>
          <cell r="BV706">
            <v>0</v>
          </cell>
          <cell r="BW706">
            <v>0</v>
          </cell>
          <cell r="BX706">
            <v>0</v>
          </cell>
          <cell r="BY706">
            <v>0</v>
          </cell>
          <cell r="BZ706">
            <v>0</v>
          </cell>
          <cell r="CA706">
            <v>0</v>
          </cell>
          <cell r="CB706">
            <v>0</v>
          </cell>
          <cell r="CC706">
            <v>0</v>
          </cell>
          <cell r="CD706">
            <v>0</v>
          </cell>
        </row>
        <row r="707">
          <cell r="C707">
            <v>37963</v>
          </cell>
          <cell r="I707">
            <v>0</v>
          </cell>
          <cell r="N707">
            <v>0</v>
          </cell>
          <cell r="P707">
            <v>0</v>
          </cell>
          <cell r="T707">
            <v>0</v>
          </cell>
          <cell r="V707">
            <v>0</v>
          </cell>
          <cell r="W707">
            <v>0</v>
          </cell>
          <cell r="X707">
            <v>0</v>
          </cell>
          <cell r="Y707">
            <v>0</v>
          </cell>
          <cell r="AB707">
            <v>0</v>
          </cell>
          <cell r="AC707">
            <v>12</v>
          </cell>
          <cell r="AD707">
            <v>0</v>
          </cell>
          <cell r="BF707">
            <v>0</v>
          </cell>
          <cell r="BG707">
            <v>0</v>
          </cell>
          <cell r="BH707">
            <v>0</v>
          </cell>
          <cell r="BI707">
            <v>0</v>
          </cell>
          <cell r="BJ707">
            <v>0</v>
          </cell>
          <cell r="BK707">
            <v>0</v>
          </cell>
          <cell r="BL707">
            <v>0</v>
          </cell>
          <cell r="BM707">
            <v>0</v>
          </cell>
          <cell r="BN707">
            <v>0</v>
          </cell>
          <cell r="BO707">
            <v>0</v>
          </cell>
          <cell r="BP707">
            <v>0</v>
          </cell>
          <cell r="BQ707">
            <v>0</v>
          </cell>
          <cell r="BR707">
            <v>0</v>
          </cell>
          <cell r="BS707">
            <v>0</v>
          </cell>
          <cell r="BT707">
            <v>0</v>
          </cell>
          <cell r="BU707">
            <v>0</v>
          </cell>
          <cell r="BV707">
            <v>0</v>
          </cell>
          <cell r="BW707">
            <v>0</v>
          </cell>
          <cell r="BX707">
            <v>0</v>
          </cell>
          <cell r="BY707">
            <v>0</v>
          </cell>
          <cell r="BZ707">
            <v>0</v>
          </cell>
          <cell r="CA707">
            <v>0</v>
          </cell>
          <cell r="CB707">
            <v>0</v>
          </cell>
          <cell r="CC707">
            <v>0</v>
          </cell>
          <cell r="CD707">
            <v>0</v>
          </cell>
        </row>
        <row r="708">
          <cell r="C708">
            <v>37963</v>
          </cell>
          <cell r="I708">
            <v>0</v>
          </cell>
          <cell r="N708">
            <v>0</v>
          </cell>
          <cell r="P708">
            <v>0</v>
          </cell>
          <cell r="T708">
            <v>0</v>
          </cell>
          <cell r="V708">
            <v>0</v>
          </cell>
          <cell r="W708">
            <v>0</v>
          </cell>
          <cell r="X708">
            <v>0</v>
          </cell>
          <cell r="Y708">
            <v>0</v>
          </cell>
          <cell r="AB708">
            <v>0</v>
          </cell>
          <cell r="AC708">
            <v>12</v>
          </cell>
          <cell r="AD708">
            <v>0</v>
          </cell>
          <cell r="BF708">
            <v>0</v>
          </cell>
          <cell r="BG708">
            <v>0</v>
          </cell>
          <cell r="BH708">
            <v>0</v>
          </cell>
          <cell r="BI708">
            <v>0</v>
          </cell>
          <cell r="BJ708">
            <v>0</v>
          </cell>
          <cell r="BK708">
            <v>0</v>
          </cell>
          <cell r="BL708">
            <v>0</v>
          </cell>
          <cell r="BM708">
            <v>0</v>
          </cell>
          <cell r="BN708">
            <v>0</v>
          </cell>
          <cell r="BO708">
            <v>0</v>
          </cell>
          <cell r="BP708">
            <v>0</v>
          </cell>
          <cell r="BQ708">
            <v>0</v>
          </cell>
          <cell r="BR708">
            <v>0</v>
          </cell>
          <cell r="BS708">
            <v>0</v>
          </cell>
          <cell r="BT708">
            <v>0</v>
          </cell>
          <cell r="BU708">
            <v>0</v>
          </cell>
          <cell r="BV708">
            <v>0</v>
          </cell>
          <cell r="BW708">
            <v>0</v>
          </cell>
          <cell r="BX708">
            <v>0</v>
          </cell>
          <cell r="BY708">
            <v>0</v>
          </cell>
          <cell r="BZ708">
            <v>0</v>
          </cell>
          <cell r="CA708">
            <v>0</v>
          </cell>
          <cell r="CB708">
            <v>0</v>
          </cell>
          <cell r="CC708">
            <v>0</v>
          </cell>
          <cell r="CD708">
            <v>0</v>
          </cell>
        </row>
        <row r="709">
          <cell r="C709">
            <v>37963</v>
          </cell>
          <cell r="I709">
            <v>0</v>
          </cell>
          <cell r="N709">
            <v>0</v>
          </cell>
          <cell r="P709">
            <v>0</v>
          </cell>
          <cell r="T709">
            <v>0</v>
          </cell>
          <cell r="V709">
            <v>0</v>
          </cell>
          <cell r="W709">
            <v>0</v>
          </cell>
          <cell r="X709">
            <v>0</v>
          </cell>
          <cell r="Y709">
            <v>0</v>
          </cell>
          <cell r="AB709">
            <v>0</v>
          </cell>
          <cell r="AC709">
            <v>12</v>
          </cell>
          <cell r="AD709">
            <v>0</v>
          </cell>
          <cell r="BF709">
            <v>0</v>
          </cell>
          <cell r="BG709">
            <v>0</v>
          </cell>
          <cell r="BH709">
            <v>0</v>
          </cell>
          <cell r="BI709">
            <v>0</v>
          </cell>
          <cell r="BJ709">
            <v>0</v>
          </cell>
          <cell r="BK709">
            <v>0</v>
          </cell>
          <cell r="BL709">
            <v>0</v>
          </cell>
          <cell r="BM709">
            <v>0</v>
          </cell>
          <cell r="BN709">
            <v>0</v>
          </cell>
          <cell r="BO709">
            <v>0</v>
          </cell>
          <cell r="BP709">
            <v>0</v>
          </cell>
          <cell r="BQ709">
            <v>0</v>
          </cell>
          <cell r="BR709">
            <v>0</v>
          </cell>
          <cell r="BS709">
            <v>0</v>
          </cell>
          <cell r="BT709">
            <v>0</v>
          </cell>
          <cell r="BU709">
            <v>0</v>
          </cell>
          <cell r="BV709">
            <v>0</v>
          </cell>
          <cell r="BW709">
            <v>0</v>
          </cell>
          <cell r="BX709">
            <v>0</v>
          </cell>
          <cell r="BY709">
            <v>0</v>
          </cell>
          <cell r="BZ709">
            <v>0</v>
          </cell>
          <cell r="CA709">
            <v>0</v>
          </cell>
          <cell r="CB709">
            <v>0</v>
          </cell>
          <cell r="CC709">
            <v>0</v>
          </cell>
          <cell r="CD709">
            <v>0</v>
          </cell>
        </row>
        <row r="710">
          <cell r="C710">
            <v>37963</v>
          </cell>
          <cell r="I710">
            <v>0</v>
          </cell>
          <cell r="N710">
            <v>0</v>
          </cell>
          <cell r="P710">
            <v>0</v>
          </cell>
          <cell r="T710">
            <v>0</v>
          </cell>
          <cell r="V710">
            <v>0</v>
          </cell>
          <cell r="W710">
            <v>0</v>
          </cell>
          <cell r="X710">
            <v>0</v>
          </cell>
          <cell r="Y710">
            <v>0</v>
          </cell>
          <cell r="AB710">
            <v>0</v>
          </cell>
          <cell r="AC710">
            <v>12</v>
          </cell>
          <cell r="AD710">
            <v>0</v>
          </cell>
          <cell r="BF710">
            <v>0</v>
          </cell>
          <cell r="BG710">
            <v>0</v>
          </cell>
          <cell r="BH710">
            <v>0</v>
          </cell>
          <cell r="BI710">
            <v>0</v>
          </cell>
          <cell r="BJ710">
            <v>0</v>
          </cell>
          <cell r="BK710">
            <v>0</v>
          </cell>
          <cell r="BL710">
            <v>0</v>
          </cell>
          <cell r="BM710">
            <v>0</v>
          </cell>
          <cell r="BN710">
            <v>0</v>
          </cell>
          <cell r="BO710">
            <v>0</v>
          </cell>
          <cell r="BP710">
            <v>0</v>
          </cell>
          <cell r="BQ710">
            <v>0</v>
          </cell>
          <cell r="BR710">
            <v>0</v>
          </cell>
          <cell r="BS710">
            <v>0</v>
          </cell>
          <cell r="BT710">
            <v>0</v>
          </cell>
          <cell r="BU710">
            <v>0</v>
          </cell>
          <cell r="BV710">
            <v>0</v>
          </cell>
          <cell r="BW710">
            <v>0</v>
          </cell>
          <cell r="BX710">
            <v>0</v>
          </cell>
          <cell r="BY710">
            <v>0</v>
          </cell>
          <cell r="BZ710">
            <v>0</v>
          </cell>
          <cell r="CA710">
            <v>0</v>
          </cell>
          <cell r="CB710">
            <v>0</v>
          </cell>
          <cell r="CC710">
            <v>0</v>
          </cell>
          <cell r="CD710">
            <v>0</v>
          </cell>
        </row>
        <row r="711">
          <cell r="C711">
            <v>37963</v>
          </cell>
          <cell r="I711">
            <v>0</v>
          </cell>
          <cell r="N711">
            <v>0</v>
          </cell>
          <cell r="P711">
            <v>0</v>
          </cell>
          <cell r="T711">
            <v>0</v>
          </cell>
          <cell r="V711">
            <v>0</v>
          </cell>
          <cell r="W711">
            <v>0</v>
          </cell>
          <cell r="X711">
            <v>0</v>
          </cell>
          <cell r="Y711">
            <v>0</v>
          </cell>
          <cell r="AB711">
            <v>0</v>
          </cell>
          <cell r="AC711">
            <v>12</v>
          </cell>
          <cell r="AD711">
            <v>0</v>
          </cell>
          <cell r="BF711">
            <v>0</v>
          </cell>
          <cell r="BG711">
            <v>0</v>
          </cell>
          <cell r="BH711">
            <v>0</v>
          </cell>
          <cell r="BI711">
            <v>0</v>
          </cell>
          <cell r="BJ711">
            <v>0</v>
          </cell>
          <cell r="BK711">
            <v>0</v>
          </cell>
          <cell r="BL711">
            <v>0</v>
          </cell>
          <cell r="BM711">
            <v>0</v>
          </cell>
          <cell r="BN711">
            <v>0</v>
          </cell>
          <cell r="BO711">
            <v>0</v>
          </cell>
          <cell r="BP711">
            <v>0</v>
          </cell>
          <cell r="BQ711">
            <v>0</v>
          </cell>
          <cell r="BR711">
            <v>0</v>
          </cell>
          <cell r="BS711">
            <v>0</v>
          </cell>
          <cell r="BT711">
            <v>0</v>
          </cell>
          <cell r="BU711">
            <v>0</v>
          </cell>
          <cell r="BV711">
            <v>0</v>
          </cell>
          <cell r="BW711">
            <v>0</v>
          </cell>
          <cell r="BX711">
            <v>0</v>
          </cell>
          <cell r="BY711">
            <v>0</v>
          </cell>
          <cell r="BZ711">
            <v>0</v>
          </cell>
          <cell r="CA711">
            <v>0</v>
          </cell>
          <cell r="CB711">
            <v>0</v>
          </cell>
          <cell r="CC711">
            <v>0</v>
          </cell>
          <cell r="CD711">
            <v>0</v>
          </cell>
        </row>
        <row r="712">
          <cell r="C712">
            <v>37963</v>
          </cell>
          <cell r="I712">
            <v>0</v>
          </cell>
          <cell r="N712">
            <v>0</v>
          </cell>
          <cell r="P712">
            <v>0</v>
          </cell>
          <cell r="T712">
            <v>0</v>
          </cell>
          <cell r="V712">
            <v>0</v>
          </cell>
          <cell r="W712">
            <v>0</v>
          </cell>
          <cell r="X712">
            <v>0</v>
          </cell>
          <cell r="Y712">
            <v>0</v>
          </cell>
          <cell r="AB712">
            <v>0</v>
          </cell>
          <cell r="AC712">
            <v>12</v>
          </cell>
          <cell r="AD712">
            <v>0</v>
          </cell>
          <cell r="BF712">
            <v>0</v>
          </cell>
          <cell r="BG712">
            <v>0</v>
          </cell>
          <cell r="BH712">
            <v>0</v>
          </cell>
          <cell r="BI712">
            <v>0</v>
          </cell>
          <cell r="BJ712">
            <v>0</v>
          </cell>
          <cell r="BK712">
            <v>0</v>
          </cell>
          <cell r="BL712">
            <v>0</v>
          </cell>
          <cell r="BM712">
            <v>0</v>
          </cell>
          <cell r="BN712">
            <v>0</v>
          </cell>
          <cell r="BO712">
            <v>0</v>
          </cell>
          <cell r="BP712">
            <v>0</v>
          </cell>
          <cell r="BQ712">
            <v>0</v>
          </cell>
          <cell r="BR712">
            <v>0</v>
          </cell>
          <cell r="BS712">
            <v>0</v>
          </cell>
          <cell r="BT712">
            <v>0</v>
          </cell>
          <cell r="BU712">
            <v>0</v>
          </cell>
          <cell r="BV712">
            <v>0</v>
          </cell>
          <cell r="BW712">
            <v>0</v>
          </cell>
          <cell r="BX712">
            <v>0</v>
          </cell>
          <cell r="BY712">
            <v>0</v>
          </cell>
          <cell r="BZ712">
            <v>0</v>
          </cell>
          <cell r="CA712">
            <v>0</v>
          </cell>
          <cell r="CB712">
            <v>0</v>
          </cell>
          <cell r="CC712">
            <v>0</v>
          </cell>
          <cell r="CD712">
            <v>0</v>
          </cell>
        </row>
        <row r="713">
          <cell r="C713">
            <v>37963</v>
          </cell>
          <cell r="I713">
            <v>0</v>
          </cell>
          <cell r="N713">
            <v>0</v>
          </cell>
          <cell r="P713">
            <v>0</v>
          </cell>
          <cell r="T713">
            <v>0</v>
          </cell>
          <cell r="V713">
            <v>0</v>
          </cell>
          <cell r="W713">
            <v>0</v>
          </cell>
          <cell r="X713">
            <v>0</v>
          </cell>
          <cell r="Y713">
            <v>0</v>
          </cell>
          <cell r="AB713">
            <v>0</v>
          </cell>
          <cell r="AC713">
            <v>12</v>
          </cell>
          <cell r="AD713">
            <v>0</v>
          </cell>
          <cell r="BF713">
            <v>0</v>
          </cell>
          <cell r="BG713">
            <v>0</v>
          </cell>
          <cell r="BH713">
            <v>0</v>
          </cell>
          <cell r="BI713">
            <v>0</v>
          </cell>
          <cell r="BJ713">
            <v>0</v>
          </cell>
          <cell r="BK713">
            <v>0</v>
          </cell>
          <cell r="BL713">
            <v>0</v>
          </cell>
          <cell r="BM713">
            <v>0</v>
          </cell>
          <cell r="BN713">
            <v>0</v>
          </cell>
          <cell r="BO713">
            <v>0</v>
          </cell>
          <cell r="BP713">
            <v>0</v>
          </cell>
          <cell r="BQ713">
            <v>0</v>
          </cell>
          <cell r="BR713">
            <v>0</v>
          </cell>
          <cell r="BS713">
            <v>0</v>
          </cell>
          <cell r="BT713">
            <v>0</v>
          </cell>
          <cell r="BU713">
            <v>0</v>
          </cell>
          <cell r="BV713">
            <v>0</v>
          </cell>
          <cell r="BW713">
            <v>0</v>
          </cell>
          <cell r="BX713">
            <v>0</v>
          </cell>
          <cell r="BY713">
            <v>0</v>
          </cell>
          <cell r="BZ713">
            <v>0</v>
          </cell>
          <cell r="CA713">
            <v>0</v>
          </cell>
          <cell r="CB713">
            <v>0</v>
          </cell>
          <cell r="CC713">
            <v>0</v>
          </cell>
          <cell r="CD713">
            <v>0</v>
          </cell>
        </row>
        <row r="714">
          <cell r="C714">
            <v>37963</v>
          </cell>
          <cell r="I714">
            <v>0</v>
          </cell>
          <cell r="N714">
            <v>0</v>
          </cell>
          <cell r="P714">
            <v>0</v>
          </cell>
          <cell r="T714">
            <v>0</v>
          </cell>
          <cell r="V714">
            <v>0</v>
          </cell>
          <cell r="W714">
            <v>0</v>
          </cell>
          <cell r="X714">
            <v>0</v>
          </cell>
          <cell r="Y714">
            <v>0</v>
          </cell>
          <cell r="AB714">
            <v>0</v>
          </cell>
          <cell r="AC714">
            <v>12</v>
          </cell>
          <cell r="AD714">
            <v>0</v>
          </cell>
          <cell r="BF714">
            <v>0</v>
          </cell>
          <cell r="BG714">
            <v>0</v>
          </cell>
          <cell r="BH714">
            <v>0</v>
          </cell>
          <cell r="BI714">
            <v>0</v>
          </cell>
          <cell r="BJ714">
            <v>0</v>
          </cell>
          <cell r="BK714">
            <v>0</v>
          </cell>
          <cell r="BL714">
            <v>0</v>
          </cell>
          <cell r="BM714">
            <v>0</v>
          </cell>
          <cell r="BN714">
            <v>0</v>
          </cell>
          <cell r="BO714">
            <v>0</v>
          </cell>
          <cell r="BP714">
            <v>0</v>
          </cell>
          <cell r="BQ714">
            <v>0</v>
          </cell>
          <cell r="BR714">
            <v>0</v>
          </cell>
          <cell r="BS714">
            <v>0</v>
          </cell>
          <cell r="BT714">
            <v>0</v>
          </cell>
          <cell r="BU714">
            <v>0</v>
          </cell>
          <cell r="BV714">
            <v>0</v>
          </cell>
          <cell r="BW714">
            <v>0</v>
          </cell>
          <cell r="BX714">
            <v>0</v>
          </cell>
          <cell r="BY714">
            <v>0</v>
          </cell>
          <cell r="BZ714">
            <v>0</v>
          </cell>
          <cell r="CA714">
            <v>0</v>
          </cell>
          <cell r="CB714">
            <v>0</v>
          </cell>
          <cell r="CC714">
            <v>0</v>
          </cell>
          <cell r="CD714">
            <v>0</v>
          </cell>
        </row>
        <row r="715">
          <cell r="C715">
            <v>37963</v>
          </cell>
          <cell r="I715">
            <v>0</v>
          </cell>
          <cell r="N715">
            <v>0</v>
          </cell>
          <cell r="P715">
            <v>0</v>
          </cell>
          <cell r="T715">
            <v>0</v>
          </cell>
          <cell r="V715">
            <v>0</v>
          </cell>
          <cell r="W715">
            <v>0</v>
          </cell>
          <cell r="X715">
            <v>0</v>
          </cell>
          <cell r="Y715">
            <v>0</v>
          </cell>
          <cell r="AB715">
            <v>0</v>
          </cell>
          <cell r="AC715">
            <v>12</v>
          </cell>
          <cell r="AD715">
            <v>0</v>
          </cell>
          <cell r="BF715">
            <v>0</v>
          </cell>
          <cell r="BG715">
            <v>0</v>
          </cell>
          <cell r="BH715">
            <v>0</v>
          </cell>
          <cell r="BI715">
            <v>0</v>
          </cell>
          <cell r="BJ715">
            <v>0</v>
          </cell>
          <cell r="BK715">
            <v>0</v>
          </cell>
          <cell r="BL715">
            <v>0</v>
          </cell>
          <cell r="BM715">
            <v>0</v>
          </cell>
          <cell r="BN715">
            <v>0</v>
          </cell>
          <cell r="BO715">
            <v>0</v>
          </cell>
          <cell r="BP715">
            <v>0</v>
          </cell>
          <cell r="BQ715">
            <v>0</v>
          </cell>
          <cell r="BR715">
            <v>0</v>
          </cell>
          <cell r="BS715">
            <v>0</v>
          </cell>
          <cell r="BT715">
            <v>0</v>
          </cell>
          <cell r="BU715">
            <v>0</v>
          </cell>
          <cell r="BV715">
            <v>0</v>
          </cell>
          <cell r="BW715">
            <v>0</v>
          </cell>
          <cell r="BX715">
            <v>0</v>
          </cell>
          <cell r="BY715">
            <v>0</v>
          </cell>
          <cell r="BZ715">
            <v>0</v>
          </cell>
          <cell r="CA715">
            <v>0</v>
          </cell>
          <cell r="CB715">
            <v>0</v>
          </cell>
          <cell r="CC715">
            <v>0</v>
          </cell>
          <cell r="CD715">
            <v>0</v>
          </cell>
        </row>
        <row r="716">
          <cell r="C716">
            <v>37963</v>
          </cell>
          <cell r="I716">
            <v>0</v>
          </cell>
          <cell r="N716">
            <v>0</v>
          </cell>
          <cell r="P716">
            <v>0</v>
          </cell>
          <cell r="T716">
            <v>0</v>
          </cell>
          <cell r="V716">
            <v>0</v>
          </cell>
          <cell r="W716">
            <v>0</v>
          </cell>
          <cell r="X716">
            <v>0</v>
          </cell>
          <cell r="Y716">
            <v>0</v>
          </cell>
          <cell r="AB716">
            <v>0</v>
          </cell>
          <cell r="AC716">
            <v>12</v>
          </cell>
          <cell r="AD716">
            <v>0</v>
          </cell>
          <cell r="BF716">
            <v>0</v>
          </cell>
          <cell r="BG716">
            <v>0</v>
          </cell>
          <cell r="BH716">
            <v>0</v>
          </cell>
          <cell r="BI716">
            <v>0</v>
          </cell>
          <cell r="BJ716">
            <v>0</v>
          </cell>
          <cell r="BK716">
            <v>0</v>
          </cell>
          <cell r="BL716">
            <v>0</v>
          </cell>
          <cell r="BM716">
            <v>0</v>
          </cell>
          <cell r="BN716">
            <v>0</v>
          </cell>
          <cell r="BO716">
            <v>0</v>
          </cell>
          <cell r="BP716">
            <v>0</v>
          </cell>
          <cell r="BQ716">
            <v>0</v>
          </cell>
          <cell r="BR716">
            <v>0</v>
          </cell>
          <cell r="BS716">
            <v>0</v>
          </cell>
          <cell r="BT716">
            <v>0</v>
          </cell>
          <cell r="BU716">
            <v>0</v>
          </cell>
          <cell r="BV716">
            <v>0</v>
          </cell>
          <cell r="BW716">
            <v>0</v>
          </cell>
          <cell r="BX716">
            <v>0</v>
          </cell>
          <cell r="BY716">
            <v>0</v>
          </cell>
          <cell r="BZ716">
            <v>0</v>
          </cell>
          <cell r="CA716">
            <v>0</v>
          </cell>
          <cell r="CB716">
            <v>0</v>
          </cell>
          <cell r="CC716">
            <v>0</v>
          </cell>
          <cell r="CD716">
            <v>0</v>
          </cell>
        </row>
      </sheetData>
      <sheetData sheetId="2"/>
      <sheetData sheetId="3"/>
      <sheetData sheetId="4"/>
      <sheetData sheetId="5"/>
      <sheetData sheetId="6"/>
      <sheetData sheetId="7"/>
      <sheetData sheetId="8"/>
      <sheetData sheetId="9"/>
      <sheetData sheetId="10"/>
      <sheetData sheetId="11">
        <row r="2">
          <cell r="A2" t="str">
            <v>Nome</v>
          </cell>
          <cell r="B2" t="str">
            <v>Descrição</v>
          </cell>
          <cell r="C2" t="str">
            <v>Apelido</v>
          </cell>
          <cell r="D2" t="str">
            <v>Centro Custo</v>
          </cell>
          <cell r="E2" t="str">
            <v>Código SAP</v>
          </cell>
        </row>
        <row r="3">
          <cell r="A3" t="str">
            <v>Cabine de Pintura 15m</v>
          </cell>
          <cell r="B3" t="str">
            <v>Linha de Pintura Colunas (Até 15 m)</v>
          </cell>
          <cell r="C3" t="str">
            <v>Picasso</v>
          </cell>
          <cell r="D3" t="str">
            <v>EI32205803</v>
          </cell>
          <cell r="E3">
            <v>5803</v>
          </cell>
        </row>
        <row r="4">
          <cell r="A4" t="str">
            <v>Cabine de Pintura 3,2m</v>
          </cell>
          <cell r="B4" t="str">
            <v>Linha de Pintura Longarinas (Até 3,2 m)</v>
          </cell>
          <cell r="C4" t="str">
            <v>Dalí</v>
          </cell>
          <cell r="D4" t="str">
            <v>EI32205802</v>
          </cell>
          <cell r="E4">
            <v>5802</v>
          </cell>
        </row>
        <row r="5">
          <cell r="A5" t="str">
            <v>Cabine de Pintura 8,5m</v>
          </cell>
          <cell r="B5" t="str">
            <v>Linha de Pintura Produtos Gerais (Até 8,5 m)</v>
          </cell>
          <cell r="C5" t="str">
            <v>Goya</v>
          </cell>
          <cell r="D5" t="str">
            <v>EI32205801</v>
          </cell>
          <cell r="E5">
            <v>5801</v>
          </cell>
        </row>
        <row r="6">
          <cell r="A6" t="str">
            <v>Dobradeira Sorg</v>
          </cell>
          <cell r="B6" t="str">
            <v>Dobradeira Sorg</v>
          </cell>
          <cell r="D6" t="str">
            <v>EI32105201</v>
          </cell>
          <cell r="E6">
            <v>5201</v>
          </cell>
        </row>
        <row r="7">
          <cell r="A7" t="str">
            <v>Empilhadeira Elétrica</v>
          </cell>
          <cell r="B7" t="str">
            <v>Chefia e Movimentação</v>
          </cell>
          <cell r="D7" t="str">
            <v>EI32000000</v>
          </cell>
          <cell r="E7" t="str">
            <v>EI32000000</v>
          </cell>
        </row>
        <row r="8">
          <cell r="A8" t="str">
            <v>Esmerilhadeira</v>
          </cell>
          <cell r="B8" t="str">
            <v>Solda Manual</v>
          </cell>
          <cell r="D8" t="str">
            <v>EI32305701</v>
          </cell>
          <cell r="E8">
            <v>5701</v>
          </cell>
        </row>
        <row r="9">
          <cell r="A9" t="str">
            <v>Fresadora Universal</v>
          </cell>
          <cell r="B9" t="str">
            <v>Ferramentaria (Máquinas diversas)</v>
          </cell>
          <cell r="D9" t="str">
            <v>EI34000000</v>
          </cell>
          <cell r="E9" t="str">
            <v>EI34000000</v>
          </cell>
        </row>
        <row r="10">
          <cell r="A10" t="str">
            <v>Furadeira de Coluna</v>
          </cell>
          <cell r="B10" t="str">
            <v>Ferramentaria (Máquinas diversas)</v>
          </cell>
          <cell r="D10" t="str">
            <v>EI34000000</v>
          </cell>
          <cell r="E10" t="str">
            <v>EI34000000</v>
          </cell>
        </row>
        <row r="11">
          <cell r="A11" t="str">
            <v>Guilhotina Sorg</v>
          </cell>
          <cell r="B11" t="str">
            <v>Guilhotina Sorg</v>
          </cell>
          <cell r="D11" t="str">
            <v>EI32105402</v>
          </cell>
          <cell r="E11">
            <v>5402</v>
          </cell>
        </row>
        <row r="12">
          <cell r="A12" t="str">
            <v>Máquina de Embalar</v>
          </cell>
          <cell r="B12" t="str">
            <v>Pintura</v>
          </cell>
          <cell r="D12" t="str">
            <v>EI32200000</v>
          </cell>
        </row>
        <row r="13">
          <cell r="A13" t="str">
            <v>Máquina de Solda MIG</v>
          </cell>
          <cell r="B13" t="str">
            <v>Solda Manual</v>
          </cell>
          <cell r="D13" t="str">
            <v>EI32305700</v>
          </cell>
          <cell r="E13">
            <v>5700</v>
          </cell>
        </row>
        <row r="14">
          <cell r="A14" t="str">
            <v>Perfiladora Dimeco Conectores</v>
          </cell>
          <cell r="B14" t="str">
            <v>Perfiladora Dimeco Conectores + Prensa Jundiaí 200t com Alimentador</v>
          </cell>
          <cell r="C14" t="str">
            <v>Picún</v>
          </cell>
          <cell r="D14" t="str">
            <v>EI32105311</v>
          </cell>
          <cell r="E14">
            <v>5311</v>
          </cell>
        </row>
        <row r="15">
          <cell r="A15" t="str">
            <v>Perfiladora Dimeco Travesaños</v>
          </cell>
          <cell r="B15" t="str">
            <v>Perfiladora Dimeco Travesaños</v>
          </cell>
          <cell r="C15" t="str">
            <v>Pravia</v>
          </cell>
          <cell r="D15" t="str">
            <v>EI32105112</v>
          </cell>
          <cell r="E15">
            <v>5112</v>
          </cell>
        </row>
        <row r="16">
          <cell r="A16" t="str">
            <v>Perfiladora Fagor Largueros</v>
          </cell>
          <cell r="B16" t="str">
            <v>Perfiladora Fagor Largueros</v>
          </cell>
          <cell r="C16" t="str">
            <v>Asturias</v>
          </cell>
          <cell r="D16" t="str">
            <v>EI32105113</v>
          </cell>
          <cell r="E16">
            <v>5113</v>
          </cell>
        </row>
        <row r="17">
          <cell r="A17" t="str">
            <v>Perfiladora Fagor Montantes</v>
          </cell>
          <cell r="B17" t="str">
            <v>Perfiladora Fagor Montantes</v>
          </cell>
          <cell r="C17" t="str">
            <v>Iberia</v>
          </cell>
          <cell r="D17" t="str">
            <v>EI32105102</v>
          </cell>
          <cell r="E17">
            <v>5102</v>
          </cell>
        </row>
        <row r="18">
          <cell r="A18" t="str">
            <v>Perfiladora Gasparini</v>
          </cell>
          <cell r="B18" t="str">
            <v>Perfiladora de Colunas Gasparini</v>
          </cell>
          <cell r="C18" t="str">
            <v>Filippo</v>
          </cell>
          <cell r="D18" t="str">
            <v>EI32105101</v>
          </cell>
          <cell r="E18">
            <v>5101</v>
          </cell>
        </row>
        <row r="19">
          <cell r="A19" t="str">
            <v>Perfiladora Zikeli</v>
          </cell>
          <cell r="B19" t="str">
            <v>Perfiladora Zikeli</v>
          </cell>
          <cell r="C19" t="str">
            <v>María</v>
          </cell>
          <cell r="D19" t="str">
            <v>EI32105111</v>
          </cell>
          <cell r="E19">
            <v>5111</v>
          </cell>
        </row>
        <row r="20">
          <cell r="A20" t="str">
            <v>Prensa Gijón</v>
          </cell>
          <cell r="B20" t="str">
            <v>Prensa Gijón</v>
          </cell>
          <cell r="D20" t="str">
            <v>EI32105321</v>
          </cell>
          <cell r="E20">
            <v>5321</v>
          </cell>
        </row>
        <row r="21">
          <cell r="A21" t="str">
            <v>Prensa Jundiaí</v>
          </cell>
          <cell r="B21" t="str">
            <v>Prensa Jundiaí</v>
          </cell>
          <cell r="D21" t="str">
            <v>EI32105301</v>
          </cell>
          <cell r="E21">
            <v>5301</v>
          </cell>
        </row>
        <row r="22">
          <cell r="A22" t="str">
            <v>Retífica Plana</v>
          </cell>
          <cell r="B22" t="str">
            <v>Ferramentaria (Máquinas diversas)</v>
          </cell>
          <cell r="D22" t="str">
            <v>EI34000000</v>
          </cell>
          <cell r="E22" t="str">
            <v>EI34000000</v>
          </cell>
        </row>
        <row r="23">
          <cell r="A23" t="str">
            <v>Robô de Solda Automática</v>
          </cell>
          <cell r="B23" t="str">
            <v>Células de Solda Robotizadas / Longarinas</v>
          </cell>
          <cell r="C23" t="str">
            <v>Brasil</v>
          </cell>
          <cell r="D23" t="str">
            <v>EI32305724</v>
          </cell>
          <cell r="E23">
            <v>5724</v>
          </cell>
        </row>
        <row r="24">
          <cell r="A24" t="str">
            <v>Robô de Solda Automática</v>
          </cell>
          <cell r="B24" t="str">
            <v>Células de Solda Robotizadas / Longarinas</v>
          </cell>
          <cell r="C24" t="str">
            <v>España</v>
          </cell>
          <cell r="D24" t="str">
            <v>EI32305724</v>
          </cell>
          <cell r="E24">
            <v>5724</v>
          </cell>
        </row>
        <row r="25">
          <cell r="A25" t="str">
            <v>Robô de Solda Manual</v>
          </cell>
          <cell r="B25" t="str">
            <v>Célula de Solda Robotizada / Bases</v>
          </cell>
          <cell r="C25" t="str">
            <v>Pelé</v>
          </cell>
          <cell r="D25" t="str">
            <v>EI32305723</v>
          </cell>
          <cell r="E25">
            <v>5723</v>
          </cell>
        </row>
        <row r="26">
          <cell r="A26" t="str">
            <v>Robô de Solda Manual</v>
          </cell>
          <cell r="B26" t="str">
            <v>Célula de Solda Robotizada / Longarinas</v>
          </cell>
          <cell r="C26" t="str">
            <v>Pim-Pam-Pum</v>
          </cell>
          <cell r="D26" t="str">
            <v>EI32305721</v>
          </cell>
          <cell r="E26">
            <v>5721</v>
          </cell>
        </row>
        <row r="27">
          <cell r="A27" t="str">
            <v>Robô de Solda Manual</v>
          </cell>
          <cell r="B27" t="str">
            <v>Célula de Solda Robotizada / Longarinas</v>
          </cell>
          <cell r="C27" t="str">
            <v>Samba</v>
          </cell>
          <cell r="D27" t="str">
            <v>EI32305722</v>
          </cell>
          <cell r="E27">
            <v>5722</v>
          </cell>
        </row>
        <row r="28">
          <cell r="A28" t="str">
            <v>Sala dos Compressores</v>
          </cell>
          <cell r="B28" t="str">
            <v>Prédio Fábrica</v>
          </cell>
          <cell r="D28" t="str">
            <v>EI30500000</v>
          </cell>
        </row>
        <row r="29">
          <cell r="A29" t="str">
            <v>Serra de Fita</v>
          </cell>
          <cell r="B29" t="str">
            <v>Serra de Fita</v>
          </cell>
          <cell r="D29" t="str">
            <v>EI32105501</v>
          </cell>
          <cell r="E29">
            <v>5501</v>
          </cell>
        </row>
        <row r="30">
          <cell r="A30" t="str">
            <v>Serra Elétrica Circular</v>
          </cell>
          <cell r="B30" t="str">
            <v>Serras Brasil</v>
          </cell>
          <cell r="D30" t="str">
            <v>EI32105500</v>
          </cell>
          <cell r="E30">
            <v>5500</v>
          </cell>
        </row>
      </sheetData>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TENCION "/>
      <sheetName val="ANALISIS"/>
    </sheetNames>
    <sheetDataSet>
      <sheetData sheetId="0"/>
      <sheetData sheetId="1">
        <row r="30">
          <cell r="B30" t="str">
            <v>MAYOR</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TENCION "/>
      <sheetName val="ANALISIS"/>
    </sheetNames>
    <sheetDataSet>
      <sheetData sheetId="0"/>
      <sheetData sheetId="1">
        <row r="22">
          <cell r="B22" t="str">
            <v>PRODUCCIÓN Y DIRECCIÓN TÉCNICA</v>
          </cell>
        </row>
      </sheetData>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mailto:QuimicoFCO@clinicaprimavera.com"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hyperlink" Target="http://adjuntos/"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Z980"/>
  <sheetViews>
    <sheetView workbookViewId="0">
      <pane ySplit="1" topLeftCell="A230" activePane="bottomLeft" state="frozen"/>
      <selection pane="bottomLeft" activeCell="B236" sqref="B236"/>
    </sheetView>
  </sheetViews>
  <sheetFormatPr baseColWidth="10" defaultColWidth="12.625" defaultRowHeight="15" customHeight="1" x14ac:dyDescent="0.2"/>
  <cols>
    <col min="1" max="1" width="59.875" customWidth="1"/>
    <col min="2" max="2" width="53.75" customWidth="1"/>
    <col min="3" max="3" width="2.75" customWidth="1"/>
    <col min="4" max="4" width="20.875" customWidth="1"/>
    <col min="5" max="5" width="13.25" customWidth="1"/>
    <col min="6" max="6" width="9.375" customWidth="1"/>
    <col min="7" max="7" width="15.5" customWidth="1"/>
    <col min="8" max="8" width="9.375" customWidth="1"/>
    <col min="9" max="9" width="10.625" customWidth="1"/>
    <col min="10" max="26" width="9.375" customWidth="1"/>
  </cols>
  <sheetData>
    <row r="1" spans="1:9" x14ac:dyDescent="0.2">
      <c r="A1" s="1" t="s">
        <v>527</v>
      </c>
      <c r="B1" s="1" t="s">
        <v>1</v>
      </c>
    </row>
    <row r="2" spans="1:9" ht="21" customHeight="1" x14ac:dyDescent="0.2">
      <c r="A2" s="14" t="s">
        <v>493</v>
      </c>
      <c r="B2" s="9" t="s">
        <v>159</v>
      </c>
      <c r="D2" s="206"/>
      <c r="E2" s="206"/>
      <c r="F2" s="206"/>
      <c r="G2" s="206"/>
    </row>
    <row r="3" spans="1:9" ht="21" customHeight="1" x14ac:dyDescent="0.2">
      <c r="A3" s="14" t="s">
        <v>508</v>
      </c>
      <c r="B3" s="3" t="s">
        <v>228</v>
      </c>
      <c r="D3" s="206"/>
      <c r="E3" s="206"/>
      <c r="F3" s="206"/>
      <c r="G3" s="206"/>
    </row>
    <row r="4" spans="1:9" ht="21" customHeight="1" x14ac:dyDescent="0.2">
      <c r="A4" s="211" t="s">
        <v>549</v>
      </c>
      <c r="B4" s="5" t="s">
        <v>462</v>
      </c>
      <c r="D4" s="206"/>
      <c r="E4" s="206"/>
      <c r="F4" s="206"/>
      <c r="G4" s="206"/>
    </row>
    <row r="5" spans="1:9" ht="21" customHeight="1" x14ac:dyDescent="0.2">
      <c r="A5" s="211" t="s">
        <v>562</v>
      </c>
      <c r="B5" s="205" t="s">
        <v>227</v>
      </c>
      <c r="D5" s="206"/>
      <c r="E5" s="206"/>
      <c r="F5" s="206"/>
      <c r="G5" s="206"/>
      <c r="H5" s="206"/>
      <c r="I5" s="206"/>
    </row>
    <row r="6" spans="1:9" ht="21" customHeight="1" x14ac:dyDescent="0.2">
      <c r="A6" s="14" t="s">
        <v>220</v>
      </c>
      <c r="B6" s="3" t="s">
        <v>221</v>
      </c>
    </row>
    <row r="7" spans="1:9" ht="21" customHeight="1" x14ac:dyDescent="0.2">
      <c r="A7" s="14" t="s">
        <v>218</v>
      </c>
      <c r="B7" s="3" t="s">
        <v>155</v>
      </c>
    </row>
    <row r="8" spans="1:9" ht="21" customHeight="1" x14ac:dyDescent="0.2">
      <c r="A8" s="2" t="s">
        <v>217</v>
      </c>
      <c r="B8" s="3" t="s">
        <v>451</v>
      </c>
    </row>
    <row r="9" spans="1:9" ht="21" customHeight="1" x14ac:dyDescent="0.2">
      <c r="A9" s="2" t="s">
        <v>215</v>
      </c>
      <c r="B9" s="3" t="s">
        <v>216</v>
      </c>
    </row>
    <row r="10" spans="1:9" ht="21" customHeight="1" x14ac:dyDescent="0.2">
      <c r="A10" s="2" t="s">
        <v>213</v>
      </c>
      <c r="B10" s="3" t="s">
        <v>214</v>
      </c>
    </row>
    <row r="11" spans="1:9" ht="21" customHeight="1" x14ac:dyDescent="0.2">
      <c r="A11" s="2" t="s">
        <v>211</v>
      </c>
      <c r="B11" s="3" t="s">
        <v>490</v>
      </c>
    </row>
    <row r="12" spans="1:9" ht="21" customHeight="1" x14ac:dyDescent="0.2">
      <c r="A12" s="14" t="s">
        <v>462</v>
      </c>
      <c r="B12" s="3" t="s">
        <v>219</v>
      </c>
    </row>
    <row r="13" spans="1:9" ht="21" customHeight="1" x14ac:dyDescent="0.2">
      <c r="A13" s="2" t="s">
        <v>209</v>
      </c>
      <c r="B13" s="3" t="s">
        <v>212</v>
      </c>
    </row>
    <row r="14" spans="1:9" ht="21" customHeight="1" x14ac:dyDescent="0.2">
      <c r="A14" s="115" t="s">
        <v>207</v>
      </c>
      <c r="B14" s="3" t="s">
        <v>208</v>
      </c>
    </row>
    <row r="15" spans="1:9" ht="21" customHeight="1" x14ac:dyDescent="0.2">
      <c r="A15" s="2" t="s">
        <v>206</v>
      </c>
      <c r="B15" s="3" t="s">
        <v>151</v>
      </c>
    </row>
    <row r="16" spans="1:9" ht="21" customHeight="1" x14ac:dyDescent="0.2">
      <c r="A16" s="10" t="s">
        <v>204</v>
      </c>
      <c r="B16" s="3" t="s">
        <v>205</v>
      </c>
    </row>
    <row r="17" spans="1:2" ht="21" customHeight="1" x14ac:dyDescent="0.2">
      <c r="A17" s="2" t="s">
        <v>202</v>
      </c>
      <c r="B17" s="9" t="s">
        <v>203</v>
      </c>
    </row>
    <row r="18" spans="1:2" ht="21" customHeight="1" x14ac:dyDescent="0.2">
      <c r="A18" s="2" t="s">
        <v>459</v>
      </c>
      <c r="B18" s="3" t="s">
        <v>210</v>
      </c>
    </row>
    <row r="19" spans="1:2" ht="21" customHeight="1" x14ac:dyDescent="0.2">
      <c r="A19" s="211" t="s">
        <v>535</v>
      </c>
      <c r="B19" s="3" t="s">
        <v>148</v>
      </c>
    </row>
    <row r="20" spans="1:2" ht="21" customHeight="1" x14ac:dyDescent="0.2">
      <c r="A20" s="2" t="s">
        <v>200</v>
      </c>
      <c r="B20" s="3" t="s">
        <v>201</v>
      </c>
    </row>
    <row r="21" spans="1:2" ht="21" customHeight="1" x14ac:dyDescent="0.2">
      <c r="A21" s="115" t="s">
        <v>198</v>
      </c>
      <c r="B21" s="3" t="s">
        <v>199</v>
      </c>
    </row>
    <row r="22" spans="1:2" ht="21" customHeight="1" x14ac:dyDescent="0.2">
      <c r="A22" s="2" t="s">
        <v>197</v>
      </c>
      <c r="B22" s="3" t="s">
        <v>142</v>
      </c>
    </row>
    <row r="23" spans="1:2" ht="21" customHeight="1" x14ac:dyDescent="0.2">
      <c r="A23" s="196" t="s">
        <v>196</v>
      </c>
      <c r="B23" s="3" t="s">
        <v>140</v>
      </c>
    </row>
    <row r="24" spans="1:2" ht="21" customHeight="1" x14ac:dyDescent="0.2">
      <c r="A24" s="117" t="s">
        <v>195</v>
      </c>
      <c r="B24" s="3" t="s">
        <v>469</v>
      </c>
    </row>
    <row r="25" spans="1:2" ht="21" customHeight="1" x14ac:dyDescent="0.2">
      <c r="A25" s="2" t="s">
        <v>192</v>
      </c>
      <c r="B25" s="3" t="s">
        <v>138</v>
      </c>
    </row>
    <row r="26" spans="1:2" ht="21" customHeight="1" x14ac:dyDescent="0.2">
      <c r="A26" s="117" t="s">
        <v>194</v>
      </c>
      <c r="B26" s="3" t="s">
        <v>139</v>
      </c>
    </row>
    <row r="27" spans="1:2" ht="21" customHeight="1" x14ac:dyDescent="0.2">
      <c r="A27" s="2" t="s">
        <v>190</v>
      </c>
      <c r="B27" s="3" t="s">
        <v>193</v>
      </c>
    </row>
    <row r="28" spans="1:2" ht="21" customHeight="1" x14ac:dyDescent="0.2">
      <c r="A28" s="14" t="s">
        <v>526</v>
      </c>
      <c r="B28" s="3" t="s">
        <v>185</v>
      </c>
    </row>
    <row r="29" spans="1:2" ht="21" customHeight="1" x14ac:dyDescent="0.2">
      <c r="A29" s="211" t="s">
        <v>188</v>
      </c>
      <c r="B29" s="3" t="s">
        <v>191</v>
      </c>
    </row>
    <row r="30" spans="1:2" ht="29.25" customHeight="1" x14ac:dyDescent="0.2">
      <c r="A30" s="2" t="s">
        <v>186</v>
      </c>
      <c r="B30" s="3" t="s">
        <v>189</v>
      </c>
    </row>
    <row r="31" spans="1:2" ht="29.25" customHeight="1" x14ac:dyDescent="0.2">
      <c r="A31" s="6" t="s">
        <v>185</v>
      </c>
      <c r="B31" s="3" t="s">
        <v>187</v>
      </c>
    </row>
    <row r="32" spans="1:2" ht="29.25" customHeight="1" x14ac:dyDescent="0.2">
      <c r="A32" s="2" t="s">
        <v>183</v>
      </c>
      <c r="B32" s="3" t="s">
        <v>129</v>
      </c>
    </row>
    <row r="33" spans="1:2" ht="29.25" customHeight="1" x14ac:dyDescent="0.2">
      <c r="A33" s="211" t="s">
        <v>181</v>
      </c>
      <c r="B33" s="3" t="s">
        <v>184</v>
      </c>
    </row>
    <row r="34" spans="1:2" ht="29.25" customHeight="1" x14ac:dyDescent="0.2">
      <c r="A34" s="11" t="s">
        <v>177</v>
      </c>
      <c r="B34" s="9" t="s">
        <v>180</v>
      </c>
    </row>
    <row r="35" spans="1:2" ht="29.25" customHeight="1" x14ac:dyDescent="0.2">
      <c r="A35" s="10" t="s">
        <v>179</v>
      </c>
      <c r="B35" s="3" t="s">
        <v>182</v>
      </c>
    </row>
    <row r="36" spans="1:2" ht="29.25" customHeight="1" x14ac:dyDescent="0.2">
      <c r="A36" s="11" t="s">
        <v>175</v>
      </c>
      <c r="B36" s="3" t="s">
        <v>178</v>
      </c>
    </row>
    <row r="37" spans="1:2" ht="29.25" customHeight="1" x14ac:dyDescent="0.2">
      <c r="A37" s="10" t="s">
        <v>173</v>
      </c>
      <c r="B37" s="13" t="s">
        <v>176</v>
      </c>
    </row>
    <row r="38" spans="1:2" ht="29.25" customHeight="1" x14ac:dyDescent="0.2">
      <c r="A38" s="197" t="s">
        <v>171</v>
      </c>
      <c r="B38" s="13" t="s">
        <v>174</v>
      </c>
    </row>
    <row r="39" spans="1:2" ht="29.25" customHeight="1" x14ac:dyDescent="0.2">
      <c r="A39" s="197" t="s">
        <v>515</v>
      </c>
      <c r="B39" s="3" t="s">
        <v>173</v>
      </c>
    </row>
    <row r="40" spans="1:2" ht="29.25" customHeight="1" x14ac:dyDescent="0.2">
      <c r="A40" s="2" t="s">
        <v>169</v>
      </c>
      <c r="B40" s="3" t="s">
        <v>172</v>
      </c>
    </row>
    <row r="41" spans="1:2" ht="29.25" customHeight="1" x14ac:dyDescent="0.2">
      <c r="A41" s="2" t="s">
        <v>167</v>
      </c>
      <c r="B41" s="3" t="s">
        <v>170</v>
      </c>
    </row>
    <row r="42" spans="1:2" ht="29.25" customHeight="1" x14ac:dyDescent="0.2">
      <c r="A42" s="2" t="s">
        <v>165</v>
      </c>
      <c r="B42" s="3" t="s">
        <v>480</v>
      </c>
    </row>
    <row r="43" spans="1:2" ht="29.25" customHeight="1" x14ac:dyDescent="0.2">
      <c r="A43" s="2" t="s">
        <v>160</v>
      </c>
      <c r="B43" s="18" t="s">
        <v>164</v>
      </c>
    </row>
    <row r="44" spans="1:2" ht="29.25" customHeight="1" x14ac:dyDescent="0.2">
      <c r="A44" s="2" t="s">
        <v>163</v>
      </c>
      <c r="B44" s="18" t="s">
        <v>168</v>
      </c>
    </row>
    <row r="45" spans="1:2" ht="29.25" customHeight="1" x14ac:dyDescent="0.2">
      <c r="A45" s="202" t="s">
        <v>162</v>
      </c>
      <c r="B45" s="3" t="s">
        <v>166</v>
      </c>
    </row>
    <row r="46" spans="1:2" ht="29.25" customHeight="1" x14ac:dyDescent="0.2">
      <c r="A46" s="115" t="s">
        <v>159</v>
      </c>
      <c r="B46" s="3" t="s">
        <v>131</v>
      </c>
    </row>
    <row r="47" spans="1:2" ht="29.25" customHeight="1" x14ac:dyDescent="0.2">
      <c r="A47" s="2" t="s">
        <v>158</v>
      </c>
      <c r="B47" s="3" t="s">
        <v>161</v>
      </c>
    </row>
    <row r="48" spans="1:2" ht="29.25" customHeight="1" x14ac:dyDescent="0.2">
      <c r="A48" s="211" t="s">
        <v>547</v>
      </c>
      <c r="B48" s="3" t="s">
        <v>157</v>
      </c>
    </row>
    <row r="49" spans="1:2" ht="29.25" customHeight="1" x14ac:dyDescent="0.2">
      <c r="A49" s="2" t="s">
        <v>155</v>
      </c>
      <c r="B49" s="3" t="s">
        <v>122</v>
      </c>
    </row>
    <row r="50" spans="1:2" ht="29.25" customHeight="1" x14ac:dyDescent="0.2">
      <c r="A50" s="2" t="s">
        <v>156</v>
      </c>
      <c r="B50" s="3" t="s">
        <v>128</v>
      </c>
    </row>
    <row r="51" spans="1:2" ht="29.25" customHeight="1" x14ac:dyDescent="0.2">
      <c r="A51" s="14" t="s">
        <v>223</v>
      </c>
      <c r="B51" s="3" t="s">
        <v>222</v>
      </c>
    </row>
    <row r="52" spans="1:2" ht="29.25" customHeight="1" x14ac:dyDescent="0.2">
      <c r="A52" s="14" t="s">
        <v>126</v>
      </c>
      <c r="B52" s="3" t="s">
        <v>127</v>
      </c>
    </row>
    <row r="53" spans="1:2" ht="29.25" customHeight="1" x14ac:dyDescent="0.2">
      <c r="A53" s="2" t="s">
        <v>490</v>
      </c>
      <c r="B53" s="3" t="s">
        <v>119</v>
      </c>
    </row>
    <row r="54" spans="1:2" ht="29.25" customHeight="1" x14ac:dyDescent="0.2">
      <c r="A54" s="2" t="s">
        <v>154</v>
      </c>
      <c r="B54" s="3" t="s">
        <v>117</v>
      </c>
    </row>
    <row r="55" spans="1:2" ht="29.25" customHeight="1" x14ac:dyDescent="0.2">
      <c r="A55" s="211" t="s">
        <v>485</v>
      </c>
      <c r="B55" s="9" t="s">
        <v>485</v>
      </c>
    </row>
    <row r="56" spans="1:2" ht="29.25" customHeight="1" x14ac:dyDescent="0.2">
      <c r="A56" s="14" t="s">
        <v>461</v>
      </c>
      <c r="B56" s="9" t="s">
        <v>224</v>
      </c>
    </row>
    <row r="57" spans="1:2" ht="29.25" customHeight="1" x14ac:dyDescent="0.2">
      <c r="A57" s="2" t="s">
        <v>151</v>
      </c>
      <c r="B57" s="10" t="s">
        <v>152</v>
      </c>
    </row>
    <row r="58" spans="1:2" ht="29.25" customHeight="1" x14ac:dyDescent="0.2">
      <c r="A58" s="2" t="s">
        <v>152</v>
      </c>
      <c r="B58" s="3" t="s">
        <v>153</v>
      </c>
    </row>
    <row r="59" spans="1:2" ht="29.25" customHeight="1" x14ac:dyDescent="0.2">
      <c r="A59" s="14" t="s">
        <v>524</v>
      </c>
      <c r="B59" s="3" t="s">
        <v>230</v>
      </c>
    </row>
    <row r="60" spans="1:2" ht="29.25" customHeight="1" x14ac:dyDescent="0.2">
      <c r="A60" s="14" t="s">
        <v>150</v>
      </c>
      <c r="B60" s="3" t="s">
        <v>111</v>
      </c>
    </row>
    <row r="61" spans="1:2" ht="29.25" customHeight="1" x14ac:dyDescent="0.2">
      <c r="A61" s="2" t="s">
        <v>148</v>
      </c>
      <c r="B61" s="3" t="s">
        <v>149</v>
      </c>
    </row>
    <row r="62" spans="1:2" ht="29.25" customHeight="1" x14ac:dyDescent="0.2">
      <c r="A62" s="2" t="s">
        <v>146</v>
      </c>
      <c r="B62" s="3" t="s">
        <v>147</v>
      </c>
    </row>
    <row r="63" spans="1:2" ht="29.25" customHeight="1" x14ac:dyDescent="0.2">
      <c r="A63" s="211" t="s">
        <v>145</v>
      </c>
      <c r="B63" s="3" t="s">
        <v>110</v>
      </c>
    </row>
    <row r="64" spans="1:2" ht="29.25" customHeight="1" x14ac:dyDescent="0.2">
      <c r="A64" s="211" t="s">
        <v>143</v>
      </c>
      <c r="B64" s="3" t="s">
        <v>144</v>
      </c>
    </row>
    <row r="65" spans="1:26" ht="29.25" customHeight="1" x14ac:dyDescent="0.2">
      <c r="A65" s="211" t="s">
        <v>469</v>
      </c>
      <c r="B65" s="3" t="s">
        <v>105</v>
      </c>
    </row>
    <row r="66" spans="1:26" ht="29.25" customHeight="1" x14ac:dyDescent="0.2">
      <c r="A66" s="211" t="s">
        <v>537</v>
      </c>
      <c r="B66" s="3" t="s">
        <v>109</v>
      </c>
    </row>
    <row r="67" spans="1:26" ht="29.25" customHeight="1" x14ac:dyDescent="0.2">
      <c r="A67" s="2" t="s">
        <v>140</v>
      </c>
      <c r="B67" s="3" t="s">
        <v>141</v>
      </c>
      <c r="C67" s="16"/>
      <c r="D67" s="16"/>
      <c r="E67" s="16"/>
      <c r="F67" s="16"/>
      <c r="G67" s="16"/>
      <c r="H67" s="16"/>
      <c r="I67" s="16"/>
      <c r="J67" s="16"/>
      <c r="K67" s="16"/>
      <c r="L67" s="16"/>
      <c r="M67" s="16"/>
      <c r="N67" s="16"/>
      <c r="O67" s="16"/>
      <c r="P67" s="16"/>
      <c r="Q67" s="16"/>
      <c r="R67" s="16"/>
      <c r="S67" s="16"/>
      <c r="T67" s="16"/>
      <c r="U67" s="16"/>
      <c r="V67" s="16"/>
      <c r="W67" s="16"/>
      <c r="X67" s="16"/>
      <c r="Y67" s="16"/>
      <c r="Z67" s="16"/>
    </row>
    <row r="68" spans="1:26" ht="29.25" customHeight="1" x14ac:dyDescent="0.2">
      <c r="A68" s="211" t="s">
        <v>539</v>
      </c>
      <c r="B68" s="3" t="s">
        <v>107</v>
      </c>
    </row>
    <row r="69" spans="1:26" ht="29.25" customHeight="1" x14ac:dyDescent="0.2">
      <c r="A69" s="2" t="s">
        <v>138</v>
      </c>
      <c r="B69" s="3" t="s">
        <v>102</v>
      </c>
    </row>
    <row r="70" spans="1:26" ht="29.25" customHeight="1" x14ac:dyDescent="0.2">
      <c r="A70" s="2" t="s">
        <v>137</v>
      </c>
      <c r="B70" s="3" t="s">
        <v>136</v>
      </c>
    </row>
    <row r="71" spans="1:26" ht="29.25" customHeight="1" x14ac:dyDescent="0.2">
      <c r="A71" s="211" t="s">
        <v>555</v>
      </c>
      <c r="B71" s="3" t="s">
        <v>130</v>
      </c>
    </row>
    <row r="72" spans="1:26" ht="29.25" customHeight="1" x14ac:dyDescent="0.2">
      <c r="A72" s="2" t="s">
        <v>135</v>
      </c>
      <c r="B72" s="3" t="s">
        <v>134</v>
      </c>
    </row>
    <row r="73" spans="1:26" ht="29.25" customHeight="1" x14ac:dyDescent="0.2">
      <c r="A73" s="211" t="s">
        <v>538</v>
      </c>
      <c r="B73" s="3" t="s">
        <v>179</v>
      </c>
    </row>
    <row r="74" spans="1:26" ht="29.25" customHeight="1" x14ac:dyDescent="0.2">
      <c r="A74" s="14" t="s">
        <v>128</v>
      </c>
      <c r="B74" s="3" t="s">
        <v>129</v>
      </c>
    </row>
    <row r="75" spans="1:26" ht="29.25" customHeight="1" x14ac:dyDescent="0.2">
      <c r="A75" s="2" t="s">
        <v>132</v>
      </c>
      <c r="B75" s="3" t="s">
        <v>98</v>
      </c>
    </row>
    <row r="76" spans="1:26" ht="29.25" customHeight="1" x14ac:dyDescent="0.2">
      <c r="A76" s="10" t="s">
        <v>131</v>
      </c>
      <c r="B76" s="3" t="s">
        <v>478</v>
      </c>
    </row>
    <row r="77" spans="1:26" ht="29.25" customHeight="1" x14ac:dyDescent="0.2">
      <c r="A77" s="11" t="s">
        <v>124</v>
      </c>
      <c r="B77" s="9" t="s">
        <v>125</v>
      </c>
    </row>
    <row r="78" spans="1:26" ht="29.25" customHeight="1" x14ac:dyDescent="0.2">
      <c r="A78" s="14" t="s">
        <v>122</v>
      </c>
      <c r="B78" s="3" t="s">
        <v>123</v>
      </c>
    </row>
    <row r="79" spans="1:26" ht="29.25" customHeight="1" x14ac:dyDescent="0.2">
      <c r="A79" s="14" t="s">
        <v>512</v>
      </c>
      <c r="B79" s="3" t="s">
        <v>167</v>
      </c>
    </row>
    <row r="80" spans="1:26" ht="29.25" customHeight="1" x14ac:dyDescent="0.2">
      <c r="A80" s="2" t="s">
        <v>121</v>
      </c>
      <c r="B80" s="3" t="s">
        <v>78</v>
      </c>
    </row>
    <row r="81" spans="1:2" ht="29.25" customHeight="1" x14ac:dyDescent="0.2">
      <c r="A81" s="14" t="s">
        <v>119</v>
      </c>
      <c r="B81" s="3" t="s">
        <v>120</v>
      </c>
    </row>
    <row r="82" spans="1:2" ht="29.25" customHeight="1" x14ac:dyDescent="0.2">
      <c r="A82" s="114" t="s">
        <v>117</v>
      </c>
      <c r="B82" s="3" t="s">
        <v>118</v>
      </c>
    </row>
    <row r="83" spans="1:2" ht="29.25" customHeight="1" x14ac:dyDescent="0.2">
      <c r="A83" s="14" t="s">
        <v>115</v>
      </c>
      <c r="B83" s="3" t="s">
        <v>116</v>
      </c>
    </row>
    <row r="84" spans="1:2" ht="29.25" customHeight="1" x14ac:dyDescent="0.2">
      <c r="A84" s="211" t="s">
        <v>114</v>
      </c>
      <c r="B84" s="9" t="s">
        <v>74</v>
      </c>
    </row>
    <row r="85" spans="1:2" ht="29.25" customHeight="1" x14ac:dyDescent="0.2">
      <c r="A85" s="14" t="s">
        <v>112</v>
      </c>
      <c r="B85" s="3" t="s">
        <v>113</v>
      </c>
    </row>
    <row r="86" spans="1:2" ht="29.25" customHeight="1" x14ac:dyDescent="0.2">
      <c r="A86" s="2" t="s">
        <v>23</v>
      </c>
      <c r="B86" s="3" t="s">
        <v>24</v>
      </c>
    </row>
    <row r="87" spans="1:2" ht="29.25" customHeight="1" x14ac:dyDescent="0.2">
      <c r="A87" s="2" t="s">
        <v>111</v>
      </c>
      <c r="B87" s="17" t="s">
        <v>72</v>
      </c>
    </row>
    <row r="88" spans="1:2" ht="29.25" customHeight="1" x14ac:dyDescent="0.2">
      <c r="A88" s="211" t="s">
        <v>536</v>
      </c>
      <c r="B88" s="3" t="s">
        <v>70</v>
      </c>
    </row>
    <row r="89" spans="1:2" ht="29.25" customHeight="1" x14ac:dyDescent="0.2">
      <c r="A89" s="14" t="s">
        <v>733</v>
      </c>
      <c r="B89" s="17" t="s">
        <v>69</v>
      </c>
    </row>
    <row r="90" spans="1:2" ht="29.25" customHeight="1" x14ac:dyDescent="0.2">
      <c r="A90" s="14" t="s">
        <v>109</v>
      </c>
      <c r="B90" s="3" t="s">
        <v>67</v>
      </c>
    </row>
    <row r="91" spans="1:2" ht="29.25" customHeight="1" x14ac:dyDescent="0.2">
      <c r="A91" s="211" t="s">
        <v>558</v>
      </c>
      <c r="B91" s="5" t="s">
        <v>108</v>
      </c>
    </row>
    <row r="92" spans="1:2" ht="29.25" customHeight="1" x14ac:dyDescent="0.2">
      <c r="A92" s="2" t="s">
        <v>105</v>
      </c>
      <c r="B92" s="3" t="s">
        <v>106</v>
      </c>
    </row>
    <row r="93" spans="1:2" ht="29.25" customHeight="1" x14ac:dyDescent="0.2">
      <c r="A93" s="2" t="s">
        <v>104</v>
      </c>
      <c r="B93" s="3" t="s">
        <v>63</v>
      </c>
    </row>
    <row r="94" spans="1:2" ht="29.25" customHeight="1" x14ac:dyDescent="0.2">
      <c r="A94" s="115" t="s">
        <v>102</v>
      </c>
      <c r="B94" s="3" t="s">
        <v>103</v>
      </c>
    </row>
    <row r="95" spans="1:2" ht="29.25" customHeight="1" x14ac:dyDescent="0.2">
      <c r="A95" s="211" t="s">
        <v>541</v>
      </c>
      <c r="B95" s="3" t="s">
        <v>225</v>
      </c>
    </row>
    <row r="96" spans="1:2" ht="29.25" customHeight="1" x14ac:dyDescent="0.2">
      <c r="A96" s="2" t="s">
        <v>100</v>
      </c>
      <c r="B96" s="3" t="s">
        <v>101</v>
      </c>
    </row>
    <row r="97" spans="1:2" ht="29.25" customHeight="1" x14ac:dyDescent="0.2">
      <c r="A97" s="2" t="s">
        <v>98</v>
      </c>
      <c r="B97" s="3" t="s">
        <v>99</v>
      </c>
    </row>
    <row r="98" spans="1:2" ht="29.25" customHeight="1" x14ac:dyDescent="0.2">
      <c r="A98" s="2" t="s">
        <v>96</v>
      </c>
      <c r="B98" s="3" t="s">
        <v>97</v>
      </c>
    </row>
    <row r="99" spans="1:2" ht="29.25" customHeight="1" x14ac:dyDescent="0.2">
      <c r="A99" s="2" t="s">
        <v>94</v>
      </c>
      <c r="B99" s="3" t="s">
        <v>95</v>
      </c>
    </row>
    <row r="100" spans="1:2" ht="29.25" customHeight="1" x14ac:dyDescent="0.2">
      <c r="A100" s="2" t="s">
        <v>92</v>
      </c>
      <c r="B100" s="3" t="s">
        <v>93</v>
      </c>
    </row>
    <row r="101" spans="1:2" ht="29.25" customHeight="1" x14ac:dyDescent="0.2">
      <c r="A101" s="2" t="s">
        <v>84</v>
      </c>
      <c r="B101" s="3" t="s">
        <v>85</v>
      </c>
    </row>
    <row r="102" spans="1:2" ht="29.25" customHeight="1" x14ac:dyDescent="0.2">
      <c r="A102" s="2" t="s">
        <v>90</v>
      </c>
      <c r="B102" s="3" t="s">
        <v>91</v>
      </c>
    </row>
    <row r="103" spans="1:2" ht="29.25" customHeight="1" x14ac:dyDescent="0.2">
      <c r="A103" s="2" t="s">
        <v>88</v>
      </c>
      <c r="B103" s="3" t="s">
        <v>89</v>
      </c>
    </row>
    <row r="104" spans="1:2" ht="29.25" customHeight="1" x14ac:dyDescent="0.2">
      <c r="A104" s="14" t="s">
        <v>86</v>
      </c>
      <c r="B104" s="3" t="s">
        <v>87</v>
      </c>
    </row>
    <row r="105" spans="1:2" ht="29.25" customHeight="1" x14ac:dyDescent="0.2">
      <c r="A105" s="211" t="s">
        <v>82</v>
      </c>
      <c r="B105" s="3" t="s">
        <v>83</v>
      </c>
    </row>
    <row r="106" spans="1:2" ht="29.25" customHeight="1" x14ac:dyDescent="0.2">
      <c r="A106" s="211" t="s">
        <v>545</v>
      </c>
      <c r="B106" s="9" t="s">
        <v>79</v>
      </c>
    </row>
    <row r="107" spans="1:2" ht="29.25" customHeight="1" x14ac:dyDescent="0.2">
      <c r="A107" s="211" t="s">
        <v>75</v>
      </c>
      <c r="B107" s="3" t="s">
        <v>76</v>
      </c>
    </row>
    <row r="108" spans="1:2" ht="29.25" customHeight="1" x14ac:dyDescent="0.2">
      <c r="A108" s="14" t="s">
        <v>74</v>
      </c>
      <c r="B108" s="3" t="s">
        <v>54</v>
      </c>
    </row>
    <row r="109" spans="1:2" ht="29.25" customHeight="1" x14ac:dyDescent="0.2">
      <c r="A109" s="14" t="s">
        <v>521</v>
      </c>
      <c r="B109" s="11" t="s">
        <v>177</v>
      </c>
    </row>
    <row r="110" spans="1:2" ht="29.25" customHeight="1" x14ac:dyDescent="0.2">
      <c r="A110" s="14" t="s">
        <v>80</v>
      </c>
      <c r="B110" s="3" t="s">
        <v>81</v>
      </c>
    </row>
    <row r="111" spans="1:2" ht="29.25" customHeight="1" x14ac:dyDescent="0.2">
      <c r="A111" s="14" t="s">
        <v>488</v>
      </c>
      <c r="B111" s="3" t="s">
        <v>226</v>
      </c>
    </row>
    <row r="112" spans="1:2" ht="29.25" customHeight="1" x14ac:dyDescent="0.2">
      <c r="A112" s="7" t="s">
        <v>72</v>
      </c>
      <c r="B112" s="3" t="s">
        <v>50</v>
      </c>
    </row>
    <row r="113" spans="1:26" ht="29.25" customHeight="1" x14ac:dyDescent="0.2">
      <c r="A113" s="7" t="s">
        <v>70</v>
      </c>
      <c r="B113" s="3" t="s">
        <v>71</v>
      </c>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spans="1:26" ht="29.25" customHeight="1" x14ac:dyDescent="0.2">
      <c r="A114" s="7" t="s">
        <v>69</v>
      </c>
      <c r="B114" s="3" t="s">
        <v>49</v>
      </c>
    </row>
    <row r="115" spans="1:26" ht="29.25" customHeight="1" x14ac:dyDescent="0.2">
      <c r="A115" s="203" t="s">
        <v>67</v>
      </c>
      <c r="B115" s="3" t="s">
        <v>68</v>
      </c>
    </row>
    <row r="116" spans="1:26" ht="29.25" customHeight="1" x14ac:dyDescent="0.2">
      <c r="A116" s="215" t="s">
        <v>513</v>
      </c>
      <c r="B116" s="3" t="s">
        <v>171</v>
      </c>
    </row>
    <row r="117" spans="1:26" ht="29.25" customHeight="1" x14ac:dyDescent="0.2">
      <c r="A117" s="203" t="s">
        <v>450</v>
      </c>
      <c r="B117" s="3" t="s">
        <v>450</v>
      </c>
    </row>
    <row r="118" spans="1:26" ht="29.25" customHeight="1" x14ac:dyDescent="0.2">
      <c r="A118" s="2" t="s">
        <v>65</v>
      </c>
      <c r="B118" s="3" t="s">
        <v>66</v>
      </c>
    </row>
    <row r="119" spans="1:26" ht="29.25" customHeight="1" x14ac:dyDescent="0.2">
      <c r="A119" s="6" t="s">
        <v>63</v>
      </c>
      <c r="B119" s="3" t="s">
        <v>64</v>
      </c>
    </row>
    <row r="120" spans="1:26" ht="29.25" customHeight="1" x14ac:dyDescent="0.2">
      <c r="A120" s="118" t="s">
        <v>61</v>
      </c>
      <c r="B120" s="3" t="s">
        <v>62</v>
      </c>
    </row>
    <row r="121" spans="1:26" ht="29.25" customHeight="1" x14ac:dyDescent="0.2">
      <c r="A121" s="6" t="s">
        <v>59</v>
      </c>
      <c r="B121" s="3" t="s">
        <v>60</v>
      </c>
    </row>
    <row r="122" spans="1:26" ht="29.25" customHeight="1" x14ac:dyDescent="0.2">
      <c r="A122" s="2" t="s">
        <v>58</v>
      </c>
      <c r="B122" s="9" t="s">
        <v>454</v>
      </c>
    </row>
    <row r="123" spans="1:26" ht="29.25" customHeight="1" x14ac:dyDescent="0.2">
      <c r="A123" s="6" t="s">
        <v>468</v>
      </c>
      <c r="B123" s="3" t="s">
        <v>468</v>
      </c>
    </row>
    <row r="124" spans="1:26" ht="29.25" customHeight="1" x14ac:dyDescent="0.2">
      <c r="A124" s="6" t="s">
        <v>56</v>
      </c>
      <c r="B124" s="9" t="s">
        <v>467</v>
      </c>
    </row>
    <row r="125" spans="1:26" ht="29.25" customHeight="1" x14ac:dyDescent="0.2">
      <c r="A125" s="6" t="s">
        <v>54</v>
      </c>
      <c r="B125" s="9" t="s">
        <v>41</v>
      </c>
    </row>
    <row r="126" spans="1:26" ht="29.25" customHeight="1" x14ac:dyDescent="0.2">
      <c r="A126" s="211" t="s">
        <v>543</v>
      </c>
      <c r="B126" s="3" t="s">
        <v>57</v>
      </c>
    </row>
    <row r="127" spans="1:26" ht="29.25" customHeight="1" x14ac:dyDescent="0.2">
      <c r="A127" s="6" t="s">
        <v>50</v>
      </c>
      <c r="B127" s="3" t="s">
        <v>55</v>
      </c>
    </row>
    <row r="128" spans="1:26" ht="29.25" customHeight="1" x14ac:dyDescent="0.2">
      <c r="A128" s="7" t="s">
        <v>49</v>
      </c>
      <c r="B128" s="3" t="s">
        <v>51</v>
      </c>
    </row>
    <row r="129" spans="1:2" ht="29.25" customHeight="1" x14ac:dyDescent="0.2">
      <c r="A129" s="115" t="s">
        <v>47</v>
      </c>
      <c r="B129" s="3" t="s">
        <v>465</v>
      </c>
    </row>
    <row r="130" spans="1:2" ht="29.25" customHeight="1" x14ac:dyDescent="0.2">
      <c r="A130" s="2" t="s">
        <v>454</v>
      </c>
      <c r="B130" s="3" t="s">
        <v>37</v>
      </c>
    </row>
    <row r="131" spans="1:2" ht="29.25" customHeight="1" x14ac:dyDescent="0.2">
      <c r="A131" s="2" t="s">
        <v>45</v>
      </c>
      <c r="B131" s="3" t="s">
        <v>48</v>
      </c>
    </row>
    <row r="132" spans="1:2" ht="29.25" customHeight="1" x14ac:dyDescent="0.2">
      <c r="A132" s="8" t="s">
        <v>43</v>
      </c>
      <c r="B132" s="3" t="s">
        <v>46</v>
      </c>
    </row>
    <row r="133" spans="1:2" ht="29.25" customHeight="1" x14ac:dyDescent="0.2">
      <c r="A133" s="14" t="s">
        <v>76</v>
      </c>
      <c r="B133" s="9" t="s">
        <v>80</v>
      </c>
    </row>
    <row r="134" spans="1:2" ht="29.25" customHeight="1" x14ac:dyDescent="0.2">
      <c r="A134" s="7" t="s">
        <v>467</v>
      </c>
      <c r="B134" s="3" t="s">
        <v>53</v>
      </c>
    </row>
    <row r="135" spans="1:2" ht="29.25" customHeight="1" x14ac:dyDescent="0.2">
      <c r="A135" s="7" t="s">
        <v>41</v>
      </c>
      <c r="B135" s="3" t="s">
        <v>44</v>
      </c>
    </row>
    <row r="136" spans="1:2" ht="29.25" customHeight="1" x14ac:dyDescent="0.2">
      <c r="A136" s="204" t="s">
        <v>39</v>
      </c>
      <c r="B136" s="3" t="s">
        <v>42</v>
      </c>
    </row>
    <row r="137" spans="1:2" ht="29.25" customHeight="1" x14ac:dyDescent="0.2">
      <c r="A137" s="14" t="s">
        <v>51</v>
      </c>
      <c r="B137" s="3" t="s">
        <v>77</v>
      </c>
    </row>
    <row r="138" spans="1:2" ht="29.25" customHeight="1" x14ac:dyDescent="0.2">
      <c r="A138" s="2" t="s">
        <v>466</v>
      </c>
      <c r="B138" s="3" t="s">
        <v>26</v>
      </c>
    </row>
    <row r="139" spans="1:2" ht="29.25" customHeight="1" x14ac:dyDescent="0.2">
      <c r="A139" s="6" t="s">
        <v>37</v>
      </c>
      <c r="B139" s="3" t="s">
        <v>40</v>
      </c>
    </row>
    <row r="140" spans="1:2" ht="29.25" customHeight="1" x14ac:dyDescent="0.2">
      <c r="A140" s="7" t="s">
        <v>73</v>
      </c>
      <c r="B140" s="3" t="s">
        <v>52</v>
      </c>
    </row>
    <row r="141" spans="1:2" ht="29.25" customHeight="1" x14ac:dyDescent="0.2">
      <c r="A141" s="6" t="s">
        <v>36</v>
      </c>
      <c r="B141" s="3" t="s">
        <v>38</v>
      </c>
    </row>
    <row r="142" spans="1:2" ht="29.25" customHeight="1" x14ac:dyDescent="0.2">
      <c r="A142" s="2" t="s">
        <v>32</v>
      </c>
      <c r="B142" s="3" t="s">
        <v>35</v>
      </c>
    </row>
    <row r="143" spans="1:2" ht="29.25" customHeight="1" x14ac:dyDescent="0.2">
      <c r="A143" s="2" t="s">
        <v>33</v>
      </c>
      <c r="B143" s="3" t="s">
        <v>34</v>
      </c>
    </row>
    <row r="144" spans="1:2" ht="29.25" customHeight="1" x14ac:dyDescent="0.2">
      <c r="A144" s="2" t="s">
        <v>31</v>
      </c>
      <c r="B144" s="3" t="s">
        <v>32</v>
      </c>
    </row>
    <row r="145" spans="1:26" ht="29.25" customHeight="1" x14ac:dyDescent="0.2">
      <c r="A145" s="2" t="s">
        <v>26</v>
      </c>
      <c r="B145" s="3" t="s">
        <v>27</v>
      </c>
    </row>
    <row r="146" spans="1:26" ht="29.25" customHeight="1" x14ac:dyDescent="0.2">
      <c r="A146" s="2" t="s">
        <v>30</v>
      </c>
      <c r="B146" s="3" t="s">
        <v>25</v>
      </c>
    </row>
    <row r="147" spans="1:26" ht="29.25" customHeight="1" x14ac:dyDescent="0.2">
      <c r="A147" s="2" t="s">
        <v>28</v>
      </c>
      <c r="B147" s="3" t="s">
        <v>29</v>
      </c>
    </row>
    <row r="148" spans="1:26" ht="29.25" customHeight="1" x14ac:dyDescent="0.2">
      <c r="A148" s="2" t="s">
        <v>25</v>
      </c>
      <c r="B148" s="13" t="s">
        <v>23</v>
      </c>
    </row>
    <row r="149" spans="1:26" ht="29.25" customHeight="1" x14ac:dyDescent="0.2">
      <c r="A149" s="213" t="s">
        <v>16</v>
      </c>
      <c r="B149" s="10" t="s">
        <v>11</v>
      </c>
    </row>
    <row r="150" spans="1:26" ht="29.25" customHeight="1" x14ac:dyDescent="0.25">
      <c r="A150" s="213" t="s">
        <v>11</v>
      </c>
      <c r="B150" s="3" t="s">
        <v>8</v>
      </c>
      <c r="D150" s="209" t="s">
        <v>17</v>
      </c>
      <c r="E150" s="209" t="s">
        <v>18</v>
      </c>
      <c r="F150" s="209" t="s">
        <v>19</v>
      </c>
      <c r="G150" s="209" t="s">
        <v>20</v>
      </c>
      <c r="H150" s="209" t="s">
        <v>21</v>
      </c>
      <c r="I150" s="209" t="s">
        <v>22</v>
      </c>
    </row>
    <row r="151" spans="1:26" ht="29.25" customHeight="1" x14ac:dyDescent="0.25">
      <c r="A151" s="213" t="s">
        <v>8</v>
      </c>
      <c r="B151" s="3" t="s">
        <v>2</v>
      </c>
      <c r="D151" s="207" t="s">
        <v>12</v>
      </c>
      <c r="E151" s="207" t="s">
        <v>13</v>
      </c>
      <c r="F151" s="207" t="s">
        <v>14</v>
      </c>
      <c r="G151" s="207" t="s">
        <v>15</v>
      </c>
    </row>
    <row r="152" spans="1:26" ht="15.75" customHeight="1" x14ac:dyDescent="0.25">
      <c r="A152" s="213" t="s">
        <v>2</v>
      </c>
      <c r="B152" s="3" t="s">
        <v>3</v>
      </c>
      <c r="C152" s="4"/>
      <c r="D152" s="208" t="s">
        <v>9</v>
      </c>
      <c r="E152" s="208" t="s">
        <v>10</v>
      </c>
      <c r="F152" s="208"/>
      <c r="G152" s="208"/>
      <c r="H152" s="4"/>
      <c r="I152" s="4"/>
      <c r="J152" s="4"/>
      <c r="K152" s="4"/>
      <c r="L152" s="4"/>
      <c r="M152" s="4"/>
      <c r="N152" s="4"/>
      <c r="O152" s="4"/>
      <c r="P152" s="4"/>
      <c r="Q152" s="4"/>
      <c r="R152" s="4"/>
      <c r="S152" s="4"/>
      <c r="T152" s="4"/>
      <c r="U152" s="4"/>
      <c r="V152" s="4"/>
      <c r="W152" s="4"/>
      <c r="X152" s="4"/>
      <c r="Y152" s="4"/>
      <c r="Z152" s="4"/>
    </row>
    <row r="153" spans="1:26" ht="15.75" customHeight="1" x14ac:dyDescent="0.2">
      <c r="A153" s="214" t="s">
        <v>520</v>
      </c>
      <c r="B153" s="3" t="s">
        <v>229</v>
      </c>
    </row>
    <row r="154" spans="1:26" ht="15.75" customHeight="1" x14ac:dyDescent="0.25">
      <c r="A154" s="213" t="s">
        <v>527</v>
      </c>
      <c r="B154" s="18" t="s">
        <v>133</v>
      </c>
      <c r="D154" s="208" t="s">
        <v>4</v>
      </c>
      <c r="E154" s="208" t="s">
        <v>5</v>
      </c>
      <c r="F154" s="208" t="s">
        <v>6</v>
      </c>
      <c r="G154" s="208" t="s">
        <v>7</v>
      </c>
    </row>
    <row r="155" spans="1:26" ht="15.75" customHeight="1" x14ac:dyDescent="0.2">
      <c r="A155" s="214" t="s">
        <v>530</v>
      </c>
      <c r="B155" s="3" t="s">
        <v>186</v>
      </c>
    </row>
    <row r="156" spans="1:26" ht="15.75" customHeight="1" x14ac:dyDescent="0.2">
      <c r="A156" s="2" t="s">
        <v>533</v>
      </c>
      <c r="B156" s="3" t="s">
        <v>190</v>
      </c>
    </row>
    <row r="157" spans="1:26" ht="15.75" customHeight="1" x14ac:dyDescent="0.2">
      <c r="A157" s="14" t="s">
        <v>534</v>
      </c>
      <c r="B157" s="3" t="s">
        <v>231</v>
      </c>
    </row>
    <row r="158" spans="1:26" ht="15.75" customHeight="1" x14ac:dyDescent="0.2">
      <c r="A158" s="216" t="s">
        <v>540</v>
      </c>
      <c r="B158" s="3" t="s">
        <v>194</v>
      </c>
    </row>
    <row r="159" spans="1:26" ht="15.75" customHeight="1" x14ac:dyDescent="0.2">
      <c r="A159" s="216" t="s">
        <v>542</v>
      </c>
      <c r="B159" s="3" t="s">
        <v>192</v>
      </c>
    </row>
    <row r="160" spans="1:26" ht="15.75" customHeight="1" x14ac:dyDescent="0.2">
      <c r="A160" s="216" t="s">
        <v>544</v>
      </c>
      <c r="B160" s="3" t="s">
        <v>232</v>
      </c>
    </row>
    <row r="161" spans="1:2" ht="15.75" customHeight="1" x14ac:dyDescent="0.2">
      <c r="A161" s="216" t="s">
        <v>546</v>
      </c>
      <c r="B161" s="3" t="s">
        <v>233</v>
      </c>
    </row>
    <row r="162" spans="1:2" ht="15.75" customHeight="1" x14ac:dyDescent="0.2">
      <c r="A162" s="216" t="s">
        <v>548</v>
      </c>
      <c r="B162" s="3" t="s">
        <v>234</v>
      </c>
    </row>
    <row r="163" spans="1:2" ht="15.75" customHeight="1" x14ac:dyDescent="0.2">
      <c r="A163" s="216" t="s">
        <v>550</v>
      </c>
      <c r="B163" s="3" t="s">
        <v>235</v>
      </c>
    </row>
    <row r="164" spans="1:2" ht="15.75" customHeight="1" x14ac:dyDescent="0.2">
      <c r="A164" s="216" t="s">
        <v>551</v>
      </c>
      <c r="B164" s="3" t="s">
        <v>236</v>
      </c>
    </row>
    <row r="165" spans="1:2" ht="15.75" customHeight="1" x14ac:dyDescent="0.2">
      <c r="A165" s="216" t="s">
        <v>552</v>
      </c>
      <c r="B165" s="3" t="s">
        <v>237</v>
      </c>
    </row>
    <row r="166" spans="1:2" ht="15.75" customHeight="1" x14ac:dyDescent="0.2">
      <c r="A166" s="216" t="s">
        <v>553</v>
      </c>
      <c r="B166" s="3" t="s">
        <v>238</v>
      </c>
    </row>
    <row r="167" spans="1:2" ht="15.75" customHeight="1" x14ac:dyDescent="0.2">
      <c r="A167" s="216" t="s">
        <v>554</v>
      </c>
      <c r="B167" s="9" t="s">
        <v>239</v>
      </c>
    </row>
    <row r="168" spans="1:2" ht="15.75" customHeight="1" x14ac:dyDescent="0.2">
      <c r="A168" s="216" t="s">
        <v>556</v>
      </c>
      <c r="B168" s="9" t="s">
        <v>240</v>
      </c>
    </row>
    <row r="169" spans="1:2" ht="15.75" customHeight="1" x14ac:dyDescent="0.2">
      <c r="A169" s="216" t="s">
        <v>557</v>
      </c>
      <c r="B169" s="3" t="s">
        <v>241</v>
      </c>
    </row>
    <row r="170" spans="1:2" ht="15.75" customHeight="1" x14ac:dyDescent="0.2">
      <c r="A170" s="216" t="s">
        <v>559</v>
      </c>
      <c r="B170" s="3" t="s">
        <v>242</v>
      </c>
    </row>
    <row r="171" spans="1:2" ht="15.75" customHeight="1" x14ac:dyDescent="0.2">
      <c r="A171" s="216" t="s">
        <v>560</v>
      </c>
      <c r="B171" s="9" t="s">
        <v>243</v>
      </c>
    </row>
    <row r="172" spans="1:2" ht="15.75" customHeight="1" x14ac:dyDescent="0.2">
      <c r="A172" s="216" t="s">
        <v>561</v>
      </c>
      <c r="B172" s="3" t="s">
        <v>244</v>
      </c>
    </row>
    <row r="173" spans="1:2" ht="15.75" customHeight="1" x14ac:dyDescent="0.2">
      <c r="A173" s="216" t="s">
        <v>563</v>
      </c>
      <c r="B173" s="9" t="s">
        <v>245</v>
      </c>
    </row>
    <row r="174" spans="1:2" ht="15.75" customHeight="1" x14ac:dyDescent="0.2">
      <c r="A174" s="216" t="s">
        <v>564</v>
      </c>
      <c r="B174" s="3" t="s">
        <v>246</v>
      </c>
    </row>
    <row r="175" spans="1:2" ht="15.75" customHeight="1" x14ac:dyDescent="0.2">
      <c r="A175" s="216" t="s">
        <v>565</v>
      </c>
      <c r="B175" s="3" t="s">
        <v>247</v>
      </c>
    </row>
    <row r="176" spans="1:2" ht="15.75" customHeight="1" x14ac:dyDescent="0.2">
      <c r="A176" s="216" t="s">
        <v>566</v>
      </c>
      <c r="B176" s="3" t="s">
        <v>248</v>
      </c>
    </row>
    <row r="177" spans="1:2" ht="15.75" customHeight="1" x14ac:dyDescent="0.2">
      <c r="A177" s="2" t="s">
        <v>569</v>
      </c>
      <c r="B177" s="3" t="s">
        <v>249</v>
      </c>
    </row>
    <row r="178" spans="1:2" ht="15.75" customHeight="1" x14ac:dyDescent="0.2">
      <c r="A178" s="2" t="s">
        <v>568</v>
      </c>
      <c r="B178" s="3" t="s">
        <v>250</v>
      </c>
    </row>
    <row r="179" spans="1:2" ht="15.75" customHeight="1" x14ac:dyDescent="0.2">
      <c r="A179" s="2" t="s">
        <v>570</v>
      </c>
      <c r="B179" s="19" t="s">
        <v>251</v>
      </c>
    </row>
    <row r="180" spans="1:2" ht="15.75" customHeight="1" x14ac:dyDescent="0.2">
      <c r="A180" s="2" t="s">
        <v>589</v>
      </c>
      <c r="B180" s="3" t="s">
        <v>252</v>
      </c>
    </row>
    <row r="181" spans="1:2" ht="15.75" customHeight="1" x14ac:dyDescent="0.2">
      <c r="A181" s="2" t="s">
        <v>615</v>
      </c>
      <c r="B181" s="5" t="s">
        <v>253</v>
      </c>
    </row>
    <row r="182" spans="1:2" ht="15.75" customHeight="1" x14ac:dyDescent="0.2">
      <c r="A182" s="2" t="s">
        <v>645</v>
      </c>
      <c r="B182" s="12" t="s">
        <v>195</v>
      </c>
    </row>
    <row r="183" spans="1:2" ht="15.75" customHeight="1" x14ac:dyDescent="0.2">
      <c r="A183" s="2" t="s">
        <v>656</v>
      </c>
      <c r="B183" s="3" t="s">
        <v>254</v>
      </c>
    </row>
    <row r="184" spans="1:2" ht="15.75" customHeight="1" x14ac:dyDescent="0.2">
      <c r="A184" s="2" t="s">
        <v>703</v>
      </c>
      <c r="B184" s="3" t="s">
        <v>255</v>
      </c>
    </row>
    <row r="185" spans="1:2" ht="15.75" customHeight="1" x14ac:dyDescent="0.2">
      <c r="A185" s="2" t="s">
        <v>707</v>
      </c>
      <c r="B185" s="19" t="s">
        <v>196</v>
      </c>
    </row>
    <row r="186" spans="1:2" ht="15.75" customHeight="1" x14ac:dyDescent="0.2">
      <c r="A186" s="2" t="s">
        <v>781</v>
      </c>
      <c r="B186" s="19" t="s">
        <v>459</v>
      </c>
    </row>
    <row r="187" spans="1:2" ht="15.75" customHeight="1" x14ac:dyDescent="0.2">
      <c r="A187" s="2" t="s">
        <v>793</v>
      </c>
      <c r="B187" s="3" t="s">
        <v>507</v>
      </c>
    </row>
    <row r="188" spans="1:2" ht="15.75" customHeight="1" x14ac:dyDescent="0.2">
      <c r="A188" s="2" t="s">
        <v>839</v>
      </c>
      <c r="B188" s="9" t="s">
        <v>256</v>
      </c>
    </row>
    <row r="189" spans="1:2" ht="15.75" customHeight="1" x14ac:dyDescent="0.2">
      <c r="A189" s="2" t="s">
        <v>863</v>
      </c>
      <c r="B189" s="3" t="s">
        <v>257</v>
      </c>
    </row>
    <row r="190" spans="1:2" ht="15.75" customHeight="1" x14ac:dyDescent="0.2">
      <c r="A190" s="2" t="s">
        <v>876</v>
      </c>
      <c r="B190" s="3" t="s">
        <v>258</v>
      </c>
    </row>
    <row r="191" spans="1:2" ht="15.75" customHeight="1" x14ac:dyDescent="0.2">
      <c r="A191" s="2" t="s">
        <v>925</v>
      </c>
      <c r="B191" s="3" t="s">
        <v>213</v>
      </c>
    </row>
    <row r="192" spans="1:2" ht="15.75" customHeight="1" x14ac:dyDescent="0.2">
      <c r="A192" s="2"/>
      <c r="B192" s="3" t="s">
        <v>259</v>
      </c>
    </row>
    <row r="193" spans="1:2" ht="15.75" customHeight="1" x14ac:dyDescent="0.2">
      <c r="A193" s="2"/>
      <c r="B193" s="3" t="s">
        <v>260</v>
      </c>
    </row>
    <row r="194" spans="1:2" ht="15.75" customHeight="1" x14ac:dyDescent="0.2">
      <c r="A194" s="2"/>
      <c r="B194" s="3" t="s">
        <v>261</v>
      </c>
    </row>
    <row r="195" spans="1:2" ht="15.75" customHeight="1" x14ac:dyDescent="0.2">
      <c r="A195" s="2"/>
      <c r="B195" s="3" t="s">
        <v>223</v>
      </c>
    </row>
    <row r="196" spans="1:2" ht="15.75" customHeight="1" x14ac:dyDescent="0.2">
      <c r="A196" s="2"/>
      <c r="B196" s="3" t="s">
        <v>461</v>
      </c>
    </row>
    <row r="197" spans="1:2" ht="15.75" customHeight="1" x14ac:dyDescent="0.2">
      <c r="A197" s="16"/>
      <c r="B197" s="3" t="s">
        <v>464</v>
      </c>
    </row>
    <row r="198" spans="1:2" ht="15.75" customHeight="1" x14ac:dyDescent="0.2">
      <c r="A198" s="16"/>
      <c r="B198" s="198" t="s">
        <v>481</v>
      </c>
    </row>
    <row r="199" spans="1:2" ht="15.75" customHeight="1" x14ac:dyDescent="0.2">
      <c r="A199" s="16"/>
      <c r="B199" s="199" t="s">
        <v>489</v>
      </c>
    </row>
    <row r="200" spans="1:2" ht="15.75" customHeight="1" x14ac:dyDescent="0.2">
      <c r="A200" s="16"/>
      <c r="B200" s="199" t="s">
        <v>494</v>
      </c>
    </row>
    <row r="201" spans="1:2" ht="15.75" customHeight="1" x14ac:dyDescent="0.2">
      <c r="A201" s="16"/>
      <c r="B201" s="199" t="s">
        <v>496</v>
      </c>
    </row>
    <row r="202" spans="1:2" ht="15.75" customHeight="1" x14ac:dyDescent="0.2">
      <c r="A202" s="16"/>
      <c r="B202" s="200" t="s">
        <v>497</v>
      </c>
    </row>
    <row r="203" spans="1:2" ht="15.75" customHeight="1" x14ac:dyDescent="0.2">
      <c r="A203" s="16"/>
      <c r="B203" s="200" t="s">
        <v>508</v>
      </c>
    </row>
    <row r="204" spans="1:2" ht="15.75" customHeight="1" x14ac:dyDescent="0.2">
      <c r="A204" s="16"/>
      <c r="B204" s="200" t="s">
        <v>512</v>
      </c>
    </row>
    <row r="205" spans="1:2" ht="15.75" customHeight="1" x14ac:dyDescent="0.2">
      <c r="A205" s="16"/>
      <c r="B205" s="201" t="s">
        <v>514</v>
      </c>
    </row>
    <row r="206" spans="1:2" ht="15.75" customHeight="1" x14ac:dyDescent="0.2">
      <c r="A206" s="16"/>
      <c r="B206" s="200" t="s">
        <v>515</v>
      </c>
    </row>
    <row r="207" spans="1:2" ht="15.75" customHeight="1" x14ac:dyDescent="0.2">
      <c r="A207" s="16"/>
      <c r="B207" s="200" t="s">
        <v>520</v>
      </c>
    </row>
    <row r="208" spans="1:2" ht="15.75" customHeight="1" x14ac:dyDescent="0.2">
      <c r="A208" s="16"/>
      <c r="B208" s="20" t="s">
        <v>522</v>
      </c>
    </row>
    <row r="209" spans="1:2" ht="15.75" customHeight="1" x14ac:dyDescent="0.2">
      <c r="A209" s="16"/>
      <c r="B209" s="20" t="s">
        <v>523</v>
      </c>
    </row>
    <row r="210" spans="1:2" ht="15.75" customHeight="1" x14ac:dyDescent="0.2">
      <c r="A210" s="16"/>
      <c r="B210" s="20" t="s">
        <v>525</v>
      </c>
    </row>
    <row r="211" spans="1:2" ht="15.75" customHeight="1" x14ac:dyDescent="0.2">
      <c r="A211" s="16"/>
      <c r="B211" s="20" t="s">
        <v>526</v>
      </c>
    </row>
    <row r="212" spans="1:2" ht="15.75" customHeight="1" x14ac:dyDescent="0.2">
      <c r="A212" s="16"/>
      <c r="B212" s="20" t="s">
        <v>527</v>
      </c>
    </row>
    <row r="213" spans="1:2" ht="15.75" customHeight="1" x14ac:dyDescent="0.2">
      <c r="A213" s="16"/>
      <c r="B213" s="20" t="s">
        <v>531</v>
      </c>
    </row>
    <row r="214" spans="1:2" ht="15.75" customHeight="1" x14ac:dyDescent="0.2">
      <c r="A214" s="16"/>
      <c r="B214" s="20" t="s">
        <v>533</v>
      </c>
    </row>
    <row r="215" spans="1:2" ht="15.75" customHeight="1" x14ac:dyDescent="0.2">
      <c r="A215" s="16"/>
      <c r="B215" s="20" t="s">
        <v>534</v>
      </c>
    </row>
    <row r="216" spans="1:2" ht="15.75" customHeight="1" x14ac:dyDescent="0.2">
      <c r="A216" s="16" t="s">
        <v>567</v>
      </c>
      <c r="B216" s="20" t="s">
        <v>568</v>
      </c>
    </row>
    <row r="217" spans="1:2" ht="15.75" customHeight="1" x14ac:dyDescent="0.2">
      <c r="A217" s="16" t="s">
        <v>567</v>
      </c>
      <c r="B217" s="20" t="s">
        <v>569</v>
      </c>
    </row>
    <row r="218" spans="1:2" ht="15.75" customHeight="1" x14ac:dyDescent="0.2">
      <c r="A218" s="212" t="s">
        <v>567</v>
      </c>
      <c r="B218" s="2" t="s">
        <v>570</v>
      </c>
    </row>
    <row r="219" spans="1:2" ht="15.75" customHeight="1" x14ac:dyDescent="0.2">
      <c r="A219" s="212" t="s">
        <v>567</v>
      </c>
      <c r="B219" s="2" t="s">
        <v>589</v>
      </c>
    </row>
    <row r="220" spans="1:2" ht="15.75" customHeight="1" x14ac:dyDescent="0.2">
      <c r="A220" s="212" t="s">
        <v>567</v>
      </c>
      <c r="B220" s="20" t="s">
        <v>615</v>
      </c>
    </row>
    <row r="221" spans="1:2" ht="15.75" customHeight="1" x14ac:dyDescent="0.2">
      <c r="A221" s="212" t="s">
        <v>567</v>
      </c>
      <c r="B221" s="2" t="s">
        <v>645</v>
      </c>
    </row>
    <row r="222" spans="1:2" ht="15.75" customHeight="1" x14ac:dyDescent="0.2">
      <c r="A222" s="212" t="s">
        <v>567</v>
      </c>
      <c r="B222" s="20" t="s">
        <v>657</v>
      </c>
    </row>
    <row r="223" spans="1:2" ht="15.75" customHeight="1" x14ac:dyDescent="0.2">
      <c r="A223" s="212" t="s">
        <v>567</v>
      </c>
      <c r="B223" s="20" t="s">
        <v>703</v>
      </c>
    </row>
    <row r="224" spans="1:2" ht="31.5" customHeight="1" x14ac:dyDescent="0.2">
      <c r="B224" s="20" t="s">
        <v>707</v>
      </c>
    </row>
    <row r="225" spans="2:2" ht="31.5" customHeight="1" x14ac:dyDescent="0.2">
      <c r="B225" s="20" t="s">
        <v>725</v>
      </c>
    </row>
    <row r="226" spans="2:2" ht="31.5" customHeight="1" x14ac:dyDescent="0.2">
      <c r="B226" s="20" t="s">
        <v>781</v>
      </c>
    </row>
    <row r="227" spans="2:2" ht="31.5" customHeight="1" x14ac:dyDescent="0.2">
      <c r="B227" s="20" t="s">
        <v>793</v>
      </c>
    </row>
    <row r="228" spans="2:2" ht="31.5" customHeight="1" x14ac:dyDescent="0.2">
      <c r="B228" s="20" t="s">
        <v>799</v>
      </c>
    </row>
    <row r="229" spans="2:2" ht="31.5" customHeight="1" x14ac:dyDescent="0.2">
      <c r="B229" s="20" t="s">
        <v>813</v>
      </c>
    </row>
    <row r="230" spans="2:2" ht="31.5" customHeight="1" x14ac:dyDescent="0.2">
      <c r="B230" s="20" t="s">
        <v>838</v>
      </c>
    </row>
    <row r="231" spans="2:2" ht="31.5" customHeight="1" x14ac:dyDescent="0.2">
      <c r="B231" s="20" t="s">
        <v>863</v>
      </c>
    </row>
    <row r="232" spans="2:2" ht="31.5" customHeight="1" x14ac:dyDescent="0.2">
      <c r="B232" s="20" t="s">
        <v>876</v>
      </c>
    </row>
    <row r="233" spans="2:2" ht="31.5" customHeight="1" x14ac:dyDescent="0.2">
      <c r="B233" s="20" t="s">
        <v>925</v>
      </c>
    </row>
    <row r="234" spans="2:2" ht="31.5" customHeight="1" x14ac:dyDescent="0.2">
      <c r="B234" s="20"/>
    </row>
    <row r="235" spans="2:2" ht="31.5" customHeight="1" x14ac:dyDescent="0.2">
      <c r="B235" s="20"/>
    </row>
    <row r="236" spans="2:2" ht="31.5" customHeight="1" x14ac:dyDescent="0.2">
      <c r="B236" s="20"/>
    </row>
    <row r="237" spans="2:2" ht="31.5" customHeight="1" x14ac:dyDescent="0.2">
      <c r="B237" s="20"/>
    </row>
    <row r="238" spans="2:2" ht="31.5" customHeight="1" x14ac:dyDescent="0.2">
      <c r="B238" s="20"/>
    </row>
    <row r="239" spans="2:2" ht="31.5" customHeight="1" x14ac:dyDescent="0.2">
      <c r="B239" s="20"/>
    </row>
    <row r="240" spans="2:2" ht="31.5" customHeight="1" x14ac:dyDescent="0.2">
      <c r="B240" s="20"/>
    </row>
    <row r="241" spans="1:2" ht="31.5" customHeight="1" x14ac:dyDescent="0.2">
      <c r="B241" s="20"/>
    </row>
    <row r="242" spans="1:2" ht="31.5" customHeight="1" x14ac:dyDescent="0.2">
      <c r="B242" s="20"/>
    </row>
    <row r="243" spans="1:2" ht="15.75" customHeight="1" x14ac:dyDescent="0.2">
      <c r="A243" s="16"/>
      <c r="B243" s="20"/>
    </row>
    <row r="244" spans="1:2" ht="15.75" customHeight="1" x14ac:dyDescent="0.2">
      <c r="A244" s="16"/>
      <c r="B244" s="20"/>
    </row>
    <row r="245" spans="1:2" ht="15.75" customHeight="1" x14ac:dyDescent="0.2">
      <c r="A245" s="16"/>
      <c r="B245" s="20"/>
    </row>
    <row r="246" spans="1:2" ht="15.75" customHeight="1" x14ac:dyDescent="0.2">
      <c r="A246" s="16"/>
      <c r="B246" s="20"/>
    </row>
    <row r="247" spans="1:2" ht="15.75" customHeight="1" x14ac:dyDescent="0.2">
      <c r="A247" s="16"/>
      <c r="B247" s="20"/>
    </row>
    <row r="248" spans="1:2" ht="15.75" customHeight="1" x14ac:dyDescent="0.2">
      <c r="A248" s="16"/>
      <c r="B248" s="20"/>
    </row>
    <row r="249" spans="1:2" ht="15.75" customHeight="1" x14ac:dyDescent="0.2">
      <c r="A249" s="16"/>
      <c r="B249" s="20"/>
    </row>
    <row r="250" spans="1:2" ht="15.75" customHeight="1" x14ac:dyDescent="0.2">
      <c r="A250" s="16"/>
      <c r="B250" s="20"/>
    </row>
    <row r="251" spans="1:2" ht="15.75" customHeight="1" x14ac:dyDescent="0.2">
      <c r="A251" s="16"/>
      <c r="B251" s="20"/>
    </row>
    <row r="252" spans="1:2" ht="15.75" customHeight="1" x14ac:dyDescent="0.2">
      <c r="A252" s="16"/>
      <c r="B252" s="20"/>
    </row>
    <row r="253" spans="1:2" ht="15.75" customHeight="1" x14ac:dyDescent="0.2">
      <c r="A253" s="16"/>
      <c r="B253" s="20"/>
    </row>
    <row r="254" spans="1:2" ht="15.75" customHeight="1" x14ac:dyDescent="0.2">
      <c r="A254" s="16"/>
      <c r="B254" s="20"/>
    </row>
    <row r="255" spans="1:2" ht="15.75" customHeight="1" x14ac:dyDescent="0.2">
      <c r="A255" s="16"/>
      <c r="B255" s="20"/>
    </row>
    <row r="256" spans="1:2" ht="15.75" customHeight="1" x14ac:dyDescent="0.2">
      <c r="A256" s="16"/>
      <c r="B256" s="20"/>
    </row>
    <row r="257" spans="1:2" ht="15.75" customHeight="1" x14ac:dyDescent="0.2">
      <c r="A257" s="16"/>
      <c r="B257" s="20"/>
    </row>
    <row r="258" spans="1:2" ht="15.75" customHeight="1" x14ac:dyDescent="0.2">
      <c r="A258" s="16"/>
      <c r="B258" s="20"/>
    </row>
    <row r="259" spans="1:2" ht="15.75" customHeight="1" x14ac:dyDescent="0.2">
      <c r="A259" s="16"/>
      <c r="B259" s="20"/>
    </row>
    <row r="260" spans="1:2" ht="15.75" customHeight="1" x14ac:dyDescent="0.2">
      <c r="A260" s="16"/>
      <c r="B260" s="20"/>
    </row>
    <row r="261" spans="1:2" ht="15.75" customHeight="1" x14ac:dyDescent="0.2">
      <c r="A261" s="16"/>
      <c r="B261" s="20"/>
    </row>
    <row r="262" spans="1:2" ht="15.75" customHeight="1" x14ac:dyDescent="0.2">
      <c r="A262" s="16"/>
      <c r="B262" s="20"/>
    </row>
    <row r="263" spans="1:2" ht="15.75" customHeight="1" x14ac:dyDescent="0.2">
      <c r="A263" s="16"/>
      <c r="B263" s="20"/>
    </row>
    <row r="264" spans="1:2" ht="15.75" customHeight="1" x14ac:dyDescent="0.2">
      <c r="A264" s="16"/>
      <c r="B264" s="20"/>
    </row>
    <row r="265" spans="1:2" ht="15.75" customHeight="1" x14ac:dyDescent="0.2">
      <c r="A265" s="16"/>
      <c r="B265" s="20"/>
    </row>
    <row r="266" spans="1:2" ht="15.75" customHeight="1" x14ac:dyDescent="0.2">
      <c r="A266" s="16"/>
      <c r="B266" s="20"/>
    </row>
    <row r="267" spans="1:2" ht="15.75" customHeight="1" x14ac:dyDescent="0.2">
      <c r="A267" s="16"/>
      <c r="B267" s="20"/>
    </row>
    <row r="268" spans="1:2" ht="15.75" customHeight="1" x14ac:dyDescent="0.2">
      <c r="A268" s="16"/>
      <c r="B268" s="20"/>
    </row>
    <row r="269" spans="1:2" ht="15.75" customHeight="1" x14ac:dyDescent="0.2">
      <c r="A269" s="16"/>
      <c r="B269" s="20"/>
    </row>
    <row r="270" spans="1:2" ht="15.75" customHeight="1" x14ac:dyDescent="0.2">
      <c r="A270" s="16"/>
      <c r="B270" s="20"/>
    </row>
    <row r="271" spans="1:2" ht="15.75" customHeight="1" x14ac:dyDescent="0.2">
      <c r="A271" s="16"/>
      <c r="B271" s="20"/>
    </row>
    <row r="272" spans="1:2" ht="15.75" customHeight="1" x14ac:dyDescent="0.2">
      <c r="A272" s="16"/>
      <c r="B272" s="20"/>
    </row>
    <row r="273" spans="1:2" ht="15.75" customHeight="1" x14ac:dyDescent="0.2">
      <c r="A273" s="16"/>
      <c r="B273" s="20"/>
    </row>
    <row r="274" spans="1:2" ht="15.75" customHeight="1" x14ac:dyDescent="0.2">
      <c r="A274" s="16"/>
      <c r="B274" s="20"/>
    </row>
    <row r="275" spans="1:2" ht="15.75" customHeight="1" x14ac:dyDescent="0.2">
      <c r="A275" s="16"/>
      <c r="B275" s="20"/>
    </row>
    <row r="276" spans="1:2" ht="15.75" customHeight="1" x14ac:dyDescent="0.2">
      <c r="A276" s="16"/>
      <c r="B276" s="20"/>
    </row>
    <row r="277" spans="1:2" ht="15.75" customHeight="1" x14ac:dyDescent="0.2">
      <c r="A277" s="16"/>
      <c r="B277" s="20"/>
    </row>
    <row r="278" spans="1:2" ht="15.75" customHeight="1" x14ac:dyDescent="0.2">
      <c r="A278" s="16"/>
      <c r="B278" s="20"/>
    </row>
    <row r="279" spans="1:2" ht="15.75" customHeight="1" x14ac:dyDescent="0.2">
      <c r="A279" s="16"/>
      <c r="B279" s="20"/>
    </row>
    <row r="280" spans="1:2" ht="15.75" customHeight="1" x14ac:dyDescent="0.2">
      <c r="A280" s="16"/>
      <c r="B280" s="20"/>
    </row>
    <row r="281" spans="1:2" ht="15.75" customHeight="1" x14ac:dyDescent="0.2">
      <c r="A281" s="16"/>
      <c r="B281" s="20"/>
    </row>
    <row r="282" spans="1:2" ht="15.75" customHeight="1" x14ac:dyDescent="0.2">
      <c r="A282" s="16"/>
      <c r="B282" s="20"/>
    </row>
    <row r="283" spans="1:2" ht="15.75" customHeight="1" x14ac:dyDescent="0.2">
      <c r="A283" s="16"/>
      <c r="B283" s="20"/>
    </row>
    <row r="284" spans="1:2" ht="15.75" customHeight="1" x14ac:dyDescent="0.2">
      <c r="A284" s="16"/>
      <c r="B284" s="20"/>
    </row>
    <row r="285" spans="1:2" ht="15.75" customHeight="1" x14ac:dyDescent="0.2">
      <c r="A285" s="16"/>
      <c r="B285" s="20"/>
    </row>
    <row r="286" spans="1:2" ht="15.75" customHeight="1" x14ac:dyDescent="0.2">
      <c r="A286" s="16"/>
      <c r="B286" s="20"/>
    </row>
    <row r="287" spans="1:2" ht="15.75" customHeight="1" x14ac:dyDescent="0.2">
      <c r="A287" s="16"/>
      <c r="B287" s="20"/>
    </row>
    <row r="288" spans="1:2" ht="15.75" customHeight="1" x14ac:dyDescent="0.2">
      <c r="A288" s="16"/>
      <c r="B288" s="20"/>
    </row>
    <row r="289" spans="1:2" ht="15.75" customHeight="1" x14ac:dyDescent="0.2">
      <c r="A289" s="16"/>
      <c r="B289" s="20"/>
    </row>
    <row r="290" spans="1:2" ht="15.75" customHeight="1" x14ac:dyDescent="0.2">
      <c r="A290" s="16"/>
      <c r="B290" s="20"/>
    </row>
    <row r="291" spans="1:2" ht="15.75" customHeight="1" x14ac:dyDescent="0.2">
      <c r="A291" s="16"/>
      <c r="B291" s="20"/>
    </row>
    <row r="292" spans="1:2" ht="15.75" customHeight="1" x14ac:dyDescent="0.2">
      <c r="A292" s="16"/>
      <c r="B292" s="20"/>
    </row>
    <row r="293" spans="1:2" ht="15.75" customHeight="1" x14ac:dyDescent="0.2">
      <c r="A293" s="16"/>
      <c r="B293" s="20"/>
    </row>
    <row r="294" spans="1:2" ht="15.75" customHeight="1" x14ac:dyDescent="0.2">
      <c r="A294" s="16"/>
      <c r="B294" s="20"/>
    </row>
    <row r="295" spans="1:2" ht="15.75" customHeight="1" x14ac:dyDescent="0.2">
      <c r="A295" s="16"/>
      <c r="B295" s="20"/>
    </row>
    <row r="296" spans="1:2" ht="15.75" customHeight="1" x14ac:dyDescent="0.2">
      <c r="A296" s="16"/>
      <c r="B296" s="20"/>
    </row>
    <row r="297" spans="1:2" ht="15.75" customHeight="1" x14ac:dyDescent="0.2">
      <c r="A297" s="16"/>
      <c r="B297" s="20"/>
    </row>
    <row r="298" spans="1:2" ht="15.75" customHeight="1" x14ac:dyDescent="0.2">
      <c r="A298" s="16"/>
      <c r="B298" s="20"/>
    </row>
    <row r="299" spans="1:2" ht="15.75" customHeight="1" x14ac:dyDescent="0.2">
      <c r="A299" s="16"/>
      <c r="B299" s="20"/>
    </row>
    <row r="300" spans="1:2" ht="15.75" customHeight="1" x14ac:dyDescent="0.2">
      <c r="A300" s="16"/>
      <c r="B300" s="20"/>
    </row>
    <row r="301" spans="1:2" ht="15.75" customHeight="1" x14ac:dyDescent="0.2">
      <c r="A301" s="16"/>
      <c r="B301" s="20"/>
    </row>
    <row r="302" spans="1:2" ht="15.75" customHeight="1" x14ac:dyDescent="0.2">
      <c r="A302" s="16"/>
      <c r="B302" s="20"/>
    </row>
    <row r="303" spans="1:2" ht="15.75" customHeight="1" x14ac:dyDescent="0.2">
      <c r="A303" s="16"/>
      <c r="B303" s="20"/>
    </row>
    <row r="304" spans="1:2" ht="15.75" customHeight="1" x14ac:dyDescent="0.2">
      <c r="A304" s="16"/>
      <c r="B304" s="20"/>
    </row>
    <row r="305" spans="1:2" ht="15.75" customHeight="1" x14ac:dyDescent="0.2">
      <c r="A305" s="16"/>
      <c r="B305" s="20"/>
    </row>
    <row r="306" spans="1:2" ht="15.75" customHeight="1" x14ac:dyDescent="0.2">
      <c r="A306" s="16"/>
      <c r="B306" s="20"/>
    </row>
    <row r="307" spans="1:2" ht="15.75" customHeight="1" x14ac:dyDescent="0.2">
      <c r="A307" s="16"/>
      <c r="B307" s="20"/>
    </row>
    <row r="308" spans="1:2" ht="15.75" customHeight="1" x14ac:dyDescent="0.2">
      <c r="A308" s="16"/>
      <c r="B308" s="20"/>
    </row>
    <row r="309" spans="1:2" ht="15.75" customHeight="1" x14ac:dyDescent="0.2">
      <c r="A309" s="16"/>
      <c r="B309" s="20"/>
    </row>
    <row r="310" spans="1:2" ht="15.75" customHeight="1" x14ac:dyDescent="0.2">
      <c r="A310" s="16"/>
      <c r="B310" s="20"/>
    </row>
    <row r="311" spans="1:2" ht="15.75" customHeight="1" x14ac:dyDescent="0.2">
      <c r="A311" s="16"/>
      <c r="B311" s="20"/>
    </row>
    <row r="312" spans="1:2" ht="15.75" customHeight="1" x14ac:dyDescent="0.2">
      <c r="A312" s="16"/>
      <c r="B312" s="20"/>
    </row>
    <row r="313" spans="1:2" ht="15.75" customHeight="1" x14ac:dyDescent="0.2">
      <c r="A313" s="16"/>
      <c r="B313" s="20"/>
    </row>
    <row r="314" spans="1:2" ht="15.75" customHeight="1" x14ac:dyDescent="0.2">
      <c r="A314" s="16"/>
      <c r="B314" s="20"/>
    </row>
    <row r="315" spans="1:2" ht="15.75" customHeight="1" x14ac:dyDescent="0.2">
      <c r="A315" s="16"/>
      <c r="B315" s="20"/>
    </row>
    <row r="316" spans="1:2" ht="15.75" customHeight="1" x14ac:dyDescent="0.2">
      <c r="A316" s="16"/>
      <c r="B316" s="20"/>
    </row>
    <row r="317" spans="1:2" ht="15.75" customHeight="1" x14ac:dyDescent="0.2">
      <c r="A317" s="16"/>
      <c r="B317" s="20"/>
    </row>
    <row r="318" spans="1:2" ht="15.75" customHeight="1" x14ac:dyDescent="0.2">
      <c r="A318" s="16"/>
      <c r="B318" s="20"/>
    </row>
    <row r="319" spans="1:2" ht="15.75" customHeight="1" x14ac:dyDescent="0.2">
      <c r="A319" s="16"/>
      <c r="B319" s="20"/>
    </row>
    <row r="320" spans="1:2" ht="15.75" customHeight="1" x14ac:dyDescent="0.2">
      <c r="A320" s="16"/>
      <c r="B320" s="20"/>
    </row>
    <row r="321" spans="1:2" ht="15.75" customHeight="1" x14ac:dyDescent="0.2">
      <c r="A321" s="16"/>
      <c r="B321" s="20"/>
    </row>
    <row r="322" spans="1:2" ht="15.75" customHeight="1" x14ac:dyDescent="0.2">
      <c r="A322" s="16"/>
      <c r="B322" s="20"/>
    </row>
    <row r="323" spans="1:2" ht="15.75" customHeight="1" x14ac:dyDescent="0.2">
      <c r="A323" s="16"/>
      <c r="B323" s="20"/>
    </row>
    <row r="324" spans="1:2" ht="15.75" customHeight="1" x14ac:dyDescent="0.2">
      <c r="A324" s="16"/>
      <c r="B324" s="20"/>
    </row>
    <row r="325" spans="1:2" ht="15.75" customHeight="1" x14ac:dyDescent="0.2">
      <c r="A325" s="16"/>
      <c r="B325" s="20"/>
    </row>
    <row r="326" spans="1:2" ht="15.75" customHeight="1" x14ac:dyDescent="0.2">
      <c r="A326" s="16"/>
      <c r="B326" s="20"/>
    </row>
    <row r="327" spans="1:2" ht="15.75" customHeight="1" x14ac:dyDescent="0.2">
      <c r="A327" s="16"/>
      <c r="B327" s="20"/>
    </row>
    <row r="328" spans="1:2" ht="15.75" customHeight="1" x14ac:dyDescent="0.2">
      <c r="A328" s="16"/>
      <c r="B328" s="20"/>
    </row>
    <row r="329" spans="1:2" ht="15.75" customHeight="1" x14ac:dyDescent="0.2">
      <c r="A329" s="16"/>
      <c r="B329" s="20"/>
    </row>
    <row r="330" spans="1:2" ht="15.75" customHeight="1" x14ac:dyDescent="0.2">
      <c r="A330" s="16"/>
      <c r="B330" s="20"/>
    </row>
    <row r="331" spans="1:2" ht="15.75" customHeight="1" x14ac:dyDescent="0.2">
      <c r="A331" s="16"/>
      <c r="B331" s="20"/>
    </row>
    <row r="332" spans="1:2" ht="15.75" customHeight="1" x14ac:dyDescent="0.2">
      <c r="A332" s="16"/>
      <c r="B332" s="20"/>
    </row>
    <row r="333" spans="1:2" ht="15.75" customHeight="1" x14ac:dyDescent="0.2">
      <c r="A333" s="16"/>
      <c r="B333" s="20"/>
    </row>
    <row r="334" spans="1:2" ht="15.75" customHeight="1" x14ac:dyDescent="0.2">
      <c r="A334" s="16"/>
      <c r="B334" s="20"/>
    </row>
    <row r="335" spans="1:2" ht="15.75" customHeight="1" x14ac:dyDescent="0.2">
      <c r="A335" s="16"/>
      <c r="B335" s="20"/>
    </row>
    <row r="336" spans="1:2" ht="15.75" customHeight="1" x14ac:dyDescent="0.2">
      <c r="A336" s="16"/>
      <c r="B336" s="20"/>
    </row>
    <row r="337" spans="1:2" ht="15.75" customHeight="1" x14ac:dyDescent="0.2">
      <c r="A337" s="16"/>
      <c r="B337" s="20"/>
    </row>
    <row r="338" spans="1:2" ht="15.75" customHeight="1" x14ac:dyDescent="0.2">
      <c r="A338" s="16"/>
      <c r="B338" s="20"/>
    </row>
    <row r="339" spans="1:2" ht="15.75" customHeight="1" x14ac:dyDescent="0.2">
      <c r="A339" s="16"/>
      <c r="B339" s="20"/>
    </row>
    <row r="340" spans="1:2" ht="15.75" customHeight="1" x14ac:dyDescent="0.2">
      <c r="A340" s="16"/>
      <c r="B340" s="20"/>
    </row>
    <row r="341" spans="1:2" ht="15.75" customHeight="1" x14ac:dyDescent="0.2">
      <c r="A341" s="16"/>
      <c r="B341" s="20"/>
    </row>
    <row r="342" spans="1:2" ht="15.75" customHeight="1" x14ac:dyDescent="0.2">
      <c r="A342" s="16"/>
      <c r="B342" s="20"/>
    </row>
    <row r="343" spans="1:2" ht="15.75" customHeight="1" x14ac:dyDescent="0.2">
      <c r="A343" s="16"/>
      <c r="B343" s="20"/>
    </row>
    <row r="344" spans="1:2" ht="15.75" customHeight="1" x14ac:dyDescent="0.2">
      <c r="A344" s="16"/>
      <c r="B344" s="20"/>
    </row>
    <row r="345" spans="1:2" ht="15.75" customHeight="1" x14ac:dyDescent="0.2">
      <c r="A345" s="16"/>
      <c r="B345" s="20"/>
    </row>
    <row r="346" spans="1:2" ht="15.75" customHeight="1" x14ac:dyDescent="0.2">
      <c r="A346" s="16"/>
      <c r="B346" s="20"/>
    </row>
    <row r="347" spans="1:2" ht="15.75" customHeight="1" x14ac:dyDescent="0.2">
      <c r="A347" s="16"/>
      <c r="B347" s="20"/>
    </row>
    <row r="348" spans="1:2" ht="15.75" customHeight="1" x14ac:dyDescent="0.2">
      <c r="A348" s="16"/>
      <c r="B348" s="20"/>
    </row>
    <row r="349" spans="1:2" ht="15.75" customHeight="1" x14ac:dyDescent="0.2">
      <c r="A349" s="16"/>
      <c r="B349" s="20"/>
    </row>
    <row r="350" spans="1:2" ht="15.75" customHeight="1" x14ac:dyDescent="0.2">
      <c r="A350" s="16"/>
      <c r="B350" s="20"/>
    </row>
    <row r="351" spans="1:2" ht="15.75" customHeight="1" x14ac:dyDescent="0.2">
      <c r="A351" s="16"/>
      <c r="B351" s="20"/>
    </row>
    <row r="352" spans="1:2" ht="15.75" customHeight="1" x14ac:dyDescent="0.2">
      <c r="A352" s="16"/>
      <c r="B352" s="20"/>
    </row>
    <row r="353" spans="1:2" ht="15.75" customHeight="1" x14ac:dyDescent="0.2">
      <c r="A353" s="16"/>
      <c r="B353" s="20"/>
    </row>
    <row r="354" spans="1:2" ht="15.75" customHeight="1" x14ac:dyDescent="0.2">
      <c r="A354" s="16"/>
      <c r="B354" s="20"/>
    </row>
    <row r="355" spans="1:2" ht="15.75" customHeight="1" x14ac:dyDescent="0.2">
      <c r="A355" s="16"/>
      <c r="B355" s="20"/>
    </row>
    <row r="356" spans="1:2" ht="15.75" customHeight="1" x14ac:dyDescent="0.2">
      <c r="A356" s="16"/>
      <c r="B356" s="20"/>
    </row>
    <row r="357" spans="1:2" ht="15.75" customHeight="1" x14ac:dyDescent="0.2">
      <c r="A357" s="16"/>
      <c r="B357" s="20"/>
    </row>
    <row r="358" spans="1:2" ht="15.75" customHeight="1" x14ac:dyDescent="0.2">
      <c r="A358" s="16"/>
      <c r="B358" s="20"/>
    </row>
    <row r="359" spans="1:2" ht="15.75" customHeight="1" x14ac:dyDescent="0.2">
      <c r="A359" s="16"/>
      <c r="B359" s="20"/>
    </row>
    <row r="360" spans="1:2" ht="15.75" customHeight="1" x14ac:dyDescent="0.2">
      <c r="A360" s="16"/>
      <c r="B360" s="20"/>
    </row>
    <row r="361" spans="1:2" ht="15.75" customHeight="1" x14ac:dyDescent="0.2">
      <c r="A361" s="16"/>
      <c r="B361" s="20"/>
    </row>
    <row r="362" spans="1:2" ht="15.75" customHeight="1" x14ac:dyDescent="0.2">
      <c r="A362" s="16"/>
      <c r="B362" s="20"/>
    </row>
    <row r="363" spans="1:2" ht="15.75" customHeight="1" x14ac:dyDescent="0.2">
      <c r="A363" s="16"/>
      <c r="B363" s="20"/>
    </row>
    <row r="364" spans="1:2" ht="15.75" customHeight="1" x14ac:dyDescent="0.2">
      <c r="A364" s="16"/>
      <c r="B364" s="20"/>
    </row>
    <row r="365" spans="1:2" ht="15.75" customHeight="1" x14ac:dyDescent="0.2">
      <c r="B365" s="20"/>
    </row>
    <row r="366" spans="1:2" ht="15.75" customHeight="1" x14ac:dyDescent="0.2">
      <c r="B366" s="20"/>
    </row>
    <row r="367" spans="1:2" ht="15.75" customHeight="1" x14ac:dyDescent="0.2">
      <c r="B367" s="20"/>
    </row>
    <row r="368" spans="1:2"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sheetData>
  <autoFilter ref="A1:B242" xr:uid="{00000000-0001-0000-0000-000000000000}"/>
  <pageMargins left="0.7" right="0.7" top="0.75" bottom="0.75" header="0" footer="0"/>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2C072-07F7-451A-BED1-8C153132B2C1}">
  <sheetPr codeName="Hoja2">
    <pageSetUpPr fitToPage="1"/>
  </sheetPr>
  <dimension ref="A1:Z1048574"/>
  <sheetViews>
    <sheetView showGridLines="0" view="pageBreakPreview" topLeftCell="A31" zoomScaleNormal="82" zoomScaleSheetLayoutView="100" workbookViewId="0">
      <selection activeCell="J36" sqref="J36:L36"/>
    </sheetView>
  </sheetViews>
  <sheetFormatPr baseColWidth="10" defaultColWidth="12.625" defaultRowHeight="15" customHeight="1" x14ac:dyDescent="0.2"/>
  <cols>
    <col min="1" max="1" width="3.375" style="132" customWidth="1"/>
    <col min="2" max="2" width="13.75" style="132" customWidth="1"/>
    <col min="3" max="3" width="2.125" style="132" customWidth="1"/>
    <col min="4" max="4" width="18.125" style="132" customWidth="1"/>
    <col min="5" max="5" width="18.375" style="132" customWidth="1"/>
    <col min="6" max="6" width="14.625" style="132" customWidth="1"/>
    <col min="7" max="7" width="12.5" style="132" customWidth="1"/>
    <col min="8" max="8" width="20.625" style="132" customWidth="1"/>
    <col min="9" max="9" width="5.5" style="132" customWidth="1"/>
    <col min="10" max="10" width="4.75" style="132" customWidth="1"/>
    <col min="11" max="11" width="14.25" style="132" customWidth="1"/>
    <col min="12" max="12" width="17.25" style="132" customWidth="1"/>
    <col min="13" max="13" width="1.875" style="132" customWidth="1"/>
    <col min="14" max="14" width="10" style="132" hidden="1" customWidth="1"/>
    <col min="15" max="16" width="10" style="132" customWidth="1"/>
    <col min="17" max="26" width="9.375" style="132" customWidth="1"/>
    <col min="27" max="16384" width="12.625" style="132"/>
  </cols>
  <sheetData>
    <row r="1" spans="1:26" ht="38.25" customHeight="1" x14ac:dyDescent="0.2">
      <c r="A1" s="131"/>
      <c r="B1" s="332"/>
      <c r="C1" s="333"/>
      <c r="D1" s="333"/>
      <c r="E1" s="333"/>
      <c r="F1" s="333"/>
      <c r="G1" s="333"/>
      <c r="H1" s="333"/>
      <c r="I1" s="333"/>
      <c r="J1" s="333"/>
      <c r="K1" s="334"/>
      <c r="L1" s="335" t="s">
        <v>262</v>
      </c>
      <c r="M1" s="336"/>
      <c r="N1" s="131"/>
      <c r="O1" s="131"/>
      <c r="P1" s="131"/>
      <c r="Q1" s="131"/>
      <c r="R1" s="131"/>
      <c r="S1" s="131"/>
      <c r="T1" s="131"/>
      <c r="U1" s="131"/>
      <c r="V1" s="131"/>
      <c r="W1" s="131"/>
      <c r="X1" s="131"/>
      <c r="Y1" s="131"/>
      <c r="Z1" s="131"/>
    </row>
    <row r="2" spans="1:26" ht="36" customHeight="1" x14ac:dyDescent="0.2">
      <c r="A2" s="131"/>
      <c r="B2" s="337" t="s">
        <v>263</v>
      </c>
      <c r="C2" s="296"/>
      <c r="D2" s="296"/>
      <c r="E2" s="296"/>
      <c r="F2" s="296"/>
      <c r="G2" s="296"/>
      <c r="H2" s="296"/>
      <c r="I2" s="296"/>
      <c r="J2" s="296"/>
      <c r="K2" s="297"/>
      <c r="L2" s="338" t="s">
        <v>517</v>
      </c>
      <c r="M2" s="299"/>
      <c r="N2" s="131"/>
      <c r="O2" s="131"/>
      <c r="P2" s="131"/>
      <c r="Q2" s="131"/>
      <c r="R2" s="131"/>
      <c r="S2" s="131"/>
      <c r="T2" s="131"/>
      <c r="U2" s="131"/>
      <c r="V2" s="131"/>
      <c r="W2" s="131"/>
      <c r="X2" s="131"/>
      <c r="Y2" s="131"/>
      <c r="Z2" s="131"/>
    </row>
    <row r="3" spans="1:26" x14ac:dyDescent="0.2">
      <c r="A3" s="131"/>
      <c r="B3" s="133"/>
      <c r="C3" s="134"/>
      <c r="D3" s="134"/>
      <c r="E3" s="134"/>
      <c r="F3" s="134"/>
      <c r="G3" s="134"/>
      <c r="H3" s="134"/>
      <c r="I3" s="134"/>
      <c r="J3" s="134"/>
      <c r="K3" s="134"/>
      <c r="L3" s="134"/>
      <c r="M3" s="135"/>
      <c r="N3" s="131"/>
      <c r="O3" s="131"/>
      <c r="P3" s="131"/>
      <c r="Q3" s="131"/>
      <c r="R3" s="131"/>
      <c r="S3" s="131"/>
      <c r="T3" s="131"/>
      <c r="U3" s="131"/>
      <c r="V3" s="131"/>
      <c r="W3" s="131"/>
      <c r="X3" s="131"/>
      <c r="Y3" s="131"/>
      <c r="Z3" s="131"/>
    </row>
    <row r="4" spans="1:26" ht="23.25" customHeight="1" x14ac:dyDescent="0.2">
      <c r="A4" s="131"/>
      <c r="B4" s="312" t="s">
        <v>264</v>
      </c>
      <c r="C4" s="296"/>
      <c r="D4" s="296"/>
      <c r="E4" s="296"/>
      <c r="F4" s="296"/>
      <c r="G4" s="296"/>
      <c r="H4" s="296"/>
      <c r="I4" s="296"/>
      <c r="J4" s="296"/>
      <c r="K4" s="296"/>
      <c r="L4" s="296"/>
      <c r="M4" s="299"/>
      <c r="N4" s="131"/>
      <c r="O4" s="131"/>
      <c r="P4" s="131"/>
      <c r="Q4" s="131"/>
      <c r="R4" s="131"/>
      <c r="S4" s="131"/>
      <c r="T4" s="131"/>
      <c r="U4" s="131"/>
      <c r="V4" s="131"/>
      <c r="W4" s="131"/>
      <c r="X4" s="131"/>
      <c r="Y4" s="131"/>
      <c r="Z4" s="131"/>
    </row>
    <row r="5" spans="1:26" ht="7.5" customHeight="1" x14ac:dyDescent="0.2">
      <c r="A5" s="131"/>
      <c r="B5" s="136"/>
      <c r="C5" s="137"/>
      <c r="D5" s="137"/>
      <c r="E5" s="137"/>
      <c r="F5" s="137"/>
      <c r="G5" s="138"/>
      <c r="H5" s="137"/>
      <c r="I5" s="137"/>
      <c r="J5" s="137"/>
      <c r="K5" s="137"/>
      <c r="L5" s="137"/>
      <c r="M5" s="139"/>
      <c r="N5" s="131"/>
      <c r="O5" s="131"/>
      <c r="P5" s="131"/>
      <c r="Q5" s="131"/>
      <c r="R5" s="131"/>
      <c r="S5" s="131"/>
      <c r="T5" s="131"/>
      <c r="U5" s="131"/>
      <c r="V5" s="131"/>
      <c r="W5" s="131"/>
      <c r="X5" s="131"/>
      <c r="Y5" s="131"/>
      <c r="Z5" s="131"/>
    </row>
    <row r="6" spans="1:26" ht="23.25" customHeight="1" x14ac:dyDescent="0.2">
      <c r="A6" s="131"/>
      <c r="B6" s="339" t="s">
        <v>265</v>
      </c>
      <c r="C6" s="311"/>
      <c r="D6" s="340"/>
      <c r="E6" s="141">
        <v>46122</v>
      </c>
      <c r="F6" s="142" t="s">
        <v>266</v>
      </c>
      <c r="G6" s="315" t="s">
        <v>375</v>
      </c>
      <c r="H6" s="296"/>
      <c r="I6" s="297"/>
      <c r="J6" s="341" t="s">
        <v>268</v>
      </c>
      <c r="K6" s="340"/>
      <c r="L6" s="144">
        <v>130</v>
      </c>
      <c r="M6" s="139"/>
      <c r="N6" s="131"/>
      <c r="O6" s="131"/>
      <c r="P6" s="131"/>
      <c r="Q6" s="131"/>
      <c r="R6" s="131"/>
      <c r="S6" s="131"/>
      <c r="T6" s="131"/>
      <c r="U6" s="131"/>
      <c r="V6" s="131"/>
      <c r="W6" s="131"/>
      <c r="X6" s="131"/>
      <c r="Y6" s="131"/>
      <c r="Z6" s="131"/>
    </row>
    <row r="7" spans="1:26" ht="9" customHeight="1" x14ac:dyDescent="0.2">
      <c r="A7" s="131"/>
      <c r="B7" s="136"/>
      <c r="C7" s="137"/>
      <c r="D7" s="137"/>
      <c r="E7" s="145"/>
      <c r="F7" s="145"/>
      <c r="G7" s="137"/>
      <c r="H7" s="145"/>
      <c r="I7" s="145"/>
      <c r="J7" s="145"/>
      <c r="K7" s="145"/>
      <c r="L7" s="313"/>
      <c r="M7" s="314"/>
      <c r="N7" s="131"/>
      <c r="O7" s="131"/>
      <c r="P7" s="131"/>
      <c r="Q7" s="131"/>
      <c r="R7" s="131"/>
      <c r="S7" s="131"/>
      <c r="T7" s="131"/>
      <c r="U7" s="131"/>
      <c r="V7" s="131"/>
      <c r="W7" s="131"/>
      <c r="X7" s="131"/>
      <c r="Y7" s="131"/>
      <c r="Z7" s="131"/>
    </row>
    <row r="8" spans="1:26" ht="7.5" customHeight="1" x14ac:dyDescent="0.2">
      <c r="A8" s="131"/>
      <c r="B8" s="136"/>
      <c r="C8" s="137"/>
      <c r="D8" s="137"/>
      <c r="E8" s="145"/>
      <c r="F8" s="145"/>
      <c r="G8" s="137"/>
      <c r="H8" s="145"/>
      <c r="I8" s="145"/>
      <c r="J8" s="145"/>
      <c r="K8" s="145"/>
      <c r="L8" s="137"/>
      <c r="M8" s="139"/>
      <c r="N8" s="131"/>
      <c r="O8" s="131"/>
      <c r="P8" s="131"/>
      <c r="Q8" s="131"/>
      <c r="R8" s="131"/>
      <c r="S8" s="131"/>
      <c r="T8" s="131"/>
      <c r="U8" s="131"/>
      <c r="V8" s="131"/>
      <c r="W8" s="131"/>
      <c r="X8" s="131"/>
      <c r="Y8" s="131"/>
      <c r="Z8" s="131"/>
    </row>
    <row r="9" spans="1:26" ht="22.5" customHeight="1" x14ac:dyDescent="0.2">
      <c r="A9" s="131"/>
      <c r="B9" s="342" t="s">
        <v>269</v>
      </c>
      <c r="C9" s="311"/>
      <c r="D9" s="340"/>
      <c r="E9" s="146">
        <v>0.78888888888888886</v>
      </c>
      <c r="F9" s="343" t="s">
        <v>270</v>
      </c>
      <c r="G9" s="340"/>
      <c r="H9" s="315" t="s">
        <v>529</v>
      </c>
      <c r="I9" s="296"/>
      <c r="J9" s="296"/>
      <c r="K9" s="297"/>
      <c r="L9" s="344" t="s">
        <v>677</v>
      </c>
      <c r="M9" s="314"/>
      <c r="N9" s="131"/>
      <c r="O9" s="131"/>
      <c r="P9" s="131"/>
      <c r="Q9" s="131"/>
      <c r="R9" s="131"/>
      <c r="S9" s="131"/>
      <c r="T9" s="131"/>
      <c r="U9" s="131"/>
      <c r="V9" s="131"/>
      <c r="W9" s="131"/>
      <c r="X9" s="131"/>
      <c r="Y9" s="131"/>
      <c r="Z9" s="131"/>
    </row>
    <row r="10" spans="1:26" ht="15" customHeight="1" x14ac:dyDescent="0.2">
      <c r="A10" s="131"/>
      <c r="B10" s="148"/>
      <c r="C10" s="149"/>
      <c r="D10" s="149"/>
      <c r="E10" s="145"/>
      <c r="F10" s="145"/>
      <c r="G10" s="313" t="s">
        <v>272</v>
      </c>
      <c r="H10" s="311"/>
      <c r="I10" s="311"/>
      <c r="J10" s="311"/>
      <c r="K10" s="311"/>
      <c r="L10" s="311"/>
      <c r="M10" s="139"/>
      <c r="N10" s="131"/>
      <c r="O10" s="131"/>
      <c r="P10" s="131"/>
      <c r="Q10" s="131"/>
      <c r="R10" s="131"/>
      <c r="S10" s="131"/>
      <c r="T10" s="131"/>
      <c r="U10" s="131"/>
      <c r="V10" s="131"/>
      <c r="W10" s="131"/>
      <c r="X10" s="131"/>
      <c r="Y10" s="131"/>
      <c r="Z10" s="131"/>
    </row>
    <row r="11" spans="1:26" ht="22.5" customHeight="1" x14ac:dyDescent="0.2">
      <c r="A11" s="131"/>
      <c r="B11" s="321" t="s">
        <v>273</v>
      </c>
      <c r="C11" s="311"/>
      <c r="D11" s="311"/>
      <c r="E11" s="311"/>
      <c r="F11" s="322" t="s">
        <v>274</v>
      </c>
      <c r="G11" s="296"/>
      <c r="H11" s="297"/>
      <c r="I11" s="147"/>
      <c r="J11" s="145"/>
      <c r="K11" s="145"/>
      <c r="L11" s="313"/>
      <c r="M11" s="314"/>
      <c r="N11" s="131"/>
      <c r="O11" s="131"/>
      <c r="P11" s="131"/>
      <c r="Q11" s="131"/>
      <c r="R11" s="131"/>
      <c r="S11" s="131"/>
      <c r="T11" s="131"/>
      <c r="U11" s="131"/>
      <c r="V11" s="131"/>
      <c r="W11" s="131"/>
      <c r="X11" s="131"/>
      <c r="Y11" s="131"/>
      <c r="Z11" s="131"/>
    </row>
    <row r="12" spans="1:26" ht="7.5" customHeight="1" thickBot="1" x14ac:dyDescent="0.25">
      <c r="A12" s="131"/>
      <c r="B12" s="151"/>
      <c r="C12" s="152"/>
      <c r="D12" s="152"/>
      <c r="E12" s="152"/>
      <c r="F12" s="152"/>
      <c r="G12" s="152"/>
      <c r="H12" s="153"/>
      <c r="I12" s="153"/>
      <c r="J12" s="154"/>
      <c r="K12" s="154"/>
      <c r="L12" s="154"/>
      <c r="M12" s="155"/>
      <c r="N12" s="131"/>
      <c r="O12" s="131"/>
      <c r="P12" s="131"/>
      <c r="Q12" s="131"/>
      <c r="R12" s="131"/>
      <c r="S12" s="131"/>
      <c r="T12" s="131"/>
      <c r="U12" s="131"/>
      <c r="V12" s="131"/>
      <c r="W12" s="131"/>
      <c r="X12" s="131"/>
      <c r="Y12" s="131"/>
      <c r="Z12" s="131"/>
    </row>
    <row r="13" spans="1:26" x14ac:dyDescent="0.2">
      <c r="A13" s="131"/>
      <c r="B13" s="133"/>
      <c r="C13" s="134"/>
      <c r="D13" s="134"/>
      <c r="E13" s="134"/>
      <c r="F13" s="156"/>
      <c r="G13" s="134"/>
      <c r="H13" s="134"/>
      <c r="I13" s="134"/>
      <c r="J13" s="134"/>
      <c r="K13" s="134"/>
      <c r="L13" s="156"/>
      <c r="M13" s="135"/>
      <c r="N13" s="131"/>
      <c r="O13" s="131"/>
      <c r="P13" s="131"/>
      <c r="Q13" s="131"/>
      <c r="R13" s="131"/>
      <c r="S13" s="131"/>
      <c r="T13" s="131"/>
      <c r="U13" s="131"/>
      <c r="V13" s="131"/>
      <c r="W13" s="131"/>
      <c r="X13" s="131"/>
      <c r="Y13" s="131"/>
      <c r="Z13" s="131"/>
    </row>
    <row r="14" spans="1:26" ht="23.25" customHeight="1" x14ac:dyDescent="0.2">
      <c r="A14" s="131"/>
      <c r="B14" s="312" t="s">
        <v>275</v>
      </c>
      <c r="C14" s="296"/>
      <c r="D14" s="296"/>
      <c r="E14" s="296"/>
      <c r="F14" s="296"/>
      <c r="G14" s="296"/>
      <c r="H14" s="296"/>
      <c r="I14" s="296"/>
      <c r="J14" s="296"/>
      <c r="K14" s="296"/>
      <c r="L14" s="296"/>
      <c r="M14" s="299"/>
      <c r="N14" s="131"/>
      <c r="O14" s="131"/>
      <c r="P14" s="131"/>
      <c r="Q14" s="131"/>
      <c r="R14" s="131"/>
      <c r="S14" s="131"/>
      <c r="T14" s="131"/>
      <c r="U14" s="131"/>
      <c r="V14" s="131"/>
      <c r="W14" s="131"/>
      <c r="X14" s="131"/>
      <c r="Y14" s="131"/>
      <c r="Z14" s="131"/>
    </row>
    <row r="15" spans="1:26" ht="20.25" customHeight="1" x14ac:dyDescent="0.2">
      <c r="A15" s="131"/>
      <c r="B15" s="157"/>
      <c r="C15" s="158"/>
      <c r="D15" s="158"/>
      <c r="E15" s="158"/>
      <c r="F15" s="158"/>
      <c r="G15" s="158"/>
      <c r="H15" s="158"/>
      <c r="I15" s="158"/>
      <c r="J15" s="158"/>
      <c r="K15" s="158"/>
      <c r="L15" s="158"/>
      <c r="M15" s="159"/>
      <c r="N15" s="131"/>
      <c r="O15" s="131"/>
      <c r="P15" s="131"/>
      <c r="Q15" s="131"/>
      <c r="R15" s="131"/>
      <c r="S15" s="131"/>
      <c r="T15" s="131"/>
      <c r="U15" s="131"/>
      <c r="V15" s="131"/>
      <c r="W15" s="131"/>
      <c r="X15" s="131"/>
      <c r="Y15" s="131"/>
      <c r="Z15" s="131"/>
    </row>
    <row r="16" spans="1:26" ht="20.25" customHeight="1" x14ac:dyDescent="0.2">
      <c r="A16" s="160"/>
      <c r="B16" s="161"/>
      <c r="C16" s="162"/>
      <c r="D16" s="162"/>
      <c r="E16" s="323" t="s">
        <v>0</v>
      </c>
      <c r="F16" s="311"/>
      <c r="G16" s="311"/>
      <c r="H16" s="311"/>
      <c r="I16" s="311"/>
      <c r="J16" s="311"/>
      <c r="K16" s="163"/>
      <c r="L16" s="164"/>
      <c r="M16" s="165"/>
      <c r="N16" s="160"/>
      <c r="O16" s="160"/>
      <c r="P16" s="160"/>
      <c r="Q16" s="160"/>
      <c r="R16" s="160"/>
      <c r="S16" s="160"/>
      <c r="T16" s="160"/>
      <c r="U16" s="160"/>
      <c r="V16" s="160"/>
      <c r="W16" s="160"/>
      <c r="X16" s="160"/>
      <c r="Y16" s="160"/>
      <c r="Z16" s="160"/>
    </row>
    <row r="17" spans="1:26" ht="24" customHeight="1" x14ac:dyDescent="0.2">
      <c r="A17" s="131"/>
      <c r="B17" s="161"/>
      <c r="C17" s="162"/>
      <c r="D17" s="162"/>
      <c r="E17" s="324" t="s">
        <v>513</v>
      </c>
      <c r="F17" s="325"/>
      <c r="G17" s="325"/>
      <c r="H17" s="325"/>
      <c r="I17" s="325"/>
      <c r="J17" s="325"/>
      <c r="K17" s="326"/>
      <c r="L17" s="164"/>
      <c r="M17" s="165"/>
      <c r="N17" s="131"/>
      <c r="O17" s="131"/>
      <c r="P17" s="131"/>
      <c r="Q17" s="131"/>
      <c r="R17" s="131"/>
      <c r="S17" s="131"/>
      <c r="T17" s="131"/>
      <c r="U17" s="131"/>
      <c r="V17" s="131"/>
      <c r="W17" s="131"/>
      <c r="X17" s="131"/>
      <c r="Y17" s="131"/>
      <c r="Z17" s="131"/>
    </row>
    <row r="18" spans="1:26" ht="20.25" customHeight="1" x14ac:dyDescent="0.2">
      <c r="A18" s="131"/>
      <c r="B18" s="133"/>
      <c r="C18" s="134"/>
      <c r="D18" s="134"/>
      <c r="E18" s="164" t="s">
        <v>276</v>
      </c>
      <c r="F18" s="162"/>
      <c r="G18" s="164"/>
      <c r="H18" s="164"/>
      <c r="I18" s="164"/>
      <c r="J18" s="164"/>
      <c r="K18" s="164"/>
      <c r="L18" s="164"/>
      <c r="M18" s="165"/>
      <c r="N18" s="131"/>
      <c r="O18" s="131"/>
      <c r="P18" s="131"/>
      <c r="Q18" s="131"/>
      <c r="R18" s="131"/>
      <c r="S18" s="131"/>
      <c r="T18" s="131"/>
      <c r="U18" s="131"/>
      <c r="V18" s="131"/>
      <c r="W18" s="131"/>
      <c r="X18" s="131"/>
      <c r="Y18" s="131"/>
      <c r="Z18" s="131"/>
    </row>
    <row r="19" spans="1:26" ht="20.25" customHeight="1" x14ac:dyDescent="0.2">
      <c r="A19" s="131"/>
      <c r="B19" s="133"/>
      <c r="C19" s="134"/>
      <c r="D19" s="134"/>
      <c r="E19" s="324" t="s">
        <v>514</v>
      </c>
      <c r="F19" s="325"/>
      <c r="G19" s="325"/>
      <c r="H19" s="325"/>
      <c r="I19" s="325"/>
      <c r="J19" s="325"/>
      <c r="K19" s="326"/>
      <c r="L19" s="164"/>
      <c r="M19" s="165"/>
      <c r="N19" s="131"/>
      <c r="O19" s="131"/>
      <c r="P19" s="131"/>
      <c r="Q19" s="131"/>
      <c r="R19" s="131"/>
      <c r="S19" s="131"/>
      <c r="T19" s="131"/>
      <c r="U19" s="131"/>
      <c r="V19" s="131"/>
      <c r="W19" s="131"/>
      <c r="X19" s="131"/>
      <c r="Y19" s="131"/>
      <c r="Z19" s="131"/>
    </row>
    <row r="20" spans="1:26" ht="20.25" customHeight="1" x14ac:dyDescent="0.2">
      <c r="A20" s="131"/>
      <c r="B20" s="133"/>
      <c r="C20" s="134"/>
      <c r="D20" s="134"/>
      <c r="E20" s="164" t="s">
        <v>277</v>
      </c>
      <c r="F20" s="164"/>
      <c r="G20" s="164"/>
      <c r="H20" s="164"/>
      <c r="I20" s="164"/>
      <c r="J20" s="164"/>
      <c r="K20" s="164"/>
      <c r="L20" s="164"/>
      <c r="M20" s="165"/>
      <c r="N20" s="131"/>
      <c r="O20" s="131"/>
      <c r="P20" s="131"/>
      <c r="Q20" s="131"/>
      <c r="R20" s="131"/>
      <c r="S20" s="131"/>
      <c r="T20" s="131"/>
      <c r="U20" s="131"/>
      <c r="V20" s="131"/>
      <c r="W20" s="131"/>
      <c r="X20" s="131"/>
      <c r="Y20" s="131"/>
      <c r="Z20" s="131"/>
    </row>
    <row r="21" spans="1:26" ht="20.25" customHeight="1" x14ac:dyDescent="0.2">
      <c r="A21" s="131"/>
      <c r="B21" s="133"/>
      <c r="C21" s="134"/>
      <c r="D21" s="134"/>
      <c r="E21" s="327" t="s">
        <v>935</v>
      </c>
      <c r="F21" s="328"/>
      <c r="G21" s="328"/>
      <c r="H21" s="328"/>
      <c r="I21" s="328"/>
      <c r="J21" s="328"/>
      <c r="K21" s="329"/>
      <c r="L21" s="164"/>
      <c r="M21" s="165"/>
      <c r="N21" s="131"/>
      <c r="O21" s="131"/>
      <c r="P21" s="131"/>
      <c r="Q21" s="131"/>
      <c r="R21" s="131"/>
      <c r="S21" s="131"/>
      <c r="T21" s="131"/>
      <c r="U21" s="131"/>
      <c r="V21" s="131"/>
      <c r="W21" s="131"/>
      <c r="X21" s="131"/>
      <c r="Y21" s="131"/>
      <c r="Z21" s="131"/>
    </row>
    <row r="22" spans="1:26" ht="20.25" customHeight="1" x14ac:dyDescent="0.25">
      <c r="A22" s="131"/>
      <c r="B22" s="133"/>
      <c r="C22" s="134"/>
      <c r="D22" s="134"/>
      <c r="E22" s="242" t="s">
        <v>278</v>
      </c>
      <c r="F22" s="242"/>
      <c r="G22" s="242"/>
      <c r="H22" s="242"/>
      <c r="I22" s="242"/>
      <c r="J22" s="242"/>
      <c r="K22" s="242"/>
      <c r="L22" s="164"/>
      <c r="M22" s="165"/>
      <c r="N22" s="131"/>
      <c r="O22" s="131"/>
      <c r="P22" s="131"/>
      <c r="Q22" s="131"/>
      <c r="R22" s="131"/>
      <c r="S22" s="131"/>
      <c r="T22" s="131"/>
      <c r="U22" s="131"/>
      <c r="V22" s="131"/>
      <c r="W22" s="131"/>
      <c r="X22" s="131"/>
      <c r="Y22" s="131"/>
      <c r="Z22" s="131"/>
    </row>
    <row r="23" spans="1:26" ht="30.75" customHeight="1" x14ac:dyDescent="0.2">
      <c r="A23" s="131"/>
      <c r="B23" s="133"/>
      <c r="C23" s="134"/>
      <c r="D23" s="134"/>
      <c r="E23" s="330" t="s">
        <v>937</v>
      </c>
      <c r="F23" s="330"/>
      <c r="G23" s="330"/>
      <c r="H23" s="330"/>
      <c r="I23" s="330"/>
      <c r="J23" s="330"/>
      <c r="K23" s="330"/>
      <c r="L23" s="167"/>
      <c r="M23" s="165"/>
      <c r="N23" s="131"/>
      <c r="O23" s="131"/>
      <c r="P23" s="131"/>
      <c r="Q23" s="131"/>
      <c r="R23" s="131"/>
      <c r="S23" s="131"/>
      <c r="T23" s="131"/>
      <c r="U23" s="131"/>
      <c r="V23" s="131"/>
      <c r="W23" s="131"/>
      <c r="X23" s="131"/>
      <c r="Y23" s="131"/>
      <c r="Z23" s="131"/>
    </row>
    <row r="24" spans="1:26" ht="20.25" customHeight="1" x14ac:dyDescent="0.25">
      <c r="A24" s="131"/>
      <c r="B24" s="133"/>
      <c r="C24" s="134"/>
      <c r="D24" s="134"/>
      <c r="E24" s="242" t="s">
        <v>279</v>
      </c>
      <c r="F24" s="242"/>
      <c r="G24" s="243"/>
      <c r="H24" s="242"/>
      <c r="I24" s="242"/>
      <c r="J24" s="242"/>
      <c r="K24" s="242"/>
      <c r="L24" s="164"/>
      <c r="M24" s="165"/>
      <c r="N24" s="131"/>
      <c r="O24" s="131"/>
      <c r="P24" s="131"/>
      <c r="Q24" s="131"/>
      <c r="R24" s="131"/>
      <c r="S24" s="131"/>
      <c r="T24" s="131"/>
      <c r="U24" s="131"/>
      <c r="V24" s="131"/>
      <c r="W24" s="131"/>
      <c r="X24" s="131"/>
      <c r="Y24" s="131"/>
      <c r="Z24" s="131"/>
    </row>
    <row r="25" spans="1:26" ht="29.25" customHeight="1" x14ac:dyDescent="0.2">
      <c r="A25" s="131"/>
      <c r="B25" s="133"/>
      <c r="C25" s="134"/>
      <c r="D25" s="134"/>
      <c r="E25" s="330">
        <v>3104606430</v>
      </c>
      <c r="F25" s="330"/>
      <c r="G25" s="330"/>
      <c r="H25" s="330"/>
      <c r="I25" s="330"/>
      <c r="J25" s="330"/>
      <c r="K25" s="330"/>
      <c r="L25" s="164"/>
      <c r="M25" s="165"/>
      <c r="N25" s="131"/>
      <c r="O25" s="131"/>
      <c r="P25" s="131"/>
      <c r="Q25" s="131"/>
      <c r="R25" s="131"/>
      <c r="S25" s="131"/>
      <c r="T25" s="131"/>
      <c r="U25" s="131"/>
      <c r="V25" s="131"/>
      <c r="W25" s="131"/>
      <c r="X25" s="131"/>
      <c r="Y25" s="131"/>
      <c r="Z25" s="131"/>
    </row>
    <row r="26" spans="1:26" ht="20.25" customHeight="1" x14ac:dyDescent="0.25">
      <c r="A26" s="131"/>
      <c r="B26" s="133"/>
      <c r="C26" s="134"/>
      <c r="D26" s="134"/>
      <c r="E26" s="242" t="s">
        <v>463</v>
      </c>
      <c r="F26" s="242"/>
      <c r="G26" s="242"/>
      <c r="H26" s="242"/>
      <c r="I26" s="242"/>
      <c r="J26" s="242"/>
      <c r="K26" s="242"/>
      <c r="L26" s="164"/>
      <c r="M26" s="165"/>
      <c r="N26" s="131"/>
      <c r="O26" s="131"/>
      <c r="P26" s="131"/>
      <c r="Q26" s="131"/>
      <c r="R26" s="131"/>
      <c r="S26" s="131"/>
      <c r="T26" s="131"/>
      <c r="U26" s="131"/>
      <c r="V26" s="131"/>
      <c r="W26" s="131"/>
      <c r="X26" s="131"/>
      <c r="Y26" s="131"/>
      <c r="Z26" s="131"/>
    </row>
    <row r="27" spans="1:26" ht="29.25" customHeight="1" x14ac:dyDescent="0.2">
      <c r="A27" s="131"/>
      <c r="B27" s="133"/>
      <c r="C27" s="134"/>
      <c r="D27" s="134"/>
      <c r="E27" s="331" t="s">
        <v>914</v>
      </c>
      <c r="F27" s="331"/>
      <c r="G27" s="331"/>
      <c r="H27" s="331"/>
      <c r="I27" s="331"/>
      <c r="J27" s="331"/>
      <c r="K27" s="331"/>
      <c r="L27" s="164"/>
      <c r="M27" s="165"/>
      <c r="N27" s="131"/>
      <c r="O27" s="131"/>
      <c r="P27" s="131"/>
      <c r="Q27" s="131"/>
      <c r="R27" s="131"/>
      <c r="S27" s="131"/>
      <c r="T27" s="131"/>
      <c r="U27" s="131"/>
      <c r="V27" s="131"/>
      <c r="W27" s="131"/>
      <c r="X27" s="131"/>
      <c r="Y27" s="131"/>
      <c r="Z27" s="131"/>
    </row>
    <row r="28" spans="1:26" ht="15.75" customHeight="1" x14ac:dyDescent="0.2">
      <c r="A28" s="131"/>
      <c r="B28" s="133"/>
      <c r="C28" s="134"/>
      <c r="D28" s="134"/>
      <c r="E28" s="320"/>
      <c r="F28" s="320"/>
      <c r="G28" s="320"/>
      <c r="H28" s="320"/>
      <c r="I28" s="320"/>
      <c r="J28" s="320"/>
      <c r="K28" s="168"/>
      <c r="L28" s="164"/>
      <c r="M28" s="165"/>
      <c r="N28" s="131"/>
      <c r="O28" s="131"/>
      <c r="P28" s="131"/>
      <c r="Q28" s="131"/>
      <c r="R28" s="131"/>
      <c r="S28" s="131"/>
      <c r="T28" s="131"/>
      <c r="U28" s="131"/>
      <c r="V28" s="131"/>
      <c r="W28" s="131"/>
      <c r="X28" s="131"/>
      <c r="Y28" s="131"/>
      <c r="Z28" s="131"/>
    </row>
    <row r="29" spans="1:26" ht="23.25" customHeight="1" x14ac:dyDescent="0.2">
      <c r="A29" s="131"/>
      <c r="B29" s="312" t="s">
        <v>280</v>
      </c>
      <c r="C29" s="296"/>
      <c r="D29" s="296"/>
      <c r="E29" s="296"/>
      <c r="F29" s="296"/>
      <c r="G29" s="296"/>
      <c r="H29" s="296"/>
      <c r="I29" s="296"/>
      <c r="J29" s="296"/>
      <c r="K29" s="296"/>
      <c r="L29" s="296"/>
      <c r="M29" s="299"/>
      <c r="N29" s="131"/>
      <c r="O29" s="131"/>
      <c r="P29" s="131"/>
      <c r="Q29" s="131"/>
      <c r="R29" s="131"/>
      <c r="S29" s="131"/>
      <c r="T29" s="131"/>
      <c r="U29" s="131"/>
      <c r="V29" s="131"/>
      <c r="W29" s="131"/>
      <c r="X29" s="131"/>
      <c r="Y29" s="131"/>
      <c r="Z29" s="131"/>
    </row>
    <row r="30" spans="1:26" ht="15.75" customHeight="1" x14ac:dyDescent="0.2">
      <c r="A30" s="131"/>
      <c r="B30" s="136"/>
      <c r="C30" s="137"/>
      <c r="D30" s="137"/>
      <c r="E30" s="145"/>
      <c r="F30" s="147"/>
      <c r="G30" s="145"/>
      <c r="H30" s="147"/>
      <c r="I30" s="147"/>
      <c r="J30" s="147"/>
      <c r="K30" s="147"/>
      <c r="L30" s="313"/>
      <c r="M30" s="314"/>
      <c r="N30" s="131"/>
      <c r="O30" s="131"/>
      <c r="P30" s="131"/>
      <c r="Q30" s="131"/>
      <c r="R30" s="131"/>
      <c r="S30" s="131"/>
      <c r="T30" s="131"/>
      <c r="U30" s="131"/>
      <c r="V30" s="131"/>
      <c r="W30" s="131"/>
      <c r="X30" s="131"/>
      <c r="Y30" s="131"/>
      <c r="Z30" s="131"/>
    </row>
    <row r="31" spans="1:26" ht="29.25" customHeight="1" x14ac:dyDescent="0.2">
      <c r="A31" s="131"/>
      <c r="B31" s="169"/>
      <c r="C31" s="170"/>
      <c r="D31" s="170"/>
      <c r="E31" s="315" t="s">
        <v>281</v>
      </c>
      <c r="F31" s="296"/>
      <c r="G31" s="296"/>
      <c r="H31" s="296"/>
      <c r="I31" s="296"/>
      <c r="J31" s="296"/>
      <c r="K31" s="297"/>
      <c r="L31" s="313"/>
      <c r="M31" s="314"/>
      <c r="N31" s="131"/>
      <c r="O31" s="131"/>
      <c r="P31" s="131"/>
      <c r="Q31" s="131"/>
      <c r="R31" s="131"/>
      <c r="S31" s="131"/>
      <c r="T31" s="131"/>
      <c r="U31" s="131"/>
      <c r="V31" s="131"/>
      <c r="W31" s="131"/>
      <c r="X31" s="131"/>
      <c r="Y31" s="131"/>
      <c r="Z31" s="131"/>
    </row>
    <row r="32" spans="1:26" ht="15" customHeight="1" x14ac:dyDescent="0.2">
      <c r="A32" s="131"/>
      <c r="B32" s="169"/>
      <c r="C32" s="170"/>
      <c r="D32" s="170"/>
      <c r="E32" s="316" t="s">
        <v>282</v>
      </c>
      <c r="F32" s="304"/>
      <c r="G32" s="304"/>
      <c r="H32" s="304"/>
      <c r="I32" s="304"/>
      <c r="J32" s="304"/>
      <c r="K32" s="304"/>
      <c r="L32" s="313"/>
      <c r="M32" s="314"/>
      <c r="N32" s="131"/>
      <c r="O32" s="131"/>
      <c r="P32" s="131"/>
      <c r="Q32" s="131"/>
      <c r="R32" s="131"/>
      <c r="S32" s="131"/>
      <c r="T32" s="131"/>
      <c r="U32" s="131"/>
      <c r="V32" s="131"/>
      <c r="W32" s="131"/>
      <c r="X32" s="131"/>
      <c r="Y32" s="131"/>
      <c r="Z32" s="131"/>
    </row>
    <row r="33" spans="1:26" ht="7.5" customHeight="1" x14ac:dyDescent="0.2">
      <c r="A33" s="131"/>
      <c r="B33" s="169"/>
      <c r="C33" s="170"/>
      <c r="D33" s="170"/>
      <c r="E33" s="170"/>
      <c r="F33" s="170"/>
      <c r="G33" s="170"/>
      <c r="H33" s="170"/>
      <c r="I33" s="170"/>
      <c r="J33" s="170"/>
      <c r="K33" s="170"/>
      <c r="L33" s="137"/>
      <c r="M33" s="139"/>
      <c r="N33" s="131"/>
      <c r="O33" s="131"/>
      <c r="P33" s="131"/>
      <c r="Q33" s="131"/>
      <c r="R33" s="131"/>
      <c r="S33" s="131"/>
      <c r="T33" s="131"/>
      <c r="U33" s="131"/>
      <c r="V33" s="131"/>
      <c r="W33" s="131"/>
      <c r="X33" s="131"/>
      <c r="Y33" s="131"/>
      <c r="Z33" s="131"/>
    </row>
    <row r="34" spans="1:26" ht="23.25" customHeight="1" x14ac:dyDescent="0.2">
      <c r="A34" s="131"/>
      <c r="B34" s="312" t="s">
        <v>283</v>
      </c>
      <c r="C34" s="296"/>
      <c r="D34" s="296"/>
      <c r="E34" s="296"/>
      <c r="F34" s="296"/>
      <c r="G34" s="296"/>
      <c r="H34" s="296"/>
      <c r="I34" s="296"/>
      <c r="J34" s="296"/>
      <c r="K34" s="296"/>
      <c r="L34" s="296"/>
      <c r="M34" s="299"/>
      <c r="N34" s="131"/>
      <c r="O34" s="131"/>
      <c r="P34" s="131"/>
      <c r="Q34" s="131"/>
      <c r="R34" s="131"/>
      <c r="S34" s="131"/>
      <c r="T34" s="131"/>
      <c r="U34" s="131"/>
      <c r="V34" s="131"/>
      <c r="W34" s="131"/>
      <c r="X34" s="131"/>
      <c r="Y34" s="131"/>
      <c r="Z34" s="131"/>
    </row>
    <row r="35" spans="1:26" ht="16.5" customHeight="1" x14ac:dyDescent="0.2">
      <c r="A35" s="131"/>
      <c r="B35" s="150"/>
      <c r="C35" s="138"/>
      <c r="D35" s="138"/>
      <c r="E35" s="138"/>
      <c r="F35" s="147" t="s">
        <v>284</v>
      </c>
      <c r="G35" s="138"/>
      <c r="H35" s="138"/>
      <c r="I35" s="138"/>
      <c r="J35" s="138"/>
      <c r="K35" s="138"/>
      <c r="L35" s="170"/>
      <c r="M35" s="171"/>
      <c r="N35" s="131"/>
      <c r="O35" s="131"/>
      <c r="P35" s="131"/>
      <c r="Q35" s="131"/>
      <c r="R35" s="131"/>
      <c r="S35" s="131"/>
      <c r="T35" s="131"/>
      <c r="U35" s="131"/>
      <c r="V35" s="131"/>
      <c r="W35" s="131"/>
      <c r="X35" s="131"/>
      <c r="Y35" s="131"/>
      <c r="Z35" s="131"/>
    </row>
    <row r="36" spans="1:26" ht="29.25" customHeight="1" x14ac:dyDescent="0.2">
      <c r="A36" s="131"/>
      <c r="B36" s="140" t="s">
        <v>285</v>
      </c>
      <c r="C36" s="172" t="s">
        <v>519</v>
      </c>
      <c r="D36" s="173"/>
      <c r="E36" s="317" t="s">
        <v>362</v>
      </c>
      <c r="F36" s="296"/>
      <c r="G36" s="296"/>
      <c r="H36" s="297"/>
      <c r="I36" s="137"/>
      <c r="J36" s="318" t="s">
        <v>361</v>
      </c>
      <c r="K36" s="296"/>
      <c r="L36" s="297"/>
      <c r="M36" s="139"/>
      <c r="N36" s="131"/>
      <c r="O36" s="131"/>
      <c r="P36" s="131"/>
      <c r="Q36" s="131"/>
      <c r="R36" s="131"/>
      <c r="S36" s="131"/>
      <c r="T36" s="131"/>
      <c r="U36" s="131"/>
      <c r="V36" s="131"/>
      <c r="W36" s="131"/>
      <c r="X36" s="131"/>
      <c r="Y36" s="131"/>
      <c r="Z36" s="131"/>
    </row>
    <row r="37" spans="1:26" ht="9" customHeight="1" x14ac:dyDescent="0.2">
      <c r="A37" s="131"/>
      <c r="B37" s="174"/>
      <c r="C37" s="137"/>
      <c r="D37" s="137"/>
      <c r="E37" s="170"/>
      <c r="F37" s="145"/>
      <c r="G37" s="137"/>
      <c r="H37" s="137"/>
      <c r="I37" s="137"/>
      <c r="J37" s="137"/>
      <c r="K37" s="137"/>
      <c r="L37" s="137"/>
      <c r="M37" s="139"/>
      <c r="N37" s="131"/>
      <c r="O37" s="131"/>
      <c r="P37" s="131"/>
      <c r="Q37" s="131"/>
      <c r="R37" s="131"/>
      <c r="S37" s="131"/>
      <c r="T37" s="131"/>
      <c r="U37" s="131"/>
      <c r="V37" s="131"/>
      <c r="W37" s="131"/>
      <c r="X37" s="131"/>
      <c r="Y37" s="131"/>
      <c r="Z37" s="131"/>
    </row>
    <row r="38" spans="1:26" ht="29.25" customHeight="1" x14ac:dyDescent="0.2">
      <c r="A38" s="131"/>
      <c r="B38" s="140" t="s">
        <v>288</v>
      </c>
      <c r="C38" s="172"/>
      <c r="D38" s="137"/>
      <c r="E38" s="170"/>
      <c r="F38" s="319" t="s">
        <v>290</v>
      </c>
      <c r="G38" s="311"/>
      <c r="H38" s="175"/>
      <c r="I38" s="175"/>
      <c r="J38" s="319" t="s">
        <v>291</v>
      </c>
      <c r="K38" s="311"/>
      <c r="L38" s="311"/>
      <c r="M38" s="139"/>
      <c r="N38" s="131"/>
      <c r="O38" s="131"/>
      <c r="P38" s="131"/>
      <c r="Q38" s="131"/>
      <c r="R38" s="131"/>
      <c r="S38" s="131"/>
      <c r="T38" s="131"/>
      <c r="U38" s="131"/>
      <c r="V38" s="131"/>
      <c r="W38" s="131"/>
      <c r="X38" s="131"/>
      <c r="Y38" s="131"/>
      <c r="Z38" s="131"/>
    </row>
    <row r="39" spans="1:26" ht="16.5" customHeight="1" x14ac:dyDescent="0.2">
      <c r="A39" s="131"/>
      <c r="B39" s="136"/>
      <c r="C39" s="137"/>
      <c r="D39" s="137"/>
      <c r="E39" s="137"/>
      <c r="F39" s="137"/>
      <c r="G39" s="137"/>
      <c r="H39" s="310" t="s">
        <v>292</v>
      </c>
      <c r="I39" s="311"/>
      <c r="J39" s="311"/>
      <c r="K39" s="311"/>
      <c r="L39" s="311"/>
      <c r="M39" s="139"/>
      <c r="N39" s="131"/>
      <c r="O39" s="131"/>
      <c r="P39" s="131"/>
      <c r="Q39" s="131"/>
      <c r="R39" s="131"/>
      <c r="S39" s="131"/>
      <c r="T39" s="131"/>
      <c r="U39" s="131"/>
      <c r="V39" s="131"/>
      <c r="W39" s="131"/>
      <c r="X39" s="131"/>
      <c r="Y39" s="131"/>
      <c r="Z39" s="131"/>
    </row>
    <row r="40" spans="1:26" ht="26.25" customHeight="1" x14ac:dyDescent="0.2">
      <c r="A40" s="131"/>
      <c r="B40" s="300" t="s">
        <v>293</v>
      </c>
      <c r="C40" s="301"/>
      <c r="D40" s="301"/>
      <c r="E40" s="301"/>
      <c r="F40" s="301"/>
      <c r="G40" s="301"/>
      <c r="H40" s="301"/>
      <c r="I40" s="301"/>
      <c r="J40" s="301"/>
      <c r="K40" s="301"/>
      <c r="L40" s="301"/>
      <c r="M40" s="302"/>
      <c r="N40" s="131"/>
      <c r="O40" s="131"/>
      <c r="P40" s="131"/>
      <c r="Q40" s="131"/>
      <c r="R40" s="131"/>
      <c r="S40" s="131"/>
      <c r="T40" s="131"/>
      <c r="U40" s="131"/>
      <c r="V40" s="131"/>
      <c r="W40" s="131"/>
      <c r="X40" s="131"/>
      <c r="Y40" s="131"/>
      <c r="Z40" s="131"/>
    </row>
    <row r="41" spans="1:26" ht="46.5" customHeight="1" x14ac:dyDescent="0.2">
      <c r="A41" s="176"/>
      <c r="B41" s="303" t="s">
        <v>294</v>
      </c>
      <c r="C41" s="304"/>
      <c r="D41" s="304"/>
      <c r="E41" s="304"/>
      <c r="F41" s="304"/>
      <c r="G41" s="304"/>
      <c r="H41" s="304"/>
      <c r="I41" s="304"/>
      <c r="J41" s="304"/>
      <c r="K41" s="304"/>
      <c r="L41" s="304"/>
      <c r="M41" s="305"/>
      <c r="N41" s="177"/>
      <c r="O41" s="131"/>
      <c r="P41" s="131"/>
      <c r="Q41" s="131"/>
      <c r="R41" s="131"/>
      <c r="S41" s="131"/>
      <c r="T41" s="131"/>
      <c r="U41" s="131"/>
      <c r="V41" s="131"/>
      <c r="W41" s="131"/>
      <c r="X41" s="131"/>
      <c r="Y41" s="131"/>
      <c r="Z41" s="131"/>
    </row>
    <row r="42" spans="1:26" ht="27.75" customHeight="1" x14ac:dyDescent="0.2">
      <c r="B42" s="307" t="s">
        <v>936</v>
      </c>
      <c r="C42" s="307"/>
      <c r="D42" s="307"/>
      <c r="E42" s="307"/>
      <c r="F42" s="307"/>
      <c r="G42" s="307"/>
      <c r="H42" s="307"/>
      <c r="I42" s="307"/>
      <c r="J42" s="307"/>
      <c r="K42" s="307"/>
      <c r="L42" s="307"/>
      <c r="M42" s="307"/>
      <c r="N42" s="131"/>
      <c r="O42" s="294"/>
      <c r="P42" s="294"/>
      <c r="Q42" s="294"/>
      <c r="R42" s="294"/>
      <c r="S42" s="294"/>
      <c r="T42" s="294"/>
      <c r="U42" s="131"/>
      <c r="V42" s="131"/>
      <c r="W42" s="131"/>
      <c r="X42" s="131"/>
      <c r="Y42" s="131"/>
      <c r="Z42" s="131"/>
    </row>
    <row r="43" spans="1:26" ht="12.75" customHeight="1" x14ac:dyDescent="0.2">
      <c r="A43" s="176"/>
      <c r="B43" s="308"/>
      <c r="C43" s="308"/>
      <c r="D43" s="308"/>
      <c r="E43" s="308"/>
      <c r="F43" s="308"/>
      <c r="G43" s="308"/>
      <c r="H43" s="308"/>
      <c r="I43" s="308"/>
      <c r="J43" s="308"/>
      <c r="K43" s="308"/>
      <c r="L43" s="308"/>
      <c r="M43" s="308"/>
      <c r="N43" s="131"/>
      <c r="O43" s="294"/>
      <c r="P43" s="294"/>
      <c r="Q43" s="294"/>
      <c r="R43" s="294"/>
      <c r="S43" s="294"/>
      <c r="T43" s="294"/>
      <c r="U43" s="131"/>
      <c r="V43" s="131"/>
      <c r="W43" s="131"/>
      <c r="X43" s="131"/>
      <c r="Y43" s="131"/>
      <c r="Z43" s="131"/>
    </row>
    <row r="44" spans="1:26" ht="19.5" customHeight="1" x14ac:dyDescent="0.2">
      <c r="B44" s="309"/>
      <c r="C44" s="309"/>
      <c r="D44" s="309"/>
      <c r="E44" s="309"/>
      <c r="F44" s="309"/>
      <c r="G44" s="309"/>
      <c r="H44" s="309"/>
      <c r="I44" s="309"/>
      <c r="J44" s="309"/>
      <c r="K44" s="309"/>
      <c r="L44" s="309"/>
      <c r="M44" s="309"/>
      <c r="N44" s="131"/>
      <c r="O44" s="294"/>
      <c r="P44" s="294"/>
      <c r="Q44" s="294"/>
      <c r="R44" s="294"/>
      <c r="S44" s="294"/>
      <c r="T44" s="294"/>
      <c r="U44" s="131"/>
      <c r="V44" s="131"/>
      <c r="W44" s="131"/>
      <c r="X44" s="131"/>
      <c r="Y44" s="131"/>
      <c r="Z44" s="131"/>
    </row>
    <row r="45" spans="1:26" ht="24" customHeight="1" x14ac:dyDescent="0.2">
      <c r="A45" s="131"/>
      <c r="B45" s="295"/>
      <c r="C45" s="296"/>
      <c r="D45" s="296"/>
      <c r="E45" s="296"/>
      <c r="F45" s="297"/>
      <c r="G45" s="178" t="s">
        <v>295</v>
      </c>
      <c r="H45" s="306" t="s">
        <v>296</v>
      </c>
      <c r="I45" s="297"/>
      <c r="J45" s="306" t="s">
        <v>297</v>
      </c>
      <c r="K45" s="296"/>
      <c r="L45" s="296"/>
      <c r="M45" s="299"/>
      <c r="N45" s="131"/>
      <c r="O45" s="294"/>
      <c r="P45" s="294"/>
      <c r="Q45" s="294"/>
      <c r="R45" s="294"/>
      <c r="S45" s="294"/>
      <c r="T45" s="294"/>
      <c r="U45" s="131"/>
      <c r="V45" s="131"/>
      <c r="W45" s="131"/>
      <c r="X45" s="131"/>
      <c r="Y45" s="131"/>
      <c r="Z45" s="131"/>
    </row>
    <row r="46" spans="1:26" ht="24" customHeight="1" x14ac:dyDescent="0.2">
      <c r="A46" s="131"/>
      <c r="B46" s="295" t="s">
        <v>298</v>
      </c>
      <c r="C46" s="296"/>
      <c r="D46" s="296"/>
      <c r="E46" s="296"/>
      <c r="F46" s="297"/>
      <c r="G46" s="141">
        <f>E6</f>
        <v>46122</v>
      </c>
      <c r="H46" s="298"/>
      <c r="I46" s="297"/>
      <c r="J46" s="298"/>
      <c r="K46" s="296"/>
      <c r="L46" s="296"/>
      <c r="M46" s="299"/>
      <c r="N46" s="131"/>
      <c r="O46" s="294"/>
      <c r="P46" s="294"/>
      <c r="Q46" s="294"/>
      <c r="R46" s="294"/>
      <c r="S46" s="294"/>
      <c r="T46" s="294"/>
      <c r="U46" s="131"/>
      <c r="V46" s="131"/>
      <c r="W46" s="131"/>
      <c r="X46" s="131"/>
      <c r="Y46" s="131"/>
      <c r="Z46" s="131"/>
    </row>
    <row r="47" spans="1:26" ht="24" customHeight="1" x14ac:dyDescent="0.2">
      <c r="A47" s="131"/>
      <c r="B47" s="295" t="s">
        <v>299</v>
      </c>
      <c r="C47" s="296"/>
      <c r="D47" s="296"/>
      <c r="E47" s="296"/>
      <c r="F47" s="297"/>
      <c r="G47" s="179"/>
      <c r="H47" s="143"/>
      <c r="I47" s="180"/>
      <c r="J47" s="166"/>
      <c r="K47" s="181"/>
      <c r="L47" s="181"/>
      <c r="M47" s="182"/>
      <c r="N47" s="131"/>
      <c r="O47" s="294"/>
      <c r="P47" s="294"/>
      <c r="Q47" s="294"/>
      <c r="R47" s="294"/>
      <c r="S47" s="294"/>
      <c r="T47" s="294"/>
      <c r="U47" s="131"/>
      <c r="V47" s="131"/>
      <c r="W47" s="131"/>
      <c r="X47" s="131"/>
      <c r="Y47" s="131"/>
      <c r="Z47" s="131"/>
    </row>
    <row r="48" spans="1:26" ht="24" customHeight="1" x14ac:dyDescent="0.2">
      <c r="A48" s="131"/>
      <c r="B48" s="295" t="s">
        <v>300</v>
      </c>
      <c r="C48" s="296"/>
      <c r="D48" s="296"/>
      <c r="E48" s="296"/>
      <c r="F48" s="297"/>
      <c r="G48" s="179"/>
      <c r="H48" s="143"/>
      <c r="I48" s="180"/>
      <c r="J48" s="166"/>
      <c r="K48" s="181"/>
      <c r="L48" s="181"/>
      <c r="M48" s="182"/>
      <c r="N48" s="131"/>
      <c r="O48" s="294"/>
      <c r="P48" s="294"/>
      <c r="Q48" s="294"/>
      <c r="R48" s="294"/>
      <c r="S48" s="294"/>
      <c r="T48" s="294"/>
      <c r="U48" s="131"/>
      <c r="V48" s="131"/>
      <c r="W48" s="131"/>
      <c r="X48" s="131"/>
      <c r="Y48" s="131"/>
      <c r="Z48" s="131"/>
    </row>
    <row r="49" spans="1:26" ht="24" customHeight="1" x14ac:dyDescent="0.2">
      <c r="A49" s="131"/>
      <c r="B49" s="295" t="s">
        <v>301</v>
      </c>
      <c r="C49" s="296"/>
      <c r="D49" s="296"/>
      <c r="E49" s="296"/>
      <c r="F49" s="297"/>
      <c r="G49" s="179"/>
      <c r="H49" s="143"/>
      <c r="I49" s="180"/>
      <c r="J49" s="166"/>
      <c r="K49" s="181"/>
      <c r="L49" s="181"/>
      <c r="M49" s="182"/>
      <c r="N49" s="131"/>
      <c r="O49" s="131"/>
      <c r="P49" s="131"/>
      <c r="Q49" s="131"/>
      <c r="R49" s="131"/>
      <c r="S49" s="131"/>
      <c r="T49" s="131"/>
      <c r="U49" s="131"/>
      <c r="V49" s="131"/>
      <c r="W49" s="131"/>
      <c r="X49" s="131"/>
      <c r="Y49" s="131"/>
      <c r="Z49" s="131"/>
    </row>
    <row r="50" spans="1:26" ht="24" customHeight="1" x14ac:dyDescent="0.2">
      <c r="A50" s="131"/>
      <c r="B50" s="295" t="s">
        <v>302</v>
      </c>
      <c r="C50" s="296"/>
      <c r="D50" s="296"/>
      <c r="E50" s="296"/>
      <c r="F50" s="297"/>
      <c r="G50" s="179"/>
      <c r="H50" s="143"/>
      <c r="I50" s="180"/>
      <c r="J50" s="166"/>
      <c r="K50" s="181"/>
      <c r="L50" s="181"/>
      <c r="M50" s="182"/>
      <c r="N50" s="131"/>
      <c r="O50" s="131"/>
      <c r="P50" s="131"/>
      <c r="Q50" s="131"/>
      <c r="R50" s="131"/>
      <c r="S50" s="131"/>
      <c r="T50" s="131"/>
      <c r="U50" s="131"/>
      <c r="V50" s="131"/>
      <c r="W50" s="131"/>
      <c r="X50" s="131"/>
      <c r="Y50" s="131"/>
      <c r="Z50" s="131"/>
    </row>
    <row r="51" spans="1:26" ht="24" customHeight="1" x14ac:dyDescent="0.2">
      <c r="A51" s="131"/>
      <c r="B51" s="295" t="s">
        <v>303</v>
      </c>
      <c r="C51" s="296"/>
      <c r="D51" s="296"/>
      <c r="E51" s="296"/>
      <c r="F51" s="297"/>
      <c r="G51" s="172"/>
      <c r="H51" s="143"/>
      <c r="I51" s="180"/>
      <c r="J51" s="166"/>
      <c r="K51" s="181"/>
      <c r="L51" s="181"/>
      <c r="M51" s="182"/>
      <c r="N51" s="131"/>
      <c r="O51" s="131"/>
      <c r="P51" s="131"/>
      <c r="Q51" s="131"/>
      <c r="R51" s="131"/>
      <c r="S51" s="131"/>
      <c r="T51" s="131"/>
      <c r="U51" s="131"/>
      <c r="V51" s="131"/>
      <c r="W51" s="131"/>
      <c r="X51" s="131"/>
      <c r="Y51" s="131"/>
      <c r="Z51" s="131"/>
    </row>
    <row r="52" spans="1:26" ht="24" customHeight="1" thickBot="1" x14ac:dyDescent="0.25">
      <c r="A52" s="131"/>
      <c r="B52" s="295" t="s">
        <v>304</v>
      </c>
      <c r="C52" s="296"/>
      <c r="D52" s="296"/>
      <c r="E52" s="296"/>
      <c r="F52" s="297"/>
      <c r="G52" s="183"/>
      <c r="H52" s="184"/>
      <c r="I52" s="185"/>
      <c r="J52" s="186"/>
      <c r="K52" s="187"/>
      <c r="L52" s="187"/>
      <c r="M52" s="188"/>
      <c r="N52" s="131"/>
      <c r="O52" s="131"/>
      <c r="P52" s="131"/>
      <c r="Q52" s="131"/>
      <c r="R52" s="131"/>
      <c r="S52" s="131"/>
      <c r="T52" s="131"/>
      <c r="U52" s="131"/>
      <c r="V52" s="131"/>
      <c r="W52" s="131"/>
      <c r="X52" s="131"/>
      <c r="Y52" s="131"/>
      <c r="Z52" s="131"/>
    </row>
    <row r="53" spans="1:26" ht="28.5" customHeight="1" x14ac:dyDescent="0.2">
      <c r="A53" s="131"/>
      <c r="B53" s="189"/>
      <c r="C53" s="189"/>
      <c r="D53" s="189"/>
      <c r="E53" s="190"/>
      <c r="F53" s="190"/>
      <c r="G53" s="190"/>
      <c r="H53" s="190"/>
      <c r="I53" s="190"/>
      <c r="J53" s="191"/>
      <c r="K53" s="191"/>
      <c r="L53" s="191"/>
      <c r="M53" s="131"/>
      <c r="N53" s="131"/>
      <c r="O53" s="131"/>
      <c r="P53" s="131"/>
      <c r="Q53" s="131"/>
      <c r="R53" s="131"/>
      <c r="S53" s="131"/>
      <c r="T53" s="131"/>
      <c r="U53" s="131"/>
      <c r="V53" s="131"/>
      <c r="W53" s="131"/>
      <c r="X53" s="131"/>
      <c r="Y53" s="131"/>
      <c r="Z53" s="131"/>
    </row>
    <row r="54" spans="1:26" ht="15.75" customHeight="1" x14ac:dyDescent="0.2">
      <c r="A54" s="131"/>
      <c r="B54" s="131"/>
      <c r="C54" s="131"/>
      <c r="D54" s="131"/>
      <c r="E54" s="190"/>
      <c r="F54" s="190"/>
      <c r="G54" s="190"/>
      <c r="H54" s="190"/>
      <c r="I54" s="190"/>
      <c r="J54" s="190"/>
      <c r="K54" s="190"/>
      <c r="L54" s="190"/>
      <c r="M54" s="131"/>
      <c r="N54" s="131"/>
      <c r="O54" s="131"/>
      <c r="P54" s="131"/>
      <c r="Q54" s="131"/>
      <c r="R54" s="131"/>
      <c r="S54" s="131"/>
      <c r="T54" s="131"/>
      <c r="U54" s="131"/>
      <c r="V54" s="131"/>
      <c r="W54" s="131"/>
      <c r="X54" s="131"/>
      <c r="Y54" s="131"/>
      <c r="Z54" s="131"/>
    </row>
    <row r="55" spans="1:26" ht="15.75" customHeight="1" x14ac:dyDescent="0.2">
      <c r="A55" s="131"/>
      <c r="B55" s="189"/>
      <c r="C55" s="189"/>
      <c r="D55" s="189"/>
      <c r="E55" s="190"/>
      <c r="F55" s="190"/>
      <c r="G55" s="190"/>
      <c r="H55" s="190"/>
      <c r="I55" s="190"/>
      <c r="J55" s="190"/>
      <c r="K55" s="190"/>
      <c r="L55" s="190"/>
      <c r="M55" s="131"/>
      <c r="N55" s="131"/>
      <c r="O55" s="131"/>
      <c r="P55" s="131"/>
      <c r="Q55" s="131"/>
      <c r="R55" s="131"/>
      <c r="S55" s="131"/>
      <c r="T55" s="131"/>
      <c r="U55" s="131"/>
      <c r="V55" s="131"/>
      <c r="W55" s="131"/>
      <c r="X55" s="131"/>
      <c r="Y55" s="131"/>
      <c r="Z55" s="131"/>
    </row>
    <row r="56" spans="1:26" ht="15.75" customHeight="1" x14ac:dyDescent="0.2">
      <c r="A56" s="131"/>
      <c r="B56" s="189"/>
      <c r="C56" s="189"/>
      <c r="D56" s="189"/>
      <c r="E56" s="190"/>
      <c r="F56" s="190"/>
      <c r="G56" s="190"/>
      <c r="H56" s="190"/>
      <c r="I56" s="190"/>
      <c r="J56" s="190"/>
      <c r="K56" s="190"/>
      <c r="L56" s="190"/>
      <c r="M56" s="131"/>
      <c r="N56" s="131"/>
      <c r="O56" s="131"/>
      <c r="P56" s="131"/>
      <c r="Q56" s="131"/>
      <c r="R56" s="131"/>
      <c r="S56" s="131"/>
      <c r="T56" s="131"/>
      <c r="U56" s="131"/>
      <c r="V56" s="131"/>
      <c r="W56" s="131"/>
      <c r="X56" s="131"/>
      <c r="Y56" s="131"/>
      <c r="Z56" s="131"/>
    </row>
    <row r="57" spans="1:26" ht="15.75" customHeight="1" x14ac:dyDescent="0.2">
      <c r="A57" s="131"/>
      <c r="B57" s="192"/>
      <c r="C57" s="192"/>
      <c r="D57" s="192"/>
      <c r="E57" s="190"/>
      <c r="F57" s="190"/>
      <c r="G57" s="190"/>
      <c r="H57" s="190"/>
      <c r="I57" s="190"/>
      <c r="J57" s="190"/>
      <c r="K57" s="190"/>
      <c r="L57" s="190"/>
      <c r="M57" s="131"/>
      <c r="N57" s="131"/>
      <c r="O57" s="131"/>
      <c r="P57" s="131"/>
      <c r="Q57" s="131"/>
      <c r="R57" s="131"/>
      <c r="S57" s="131"/>
      <c r="T57" s="131"/>
      <c r="U57" s="131"/>
      <c r="V57" s="131"/>
      <c r="W57" s="131"/>
      <c r="X57" s="131"/>
      <c r="Y57" s="131"/>
      <c r="Z57" s="131"/>
    </row>
    <row r="58" spans="1:26" ht="15.75" customHeight="1" x14ac:dyDescent="0.2">
      <c r="A58" s="131"/>
      <c r="B58" s="193"/>
      <c r="C58" s="193"/>
      <c r="D58" s="193"/>
      <c r="E58" s="190"/>
      <c r="F58" s="190"/>
      <c r="G58" s="190"/>
      <c r="H58" s="190"/>
      <c r="I58" s="190"/>
      <c r="J58" s="190"/>
      <c r="K58" s="190"/>
      <c r="L58" s="190"/>
      <c r="M58" s="131"/>
      <c r="N58" s="131"/>
      <c r="O58" s="131"/>
      <c r="P58" s="131"/>
      <c r="Q58" s="131"/>
      <c r="R58" s="131"/>
      <c r="S58" s="131"/>
      <c r="T58" s="131"/>
      <c r="U58" s="131"/>
      <c r="V58" s="131"/>
      <c r="W58" s="131"/>
      <c r="X58" s="131"/>
      <c r="Y58" s="131"/>
      <c r="Z58" s="131"/>
    </row>
    <row r="59" spans="1:26" ht="15.75" customHeight="1" x14ac:dyDescent="0.2">
      <c r="A59" s="131"/>
      <c r="B59" s="193"/>
      <c r="C59" s="193"/>
      <c r="D59" s="193"/>
      <c r="E59" s="190"/>
      <c r="F59" s="190"/>
      <c r="G59" s="190"/>
      <c r="H59" s="190"/>
      <c r="I59" s="190"/>
      <c r="J59" s="190"/>
      <c r="K59" s="190"/>
      <c r="L59" s="190"/>
      <c r="M59" s="131"/>
      <c r="N59" s="131"/>
      <c r="O59" s="131"/>
      <c r="P59" s="131"/>
      <c r="Q59" s="131"/>
      <c r="R59" s="131"/>
      <c r="S59" s="131"/>
      <c r="T59" s="131"/>
      <c r="U59" s="131"/>
      <c r="V59" s="131"/>
      <c r="W59" s="131"/>
      <c r="X59" s="131"/>
      <c r="Y59" s="131"/>
      <c r="Z59" s="131"/>
    </row>
    <row r="60" spans="1:26" ht="15.75" customHeight="1" x14ac:dyDescent="0.2">
      <c r="A60" s="131"/>
      <c r="B60" s="193"/>
      <c r="C60" s="193"/>
      <c r="D60" s="193"/>
      <c r="E60" s="190"/>
      <c r="F60" s="190"/>
      <c r="G60" s="190"/>
      <c r="H60" s="190"/>
      <c r="I60" s="190"/>
      <c r="J60" s="190"/>
      <c r="K60" s="190"/>
      <c r="L60" s="190"/>
      <c r="M60" s="131"/>
      <c r="N60" s="131"/>
      <c r="O60" s="131"/>
      <c r="P60" s="131"/>
      <c r="Q60" s="131"/>
      <c r="R60" s="131"/>
      <c r="S60" s="131"/>
      <c r="T60" s="131"/>
      <c r="U60" s="131"/>
      <c r="V60" s="131"/>
      <c r="W60" s="131"/>
      <c r="X60" s="131"/>
      <c r="Y60" s="131"/>
      <c r="Z60" s="131"/>
    </row>
    <row r="61" spans="1:26" ht="15.75" customHeight="1" x14ac:dyDescent="0.2">
      <c r="A61" s="131"/>
      <c r="B61" s="189"/>
      <c r="C61" s="189"/>
      <c r="D61" s="189"/>
      <c r="E61" s="190"/>
      <c r="F61" s="190"/>
      <c r="G61" s="190"/>
      <c r="H61" s="190"/>
      <c r="I61" s="190"/>
      <c r="J61" s="190"/>
      <c r="K61" s="190"/>
      <c r="L61" s="190"/>
      <c r="M61" s="131"/>
      <c r="N61" s="131"/>
      <c r="O61" s="131"/>
      <c r="P61" s="131"/>
      <c r="Q61" s="131"/>
      <c r="R61" s="131"/>
      <c r="S61" s="131"/>
      <c r="T61" s="131"/>
      <c r="U61" s="131"/>
      <c r="V61" s="131"/>
      <c r="W61" s="131"/>
      <c r="X61" s="131"/>
      <c r="Y61" s="131"/>
      <c r="Z61" s="131"/>
    </row>
    <row r="62" spans="1:26" ht="15.75" customHeight="1" x14ac:dyDescent="0.2">
      <c r="A62" s="131"/>
      <c r="B62" s="189"/>
      <c r="C62" s="189"/>
      <c r="D62" s="189"/>
      <c r="E62" s="190"/>
      <c r="F62" s="190"/>
      <c r="G62" s="190"/>
      <c r="H62" s="190"/>
      <c r="I62" s="190"/>
      <c r="J62" s="190"/>
      <c r="K62" s="190"/>
      <c r="L62" s="190"/>
      <c r="M62" s="131"/>
      <c r="N62" s="131"/>
      <c r="O62" s="131"/>
      <c r="P62" s="131"/>
      <c r="Q62" s="131"/>
      <c r="R62" s="131"/>
      <c r="S62" s="131"/>
      <c r="T62" s="131"/>
      <c r="U62" s="131"/>
      <c r="V62" s="131"/>
      <c r="W62" s="131"/>
      <c r="X62" s="131"/>
      <c r="Y62" s="131"/>
      <c r="Z62" s="131"/>
    </row>
    <row r="63" spans="1:26" ht="15.75" customHeight="1" x14ac:dyDescent="0.2">
      <c r="A63" s="131"/>
      <c r="B63" s="194"/>
      <c r="C63" s="194"/>
      <c r="D63" s="194"/>
      <c r="E63" s="190"/>
      <c r="F63" s="190"/>
      <c r="G63" s="190"/>
      <c r="H63" s="190"/>
      <c r="I63" s="190"/>
      <c r="J63" s="190"/>
      <c r="K63" s="190"/>
      <c r="L63" s="190"/>
      <c r="M63" s="131"/>
      <c r="N63" s="131"/>
      <c r="O63" s="131"/>
      <c r="P63" s="131"/>
      <c r="Q63" s="131"/>
      <c r="R63" s="131"/>
      <c r="S63" s="131"/>
      <c r="T63" s="131"/>
      <c r="U63" s="131"/>
      <c r="V63" s="131"/>
      <c r="W63" s="131"/>
      <c r="X63" s="131"/>
      <c r="Y63" s="131"/>
      <c r="Z63" s="131"/>
    </row>
    <row r="64" spans="1:26" ht="15.75" customHeight="1" x14ac:dyDescent="0.2">
      <c r="A64" s="131"/>
      <c r="B64" s="131"/>
      <c r="C64" s="131"/>
      <c r="D64" s="131"/>
      <c r="E64" s="190"/>
      <c r="F64" s="190"/>
      <c r="G64" s="190"/>
      <c r="H64" s="190"/>
      <c r="I64" s="190"/>
      <c r="J64" s="190"/>
      <c r="K64" s="190"/>
      <c r="L64" s="190"/>
      <c r="M64" s="131"/>
      <c r="N64" s="131"/>
      <c r="O64" s="131"/>
      <c r="P64" s="131"/>
      <c r="Q64" s="131"/>
      <c r="R64" s="131"/>
      <c r="S64" s="131"/>
      <c r="T64" s="131"/>
      <c r="U64" s="131"/>
      <c r="V64" s="131"/>
      <c r="W64" s="131"/>
      <c r="X64" s="131"/>
      <c r="Y64" s="131"/>
      <c r="Z64" s="131"/>
    </row>
    <row r="65" spans="1:26" ht="15.75" customHeight="1" x14ac:dyDescent="0.2">
      <c r="A65" s="131"/>
      <c r="B65" s="194"/>
      <c r="C65" s="194"/>
      <c r="D65" s="194"/>
      <c r="E65" s="190"/>
      <c r="F65" s="190"/>
      <c r="G65" s="190"/>
      <c r="H65" s="190"/>
      <c r="I65" s="190"/>
      <c r="J65" s="190"/>
      <c r="K65" s="190"/>
      <c r="L65" s="190"/>
      <c r="M65" s="131"/>
      <c r="N65" s="131"/>
      <c r="O65" s="131"/>
      <c r="P65" s="131"/>
      <c r="Q65" s="131"/>
      <c r="R65" s="131"/>
      <c r="S65" s="131"/>
      <c r="T65" s="131"/>
      <c r="U65" s="131"/>
      <c r="V65" s="131"/>
      <c r="W65" s="131"/>
      <c r="X65" s="131"/>
      <c r="Y65" s="131"/>
      <c r="Z65" s="131"/>
    </row>
    <row r="66" spans="1:26" ht="15.75" customHeight="1" x14ac:dyDescent="0.2">
      <c r="A66" s="131"/>
      <c r="B66" s="131"/>
      <c r="C66" s="131"/>
      <c r="D66" s="131"/>
      <c r="E66" s="190"/>
      <c r="F66" s="190"/>
      <c r="G66" s="190"/>
      <c r="H66" s="190"/>
      <c r="I66" s="190"/>
      <c r="J66" s="190"/>
      <c r="K66" s="190"/>
      <c r="L66" s="190"/>
      <c r="M66" s="131"/>
      <c r="N66" s="131"/>
      <c r="O66" s="131"/>
      <c r="P66" s="131"/>
      <c r="Q66" s="131"/>
      <c r="R66" s="131"/>
      <c r="S66" s="131"/>
      <c r="T66" s="131"/>
      <c r="U66" s="131"/>
      <c r="V66" s="131"/>
      <c r="W66" s="131"/>
      <c r="X66" s="131"/>
      <c r="Y66" s="131"/>
      <c r="Z66" s="131"/>
    </row>
    <row r="67" spans="1:26" ht="15.75" customHeight="1" x14ac:dyDescent="0.2">
      <c r="A67" s="131"/>
      <c r="B67" s="194"/>
      <c r="C67" s="194"/>
      <c r="D67" s="194"/>
      <c r="E67" s="190"/>
      <c r="F67" s="190"/>
      <c r="G67" s="190"/>
      <c r="H67" s="190"/>
      <c r="I67" s="190"/>
      <c r="J67" s="190"/>
      <c r="K67" s="190"/>
      <c r="L67" s="190"/>
      <c r="M67" s="131"/>
      <c r="N67" s="131"/>
      <c r="O67" s="131"/>
      <c r="P67" s="131"/>
      <c r="Q67" s="131"/>
      <c r="R67" s="131"/>
      <c r="S67" s="131"/>
      <c r="T67" s="131"/>
      <c r="U67" s="131"/>
      <c r="V67" s="131"/>
      <c r="W67" s="131"/>
      <c r="X67" s="131"/>
      <c r="Y67" s="131"/>
      <c r="Z67" s="131"/>
    </row>
    <row r="68" spans="1:26" ht="15.75" customHeight="1" x14ac:dyDescent="0.2">
      <c r="A68" s="131"/>
      <c r="B68" s="190"/>
      <c r="C68" s="190"/>
      <c r="D68" s="190"/>
      <c r="E68" s="190"/>
      <c r="F68" s="190"/>
      <c r="G68" s="190"/>
      <c r="H68" s="190"/>
      <c r="I68" s="190"/>
      <c r="J68" s="190"/>
      <c r="K68" s="190"/>
      <c r="L68" s="190"/>
      <c r="M68" s="131"/>
      <c r="N68" s="131"/>
      <c r="O68" s="131"/>
      <c r="P68" s="131"/>
      <c r="Q68" s="131"/>
      <c r="R68" s="131"/>
      <c r="S68" s="131"/>
      <c r="T68" s="131"/>
      <c r="U68" s="131"/>
      <c r="V68" s="131"/>
      <c r="W68" s="131"/>
      <c r="X68" s="131"/>
      <c r="Y68" s="131"/>
      <c r="Z68" s="131"/>
    </row>
    <row r="69" spans="1:26" ht="15.75" customHeight="1" x14ac:dyDescent="0.2">
      <c r="A69" s="131"/>
      <c r="B69" s="190"/>
      <c r="C69" s="190"/>
      <c r="D69" s="190"/>
      <c r="E69" s="190"/>
      <c r="F69" s="190"/>
      <c r="G69" s="190"/>
      <c r="H69" s="190"/>
      <c r="I69" s="190"/>
      <c r="J69" s="190"/>
      <c r="K69" s="190"/>
      <c r="L69" s="190"/>
      <c r="M69" s="131"/>
      <c r="N69" s="131"/>
      <c r="O69" s="131"/>
      <c r="P69" s="131"/>
      <c r="Q69" s="131"/>
      <c r="R69" s="131"/>
      <c r="S69" s="131"/>
      <c r="T69" s="131"/>
      <c r="U69" s="131"/>
      <c r="V69" s="131"/>
      <c r="W69" s="131"/>
      <c r="X69" s="131"/>
      <c r="Y69" s="131"/>
      <c r="Z69" s="131"/>
    </row>
    <row r="70" spans="1:26" ht="15.75" customHeight="1" x14ac:dyDescent="0.2">
      <c r="A70" s="131"/>
      <c r="B70" s="190"/>
      <c r="C70" s="190"/>
      <c r="D70" s="190"/>
      <c r="E70" s="190"/>
      <c r="F70" s="190"/>
      <c r="G70" s="190"/>
      <c r="H70" s="190"/>
      <c r="I70" s="190"/>
      <c r="J70" s="190"/>
      <c r="K70" s="190"/>
      <c r="L70" s="190"/>
      <c r="M70" s="131"/>
      <c r="N70" s="131"/>
      <c r="O70" s="131"/>
      <c r="P70" s="131"/>
      <c r="Q70" s="131"/>
      <c r="R70" s="131"/>
      <c r="S70" s="131"/>
      <c r="T70" s="131"/>
      <c r="U70" s="131"/>
      <c r="V70" s="131"/>
      <c r="W70" s="131"/>
      <c r="X70" s="131"/>
      <c r="Y70" s="131"/>
      <c r="Z70" s="131"/>
    </row>
    <row r="71" spans="1:26" ht="15.75" customHeight="1" x14ac:dyDescent="0.2">
      <c r="A71" s="131"/>
      <c r="B71" s="190"/>
      <c r="C71" s="190"/>
      <c r="D71" s="190"/>
      <c r="E71" s="190"/>
      <c r="F71" s="190"/>
      <c r="G71" s="190"/>
      <c r="H71" s="190"/>
      <c r="I71" s="190"/>
      <c r="J71" s="190"/>
      <c r="K71" s="190"/>
      <c r="L71" s="190"/>
      <c r="M71" s="131"/>
      <c r="N71" s="131"/>
      <c r="O71" s="131"/>
      <c r="P71" s="131"/>
      <c r="Q71" s="131"/>
      <c r="R71" s="131"/>
      <c r="S71" s="131"/>
      <c r="T71" s="131"/>
      <c r="U71" s="131"/>
      <c r="V71" s="131"/>
      <c r="W71" s="131"/>
      <c r="X71" s="131"/>
      <c r="Y71" s="131"/>
      <c r="Z71" s="131"/>
    </row>
    <row r="72" spans="1:26" ht="15.75" customHeight="1" x14ac:dyDescent="0.2">
      <c r="A72" s="131"/>
      <c r="B72" s="190"/>
      <c r="C72" s="190"/>
      <c r="D72" s="190"/>
      <c r="E72" s="190"/>
      <c r="F72" s="190"/>
      <c r="G72" s="190"/>
      <c r="H72" s="190"/>
      <c r="I72" s="190"/>
      <c r="J72" s="190"/>
      <c r="K72" s="190"/>
      <c r="L72" s="190"/>
      <c r="M72" s="131"/>
      <c r="N72" s="131"/>
      <c r="O72" s="131"/>
      <c r="P72" s="131"/>
      <c r="Q72" s="131"/>
      <c r="R72" s="131"/>
      <c r="S72" s="131"/>
      <c r="T72" s="131"/>
      <c r="U72" s="131"/>
      <c r="V72" s="131"/>
      <c r="W72" s="131"/>
      <c r="X72" s="131"/>
      <c r="Y72" s="131"/>
      <c r="Z72" s="131"/>
    </row>
    <row r="73" spans="1:26" ht="15.75" customHeight="1" x14ac:dyDescent="0.2">
      <c r="A73" s="131"/>
      <c r="B73" s="190"/>
      <c r="C73" s="190"/>
      <c r="D73" s="190"/>
      <c r="E73" s="190"/>
      <c r="F73" s="190"/>
      <c r="G73" s="190"/>
      <c r="H73" s="190"/>
      <c r="I73" s="190"/>
      <c r="J73" s="190"/>
      <c r="K73" s="190"/>
      <c r="L73" s="190"/>
      <c r="M73" s="131"/>
      <c r="N73" s="131"/>
      <c r="O73" s="131"/>
      <c r="P73" s="131"/>
      <c r="Q73" s="131"/>
      <c r="R73" s="131"/>
      <c r="S73" s="131"/>
      <c r="T73" s="131"/>
      <c r="U73" s="131"/>
      <c r="V73" s="131"/>
      <c r="W73" s="131"/>
      <c r="X73" s="131"/>
      <c r="Y73" s="131"/>
      <c r="Z73" s="131"/>
    </row>
    <row r="74" spans="1:26" ht="15.75" customHeight="1" x14ac:dyDescent="0.2">
      <c r="A74" s="131"/>
      <c r="B74" s="190"/>
      <c r="C74" s="190"/>
      <c r="D74" s="190"/>
      <c r="E74" s="190"/>
      <c r="F74" s="190"/>
      <c r="G74" s="190"/>
      <c r="H74" s="190"/>
      <c r="I74" s="190"/>
      <c r="J74" s="190"/>
      <c r="K74" s="190"/>
      <c r="L74" s="190"/>
      <c r="M74" s="131"/>
      <c r="N74" s="131"/>
      <c r="O74" s="131"/>
      <c r="P74" s="131"/>
      <c r="Q74" s="131"/>
      <c r="R74" s="131"/>
      <c r="S74" s="131"/>
      <c r="T74" s="131"/>
      <c r="U74" s="131"/>
      <c r="V74" s="131"/>
      <c r="W74" s="131"/>
      <c r="X74" s="131"/>
      <c r="Y74" s="131"/>
      <c r="Z74" s="131"/>
    </row>
    <row r="75" spans="1:26" ht="15.75" customHeight="1" x14ac:dyDescent="0.2">
      <c r="A75" s="131"/>
      <c r="B75" s="190"/>
      <c r="C75" s="190"/>
      <c r="D75" s="190"/>
      <c r="E75" s="190"/>
      <c r="F75" s="190"/>
      <c r="G75" s="190"/>
      <c r="H75" s="190"/>
      <c r="I75" s="190"/>
      <c r="J75" s="190"/>
      <c r="K75" s="190"/>
      <c r="L75" s="190"/>
      <c r="M75" s="131"/>
      <c r="N75" s="131"/>
      <c r="O75" s="131"/>
      <c r="P75" s="131"/>
      <c r="Q75" s="131"/>
      <c r="R75" s="131"/>
      <c r="S75" s="131"/>
      <c r="T75" s="131"/>
      <c r="U75" s="131"/>
      <c r="V75" s="131"/>
      <c r="W75" s="131"/>
      <c r="X75" s="131"/>
      <c r="Y75" s="131"/>
      <c r="Z75" s="131"/>
    </row>
    <row r="76" spans="1:26" ht="15.75" customHeight="1" x14ac:dyDescent="0.2">
      <c r="A76" s="131"/>
      <c r="B76" s="190"/>
      <c r="C76" s="190"/>
      <c r="D76" s="190"/>
      <c r="E76" s="190"/>
      <c r="F76" s="190"/>
      <c r="G76" s="190"/>
      <c r="H76" s="190"/>
      <c r="I76" s="190"/>
      <c r="J76" s="190"/>
      <c r="K76" s="190"/>
      <c r="L76" s="190"/>
      <c r="M76" s="131"/>
      <c r="N76" s="131"/>
      <c r="O76" s="131"/>
      <c r="P76" s="131"/>
      <c r="Q76" s="131"/>
      <c r="R76" s="131"/>
      <c r="S76" s="131"/>
      <c r="T76" s="131"/>
      <c r="U76" s="131"/>
      <c r="V76" s="131"/>
      <c r="W76" s="131"/>
      <c r="X76" s="131"/>
      <c r="Y76" s="131"/>
      <c r="Z76" s="131"/>
    </row>
    <row r="77" spans="1:26" ht="15.75" customHeight="1" x14ac:dyDescent="0.2">
      <c r="A77" s="131"/>
      <c r="B77" s="190"/>
      <c r="C77" s="190"/>
      <c r="D77" s="190"/>
      <c r="E77" s="190"/>
      <c r="F77" s="190"/>
      <c r="G77" s="190"/>
      <c r="H77" s="190"/>
      <c r="I77" s="190"/>
      <c r="J77" s="190"/>
      <c r="K77" s="190"/>
      <c r="L77" s="190"/>
      <c r="M77" s="131"/>
      <c r="N77" s="131"/>
      <c r="O77" s="131"/>
      <c r="P77" s="131"/>
      <c r="Q77" s="131"/>
      <c r="R77" s="131"/>
      <c r="S77" s="131"/>
      <c r="T77" s="131"/>
      <c r="U77" s="131"/>
      <c r="V77" s="131"/>
      <c r="W77" s="131"/>
      <c r="X77" s="131"/>
      <c r="Y77" s="131"/>
      <c r="Z77" s="131"/>
    </row>
    <row r="78" spans="1:26" ht="15.75" customHeight="1" x14ac:dyDescent="0.2">
      <c r="A78" s="131"/>
      <c r="B78" s="190"/>
      <c r="C78" s="190"/>
      <c r="D78" s="190"/>
      <c r="E78" s="190"/>
      <c r="F78" s="190"/>
      <c r="G78" s="190"/>
      <c r="H78" s="190"/>
      <c r="I78" s="190"/>
      <c r="J78" s="190"/>
      <c r="K78" s="190"/>
      <c r="L78" s="190"/>
      <c r="M78" s="131"/>
      <c r="N78" s="131"/>
      <c r="O78" s="131"/>
      <c r="P78" s="131"/>
      <c r="Q78" s="131"/>
      <c r="R78" s="131"/>
      <c r="S78" s="131"/>
      <c r="T78" s="131"/>
      <c r="U78" s="131"/>
      <c r="V78" s="131"/>
      <c r="W78" s="131"/>
      <c r="X78" s="131"/>
      <c r="Y78" s="131"/>
      <c r="Z78" s="131"/>
    </row>
    <row r="79" spans="1:26" ht="15.75" customHeight="1" x14ac:dyDescent="0.2">
      <c r="A79" s="131"/>
      <c r="B79" s="190"/>
      <c r="C79" s="190"/>
      <c r="D79" s="190"/>
      <c r="E79" s="190"/>
      <c r="F79" s="190"/>
      <c r="G79" s="190"/>
      <c r="H79" s="190"/>
      <c r="I79" s="190"/>
      <c r="J79" s="190"/>
      <c r="K79" s="190"/>
      <c r="L79" s="190"/>
      <c r="M79" s="131"/>
      <c r="N79" s="131"/>
      <c r="O79" s="131"/>
      <c r="P79" s="131"/>
      <c r="Q79" s="131"/>
      <c r="R79" s="131"/>
      <c r="S79" s="131"/>
      <c r="T79" s="131"/>
      <c r="U79" s="131"/>
      <c r="V79" s="131"/>
      <c r="W79" s="131"/>
      <c r="X79" s="131"/>
      <c r="Y79" s="131"/>
      <c r="Z79" s="131"/>
    </row>
    <row r="80" spans="1:26" ht="15.75" customHeight="1" x14ac:dyDescent="0.2">
      <c r="A80" s="131"/>
      <c r="B80" s="190"/>
      <c r="C80" s="190"/>
      <c r="D80" s="190"/>
      <c r="E80" s="190"/>
      <c r="F80" s="190"/>
      <c r="G80" s="190"/>
      <c r="H80" s="190"/>
      <c r="I80" s="190"/>
      <c r="J80" s="190"/>
      <c r="K80" s="190"/>
      <c r="L80" s="190"/>
      <c r="M80" s="131"/>
      <c r="N80" s="131"/>
      <c r="O80" s="131"/>
      <c r="P80" s="131"/>
      <c r="Q80" s="131"/>
      <c r="R80" s="131"/>
      <c r="S80" s="131"/>
      <c r="T80" s="131"/>
      <c r="U80" s="131"/>
      <c r="V80" s="131"/>
      <c r="W80" s="131"/>
      <c r="X80" s="131"/>
      <c r="Y80" s="131"/>
      <c r="Z80" s="131"/>
    </row>
    <row r="81" spans="1:26" ht="15.75" customHeight="1" x14ac:dyDescent="0.2">
      <c r="A81" s="131"/>
      <c r="B81" s="190"/>
      <c r="C81" s="190"/>
      <c r="D81" s="190"/>
      <c r="E81" s="190"/>
      <c r="F81" s="190"/>
      <c r="G81" s="190"/>
      <c r="H81" s="190"/>
      <c r="I81" s="190"/>
      <c r="J81" s="190"/>
      <c r="K81" s="190"/>
      <c r="L81" s="190"/>
      <c r="M81" s="131"/>
      <c r="N81" s="131"/>
      <c r="O81" s="131"/>
      <c r="P81" s="131"/>
      <c r="Q81" s="131"/>
      <c r="R81" s="131"/>
      <c r="S81" s="131"/>
      <c r="T81" s="131"/>
      <c r="U81" s="131"/>
      <c r="V81" s="131"/>
      <c r="W81" s="131"/>
      <c r="X81" s="131"/>
      <c r="Y81" s="131"/>
      <c r="Z81" s="131"/>
    </row>
    <row r="82" spans="1:26" ht="15.75" customHeight="1" x14ac:dyDescent="0.2">
      <c r="A82" s="131"/>
      <c r="B82" s="190"/>
      <c r="C82" s="190"/>
      <c r="D82" s="190"/>
      <c r="E82" s="190"/>
      <c r="F82" s="190"/>
      <c r="G82" s="190"/>
      <c r="H82" s="190"/>
      <c r="I82" s="190"/>
      <c r="J82" s="190"/>
      <c r="K82" s="190"/>
      <c r="L82" s="190"/>
      <c r="M82" s="131"/>
      <c r="N82" s="131"/>
      <c r="O82" s="131"/>
      <c r="P82" s="131"/>
      <c r="Q82" s="131"/>
      <c r="R82" s="131"/>
      <c r="S82" s="131"/>
      <c r="T82" s="131"/>
      <c r="U82" s="131"/>
      <c r="V82" s="131"/>
      <c r="W82" s="131"/>
      <c r="X82" s="131"/>
      <c r="Y82" s="131"/>
      <c r="Z82" s="131"/>
    </row>
    <row r="83" spans="1:26" ht="15.75" customHeight="1" x14ac:dyDescent="0.2">
      <c r="A83" s="131"/>
      <c r="B83" s="190"/>
      <c r="C83" s="190"/>
      <c r="D83" s="190"/>
      <c r="E83" s="190"/>
      <c r="F83" s="190"/>
      <c r="G83" s="190"/>
      <c r="H83" s="190"/>
      <c r="I83" s="190"/>
      <c r="J83" s="190"/>
      <c r="K83" s="190"/>
      <c r="L83" s="190"/>
      <c r="M83" s="131"/>
      <c r="N83" s="131"/>
      <c r="O83" s="131"/>
      <c r="P83" s="131"/>
      <c r="Q83" s="131"/>
      <c r="R83" s="131"/>
      <c r="S83" s="131"/>
      <c r="T83" s="131"/>
      <c r="U83" s="131"/>
      <c r="V83" s="131"/>
      <c r="W83" s="131"/>
      <c r="X83" s="131"/>
      <c r="Y83" s="131"/>
      <c r="Z83" s="131"/>
    </row>
    <row r="84" spans="1:26" ht="15.75" customHeight="1" x14ac:dyDescent="0.2">
      <c r="A84" s="131"/>
      <c r="B84" s="190"/>
      <c r="C84" s="190"/>
      <c r="D84" s="190"/>
      <c r="E84" s="190"/>
      <c r="F84" s="190"/>
      <c r="G84" s="190"/>
      <c r="H84" s="190"/>
      <c r="I84" s="190"/>
      <c r="J84" s="190"/>
      <c r="K84" s="190"/>
      <c r="L84" s="190"/>
      <c r="M84" s="131"/>
      <c r="N84" s="131"/>
      <c r="O84" s="131"/>
      <c r="P84" s="131"/>
      <c r="Q84" s="131"/>
      <c r="R84" s="131"/>
      <c r="S84" s="131"/>
      <c r="T84" s="131"/>
      <c r="U84" s="131"/>
      <c r="V84" s="131"/>
      <c r="W84" s="131"/>
      <c r="X84" s="131"/>
      <c r="Y84" s="131"/>
      <c r="Z84" s="131"/>
    </row>
    <row r="85" spans="1:26" ht="15.75" customHeight="1" x14ac:dyDescent="0.2">
      <c r="A85" s="131"/>
      <c r="B85" s="190"/>
      <c r="C85" s="190"/>
      <c r="D85" s="190"/>
      <c r="E85" s="190"/>
      <c r="F85" s="190"/>
      <c r="G85" s="190"/>
      <c r="H85" s="190"/>
      <c r="I85" s="190"/>
      <c r="J85" s="190"/>
      <c r="K85" s="190"/>
      <c r="L85" s="190"/>
      <c r="M85" s="131"/>
      <c r="N85" s="131"/>
      <c r="O85" s="131"/>
      <c r="P85" s="131"/>
      <c r="Q85" s="131"/>
      <c r="R85" s="131"/>
      <c r="S85" s="131"/>
      <c r="T85" s="131"/>
      <c r="U85" s="131"/>
      <c r="V85" s="131"/>
      <c r="W85" s="131"/>
      <c r="X85" s="131"/>
      <c r="Y85" s="131"/>
      <c r="Z85" s="131"/>
    </row>
    <row r="86" spans="1:26" ht="15.75" customHeight="1" x14ac:dyDescent="0.2">
      <c r="A86" s="131"/>
      <c r="B86" s="190"/>
      <c r="C86" s="190"/>
      <c r="D86" s="190"/>
      <c r="E86" s="190"/>
      <c r="F86" s="190"/>
      <c r="G86" s="190"/>
      <c r="H86" s="190"/>
      <c r="I86" s="190"/>
      <c r="J86" s="190"/>
      <c r="K86" s="190"/>
      <c r="L86" s="190"/>
      <c r="M86" s="131"/>
      <c r="N86" s="131"/>
      <c r="O86" s="131"/>
      <c r="P86" s="131"/>
      <c r="Q86" s="131"/>
      <c r="R86" s="131"/>
      <c r="S86" s="131"/>
      <c r="T86" s="131"/>
      <c r="U86" s="131"/>
      <c r="V86" s="131"/>
      <c r="W86" s="131"/>
      <c r="X86" s="131"/>
      <c r="Y86" s="131"/>
      <c r="Z86" s="131"/>
    </row>
    <row r="87" spans="1:26" ht="15.75" customHeight="1" x14ac:dyDescent="0.2">
      <c r="A87" s="131"/>
      <c r="B87" s="190"/>
      <c r="C87" s="190"/>
      <c r="D87" s="190"/>
      <c r="E87" s="190"/>
      <c r="F87" s="190"/>
      <c r="G87" s="190"/>
      <c r="H87" s="190"/>
      <c r="I87" s="190"/>
      <c r="J87" s="190"/>
      <c r="K87" s="190"/>
      <c r="L87" s="190"/>
      <c r="M87" s="131"/>
      <c r="N87" s="131"/>
      <c r="O87" s="131"/>
      <c r="P87" s="131"/>
      <c r="Q87" s="131"/>
      <c r="R87" s="131"/>
      <c r="S87" s="131"/>
      <c r="T87" s="131"/>
      <c r="U87" s="131"/>
      <c r="V87" s="131"/>
      <c r="W87" s="131"/>
      <c r="X87" s="131"/>
      <c r="Y87" s="131"/>
      <c r="Z87" s="131"/>
    </row>
    <row r="88" spans="1:26" ht="15.75" customHeight="1" x14ac:dyDescent="0.2">
      <c r="A88" s="131"/>
      <c r="B88" s="190"/>
      <c r="C88" s="190"/>
      <c r="D88" s="190"/>
      <c r="E88" s="190"/>
      <c r="F88" s="190"/>
      <c r="G88" s="190"/>
      <c r="H88" s="190"/>
      <c r="I88" s="190"/>
      <c r="J88" s="190"/>
      <c r="K88" s="190"/>
      <c r="L88" s="190"/>
      <c r="M88" s="131"/>
      <c r="N88" s="131"/>
      <c r="O88" s="131"/>
      <c r="P88" s="131"/>
      <c r="Q88" s="131"/>
      <c r="R88" s="131"/>
      <c r="S88" s="131"/>
      <c r="T88" s="131"/>
      <c r="U88" s="131"/>
      <c r="V88" s="131"/>
      <c r="W88" s="131"/>
      <c r="X88" s="131"/>
      <c r="Y88" s="131"/>
      <c r="Z88" s="131"/>
    </row>
    <row r="89" spans="1:26" ht="15.75" customHeight="1" x14ac:dyDescent="0.2">
      <c r="A89" s="131"/>
      <c r="B89" s="190"/>
      <c r="C89" s="190"/>
      <c r="D89" s="190"/>
      <c r="E89" s="190"/>
      <c r="F89" s="190"/>
      <c r="G89" s="190"/>
      <c r="H89" s="190"/>
      <c r="I89" s="190"/>
      <c r="J89" s="190"/>
      <c r="K89" s="190"/>
      <c r="L89" s="190"/>
      <c r="M89" s="131"/>
      <c r="N89" s="131"/>
      <c r="O89" s="131"/>
      <c r="P89" s="131"/>
      <c r="Q89" s="131"/>
      <c r="R89" s="131"/>
      <c r="S89" s="131"/>
      <c r="T89" s="131"/>
      <c r="U89" s="131"/>
      <c r="V89" s="131"/>
      <c r="W89" s="131"/>
      <c r="X89" s="131"/>
      <c r="Y89" s="131"/>
      <c r="Z89" s="131"/>
    </row>
    <row r="90" spans="1:26" ht="15.75" customHeight="1" x14ac:dyDescent="0.2">
      <c r="A90" s="131"/>
      <c r="B90" s="190"/>
      <c r="C90" s="190"/>
      <c r="D90" s="190"/>
      <c r="E90" s="190"/>
      <c r="F90" s="190"/>
      <c r="G90" s="190"/>
      <c r="H90" s="190"/>
      <c r="I90" s="190"/>
      <c r="J90" s="190"/>
      <c r="K90" s="190"/>
      <c r="L90" s="190"/>
      <c r="M90" s="131"/>
      <c r="N90" s="131"/>
      <c r="O90" s="131"/>
      <c r="P90" s="131"/>
      <c r="Q90" s="131"/>
      <c r="R90" s="131"/>
      <c r="S90" s="131"/>
      <c r="T90" s="131"/>
      <c r="U90" s="131"/>
      <c r="V90" s="131"/>
      <c r="W90" s="131"/>
      <c r="X90" s="131"/>
      <c r="Y90" s="131"/>
      <c r="Z90" s="131"/>
    </row>
    <row r="91" spans="1:26" ht="15.75" customHeight="1" x14ac:dyDescent="0.2">
      <c r="A91" s="131"/>
      <c r="B91" s="190"/>
      <c r="C91" s="190"/>
      <c r="D91" s="190"/>
      <c r="E91" s="190"/>
      <c r="F91" s="190"/>
      <c r="G91" s="190"/>
      <c r="H91" s="190"/>
      <c r="I91" s="190"/>
      <c r="J91" s="190"/>
      <c r="K91" s="190"/>
      <c r="L91" s="190"/>
      <c r="M91" s="131"/>
      <c r="N91" s="131"/>
      <c r="O91" s="131"/>
      <c r="P91" s="131"/>
      <c r="Q91" s="131"/>
      <c r="R91" s="131"/>
      <c r="S91" s="131"/>
      <c r="T91" s="131"/>
      <c r="U91" s="131"/>
      <c r="V91" s="131"/>
      <c r="W91" s="131"/>
      <c r="X91" s="131"/>
      <c r="Y91" s="131"/>
      <c r="Z91" s="131"/>
    </row>
    <row r="92" spans="1:26" ht="15.75" customHeight="1" x14ac:dyDescent="0.2">
      <c r="A92" s="131"/>
      <c r="B92" s="190"/>
      <c r="C92" s="190"/>
      <c r="D92" s="190"/>
      <c r="E92" s="190"/>
      <c r="F92" s="190"/>
      <c r="G92" s="190"/>
      <c r="H92" s="190"/>
      <c r="I92" s="190"/>
      <c r="J92" s="190"/>
      <c r="K92" s="190"/>
      <c r="L92" s="190"/>
      <c r="M92" s="131"/>
      <c r="N92" s="131"/>
      <c r="O92" s="131"/>
      <c r="P92" s="131"/>
      <c r="Q92" s="131"/>
      <c r="R92" s="131"/>
      <c r="S92" s="131"/>
      <c r="T92" s="131"/>
      <c r="U92" s="131"/>
      <c r="V92" s="131"/>
      <c r="W92" s="131"/>
      <c r="X92" s="131"/>
      <c r="Y92" s="131"/>
      <c r="Z92" s="131"/>
    </row>
    <row r="93" spans="1:26" ht="15.75" customHeight="1" x14ac:dyDescent="0.2">
      <c r="A93" s="131"/>
      <c r="B93" s="190"/>
      <c r="C93" s="190"/>
      <c r="D93" s="190"/>
      <c r="E93" s="190"/>
      <c r="F93" s="190"/>
      <c r="G93" s="190"/>
      <c r="H93" s="190"/>
      <c r="I93" s="190"/>
      <c r="J93" s="190"/>
      <c r="K93" s="190"/>
      <c r="L93" s="190"/>
      <c r="M93" s="131"/>
      <c r="N93" s="131"/>
      <c r="O93" s="131"/>
      <c r="P93" s="131"/>
      <c r="Q93" s="131"/>
      <c r="R93" s="131"/>
      <c r="S93" s="131"/>
      <c r="T93" s="131"/>
      <c r="U93" s="131"/>
      <c r="V93" s="131"/>
      <c r="W93" s="131"/>
      <c r="X93" s="131"/>
      <c r="Y93" s="131"/>
      <c r="Z93" s="131"/>
    </row>
    <row r="94" spans="1:26" ht="15.75" customHeight="1" x14ac:dyDescent="0.2">
      <c r="A94" s="131"/>
      <c r="B94" s="190"/>
      <c r="C94" s="190"/>
      <c r="D94" s="190"/>
      <c r="E94" s="190"/>
      <c r="F94" s="190"/>
      <c r="G94" s="190"/>
      <c r="H94" s="190"/>
      <c r="I94" s="190"/>
      <c r="J94" s="190"/>
      <c r="K94" s="190"/>
      <c r="L94" s="190"/>
      <c r="M94" s="131"/>
      <c r="N94" s="131"/>
      <c r="O94" s="131"/>
      <c r="P94" s="131"/>
      <c r="Q94" s="131"/>
      <c r="R94" s="131"/>
      <c r="S94" s="131"/>
      <c r="T94" s="131"/>
      <c r="U94" s="131"/>
      <c r="V94" s="131"/>
      <c r="W94" s="131"/>
      <c r="X94" s="131"/>
      <c r="Y94" s="131"/>
      <c r="Z94" s="131"/>
    </row>
    <row r="95" spans="1:26" ht="15.75" customHeight="1" x14ac:dyDescent="0.2">
      <c r="A95" s="131"/>
      <c r="B95" s="190"/>
      <c r="C95" s="190"/>
      <c r="D95" s="190"/>
      <c r="E95" s="190"/>
      <c r="F95" s="190"/>
      <c r="G95" s="190"/>
      <c r="H95" s="190"/>
      <c r="I95" s="190"/>
      <c r="J95" s="190"/>
      <c r="K95" s="190"/>
      <c r="L95" s="190"/>
      <c r="M95" s="131"/>
      <c r="N95" s="131"/>
      <c r="O95" s="131"/>
      <c r="P95" s="131"/>
      <c r="Q95" s="131"/>
      <c r="R95" s="131"/>
      <c r="S95" s="131"/>
      <c r="T95" s="131"/>
      <c r="U95" s="131"/>
      <c r="V95" s="131"/>
      <c r="W95" s="131"/>
      <c r="X95" s="131"/>
      <c r="Y95" s="131"/>
      <c r="Z95" s="131"/>
    </row>
    <row r="96" spans="1:26" ht="15.75" customHeight="1" x14ac:dyDescent="0.2">
      <c r="A96" s="131"/>
      <c r="B96" s="190"/>
      <c r="C96" s="190"/>
      <c r="D96" s="190"/>
      <c r="E96" s="190"/>
      <c r="F96" s="190"/>
      <c r="G96" s="190"/>
      <c r="H96" s="190"/>
      <c r="I96" s="190"/>
      <c r="J96" s="190"/>
      <c r="K96" s="190"/>
      <c r="L96" s="190"/>
      <c r="M96" s="131"/>
      <c r="N96" s="131"/>
      <c r="O96" s="131"/>
      <c r="P96" s="131"/>
      <c r="Q96" s="131"/>
      <c r="R96" s="131"/>
      <c r="S96" s="131"/>
      <c r="T96" s="131"/>
      <c r="U96" s="131"/>
      <c r="V96" s="131"/>
      <c r="W96" s="131"/>
      <c r="X96" s="131"/>
      <c r="Y96" s="131"/>
      <c r="Z96" s="131"/>
    </row>
    <row r="97" spans="1:26" ht="15.75" customHeight="1" x14ac:dyDescent="0.2">
      <c r="A97" s="131"/>
      <c r="B97" s="190"/>
      <c r="C97" s="190"/>
      <c r="D97" s="190"/>
      <c r="E97" s="190"/>
      <c r="F97" s="190"/>
      <c r="G97" s="190"/>
      <c r="H97" s="190"/>
      <c r="I97" s="190"/>
      <c r="J97" s="190"/>
      <c r="K97" s="190"/>
      <c r="L97" s="190"/>
      <c r="M97" s="131"/>
      <c r="N97" s="131"/>
      <c r="O97" s="131"/>
      <c r="P97" s="131"/>
      <c r="Q97" s="131"/>
      <c r="R97" s="131"/>
      <c r="S97" s="131"/>
      <c r="T97" s="131"/>
      <c r="U97" s="131"/>
      <c r="V97" s="131"/>
      <c r="W97" s="131"/>
      <c r="X97" s="131"/>
      <c r="Y97" s="131"/>
      <c r="Z97" s="131"/>
    </row>
    <row r="98" spans="1:26" ht="15.75" customHeight="1" x14ac:dyDescent="0.2">
      <c r="A98" s="131"/>
      <c r="B98" s="190"/>
      <c r="C98" s="190"/>
      <c r="D98" s="190"/>
      <c r="E98" s="190"/>
      <c r="F98" s="190"/>
      <c r="G98" s="190"/>
      <c r="H98" s="190"/>
      <c r="I98" s="190"/>
      <c r="J98" s="190"/>
      <c r="K98" s="190"/>
      <c r="L98" s="190"/>
      <c r="M98" s="131"/>
      <c r="N98" s="131"/>
      <c r="O98" s="131"/>
      <c r="P98" s="131"/>
      <c r="Q98" s="131"/>
      <c r="R98" s="131"/>
      <c r="S98" s="131"/>
      <c r="T98" s="131"/>
      <c r="U98" s="131"/>
      <c r="V98" s="131"/>
      <c r="W98" s="131"/>
      <c r="X98" s="131"/>
      <c r="Y98" s="131"/>
      <c r="Z98" s="131"/>
    </row>
    <row r="99" spans="1:26" ht="15.75" customHeight="1" x14ac:dyDescent="0.2">
      <c r="A99" s="131"/>
      <c r="B99" s="190"/>
      <c r="C99" s="190"/>
      <c r="D99" s="190"/>
      <c r="E99" s="190"/>
      <c r="F99" s="190"/>
      <c r="G99" s="190"/>
      <c r="H99" s="190"/>
      <c r="I99" s="190"/>
      <c r="J99" s="190"/>
      <c r="K99" s="190"/>
      <c r="L99" s="190"/>
      <c r="M99" s="131"/>
      <c r="N99" s="131"/>
      <c r="O99" s="131"/>
      <c r="P99" s="131"/>
      <c r="Q99" s="131"/>
      <c r="R99" s="131"/>
      <c r="S99" s="131"/>
      <c r="T99" s="131"/>
      <c r="U99" s="131"/>
      <c r="V99" s="131"/>
      <c r="W99" s="131"/>
      <c r="X99" s="131"/>
      <c r="Y99" s="131"/>
      <c r="Z99" s="131"/>
    </row>
    <row r="100" spans="1:26" ht="15.75" customHeight="1" x14ac:dyDescent="0.2">
      <c r="A100" s="131"/>
      <c r="B100" s="190"/>
      <c r="C100" s="190"/>
      <c r="D100" s="190"/>
      <c r="E100" s="190"/>
      <c r="F100" s="190"/>
      <c r="G100" s="190"/>
      <c r="H100" s="190"/>
      <c r="I100" s="190"/>
      <c r="J100" s="190"/>
      <c r="K100" s="190"/>
      <c r="L100" s="190"/>
      <c r="M100" s="131"/>
      <c r="N100" s="131"/>
      <c r="O100" s="131"/>
      <c r="P100" s="131"/>
      <c r="Q100" s="131"/>
      <c r="R100" s="131"/>
      <c r="S100" s="131"/>
      <c r="T100" s="131"/>
      <c r="U100" s="131"/>
      <c r="V100" s="131"/>
      <c r="W100" s="131"/>
      <c r="X100" s="131"/>
      <c r="Y100" s="131"/>
      <c r="Z100" s="131"/>
    </row>
    <row r="101" spans="1:26" ht="15.75" customHeight="1" x14ac:dyDescent="0.2">
      <c r="A101" s="131"/>
      <c r="B101" s="190"/>
      <c r="C101" s="190"/>
      <c r="D101" s="190"/>
      <c r="E101" s="190"/>
      <c r="F101" s="190"/>
      <c r="G101" s="190"/>
      <c r="H101" s="190"/>
      <c r="I101" s="190"/>
      <c r="J101" s="190"/>
      <c r="K101" s="190"/>
      <c r="L101" s="190"/>
      <c r="M101" s="131"/>
      <c r="N101" s="131"/>
      <c r="O101" s="131"/>
      <c r="P101" s="131"/>
      <c r="Q101" s="131"/>
      <c r="R101" s="131"/>
      <c r="S101" s="131"/>
      <c r="T101" s="131"/>
      <c r="U101" s="131"/>
      <c r="V101" s="131"/>
      <c r="W101" s="131"/>
      <c r="X101" s="131"/>
      <c r="Y101" s="131"/>
      <c r="Z101" s="131"/>
    </row>
    <row r="102" spans="1:26" ht="15.75" customHeight="1" x14ac:dyDescent="0.2">
      <c r="A102" s="131"/>
      <c r="B102" s="190"/>
      <c r="C102" s="190"/>
      <c r="D102" s="190"/>
      <c r="E102" s="190"/>
      <c r="F102" s="190"/>
      <c r="G102" s="190"/>
      <c r="H102" s="190"/>
      <c r="I102" s="190"/>
      <c r="J102" s="190"/>
      <c r="K102" s="190"/>
      <c r="L102" s="190"/>
      <c r="M102" s="131"/>
      <c r="N102" s="131"/>
      <c r="O102" s="131"/>
      <c r="P102" s="131"/>
      <c r="Q102" s="131"/>
      <c r="R102" s="131"/>
      <c r="S102" s="131"/>
      <c r="T102" s="131"/>
      <c r="U102" s="131"/>
      <c r="V102" s="131"/>
      <c r="W102" s="131"/>
      <c r="X102" s="131"/>
      <c r="Y102" s="131"/>
      <c r="Z102" s="131"/>
    </row>
    <row r="103" spans="1:26" ht="15.75" customHeight="1" x14ac:dyDescent="0.2">
      <c r="A103" s="131"/>
      <c r="B103" s="190"/>
      <c r="C103" s="190"/>
      <c r="D103" s="190"/>
      <c r="E103" s="190"/>
      <c r="F103" s="190"/>
      <c r="G103" s="190"/>
      <c r="H103" s="190"/>
      <c r="I103" s="190"/>
      <c r="J103" s="190"/>
      <c r="K103" s="190"/>
      <c r="L103" s="190"/>
      <c r="M103" s="131"/>
      <c r="N103" s="131"/>
      <c r="O103" s="131"/>
      <c r="P103" s="131"/>
      <c r="Q103" s="131"/>
      <c r="R103" s="131"/>
      <c r="S103" s="131"/>
      <c r="T103" s="131"/>
      <c r="U103" s="131"/>
      <c r="V103" s="131"/>
      <c r="W103" s="131"/>
      <c r="X103" s="131"/>
      <c r="Y103" s="131"/>
      <c r="Z103" s="131"/>
    </row>
    <row r="104" spans="1:26" ht="15.75" customHeight="1" x14ac:dyDescent="0.2">
      <c r="A104" s="131"/>
      <c r="B104" s="190"/>
      <c r="C104" s="190"/>
      <c r="D104" s="190"/>
      <c r="E104" s="190"/>
      <c r="F104" s="190"/>
      <c r="G104" s="190"/>
      <c r="H104" s="190"/>
      <c r="I104" s="190"/>
      <c r="J104" s="190"/>
      <c r="K104" s="190"/>
      <c r="L104" s="190"/>
      <c r="M104" s="131"/>
      <c r="N104" s="131"/>
      <c r="O104" s="131"/>
      <c r="P104" s="131"/>
      <c r="Q104" s="131"/>
      <c r="R104" s="131"/>
      <c r="S104" s="131"/>
      <c r="T104" s="131"/>
      <c r="U104" s="131"/>
      <c r="V104" s="131"/>
      <c r="W104" s="131"/>
      <c r="X104" s="131"/>
      <c r="Y104" s="131"/>
      <c r="Z104" s="131"/>
    </row>
    <row r="105" spans="1:26" ht="15.75" customHeight="1" x14ac:dyDescent="0.2">
      <c r="A105" s="131"/>
      <c r="B105" s="190"/>
      <c r="C105" s="190"/>
      <c r="D105" s="190"/>
      <c r="E105" s="190"/>
      <c r="F105" s="190"/>
      <c r="G105" s="190"/>
      <c r="H105" s="190"/>
      <c r="I105" s="190"/>
      <c r="J105" s="190"/>
      <c r="K105" s="190"/>
      <c r="L105" s="190"/>
      <c r="M105" s="131"/>
      <c r="N105" s="131"/>
      <c r="O105" s="131"/>
      <c r="P105" s="131"/>
      <c r="Q105" s="131"/>
      <c r="R105" s="131"/>
      <c r="S105" s="131"/>
      <c r="T105" s="131"/>
      <c r="U105" s="131"/>
      <c r="V105" s="131"/>
      <c r="W105" s="131"/>
      <c r="X105" s="131"/>
      <c r="Y105" s="131"/>
      <c r="Z105" s="131"/>
    </row>
    <row r="106" spans="1:26" ht="15.75" customHeight="1" x14ac:dyDescent="0.2">
      <c r="A106" s="131"/>
      <c r="B106" s="190"/>
      <c r="C106" s="190"/>
      <c r="D106" s="190"/>
      <c r="E106" s="190"/>
      <c r="F106" s="190"/>
      <c r="G106" s="190"/>
      <c r="H106" s="190"/>
      <c r="I106" s="190"/>
      <c r="J106" s="190"/>
      <c r="K106" s="190"/>
      <c r="L106" s="190"/>
      <c r="M106" s="131"/>
      <c r="N106" s="131"/>
      <c r="O106" s="131"/>
      <c r="P106" s="131"/>
      <c r="Q106" s="131"/>
      <c r="R106" s="131"/>
      <c r="S106" s="131"/>
      <c r="T106" s="131"/>
      <c r="U106" s="131"/>
      <c r="V106" s="131"/>
      <c r="W106" s="131"/>
      <c r="X106" s="131"/>
      <c r="Y106" s="131"/>
      <c r="Z106" s="131"/>
    </row>
    <row r="107" spans="1:26" ht="15.75" customHeight="1" x14ac:dyDescent="0.2">
      <c r="A107" s="131"/>
      <c r="B107" s="190"/>
      <c r="C107" s="190"/>
      <c r="D107" s="190"/>
      <c r="E107" s="190"/>
      <c r="F107" s="190"/>
      <c r="G107" s="190"/>
      <c r="H107" s="190"/>
      <c r="I107" s="190"/>
      <c r="J107" s="190"/>
      <c r="K107" s="190"/>
      <c r="L107" s="190"/>
      <c r="M107" s="131"/>
      <c r="N107" s="131"/>
      <c r="O107" s="131"/>
      <c r="P107" s="131"/>
      <c r="Q107" s="131"/>
      <c r="R107" s="131"/>
      <c r="S107" s="131"/>
      <c r="T107" s="131"/>
      <c r="U107" s="131"/>
      <c r="V107" s="131"/>
      <c r="W107" s="131"/>
      <c r="X107" s="131"/>
      <c r="Y107" s="131"/>
      <c r="Z107" s="131"/>
    </row>
    <row r="108" spans="1:26" ht="15.75" customHeight="1" x14ac:dyDescent="0.2">
      <c r="A108" s="131"/>
      <c r="B108" s="190"/>
      <c r="C108" s="190"/>
      <c r="D108" s="190"/>
      <c r="E108" s="190"/>
      <c r="F108" s="190"/>
      <c r="G108" s="190"/>
      <c r="H108" s="190"/>
      <c r="I108" s="190"/>
      <c r="J108" s="190"/>
      <c r="K108" s="190"/>
      <c r="L108" s="190"/>
      <c r="M108" s="131"/>
      <c r="N108" s="131"/>
      <c r="O108" s="131"/>
      <c r="P108" s="131"/>
      <c r="Q108" s="131"/>
      <c r="R108" s="131"/>
      <c r="S108" s="131"/>
      <c r="T108" s="131"/>
      <c r="U108" s="131"/>
      <c r="V108" s="131"/>
      <c r="W108" s="131"/>
      <c r="X108" s="131"/>
      <c r="Y108" s="131"/>
      <c r="Z108" s="131"/>
    </row>
    <row r="109" spans="1:26" ht="15.75" customHeight="1" x14ac:dyDescent="0.2">
      <c r="A109" s="131"/>
      <c r="B109" s="190"/>
      <c r="C109" s="190"/>
      <c r="D109" s="190"/>
      <c r="E109" s="190"/>
      <c r="F109" s="190"/>
      <c r="G109" s="190"/>
      <c r="H109" s="190"/>
      <c r="I109" s="190"/>
      <c r="J109" s="190"/>
      <c r="K109" s="190"/>
      <c r="L109" s="190"/>
      <c r="M109" s="131"/>
      <c r="N109" s="131"/>
      <c r="O109" s="131"/>
      <c r="P109" s="131"/>
      <c r="Q109" s="131"/>
      <c r="R109" s="131"/>
      <c r="S109" s="131"/>
      <c r="T109" s="131"/>
      <c r="U109" s="131"/>
      <c r="V109" s="131"/>
      <c r="W109" s="131"/>
      <c r="X109" s="131"/>
      <c r="Y109" s="131"/>
      <c r="Z109" s="131"/>
    </row>
    <row r="110" spans="1:26" ht="15.75" customHeight="1" x14ac:dyDescent="0.2">
      <c r="A110" s="131"/>
      <c r="B110" s="190"/>
      <c r="C110" s="190"/>
      <c r="D110" s="190"/>
      <c r="E110" s="190"/>
      <c r="F110" s="190"/>
      <c r="G110" s="190"/>
      <c r="H110" s="190"/>
      <c r="I110" s="190"/>
      <c r="J110" s="190"/>
      <c r="K110" s="190"/>
      <c r="L110" s="190"/>
      <c r="M110" s="131"/>
      <c r="N110" s="131"/>
      <c r="O110" s="131"/>
      <c r="P110" s="131"/>
      <c r="Q110" s="131"/>
      <c r="R110" s="131"/>
      <c r="S110" s="131"/>
      <c r="T110" s="131"/>
      <c r="U110" s="131"/>
      <c r="V110" s="131"/>
      <c r="W110" s="131"/>
      <c r="X110" s="131"/>
      <c r="Y110" s="131"/>
      <c r="Z110" s="131"/>
    </row>
    <row r="111" spans="1:26" ht="15.75" customHeight="1" x14ac:dyDescent="0.2">
      <c r="A111" s="131"/>
      <c r="B111" s="190"/>
      <c r="C111" s="190"/>
      <c r="D111" s="190"/>
      <c r="E111" s="190"/>
      <c r="F111" s="190"/>
      <c r="G111" s="190"/>
      <c r="H111" s="190"/>
      <c r="I111" s="190"/>
      <c r="J111" s="190"/>
      <c r="K111" s="190"/>
      <c r="L111" s="190"/>
      <c r="M111" s="131"/>
      <c r="N111" s="131"/>
      <c r="O111" s="131"/>
      <c r="P111" s="131"/>
      <c r="Q111" s="131"/>
      <c r="R111" s="131"/>
      <c r="S111" s="131"/>
      <c r="T111" s="131"/>
      <c r="U111" s="131"/>
      <c r="V111" s="131"/>
      <c r="W111" s="131"/>
      <c r="X111" s="131"/>
      <c r="Y111" s="131"/>
      <c r="Z111" s="131"/>
    </row>
    <row r="112" spans="1:26" ht="15.75" customHeight="1" x14ac:dyDescent="0.2">
      <c r="A112" s="131"/>
      <c r="B112" s="190"/>
      <c r="C112" s="190"/>
      <c r="D112" s="190"/>
      <c r="E112" s="190"/>
      <c r="F112" s="190"/>
      <c r="G112" s="190"/>
      <c r="H112" s="190"/>
      <c r="I112" s="190"/>
      <c r="J112" s="190"/>
      <c r="K112" s="190"/>
      <c r="L112" s="190"/>
      <c r="M112" s="131"/>
      <c r="N112" s="131"/>
      <c r="O112" s="131"/>
      <c r="P112" s="131"/>
      <c r="Q112" s="131"/>
      <c r="R112" s="131"/>
      <c r="S112" s="131"/>
      <c r="T112" s="131"/>
      <c r="U112" s="131"/>
      <c r="V112" s="131"/>
      <c r="W112" s="131"/>
      <c r="X112" s="131"/>
      <c r="Y112" s="131"/>
      <c r="Z112" s="131"/>
    </row>
    <row r="113" spans="1:26" ht="15.75" customHeight="1" x14ac:dyDescent="0.2">
      <c r="A113" s="131"/>
      <c r="B113" s="190"/>
      <c r="C113" s="190"/>
      <c r="D113" s="190"/>
      <c r="E113" s="190"/>
      <c r="F113" s="190"/>
      <c r="G113" s="190"/>
      <c r="H113" s="190"/>
      <c r="I113" s="190"/>
      <c r="J113" s="190"/>
      <c r="K113" s="190"/>
      <c r="L113" s="190"/>
      <c r="M113" s="131"/>
      <c r="N113" s="131"/>
      <c r="O113" s="131"/>
      <c r="P113" s="131"/>
      <c r="Q113" s="131"/>
      <c r="R113" s="131"/>
      <c r="S113" s="131"/>
      <c r="T113" s="131"/>
      <c r="U113" s="131"/>
      <c r="V113" s="131"/>
      <c r="W113" s="131"/>
      <c r="X113" s="131"/>
      <c r="Y113" s="131"/>
      <c r="Z113" s="131"/>
    </row>
    <row r="114" spans="1:26" ht="15.75" customHeight="1" x14ac:dyDescent="0.2">
      <c r="A114" s="131"/>
      <c r="B114" s="190"/>
      <c r="C114" s="190"/>
      <c r="D114" s="190"/>
      <c r="E114" s="190"/>
      <c r="F114" s="190"/>
      <c r="G114" s="190"/>
      <c r="H114" s="190"/>
      <c r="I114" s="190"/>
      <c r="J114" s="190"/>
      <c r="K114" s="190"/>
      <c r="L114" s="190"/>
      <c r="M114" s="131"/>
      <c r="N114" s="131"/>
      <c r="O114" s="131"/>
      <c r="P114" s="131"/>
      <c r="Q114" s="131"/>
      <c r="R114" s="131"/>
      <c r="S114" s="131"/>
      <c r="T114" s="131"/>
      <c r="U114" s="131"/>
      <c r="V114" s="131"/>
      <c r="W114" s="131"/>
      <c r="X114" s="131"/>
      <c r="Y114" s="131"/>
      <c r="Z114" s="131"/>
    </row>
    <row r="115" spans="1:26" ht="15.75" customHeight="1" x14ac:dyDescent="0.2">
      <c r="A115" s="131"/>
      <c r="B115" s="190"/>
      <c r="C115" s="190"/>
      <c r="D115" s="190"/>
      <c r="E115" s="190"/>
      <c r="F115" s="190"/>
      <c r="G115" s="190"/>
      <c r="H115" s="190"/>
      <c r="I115" s="190"/>
      <c r="J115" s="190"/>
      <c r="K115" s="190"/>
      <c r="L115" s="190"/>
      <c r="M115" s="131"/>
      <c r="N115" s="131"/>
      <c r="O115" s="131"/>
      <c r="P115" s="131"/>
      <c r="Q115" s="131"/>
      <c r="R115" s="131"/>
      <c r="S115" s="131"/>
      <c r="T115" s="131"/>
      <c r="U115" s="131"/>
      <c r="V115" s="131"/>
      <c r="W115" s="131"/>
      <c r="X115" s="131"/>
      <c r="Y115" s="131"/>
      <c r="Z115" s="131"/>
    </row>
    <row r="116" spans="1:26" ht="15.75" customHeight="1" x14ac:dyDescent="0.2">
      <c r="A116" s="131"/>
      <c r="B116" s="190"/>
      <c r="C116" s="190"/>
      <c r="D116" s="190"/>
      <c r="E116" s="190"/>
      <c r="F116" s="190"/>
      <c r="G116" s="190"/>
      <c r="H116" s="190"/>
      <c r="I116" s="190"/>
      <c r="J116" s="190"/>
      <c r="K116" s="190"/>
      <c r="L116" s="190"/>
      <c r="M116" s="131"/>
      <c r="N116" s="131"/>
      <c r="O116" s="131"/>
      <c r="P116" s="131"/>
      <c r="Q116" s="131"/>
      <c r="R116" s="131"/>
      <c r="S116" s="131"/>
      <c r="T116" s="131"/>
      <c r="U116" s="131"/>
      <c r="V116" s="131"/>
      <c r="W116" s="131"/>
      <c r="X116" s="131"/>
      <c r="Y116" s="131"/>
      <c r="Z116" s="131"/>
    </row>
    <row r="117" spans="1:26" ht="15.75" customHeight="1" x14ac:dyDescent="0.2">
      <c r="A117" s="131"/>
      <c r="B117" s="190"/>
      <c r="C117" s="190"/>
      <c r="D117" s="190"/>
      <c r="E117" s="190"/>
      <c r="F117" s="190"/>
      <c r="G117" s="190"/>
      <c r="H117" s="190"/>
      <c r="I117" s="190"/>
      <c r="J117" s="190"/>
      <c r="K117" s="190"/>
      <c r="L117" s="190"/>
      <c r="M117" s="131"/>
      <c r="N117" s="131"/>
      <c r="O117" s="131"/>
      <c r="P117" s="131"/>
      <c r="Q117" s="131"/>
      <c r="R117" s="131"/>
      <c r="S117" s="131"/>
      <c r="T117" s="131"/>
      <c r="U117" s="131"/>
      <c r="V117" s="131"/>
      <c r="W117" s="131"/>
      <c r="X117" s="131"/>
      <c r="Y117" s="131"/>
      <c r="Z117" s="131"/>
    </row>
    <row r="118" spans="1:26" ht="15.75" customHeight="1" x14ac:dyDescent="0.2">
      <c r="A118" s="131"/>
      <c r="B118" s="190"/>
      <c r="C118" s="190"/>
      <c r="D118" s="190"/>
      <c r="E118" s="190"/>
      <c r="F118" s="190"/>
      <c r="G118" s="190"/>
      <c r="H118" s="190"/>
      <c r="I118" s="190"/>
      <c r="J118" s="190"/>
      <c r="K118" s="190"/>
      <c r="L118" s="190"/>
      <c r="M118" s="131"/>
      <c r="N118" s="131"/>
      <c r="O118" s="131"/>
      <c r="P118" s="131"/>
      <c r="Q118" s="131"/>
      <c r="R118" s="131"/>
      <c r="S118" s="131"/>
      <c r="T118" s="131"/>
      <c r="U118" s="131"/>
      <c r="V118" s="131"/>
      <c r="W118" s="131"/>
      <c r="X118" s="131"/>
      <c r="Y118" s="131"/>
      <c r="Z118" s="131"/>
    </row>
    <row r="119" spans="1:26" ht="15.75" customHeight="1" x14ac:dyDescent="0.2">
      <c r="A119" s="131"/>
      <c r="B119" s="190"/>
      <c r="C119" s="190"/>
      <c r="D119" s="190"/>
      <c r="E119" s="190"/>
      <c r="F119" s="190"/>
      <c r="G119" s="190"/>
      <c r="H119" s="190"/>
      <c r="I119" s="190"/>
      <c r="J119" s="190"/>
      <c r="K119" s="190"/>
      <c r="L119" s="190"/>
      <c r="M119" s="131"/>
      <c r="N119" s="131"/>
      <c r="O119" s="131"/>
      <c r="P119" s="131"/>
      <c r="Q119" s="131"/>
      <c r="R119" s="131"/>
      <c r="S119" s="131"/>
      <c r="T119" s="131"/>
      <c r="U119" s="131"/>
      <c r="V119" s="131"/>
      <c r="W119" s="131"/>
      <c r="X119" s="131"/>
      <c r="Y119" s="131"/>
      <c r="Z119" s="131"/>
    </row>
    <row r="120" spans="1:26" ht="15.75" customHeight="1" x14ac:dyDescent="0.2">
      <c r="A120" s="131"/>
      <c r="B120" s="190"/>
      <c r="C120" s="190"/>
      <c r="D120" s="190"/>
      <c r="E120" s="190"/>
      <c r="F120" s="190"/>
      <c r="G120" s="190"/>
      <c r="H120" s="190"/>
      <c r="I120" s="190"/>
      <c r="J120" s="190"/>
      <c r="K120" s="190"/>
      <c r="L120" s="190"/>
      <c r="M120" s="131"/>
      <c r="N120" s="131"/>
      <c r="O120" s="131"/>
      <c r="P120" s="131"/>
      <c r="Q120" s="131"/>
      <c r="R120" s="131"/>
      <c r="S120" s="131"/>
      <c r="T120" s="131"/>
      <c r="U120" s="131"/>
      <c r="V120" s="131"/>
      <c r="W120" s="131"/>
      <c r="X120" s="131"/>
      <c r="Y120" s="131"/>
      <c r="Z120" s="131"/>
    </row>
    <row r="121" spans="1:26" ht="15.75" customHeight="1" x14ac:dyDescent="0.2">
      <c r="A121" s="131"/>
      <c r="B121" s="190"/>
      <c r="C121" s="190"/>
      <c r="D121" s="190"/>
      <c r="E121" s="190"/>
      <c r="F121" s="190"/>
      <c r="G121" s="190"/>
      <c r="H121" s="190"/>
      <c r="I121" s="190"/>
      <c r="J121" s="190"/>
      <c r="K121" s="190"/>
      <c r="L121" s="190"/>
      <c r="M121" s="131"/>
      <c r="N121" s="131"/>
      <c r="O121" s="131"/>
      <c r="P121" s="131"/>
      <c r="Q121" s="131"/>
      <c r="R121" s="131"/>
      <c r="S121" s="131"/>
      <c r="T121" s="131"/>
      <c r="U121" s="131"/>
      <c r="V121" s="131"/>
      <c r="W121" s="131"/>
      <c r="X121" s="131"/>
      <c r="Y121" s="131"/>
      <c r="Z121" s="131"/>
    </row>
    <row r="122" spans="1:26" ht="15.75" customHeight="1" x14ac:dyDescent="0.2">
      <c r="A122" s="131"/>
      <c r="B122" s="190"/>
      <c r="C122" s="190"/>
      <c r="D122" s="190"/>
      <c r="E122" s="190"/>
      <c r="F122" s="190"/>
      <c r="G122" s="190"/>
      <c r="H122" s="190"/>
      <c r="I122" s="190"/>
      <c r="J122" s="190"/>
      <c r="K122" s="190"/>
      <c r="L122" s="190"/>
      <c r="M122" s="131"/>
      <c r="N122" s="131"/>
      <c r="O122" s="131"/>
      <c r="P122" s="131"/>
      <c r="Q122" s="131"/>
      <c r="R122" s="131"/>
      <c r="S122" s="131"/>
      <c r="T122" s="131"/>
      <c r="U122" s="131"/>
      <c r="V122" s="131"/>
      <c r="W122" s="131"/>
      <c r="X122" s="131"/>
      <c r="Y122" s="131"/>
      <c r="Z122" s="131"/>
    </row>
    <row r="123" spans="1:26" ht="15.75" customHeight="1" x14ac:dyDescent="0.2">
      <c r="A123" s="131"/>
      <c r="B123" s="190"/>
      <c r="C123" s="190"/>
      <c r="D123" s="190"/>
      <c r="E123" s="190"/>
      <c r="F123" s="190"/>
      <c r="G123" s="190"/>
      <c r="H123" s="190"/>
      <c r="I123" s="190"/>
      <c r="J123" s="190"/>
      <c r="K123" s="190"/>
      <c r="L123" s="190"/>
      <c r="M123" s="131"/>
      <c r="N123" s="131"/>
      <c r="O123" s="131"/>
      <c r="P123" s="131"/>
      <c r="Q123" s="131"/>
      <c r="R123" s="131"/>
      <c r="S123" s="131"/>
      <c r="T123" s="131"/>
      <c r="U123" s="131"/>
      <c r="V123" s="131"/>
      <c r="W123" s="131"/>
      <c r="X123" s="131"/>
      <c r="Y123" s="131"/>
      <c r="Z123" s="131"/>
    </row>
    <row r="124" spans="1:26" ht="15.75" customHeight="1" x14ac:dyDescent="0.2">
      <c r="A124" s="131"/>
      <c r="B124" s="190"/>
      <c r="C124" s="190"/>
      <c r="D124" s="190"/>
      <c r="E124" s="190"/>
      <c r="F124" s="190"/>
      <c r="G124" s="190"/>
      <c r="H124" s="190"/>
      <c r="I124" s="190"/>
      <c r="J124" s="190"/>
      <c r="K124" s="190"/>
      <c r="L124" s="190"/>
      <c r="M124" s="131"/>
      <c r="N124" s="131"/>
      <c r="O124" s="131"/>
      <c r="P124" s="131"/>
      <c r="Q124" s="131"/>
      <c r="R124" s="131"/>
      <c r="S124" s="131"/>
      <c r="T124" s="131"/>
      <c r="U124" s="131"/>
      <c r="V124" s="131"/>
      <c r="W124" s="131"/>
      <c r="X124" s="131"/>
      <c r="Y124" s="131"/>
      <c r="Z124" s="131"/>
    </row>
    <row r="125" spans="1:26" ht="15.75" customHeight="1" x14ac:dyDescent="0.2">
      <c r="A125" s="131"/>
      <c r="B125" s="190"/>
      <c r="C125" s="190"/>
      <c r="D125" s="190"/>
      <c r="E125" s="190"/>
      <c r="F125" s="190"/>
      <c r="G125" s="190"/>
      <c r="H125" s="190"/>
      <c r="I125" s="190"/>
      <c r="J125" s="190"/>
      <c r="K125" s="190"/>
      <c r="L125" s="190"/>
      <c r="M125" s="131"/>
      <c r="N125" s="131"/>
      <c r="O125" s="131"/>
      <c r="P125" s="131"/>
      <c r="Q125" s="131"/>
      <c r="R125" s="131"/>
      <c r="S125" s="131"/>
      <c r="T125" s="131"/>
      <c r="U125" s="131"/>
      <c r="V125" s="131"/>
      <c r="W125" s="131"/>
      <c r="X125" s="131"/>
      <c r="Y125" s="131"/>
      <c r="Z125" s="131"/>
    </row>
    <row r="126" spans="1:26" ht="15.75" customHeight="1" x14ac:dyDescent="0.2">
      <c r="A126" s="131"/>
      <c r="B126" s="190"/>
      <c r="C126" s="190"/>
      <c r="D126" s="190"/>
      <c r="E126" s="190"/>
      <c r="F126" s="190"/>
      <c r="G126" s="190"/>
      <c r="H126" s="190"/>
      <c r="I126" s="190"/>
      <c r="J126" s="190"/>
      <c r="K126" s="190"/>
      <c r="L126" s="190"/>
      <c r="M126" s="131"/>
      <c r="N126" s="131"/>
      <c r="O126" s="131"/>
      <c r="P126" s="131"/>
      <c r="Q126" s="131"/>
      <c r="R126" s="131"/>
      <c r="S126" s="131"/>
      <c r="T126" s="131"/>
      <c r="U126" s="131"/>
      <c r="V126" s="131"/>
      <c r="W126" s="131"/>
      <c r="X126" s="131"/>
      <c r="Y126" s="131"/>
      <c r="Z126" s="131"/>
    </row>
    <row r="127" spans="1:26" ht="15.75" customHeight="1" x14ac:dyDescent="0.2">
      <c r="A127" s="131"/>
      <c r="B127" s="190"/>
      <c r="C127" s="190"/>
      <c r="D127" s="190"/>
      <c r="E127" s="190"/>
      <c r="F127" s="190"/>
      <c r="G127" s="190"/>
      <c r="H127" s="190"/>
      <c r="I127" s="190"/>
      <c r="J127" s="190"/>
      <c r="K127" s="190"/>
      <c r="L127" s="190"/>
      <c r="M127" s="131"/>
      <c r="N127" s="131"/>
      <c r="O127" s="131"/>
      <c r="P127" s="131"/>
      <c r="Q127" s="131"/>
      <c r="R127" s="131"/>
      <c r="S127" s="131"/>
      <c r="T127" s="131"/>
      <c r="U127" s="131"/>
      <c r="V127" s="131"/>
      <c r="W127" s="131"/>
      <c r="X127" s="131"/>
      <c r="Y127" s="131"/>
      <c r="Z127" s="131"/>
    </row>
    <row r="128" spans="1:26" ht="15.75" customHeight="1" x14ac:dyDescent="0.2">
      <c r="A128" s="131"/>
      <c r="B128" s="190"/>
      <c r="C128" s="190"/>
      <c r="D128" s="190"/>
      <c r="E128" s="190"/>
      <c r="F128" s="190"/>
      <c r="G128" s="190"/>
      <c r="H128" s="190"/>
      <c r="I128" s="190"/>
      <c r="J128" s="190"/>
      <c r="K128" s="190"/>
      <c r="L128" s="190"/>
      <c r="M128" s="131"/>
      <c r="N128" s="131"/>
      <c r="O128" s="131"/>
      <c r="P128" s="131"/>
      <c r="Q128" s="131"/>
      <c r="R128" s="131"/>
      <c r="S128" s="131"/>
      <c r="T128" s="131"/>
      <c r="U128" s="131"/>
      <c r="V128" s="131"/>
      <c r="W128" s="131"/>
      <c r="X128" s="131"/>
      <c r="Y128" s="131"/>
      <c r="Z128" s="131"/>
    </row>
    <row r="129" spans="1:26" ht="15.75" customHeight="1" x14ac:dyDescent="0.2">
      <c r="A129" s="131"/>
      <c r="B129" s="190"/>
      <c r="C129" s="190"/>
      <c r="D129" s="190"/>
      <c r="E129" s="190"/>
      <c r="F129" s="190"/>
      <c r="G129" s="190"/>
      <c r="H129" s="190"/>
      <c r="I129" s="190"/>
      <c r="J129" s="190"/>
      <c r="K129" s="190"/>
      <c r="L129" s="190"/>
      <c r="M129" s="131"/>
      <c r="N129" s="131"/>
      <c r="O129" s="131"/>
      <c r="P129" s="131"/>
      <c r="Q129" s="131"/>
      <c r="R129" s="131"/>
      <c r="S129" s="131"/>
      <c r="T129" s="131"/>
      <c r="U129" s="131"/>
      <c r="V129" s="131"/>
      <c r="W129" s="131"/>
      <c r="X129" s="131"/>
      <c r="Y129" s="131"/>
      <c r="Z129" s="131"/>
    </row>
    <row r="130" spans="1:26" ht="15.75" customHeight="1" x14ac:dyDescent="0.2">
      <c r="A130" s="131"/>
      <c r="B130" s="190"/>
      <c r="C130" s="190"/>
      <c r="D130" s="190"/>
      <c r="E130" s="190"/>
      <c r="F130" s="190"/>
      <c r="G130" s="190"/>
      <c r="H130" s="190"/>
      <c r="I130" s="190"/>
      <c r="J130" s="190"/>
      <c r="K130" s="190"/>
      <c r="L130" s="190"/>
      <c r="M130" s="131"/>
      <c r="N130" s="131"/>
      <c r="O130" s="131"/>
      <c r="P130" s="131"/>
      <c r="Q130" s="131"/>
      <c r="R130" s="131"/>
      <c r="S130" s="131"/>
      <c r="T130" s="131"/>
      <c r="U130" s="131"/>
      <c r="V130" s="131"/>
      <c r="W130" s="131"/>
      <c r="X130" s="131"/>
      <c r="Y130" s="131"/>
      <c r="Z130" s="131"/>
    </row>
    <row r="131" spans="1:26" ht="15.75" customHeight="1" x14ac:dyDescent="0.2">
      <c r="A131" s="131"/>
      <c r="B131" s="190"/>
      <c r="C131" s="190"/>
      <c r="D131" s="190"/>
      <c r="E131" s="190"/>
      <c r="F131" s="190"/>
      <c r="G131" s="190"/>
      <c r="H131" s="190"/>
      <c r="I131" s="190"/>
      <c r="J131" s="190"/>
      <c r="K131" s="190"/>
      <c r="L131" s="190"/>
      <c r="M131" s="131"/>
      <c r="N131" s="131"/>
      <c r="O131" s="131"/>
      <c r="P131" s="131"/>
      <c r="Q131" s="131"/>
      <c r="R131" s="131"/>
      <c r="S131" s="131"/>
      <c r="T131" s="131"/>
      <c r="U131" s="131"/>
      <c r="V131" s="131"/>
      <c r="W131" s="131"/>
      <c r="X131" s="131"/>
      <c r="Y131" s="131"/>
      <c r="Z131" s="131"/>
    </row>
    <row r="132" spans="1:26" ht="15.75" customHeight="1" x14ac:dyDescent="0.2">
      <c r="A132" s="131"/>
      <c r="B132" s="190"/>
      <c r="C132" s="190"/>
      <c r="D132" s="190"/>
      <c r="E132" s="190"/>
      <c r="F132" s="190"/>
      <c r="G132" s="190"/>
      <c r="H132" s="190"/>
      <c r="I132" s="190"/>
      <c r="J132" s="190"/>
      <c r="K132" s="190"/>
      <c r="L132" s="190"/>
      <c r="M132" s="131"/>
      <c r="N132" s="131"/>
      <c r="O132" s="131"/>
      <c r="P132" s="131"/>
      <c r="Q132" s="131"/>
      <c r="R132" s="131"/>
      <c r="S132" s="131"/>
      <c r="T132" s="131"/>
      <c r="U132" s="131"/>
      <c r="V132" s="131"/>
      <c r="W132" s="131"/>
      <c r="X132" s="131"/>
      <c r="Y132" s="131"/>
      <c r="Z132" s="131"/>
    </row>
    <row r="133" spans="1:26" ht="15.75" customHeight="1" x14ac:dyDescent="0.2">
      <c r="A133" s="131"/>
      <c r="B133" s="190"/>
      <c r="C133" s="190"/>
      <c r="D133" s="190"/>
      <c r="E133" s="190"/>
      <c r="F133" s="190"/>
      <c r="G133" s="190"/>
      <c r="H133" s="190"/>
      <c r="I133" s="190"/>
      <c r="J133" s="190"/>
      <c r="K133" s="190"/>
      <c r="L133" s="190"/>
      <c r="M133" s="131"/>
      <c r="N133" s="131"/>
      <c r="O133" s="131"/>
      <c r="P133" s="131"/>
      <c r="Q133" s="131"/>
      <c r="R133" s="131"/>
      <c r="S133" s="131"/>
      <c r="T133" s="131"/>
      <c r="U133" s="131"/>
      <c r="V133" s="131"/>
      <c r="W133" s="131"/>
      <c r="X133" s="131"/>
      <c r="Y133" s="131"/>
      <c r="Z133" s="131"/>
    </row>
    <row r="134" spans="1:26" ht="15.75" customHeight="1" x14ac:dyDescent="0.2">
      <c r="A134" s="131"/>
      <c r="B134" s="190"/>
      <c r="C134" s="190"/>
      <c r="D134" s="190"/>
      <c r="E134" s="190"/>
      <c r="F134" s="190"/>
      <c r="G134" s="190"/>
      <c r="H134" s="190"/>
      <c r="I134" s="190"/>
      <c r="J134" s="190"/>
      <c r="K134" s="190"/>
      <c r="L134" s="190"/>
      <c r="M134" s="131"/>
      <c r="N134" s="131"/>
      <c r="O134" s="131"/>
      <c r="P134" s="131"/>
      <c r="Q134" s="131"/>
      <c r="R134" s="131"/>
      <c r="S134" s="131"/>
      <c r="T134" s="131"/>
      <c r="U134" s="131"/>
      <c r="V134" s="131"/>
      <c r="W134" s="131"/>
      <c r="X134" s="131"/>
      <c r="Y134" s="131"/>
      <c r="Z134" s="131"/>
    </row>
    <row r="135" spans="1:26" ht="15.75" customHeight="1" x14ac:dyDescent="0.2">
      <c r="A135" s="131"/>
      <c r="B135" s="190"/>
      <c r="C135" s="190"/>
      <c r="D135" s="190"/>
      <c r="E135" s="190"/>
      <c r="F135" s="190"/>
      <c r="G135" s="190"/>
      <c r="H135" s="190"/>
      <c r="I135" s="190"/>
      <c r="J135" s="190"/>
      <c r="K135" s="190"/>
      <c r="L135" s="190"/>
      <c r="M135" s="131"/>
      <c r="N135" s="131"/>
      <c r="O135" s="131"/>
      <c r="P135" s="131"/>
      <c r="Q135" s="131"/>
      <c r="R135" s="131"/>
      <c r="S135" s="131"/>
      <c r="T135" s="131"/>
      <c r="U135" s="131"/>
      <c r="V135" s="131"/>
      <c r="W135" s="131"/>
      <c r="X135" s="131"/>
      <c r="Y135" s="131"/>
      <c r="Z135" s="131"/>
    </row>
    <row r="136" spans="1:26" ht="15.75" customHeight="1" x14ac:dyDescent="0.2">
      <c r="A136" s="131"/>
      <c r="B136" s="190"/>
      <c r="C136" s="190"/>
      <c r="D136" s="190"/>
      <c r="E136" s="190"/>
      <c r="F136" s="190"/>
      <c r="G136" s="190"/>
      <c r="H136" s="190"/>
      <c r="I136" s="190"/>
      <c r="J136" s="190"/>
      <c r="K136" s="190"/>
      <c r="L136" s="190"/>
      <c r="M136" s="131"/>
      <c r="N136" s="131"/>
      <c r="O136" s="131"/>
      <c r="P136" s="131"/>
      <c r="Q136" s="131"/>
      <c r="R136" s="131"/>
      <c r="S136" s="131"/>
      <c r="T136" s="131"/>
      <c r="U136" s="131"/>
      <c r="V136" s="131"/>
      <c r="W136" s="131"/>
      <c r="X136" s="131"/>
      <c r="Y136" s="131"/>
      <c r="Z136" s="131"/>
    </row>
    <row r="137" spans="1:26" ht="15.75" customHeight="1" x14ac:dyDescent="0.2">
      <c r="A137" s="131"/>
      <c r="B137" s="190"/>
      <c r="C137" s="190"/>
      <c r="D137" s="190"/>
      <c r="E137" s="190"/>
      <c r="F137" s="190"/>
      <c r="G137" s="190"/>
      <c r="H137" s="190"/>
      <c r="I137" s="190"/>
      <c r="J137" s="190"/>
      <c r="K137" s="190"/>
      <c r="L137" s="190"/>
      <c r="M137" s="131"/>
      <c r="N137" s="131"/>
      <c r="O137" s="131"/>
      <c r="P137" s="131"/>
      <c r="Q137" s="131"/>
      <c r="R137" s="131"/>
      <c r="S137" s="131"/>
      <c r="T137" s="131"/>
      <c r="U137" s="131"/>
      <c r="V137" s="131"/>
      <c r="W137" s="131"/>
      <c r="X137" s="131"/>
      <c r="Y137" s="131"/>
      <c r="Z137" s="131"/>
    </row>
    <row r="138" spans="1:26" ht="15.75" customHeight="1" x14ac:dyDescent="0.2">
      <c r="A138" s="131"/>
      <c r="B138" s="190"/>
      <c r="C138" s="190"/>
      <c r="D138" s="190"/>
      <c r="E138" s="190"/>
      <c r="F138" s="190"/>
      <c r="G138" s="190"/>
      <c r="H138" s="190"/>
      <c r="I138" s="190"/>
      <c r="J138" s="190"/>
      <c r="K138" s="190"/>
      <c r="L138" s="190"/>
      <c r="M138" s="131"/>
      <c r="N138" s="131"/>
      <c r="O138" s="131"/>
      <c r="P138" s="131"/>
      <c r="Q138" s="131"/>
      <c r="R138" s="131"/>
      <c r="S138" s="131"/>
      <c r="T138" s="131"/>
      <c r="U138" s="131"/>
      <c r="V138" s="131"/>
      <c r="W138" s="131"/>
      <c r="X138" s="131"/>
      <c r="Y138" s="131"/>
      <c r="Z138" s="131"/>
    </row>
    <row r="139" spans="1:26" ht="15.75" customHeight="1" x14ac:dyDescent="0.2">
      <c r="A139" s="131"/>
      <c r="B139" s="190"/>
      <c r="C139" s="190"/>
      <c r="D139" s="190"/>
      <c r="E139" s="190"/>
      <c r="F139" s="190"/>
      <c r="G139" s="190"/>
      <c r="H139" s="190"/>
      <c r="I139" s="190"/>
      <c r="J139" s="190"/>
      <c r="K139" s="190"/>
      <c r="L139" s="190"/>
      <c r="M139" s="131"/>
      <c r="N139" s="131"/>
      <c r="O139" s="131"/>
      <c r="P139" s="131"/>
      <c r="Q139" s="131"/>
      <c r="R139" s="131"/>
      <c r="S139" s="131"/>
      <c r="T139" s="131"/>
      <c r="U139" s="131"/>
      <c r="V139" s="131"/>
      <c r="W139" s="131"/>
      <c r="X139" s="131"/>
      <c r="Y139" s="131"/>
      <c r="Z139" s="131"/>
    </row>
    <row r="140" spans="1:26" ht="15.75" customHeight="1" x14ac:dyDescent="0.2">
      <c r="A140" s="131"/>
      <c r="B140" s="190"/>
      <c r="C140" s="190"/>
      <c r="D140" s="190"/>
      <c r="E140" s="190"/>
      <c r="F140" s="190"/>
      <c r="G140" s="190"/>
      <c r="H140" s="190"/>
      <c r="I140" s="190"/>
      <c r="J140" s="190"/>
      <c r="K140" s="190"/>
      <c r="L140" s="190"/>
      <c r="M140" s="131"/>
      <c r="N140" s="131"/>
      <c r="O140" s="131"/>
      <c r="P140" s="131"/>
      <c r="Q140" s="131"/>
      <c r="R140" s="131"/>
      <c r="S140" s="131"/>
      <c r="T140" s="131"/>
      <c r="U140" s="131"/>
      <c r="V140" s="131"/>
      <c r="W140" s="131"/>
      <c r="X140" s="131"/>
      <c r="Y140" s="131"/>
      <c r="Z140" s="131"/>
    </row>
    <row r="141" spans="1:26" ht="15.75" customHeight="1" x14ac:dyDescent="0.2">
      <c r="A141" s="131"/>
      <c r="B141" s="190"/>
      <c r="C141" s="190"/>
      <c r="D141" s="190"/>
      <c r="E141" s="190"/>
      <c r="F141" s="190"/>
      <c r="G141" s="190"/>
      <c r="H141" s="190"/>
      <c r="I141" s="190"/>
      <c r="J141" s="190"/>
      <c r="K141" s="190"/>
      <c r="L141" s="190"/>
      <c r="M141" s="131"/>
      <c r="N141" s="131"/>
      <c r="O141" s="131"/>
      <c r="P141" s="131"/>
      <c r="Q141" s="131"/>
      <c r="R141" s="131"/>
      <c r="S141" s="131"/>
      <c r="T141" s="131"/>
      <c r="U141" s="131"/>
      <c r="V141" s="131"/>
      <c r="W141" s="131"/>
      <c r="X141" s="131"/>
      <c r="Y141" s="131"/>
      <c r="Z141" s="131"/>
    </row>
    <row r="142" spans="1:26" ht="15.75" customHeight="1" x14ac:dyDescent="0.2">
      <c r="A142" s="131"/>
      <c r="B142" s="190"/>
      <c r="C142" s="190"/>
      <c r="D142" s="190"/>
      <c r="E142" s="190"/>
      <c r="F142" s="190"/>
      <c r="G142" s="190"/>
      <c r="H142" s="190"/>
      <c r="I142" s="190"/>
      <c r="J142" s="190"/>
      <c r="K142" s="190"/>
      <c r="L142" s="190"/>
      <c r="M142" s="131"/>
      <c r="N142" s="131"/>
      <c r="O142" s="131"/>
      <c r="P142" s="131"/>
      <c r="Q142" s="131"/>
      <c r="R142" s="131"/>
      <c r="S142" s="131"/>
      <c r="T142" s="131"/>
      <c r="U142" s="131"/>
      <c r="V142" s="131"/>
      <c r="W142" s="131"/>
      <c r="X142" s="131"/>
      <c r="Y142" s="131"/>
      <c r="Z142" s="131"/>
    </row>
    <row r="143" spans="1:26" ht="15.75" customHeight="1" x14ac:dyDescent="0.2">
      <c r="A143" s="131"/>
      <c r="B143" s="190"/>
      <c r="C143" s="190"/>
      <c r="D143" s="190"/>
      <c r="E143" s="190"/>
      <c r="F143" s="190"/>
      <c r="G143" s="190"/>
      <c r="H143" s="190"/>
      <c r="I143" s="190"/>
      <c r="J143" s="190"/>
      <c r="K143" s="190"/>
      <c r="L143" s="190"/>
      <c r="M143" s="131"/>
      <c r="N143" s="131"/>
      <c r="O143" s="131"/>
      <c r="P143" s="131"/>
      <c r="Q143" s="131"/>
      <c r="R143" s="131"/>
      <c r="S143" s="131"/>
      <c r="T143" s="131"/>
      <c r="U143" s="131"/>
      <c r="V143" s="131"/>
      <c r="W143" s="131"/>
      <c r="X143" s="131"/>
      <c r="Y143" s="131"/>
      <c r="Z143" s="131"/>
    </row>
    <row r="144" spans="1:26" ht="15.75" customHeight="1" x14ac:dyDescent="0.2">
      <c r="A144" s="131"/>
      <c r="B144" s="190"/>
      <c r="C144" s="190"/>
      <c r="D144" s="190"/>
      <c r="E144" s="190"/>
      <c r="F144" s="190"/>
      <c r="G144" s="190"/>
      <c r="H144" s="190"/>
      <c r="I144" s="190"/>
      <c r="J144" s="190"/>
      <c r="K144" s="190"/>
      <c r="L144" s="190"/>
      <c r="M144" s="131"/>
      <c r="N144" s="131"/>
      <c r="O144" s="131"/>
      <c r="P144" s="131"/>
      <c r="Q144" s="131"/>
      <c r="R144" s="131"/>
      <c r="S144" s="131"/>
      <c r="T144" s="131"/>
      <c r="U144" s="131"/>
      <c r="V144" s="131"/>
      <c r="W144" s="131"/>
      <c r="X144" s="131"/>
      <c r="Y144" s="131"/>
      <c r="Z144" s="131"/>
    </row>
    <row r="145" spans="1:26" ht="15.75" customHeight="1" x14ac:dyDescent="0.2">
      <c r="A145" s="131"/>
      <c r="B145" s="190"/>
      <c r="C145" s="190"/>
      <c r="D145" s="190"/>
      <c r="E145" s="190"/>
      <c r="F145" s="190"/>
      <c r="G145" s="190"/>
      <c r="H145" s="190"/>
      <c r="I145" s="190"/>
      <c r="J145" s="190"/>
      <c r="K145" s="190"/>
      <c r="L145" s="190"/>
      <c r="M145" s="131"/>
      <c r="N145" s="131"/>
      <c r="O145" s="131"/>
      <c r="P145" s="131"/>
      <c r="Q145" s="131"/>
      <c r="R145" s="131"/>
      <c r="S145" s="131"/>
      <c r="T145" s="131"/>
      <c r="U145" s="131"/>
      <c r="V145" s="131"/>
      <c r="W145" s="131"/>
      <c r="X145" s="131"/>
      <c r="Y145" s="131"/>
      <c r="Z145" s="131"/>
    </row>
    <row r="146" spans="1:26" ht="15.75" customHeight="1" x14ac:dyDescent="0.2">
      <c r="A146" s="131"/>
      <c r="B146" s="190"/>
      <c r="C146" s="190"/>
      <c r="D146" s="190"/>
      <c r="E146" s="190"/>
      <c r="F146" s="190"/>
      <c r="G146" s="190"/>
      <c r="H146" s="190"/>
      <c r="I146" s="190"/>
      <c r="J146" s="190"/>
      <c r="K146" s="190"/>
      <c r="L146" s="190"/>
      <c r="M146" s="131"/>
      <c r="N146" s="131"/>
      <c r="O146" s="131"/>
      <c r="P146" s="131"/>
      <c r="Q146" s="131"/>
      <c r="R146" s="131"/>
      <c r="S146" s="131"/>
      <c r="T146" s="131"/>
      <c r="U146" s="131"/>
      <c r="V146" s="131"/>
      <c r="W146" s="131"/>
      <c r="X146" s="131"/>
      <c r="Y146" s="131"/>
      <c r="Z146" s="131"/>
    </row>
    <row r="147" spans="1:26" ht="15.75" customHeight="1" x14ac:dyDescent="0.2">
      <c r="A147" s="131"/>
      <c r="B147" s="190"/>
      <c r="C147" s="190"/>
      <c r="D147" s="190"/>
      <c r="E147" s="190"/>
      <c r="F147" s="190"/>
      <c r="G147" s="190"/>
      <c r="H147" s="190"/>
      <c r="I147" s="190"/>
      <c r="J147" s="190"/>
      <c r="K147" s="190"/>
      <c r="L147" s="190"/>
      <c r="M147" s="131"/>
      <c r="N147" s="131"/>
      <c r="O147" s="131"/>
      <c r="P147" s="131"/>
      <c r="Q147" s="131"/>
      <c r="R147" s="131"/>
      <c r="S147" s="131"/>
      <c r="T147" s="131"/>
      <c r="U147" s="131"/>
      <c r="V147" s="131"/>
      <c r="W147" s="131"/>
      <c r="X147" s="131"/>
      <c r="Y147" s="131"/>
      <c r="Z147" s="131"/>
    </row>
    <row r="148" spans="1:26" ht="15.75" customHeight="1" x14ac:dyDescent="0.2">
      <c r="A148" s="131"/>
      <c r="B148" s="190"/>
      <c r="C148" s="190"/>
      <c r="D148" s="190"/>
      <c r="E148" s="190"/>
      <c r="F148" s="190"/>
      <c r="G148" s="190"/>
      <c r="H148" s="190"/>
      <c r="I148" s="190"/>
      <c r="J148" s="190"/>
      <c r="K148" s="190"/>
      <c r="L148" s="190"/>
      <c r="M148" s="131"/>
      <c r="N148" s="131"/>
      <c r="O148" s="131"/>
      <c r="P148" s="131"/>
      <c r="Q148" s="131"/>
      <c r="R148" s="131"/>
      <c r="S148" s="131"/>
      <c r="T148" s="131"/>
      <c r="U148" s="131"/>
      <c r="V148" s="131"/>
      <c r="W148" s="131"/>
      <c r="X148" s="131"/>
      <c r="Y148" s="131"/>
      <c r="Z148" s="131"/>
    </row>
    <row r="149" spans="1:26" ht="15.75" customHeight="1" x14ac:dyDescent="0.2">
      <c r="A149" s="131"/>
      <c r="B149" s="190"/>
      <c r="C149" s="190"/>
      <c r="D149" s="190"/>
      <c r="E149" s="190"/>
      <c r="F149" s="190"/>
      <c r="G149" s="190"/>
      <c r="H149" s="190"/>
      <c r="I149" s="190"/>
      <c r="J149" s="190"/>
      <c r="K149" s="190"/>
      <c r="L149" s="190"/>
      <c r="M149" s="131"/>
      <c r="N149" s="131"/>
      <c r="O149" s="131"/>
      <c r="P149" s="131"/>
      <c r="Q149" s="131"/>
      <c r="R149" s="131"/>
      <c r="S149" s="131"/>
      <c r="T149" s="131"/>
      <c r="U149" s="131"/>
      <c r="V149" s="131"/>
      <c r="W149" s="131"/>
      <c r="X149" s="131"/>
      <c r="Y149" s="131"/>
      <c r="Z149" s="131"/>
    </row>
    <row r="150" spans="1:26" ht="15.75" customHeight="1" x14ac:dyDescent="0.2">
      <c r="A150" s="131"/>
      <c r="B150" s="190"/>
      <c r="C150" s="190"/>
      <c r="D150" s="190"/>
      <c r="E150" s="190"/>
      <c r="F150" s="190"/>
      <c r="G150" s="190"/>
      <c r="H150" s="190"/>
      <c r="I150" s="190"/>
      <c r="J150" s="190"/>
      <c r="K150" s="190"/>
      <c r="L150" s="190"/>
      <c r="M150" s="131"/>
      <c r="N150" s="131"/>
      <c r="O150" s="131"/>
      <c r="P150" s="131"/>
      <c r="Q150" s="131"/>
      <c r="R150" s="131"/>
      <c r="S150" s="131"/>
      <c r="T150" s="131"/>
      <c r="U150" s="131"/>
      <c r="V150" s="131"/>
      <c r="W150" s="131"/>
      <c r="X150" s="131"/>
      <c r="Y150" s="131"/>
      <c r="Z150" s="131"/>
    </row>
    <row r="151" spans="1:26" ht="15.75" customHeight="1" x14ac:dyDescent="0.2">
      <c r="A151" s="131"/>
      <c r="B151" s="190"/>
      <c r="C151" s="190"/>
      <c r="D151" s="190"/>
      <c r="E151" s="190"/>
      <c r="F151" s="190"/>
      <c r="G151" s="190"/>
      <c r="H151" s="190"/>
      <c r="I151" s="190"/>
      <c r="J151" s="190"/>
      <c r="K151" s="190"/>
      <c r="L151" s="190"/>
      <c r="M151" s="131"/>
      <c r="N151" s="131"/>
      <c r="O151" s="131"/>
      <c r="P151" s="131"/>
      <c r="Q151" s="131"/>
      <c r="R151" s="131"/>
      <c r="S151" s="131"/>
      <c r="T151" s="131"/>
      <c r="U151" s="131"/>
      <c r="V151" s="131"/>
      <c r="W151" s="131"/>
      <c r="X151" s="131"/>
      <c r="Y151" s="131"/>
      <c r="Z151" s="131"/>
    </row>
    <row r="152" spans="1:26" ht="15.75" customHeight="1" x14ac:dyDescent="0.2">
      <c r="A152" s="131"/>
      <c r="B152" s="190"/>
      <c r="C152" s="190"/>
      <c r="D152" s="190"/>
      <c r="E152" s="190"/>
      <c r="F152" s="190"/>
      <c r="G152" s="190"/>
      <c r="H152" s="190"/>
      <c r="I152" s="190"/>
      <c r="J152" s="190"/>
      <c r="K152" s="190"/>
      <c r="L152" s="190"/>
      <c r="M152" s="131"/>
      <c r="N152" s="131"/>
      <c r="O152" s="131"/>
      <c r="P152" s="131"/>
      <c r="Q152" s="131"/>
      <c r="R152" s="131"/>
      <c r="S152" s="131"/>
      <c r="T152" s="131"/>
      <c r="U152" s="131"/>
      <c r="V152" s="131"/>
      <c r="W152" s="131"/>
      <c r="X152" s="131"/>
      <c r="Y152" s="131"/>
      <c r="Z152" s="131"/>
    </row>
    <row r="153" spans="1:26" ht="15.75" customHeight="1" x14ac:dyDescent="0.2">
      <c r="A153" s="131"/>
      <c r="B153" s="190"/>
      <c r="C153" s="190"/>
      <c r="D153" s="190"/>
      <c r="E153" s="190"/>
      <c r="F153" s="190"/>
      <c r="G153" s="190"/>
      <c r="H153" s="190"/>
      <c r="I153" s="190"/>
      <c r="J153" s="190"/>
      <c r="K153" s="190"/>
      <c r="L153" s="190"/>
      <c r="M153" s="131"/>
      <c r="N153" s="131"/>
      <c r="O153" s="131"/>
      <c r="P153" s="131"/>
      <c r="Q153" s="131"/>
      <c r="R153" s="131"/>
      <c r="S153" s="131"/>
      <c r="T153" s="131"/>
      <c r="U153" s="131"/>
      <c r="V153" s="131"/>
      <c r="W153" s="131"/>
      <c r="X153" s="131"/>
      <c r="Y153" s="131"/>
      <c r="Z153" s="131"/>
    </row>
    <row r="154" spans="1:26" ht="15.75" customHeight="1" x14ac:dyDescent="0.2">
      <c r="A154" s="131"/>
      <c r="B154" s="190"/>
      <c r="C154" s="190"/>
      <c r="D154" s="190"/>
      <c r="E154" s="190"/>
      <c r="F154" s="190"/>
      <c r="G154" s="190"/>
      <c r="H154" s="190"/>
      <c r="I154" s="190"/>
      <c r="J154" s="190"/>
      <c r="K154" s="190"/>
      <c r="L154" s="190"/>
      <c r="M154" s="131"/>
      <c r="N154" s="131"/>
      <c r="O154" s="131"/>
      <c r="P154" s="131"/>
      <c r="Q154" s="131"/>
      <c r="R154" s="131"/>
      <c r="S154" s="131"/>
      <c r="T154" s="131"/>
      <c r="U154" s="131"/>
      <c r="V154" s="131"/>
      <c r="W154" s="131"/>
      <c r="X154" s="131"/>
      <c r="Y154" s="131"/>
      <c r="Z154" s="131"/>
    </row>
    <row r="155" spans="1:26" ht="15.75" customHeight="1" x14ac:dyDescent="0.2">
      <c r="A155" s="131"/>
      <c r="B155" s="190"/>
      <c r="C155" s="190"/>
      <c r="D155" s="190"/>
      <c r="E155" s="190"/>
      <c r="F155" s="190"/>
      <c r="G155" s="190"/>
      <c r="H155" s="190"/>
      <c r="I155" s="190"/>
      <c r="J155" s="190"/>
      <c r="K155" s="190"/>
      <c r="L155" s="190"/>
      <c r="M155" s="131"/>
      <c r="N155" s="131"/>
      <c r="O155" s="131"/>
      <c r="P155" s="131"/>
      <c r="Q155" s="131"/>
      <c r="R155" s="131"/>
      <c r="S155" s="131"/>
      <c r="T155" s="131"/>
      <c r="U155" s="131"/>
      <c r="V155" s="131"/>
      <c r="W155" s="131"/>
      <c r="X155" s="131"/>
      <c r="Y155" s="131"/>
      <c r="Z155" s="131"/>
    </row>
    <row r="156" spans="1:26" ht="15.75" customHeight="1" x14ac:dyDescent="0.2">
      <c r="A156" s="131"/>
      <c r="B156" s="190"/>
      <c r="C156" s="190"/>
      <c r="D156" s="190"/>
      <c r="E156" s="190"/>
      <c r="F156" s="190"/>
      <c r="G156" s="190"/>
      <c r="H156" s="190"/>
      <c r="I156" s="190"/>
      <c r="J156" s="190"/>
      <c r="K156" s="190"/>
      <c r="L156" s="190"/>
      <c r="M156" s="131"/>
      <c r="N156" s="131"/>
      <c r="O156" s="131"/>
      <c r="P156" s="131"/>
      <c r="Q156" s="131"/>
      <c r="R156" s="131"/>
      <c r="S156" s="131"/>
      <c r="T156" s="131"/>
      <c r="U156" s="131"/>
      <c r="V156" s="131"/>
      <c r="W156" s="131"/>
      <c r="X156" s="131"/>
      <c r="Y156" s="131"/>
      <c r="Z156" s="131"/>
    </row>
    <row r="157" spans="1:26" ht="15.75" customHeight="1" x14ac:dyDescent="0.2">
      <c r="A157" s="131"/>
      <c r="B157" s="190"/>
      <c r="C157" s="190"/>
      <c r="D157" s="190"/>
      <c r="E157" s="190"/>
      <c r="F157" s="190"/>
      <c r="G157" s="190"/>
      <c r="H157" s="190"/>
      <c r="I157" s="190"/>
      <c r="J157" s="190"/>
      <c r="K157" s="190"/>
      <c r="L157" s="190"/>
      <c r="M157" s="131"/>
      <c r="N157" s="131"/>
      <c r="O157" s="131"/>
      <c r="P157" s="131"/>
      <c r="Q157" s="131"/>
      <c r="R157" s="131"/>
      <c r="S157" s="131"/>
      <c r="T157" s="131"/>
      <c r="U157" s="131"/>
      <c r="V157" s="131"/>
      <c r="W157" s="131"/>
      <c r="X157" s="131"/>
      <c r="Y157" s="131"/>
      <c r="Z157" s="131"/>
    </row>
    <row r="158" spans="1:26" ht="15.75" customHeight="1" x14ac:dyDescent="0.2">
      <c r="A158" s="131"/>
      <c r="B158" s="190"/>
      <c r="C158" s="190"/>
      <c r="D158" s="190"/>
      <c r="E158" s="190"/>
      <c r="F158" s="190"/>
      <c r="G158" s="190"/>
      <c r="H158" s="190"/>
      <c r="I158" s="190"/>
      <c r="J158" s="190"/>
      <c r="K158" s="190"/>
      <c r="L158" s="190"/>
      <c r="M158" s="131"/>
      <c r="N158" s="131"/>
      <c r="O158" s="131"/>
      <c r="P158" s="131"/>
      <c r="Q158" s="131"/>
      <c r="R158" s="131"/>
      <c r="S158" s="131"/>
      <c r="T158" s="131"/>
      <c r="U158" s="131"/>
      <c r="V158" s="131"/>
      <c r="W158" s="131"/>
      <c r="X158" s="131"/>
      <c r="Y158" s="131"/>
      <c r="Z158" s="131"/>
    </row>
    <row r="159" spans="1:26" ht="15.75" customHeight="1" x14ac:dyDescent="0.2">
      <c r="A159" s="131"/>
      <c r="B159" s="190"/>
      <c r="C159" s="190"/>
      <c r="D159" s="190"/>
      <c r="E159" s="190"/>
      <c r="F159" s="190"/>
      <c r="G159" s="190"/>
      <c r="H159" s="190"/>
      <c r="I159" s="190"/>
      <c r="J159" s="190"/>
      <c r="K159" s="190"/>
      <c r="L159" s="190"/>
      <c r="M159" s="131"/>
      <c r="N159" s="131"/>
      <c r="O159" s="131"/>
      <c r="P159" s="131"/>
      <c r="Q159" s="131"/>
      <c r="R159" s="131"/>
      <c r="S159" s="131"/>
      <c r="T159" s="131"/>
      <c r="U159" s="131"/>
      <c r="V159" s="131"/>
      <c r="W159" s="131"/>
      <c r="X159" s="131"/>
      <c r="Y159" s="131"/>
      <c r="Z159" s="131"/>
    </row>
    <row r="160" spans="1:26" ht="15.75" customHeight="1" x14ac:dyDescent="0.2">
      <c r="A160" s="131"/>
      <c r="B160" s="190"/>
      <c r="C160" s="190"/>
      <c r="D160" s="190"/>
      <c r="E160" s="190"/>
      <c r="F160" s="190"/>
      <c r="G160" s="190"/>
      <c r="H160" s="190"/>
      <c r="I160" s="190"/>
      <c r="J160" s="190"/>
      <c r="K160" s="190"/>
      <c r="L160" s="190"/>
      <c r="M160" s="131"/>
      <c r="N160" s="131"/>
      <c r="O160" s="131"/>
      <c r="P160" s="131"/>
      <c r="Q160" s="131"/>
      <c r="R160" s="131"/>
      <c r="S160" s="131"/>
      <c r="T160" s="131"/>
      <c r="U160" s="131"/>
      <c r="V160" s="131"/>
      <c r="W160" s="131"/>
      <c r="X160" s="131"/>
      <c r="Y160" s="131"/>
      <c r="Z160" s="131"/>
    </row>
    <row r="161" spans="1:26" ht="15.75" customHeight="1" x14ac:dyDescent="0.2">
      <c r="A161" s="131"/>
      <c r="B161" s="190"/>
      <c r="C161" s="190"/>
      <c r="D161" s="190"/>
      <c r="E161" s="190"/>
      <c r="F161" s="190"/>
      <c r="G161" s="190"/>
      <c r="H161" s="190"/>
      <c r="I161" s="190"/>
      <c r="J161" s="190"/>
      <c r="K161" s="190"/>
      <c r="L161" s="190"/>
      <c r="M161" s="131"/>
      <c r="N161" s="131"/>
      <c r="O161" s="131"/>
      <c r="P161" s="131"/>
      <c r="Q161" s="131"/>
      <c r="R161" s="131"/>
      <c r="S161" s="131"/>
      <c r="T161" s="131"/>
      <c r="U161" s="131"/>
      <c r="V161" s="131"/>
      <c r="W161" s="131"/>
      <c r="X161" s="131"/>
      <c r="Y161" s="131"/>
      <c r="Z161" s="131"/>
    </row>
    <row r="162" spans="1:26" ht="15.75" customHeight="1" x14ac:dyDescent="0.2">
      <c r="A162" s="131"/>
      <c r="B162" s="190"/>
      <c r="C162" s="190"/>
      <c r="D162" s="190"/>
      <c r="E162" s="190"/>
      <c r="F162" s="190"/>
      <c r="G162" s="190"/>
      <c r="H162" s="190"/>
      <c r="I162" s="190"/>
      <c r="J162" s="190"/>
      <c r="K162" s="190"/>
      <c r="L162" s="190"/>
      <c r="M162" s="131"/>
      <c r="N162" s="131"/>
      <c r="O162" s="131"/>
      <c r="P162" s="131"/>
      <c r="Q162" s="131"/>
      <c r="R162" s="131"/>
      <c r="S162" s="131"/>
      <c r="T162" s="131"/>
      <c r="U162" s="131"/>
      <c r="V162" s="131"/>
      <c r="W162" s="131"/>
      <c r="X162" s="131"/>
      <c r="Y162" s="131"/>
      <c r="Z162" s="131"/>
    </row>
    <row r="163" spans="1:26" ht="15.75" customHeight="1" x14ac:dyDescent="0.2">
      <c r="A163" s="131"/>
      <c r="B163" s="190"/>
      <c r="C163" s="190"/>
      <c r="D163" s="190"/>
      <c r="E163" s="190"/>
      <c r="F163" s="190"/>
      <c r="G163" s="190"/>
      <c r="H163" s="190"/>
      <c r="I163" s="190"/>
      <c r="J163" s="190"/>
      <c r="K163" s="190"/>
      <c r="L163" s="190"/>
      <c r="M163" s="131"/>
      <c r="N163" s="131"/>
      <c r="O163" s="131"/>
      <c r="P163" s="131"/>
      <c r="Q163" s="131"/>
      <c r="R163" s="131"/>
      <c r="S163" s="131"/>
      <c r="T163" s="131"/>
      <c r="U163" s="131"/>
      <c r="V163" s="131"/>
      <c r="W163" s="131"/>
      <c r="X163" s="131"/>
      <c r="Y163" s="131"/>
      <c r="Z163" s="131"/>
    </row>
    <row r="164" spans="1:26" ht="15.75" customHeight="1" x14ac:dyDescent="0.2">
      <c r="A164" s="131"/>
      <c r="B164" s="190"/>
      <c r="C164" s="190"/>
      <c r="D164" s="190"/>
      <c r="E164" s="190"/>
      <c r="F164" s="190"/>
      <c r="G164" s="190"/>
      <c r="H164" s="190"/>
      <c r="I164" s="190"/>
      <c r="J164" s="190"/>
      <c r="K164" s="190"/>
      <c r="L164" s="190"/>
      <c r="M164" s="131"/>
      <c r="N164" s="131"/>
      <c r="O164" s="131"/>
      <c r="P164" s="131"/>
      <c r="Q164" s="131"/>
      <c r="R164" s="131"/>
      <c r="S164" s="131"/>
      <c r="T164" s="131"/>
      <c r="U164" s="131"/>
      <c r="V164" s="131"/>
      <c r="W164" s="131"/>
      <c r="X164" s="131"/>
      <c r="Y164" s="131"/>
      <c r="Z164" s="131"/>
    </row>
    <row r="165" spans="1:26" ht="15.75" customHeight="1" x14ac:dyDescent="0.2">
      <c r="A165" s="131"/>
      <c r="B165" s="190"/>
      <c r="C165" s="190"/>
      <c r="D165" s="190"/>
      <c r="E165" s="190"/>
      <c r="F165" s="190"/>
      <c r="G165" s="190"/>
      <c r="H165" s="190"/>
      <c r="I165" s="190"/>
      <c r="J165" s="190"/>
      <c r="K165" s="190"/>
      <c r="L165" s="190"/>
      <c r="M165" s="131"/>
      <c r="N165" s="131"/>
      <c r="O165" s="131"/>
      <c r="P165" s="131"/>
      <c r="Q165" s="131"/>
      <c r="R165" s="131"/>
      <c r="S165" s="131"/>
      <c r="T165" s="131"/>
      <c r="U165" s="131"/>
      <c r="V165" s="131"/>
      <c r="W165" s="131"/>
      <c r="X165" s="131"/>
      <c r="Y165" s="131"/>
      <c r="Z165" s="131"/>
    </row>
    <row r="166" spans="1:26" ht="15.75" customHeight="1" x14ac:dyDescent="0.2">
      <c r="A166" s="131"/>
      <c r="B166" s="190"/>
      <c r="C166" s="190"/>
      <c r="D166" s="190"/>
      <c r="E166" s="190"/>
      <c r="F166" s="190"/>
      <c r="G166" s="190"/>
      <c r="H166" s="190"/>
      <c r="I166" s="190"/>
      <c r="J166" s="190"/>
      <c r="K166" s="190"/>
      <c r="L166" s="190"/>
      <c r="M166" s="131"/>
      <c r="N166" s="131"/>
      <c r="O166" s="131"/>
      <c r="P166" s="131"/>
      <c r="Q166" s="131"/>
      <c r="R166" s="131"/>
      <c r="S166" s="131"/>
      <c r="T166" s="131"/>
      <c r="U166" s="131"/>
      <c r="V166" s="131"/>
      <c r="W166" s="131"/>
      <c r="X166" s="131"/>
      <c r="Y166" s="131"/>
      <c r="Z166" s="131"/>
    </row>
    <row r="167" spans="1:26" ht="15.75" customHeight="1" x14ac:dyDescent="0.2">
      <c r="A167" s="131"/>
      <c r="B167" s="190"/>
      <c r="C167" s="190"/>
      <c r="D167" s="190"/>
      <c r="E167" s="190"/>
      <c r="F167" s="190"/>
      <c r="G167" s="190"/>
      <c r="H167" s="190"/>
      <c r="I167" s="190"/>
      <c r="J167" s="190"/>
      <c r="K167" s="190"/>
      <c r="L167" s="190"/>
      <c r="M167" s="131"/>
      <c r="N167" s="131"/>
      <c r="O167" s="131"/>
      <c r="P167" s="131"/>
      <c r="Q167" s="131"/>
      <c r="R167" s="131"/>
      <c r="S167" s="131"/>
      <c r="T167" s="131"/>
      <c r="U167" s="131"/>
      <c r="V167" s="131"/>
      <c r="W167" s="131"/>
      <c r="X167" s="131"/>
      <c r="Y167" s="131"/>
      <c r="Z167" s="131"/>
    </row>
    <row r="168" spans="1:26" ht="15.75" customHeight="1" x14ac:dyDescent="0.2">
      <c r="A168" s="131"/>
      <c r="B168" s="190"/>
      <c r="C168" s="190"/>
      <c r="D168" s="190"/>
      <c r="E168" s="190"/>
      <c r="F168" s="190"/>
      <c r="G168" s="190"/>
      <c r="H168" s="190"/>
      <c r="I168" s="190"/>
      <c r="J168" s="190"/>
      <c r="K168" s="190"/>
      <c r="L168" s="190"/>
      <c r="M168" s="131"/>
      <c r="N168" s="131"/>
      <c r="O168" s="131"/>
      <c r="P168" s="131"/>
      <c r="Q168" s="131"/>
      <c r="R168" s="131"/>
      <c r="S168" s="131"/>
      <c r="T168" s="131"/>
      <c r="U168" s="131"/>
      <c r="V168" s="131"/>
      <c r="W168" s="131"/>
      <c r="X168" s="131"/>
      <c r="Y168" s="131"/>
      <c r="Z168" s="131"/>
    </row>
    <row r="169" spans="1:26" ht="15.75" customHeight="1" x14ac:dyDescent="0.2">
      <c r="A169" s="131"/>
      <c r="B169" s="190"/>
      <c r="C169" s="190"/>
      <c r="D169" s="190"/>
      <c r="E169" s="190"/>
      <c r="F169" s="190"/>
      <c r="G169" s="190"/>
      <c r="H169" s="190"/>
      <c r="I169" s="190"/>
      <c r="J169" s="190"/>
      <c r="K169" s="190"/>
      <c r="L169" s="190"/>
      <c r="M169" s="131"/>
      <c r="N169" s="131"/>
      <c r="O169" s="131"/>
      <c r="P169" s="131"/>
      <c r="Q169" s="131"/>
      <c r="R169" s="131"/>
      <c r="S169" s="131"/>
      <c r="T169" s="131"/>
      <c r="U169" s="131"/>
      <c r="V169" s="131"/>
      <c r="W169" s="131"/>
      <c r="X169" s="131"/>
      <c r="Y169" s="131"/>
      <c r="Z169" s="131"/>
    </row>
    <row r="170" spans="1:26" ht="15.75" customHeight="1" x14ac:dyDescent="0.2">
      <c r="A170" s="131"/>
      <c r="B170" s="190"/>
      <c r="C170" s="190"/>
      <c r="D170" s="190"/>
      <c r="E170" s="190"/>
      <c r="F170" s="190"/>
      <c r="G170" s="190"/>
      <c r="H170" s="190"/>
      <c r="I170" s="190"/>
      <c r="J170" s="190"/>
      <c r="K170" s="190"/>
      <c r="L170" s="190"/>
      <c r="M170" s="131"/>
      <c r="N170" s="131"/>
      <c r="O170" s="131"/>
      <c r="P170" s="131"/>
      <c r="Q170" s="131"/>
      <c r="R170" s="131"/>
      <c r="S170" s="131"/>
      <c r="T170" s="131"/>
      <c r="U170" s="131"/>
      <c r="V170" s="131"/>
      <c r="W170" s="131"/>
      <c r="X170" s="131"/>
      <c r="Y170" s="131"/>
      <c r="Z170" s="131"/>
    </row>
    <row r="171" spans="1:26" ht="15.75" customHeight="1" x14ac:dyDescent="0.2">
      <c r="A171" s="131"/>
      <c r="B171" s="190"/>
      <c r="C171" s="190"/>
      <c r="D171" s="190"/>
      <c r="E171" s="190"/>
      <c r="F171" s="190"/>
      <c r="G171" s="190"/>
      <c r="H171" s="190"/>
      <c r="I171" s="190"/>
      <c r="J171" s="190"/>
      <c r="K171" s="190"/>
      <c r="L171" s="190"/>
      <c r="M171" s="131"/>
      <c r="N171" s="131"/>
      <c r="O171" s="131"/>
      <c r="P171" s="131"/>
      <c r="Q171" s="131"/>
      <c r="R171" s="131"/>
      <c r="S171" s="131"/>
      <c r="T171" s="131"/>
      <c r="U171" s="131"/>
      <c r="V171" s="131"/>
      <c r="W171" s="131"/>
      <c r="X171" s="131"/>
      <c r="Y171" s="131"/>
      <c r="Z171" s="131"/>
    </row>
    <row r="172" spans="1:26" ht="15.75" customHeight="1" x14ac:dyDescent="0.2">
      <c r="A172" s="131"/>
      <c r="B172" s="190"/>
      <c r="C172" s="190"/>
      <c r="D172" s="190"/>
      <c r="E172" s="190"/>
      <c r="F172" s="190"/>
      <c r="G172" s="190"/>
      <c r="H172" s="190"/>
      <c r="I172" s="190"/>
      <c r="J172" s="190"/>
      <c r="K172" s="190"/>
      <c r="L172" s="190"/>
      <c r="M172" s="131"/>
      <c r="N172" s="131"/>
      <c r="O172" s="131"/>
      <c r="P172" s="131"/>
      <c r="Q172" s="131"/>
      <c r="R172" s="131"/>
      <c r="S172" s="131"/>
      <c r="T172" s="131"/>
      <c r="U172" s="131"/>
      <c r="V172" s="131"/>
      <c r="W172" s="131"/>
      <c r="X172" s="131"/>
      <c r="Y172" s="131"/>
      <c r="Z172" s="131"/>
    </row>
    <row r="173" spans="1:26" ht="15.75" customHeight="1" x14ac:dyDescent="0.2">
      <c r="A173" s="131"/>
      <c r="B173" s="190"/>
      <c r="C173" s="190"/>
      <c r="D173" s="190"/>
      <c r="E173" s="190"/>
      <c r="F173" s="190"/>
      <c r="G173" s="190"/>
      <c r="H173" s="190"/>
      <c r="I173" s="190"/>
      <c r="J173" s="190"/>
      <c r="K173" s="190"/>
      <c r="L173" s="190"/>
      <c r="M173" s="131"/>
      <c r="N173" s="131"/>
      <c r="O173" s="131"/>
      <c r="P173" s="131"/>
      <c r="Q173" s="131"/>
      <c r="R173" s="131"/>
      <c r="S173" s="131"/>
      <c r="T173" s="131"/>
      <c r="U173" s="131"/>
      <c r="V173" s="131"/>
      <c r="W173" s="131"/>
      <c r="X173" s="131"/>
      <c r="Y173" s="131"/>
      <c r="Z173" s="131"/>
    </row>
    <row r="174" spans="1:26" ht="15.75" customHeight="1" x14ac:dyDescent="0.2">
      <c r="A174" s="131"/>
      <c r="B174" s="190"/>
      <c r="C174" s="190"/>
      <c r="D174" s="190"/>
      <c r="E174" s="190"/>
      <c r="F174" s="190"/>
      <c r="G174" s="190"/>
      <c r="H174" s="190"/>
      <c r="I174" s="190"/>
      <c r="J174" s="190"/>
      <c r="K174" s="190"/>
      <c r="L174" s="190"/>
      <c r="M174" s="131"/>
      <c r="N174" s="131"/>
      <c r="O174" s="131"/>
      <c r="P174" s="131"/>
      <c r="Q174" s="131"/>
      <c r="R174" s="131"/>
      <c r="S174" s="131"/>
      <c r="T174" s="131"/>
      <c r="U174" s="131"/>
      <c r="V174" s="131"/>
      <c r="W174" s="131"/>
      <c r="X174" s="131"/>
      <c r="Y174" s="131"/>
      <c r="Z174" s="131"/>
    </row>
    <row r="175" spans="1:26" ht="15.75" customHeight="1" x14ac:dyDescent="0.2">
      <c r="A175" s="131"/>
      <c r="B175" s="190"/>
      <c r="C175" s="190"/>
      <c r="D175" s="190"/>
      <c r="E175" s="190"/>
      <c r="F175" s="190"/>
      <c r="G175" s="190"/>
      <c r="H175" s="190"/>
      <c r="I175" s="190"/>
      <c r="J175" s="190"/>
      <c r="K175" s="190"/>
      <c r="L175" s="190"/>
      <c r="M175" s="131"/>
      <c r="N175" s="131"/>
      <c r="O175" s="131"/>
      <c r="P175" s="131"/>
      <c r="Q175" s="131"/>
      <c r="R175" s="131"/>
      <c r="S175" s="131"/>
      <c r="T175" s="131"/>
      <c r="U175" s="131"/>
      <c r="V175" s="131"/>
      <c r="W175" s="131"/>
      <c r="X175" s="131"/>
      <c r="Y175" s="131"/>
      <c r="Z175" s="131"/>
    </row>
    <row r="176" spans="1:26" ht="15.75" customHeight="1" x14ac:dyDescent="0.2">
      <c r="A176" s="131"/>
      <c r="B176" s="190"/>
      <c r="C176" s="190"/>
      <c r="D176" s="190"/>
      <c r="E176" s="190"/>
      <c r="F176" s="190"/>
      <c r="G176" s="190"/>
      <c r="H176" s="190"/>
      <c r="I176" s="190"/>
      <c r="J176" s="190"/>
      <c r="K176" s="190"/>
      <c r="L176" s="190"/>
      <c r="M176" s="131"/>
      <c r="N176" s="131"/>
      <c r="O176" s="131"/>
      <c r="P176" s="131"/>
      <c r="Q176" s="131"/>
      <c r="R176" s="131"/>
      <c r="S176" s="131"/>
      <c r="T176" s="131"/>
      <c r="U176" s="131"/>
      <c r="V176" s="131"/>
      <c r="W176" s="131"/>
      <c r="X176" s="131"/>
      <c r="Y176" s="131"/>
      <c r="Z176" s="131"/>
    </row>
    <row r="177" spans="1:26" ht="15.75" customHeight="1" x14ac:dyDescent="0.2">
      <c r="A177" s="131"/>
      <c r="B177" s="190"/>
      <c r="C177" s="190"/>
      <c r="D177" s="190"/>
      <c r="E177" s="190"/>
      <c r="F177" s="190"/>
      <c r="G177" s="190"/>
      <c r="H177" s="190"/>
      <c r="I177" s="190"/>
      <c r="J177" s="190"/>
      <c r="K177" s="190"/>
      <c r="L177" s="190"/>
      <c r="M177" s="131"/>
      <c r="N177" s="131"/>
      <c r="O177" s="131"/>
      <c r="P177" s="131"/>
      <c r="Q177" s="131"/>
      <c r="R177" s="131"/>
      <c r="S177" s="131"/>
      <c r="T177" s="131"/>
      <c r="U177" s="131"/>
      <c r="V177" s="131"/>
      <c r="W177" s="131"/>
      <c r="X177" s="131"/>
      <c r="Y177" s="131"/>
      <c r="Z177" s="131"/>
    </row>
    <row r="178" spans="1:26" ht="15.75" customHeight="1" x14ac:dyDescent="0.2">
      <c r="A178" s="131"/>
      <c r="B178" s="190"/>
      <c r="C178" s="190"/>
      <c r="D178" s="190"/>
      <c r="E178" s="190"/>
      <c r="F178" s="190"/>
      <c r="G178" s="190"/>
      <c r="H178" s="190"/>
      <c r="I178" s="190"/>
      <c r="J178" s="190"/>
      <c r="K178" s="190"/>
      <c r="L178" s="190"/>
      <c r="M178" s="131"/>
      <c r="N178" s="131"/>
      <c r="O178" s="131"/>
      <c r="P178" s="131"/>
      <c r="Q178" s="131"/>
      <c r="R178" s="131"/>
      <c r="S178" s="131"/>
      <c r="T178" s="131"/>
      <c r="U178" s="131"/>
      <c r="V178" s="131"/>
      <c r="W178" s="131"/>
      <c r="X178" s="131"/>
      <c r="Y178" s="131"/>
      <c r="Z178" s="131"/>
    </row>
    <row r="179" spans="1:26" ht="15.75" customHeight="1" x14ac:dyDescent="0.2">
      <c r="A179" s="131"/>
      <c r="B179" s="190"/>
      <c r="C179" s="190"/>
      <c r="D179" s="190"/>
      <c r="E179" s="190"/>
      <c r="F179" s="190"/>
      <c r="G179" s="190"/>
      <c r="H179" s="190"/>
      <c r="I179" s="190"/>
      <c r="J179" s="190"/>
      <c r="K179" s="190"/>
      <c r="L179" s="190"/>
      <c r="M179" s="131"/>
      <c r="N179" s="131"/>
      <c r="O179" s="131"/>
      <c r="P179" s="131"/>
      <c r="Q179" s="131"/>
      <c r="R179" s="131"/>
      <c r="S179" s="131"/>
      <c r="T179" s="131"/>
      <c r="U179" s="131"/>
      <c r="V179" s="131"/>
      <c r="W179" s="131"/>
      <c r="X179" s="131"/>
      <c r="Y179" s="131"/>
      <c r="Z179" s="131"/>
    </row>
    <row r="180" spans="1:26" ht="15.75" customHeight="1" x14ac:dyDescent="0.2">
      <c r="A180" s="131"/>
      <c r="B180" s="190"/>
      <c r="C180" s="190"/>
      <c r="D180" s="190"/>
      <c r="E180" s="190"/>
      <c r="F180" s="190"/>
      <c r="G180" s="190"/>
      <c r="H180" s="190"/>
      <c r="I180" s="190"/>
      <c r="J180" s="190"/>
      <c r="K180" s="190"/>
      <c r="L180" s="190"/>
      <c r="M180" s="131"/>
      <c r="N180" s="131"/>
      <c r="O180" s="131"/>
      <c r="P180" s="131"/>
      <c r="Q180" s="131"/>
      <c r="R180" s="131"/>
      <c r="S180" s="131"/>
      <c r="T180" s="131"/>
      <c r="U180" s="131"/>
      <c r="V180" s="131"/>
      <c r="W180" s="131"/>
      <c r="X180" s="131"/>
      <c r="Y180" s="131"/>
      <c r="Z180" s="131"/>
    </row>
    <row r="181" spans="1:26" ht="15.75" customHeight="1" x14ac:dyDescent="0.2">
      <c r="A181" s="131"/>
      <c r="B181" s="190"/>
      <c r="C181" s="190"/>
      <c r="D181" s="190"/>
      <c r="E181" s="190"/>
      <c r="F181" s="190"/>
      <c r="G181" s="190"/>
      <c r="H181" s="190"/>
      <c r="I181" s="190"/>
      <c r="J181" s="190"/>
      <c r="K181" s="190"/>
      <c r="L181" s="190"/>
      <c r="M181" s="131"/>
      <c r="N181" s="131"/>
      <c r="O181" s="131"/>
      <c r="P181" s="131"/>
      <c r="Q181" s="131"/>
      <c r="R181" s="131"/>
      <c r="S181" s="131"/>
      <c r="T181" s="131"/>
      <c r="U181" s="131"/>
      <c r="V181" s="131"/>
      <c r="W181" s="131"/>
      <c r="X181" s="131"/>
      <c r="Y181" s="131"/>
      <c r="Z181" s="131"/>
    </row>
    <row r="182" spans="1:26" ht="15.75" customHeight="1" x14ac:dyDescent="0.2">
      <c r="A182" s="131"/>
      <c r="B182" s="190"/>
      <c r="C182" s="190"/>
      <c r="D182" s="190"/>
      <c r="E182" s="190"/>
      <c r="F182" s="190"/>
      <c r="G182" s="190"/>
      <c r="H182" s="190"/>
      <c r="I182" s="190"/>
      <c r="J182" s="190"/>
      <c r="K182" s="190"/>
      <c r="L182" s="190"/>
      <c r="M182" s="131"/>
      <c r="N182" s="131"/>
      <c r="O182" s="131"/>
      <c r="P182" s="131"/>
      <c r="Q182" s="131"/>
      <c r="R182" s="131"/>
      <c r="S182" s="131"/>
      <c r="T182" s="131"/>
      <c r="U182" s="131"/>
      <c r="V182" s="131"/>
      <c r="W182" s="131"/>
      <c r="X182" s="131"/>
      <c r="Y182" s="131"/>
      <c r="Z182" s="131"/>
    </row>
    <row r="183" spans="1:26" ht="15.75" customHeight="1" x14ac:dyDescent="0.2">
      <c r="A183" s="131"/>
      <c r="B183" s="190"/>
      <c r="C183" s="190"/>
      <c r="D183" s="190"/>
      <c r="E183" s="190"/>
      <c r="F183" s="190"/>
      <c r="G183" s="190"/>
      <c r="H183" s="190"/>
      <c r="I183" s="190"/>
      <c r="J183" s="190"/>
      <c r="K183" s="190"/>
      <c r="L183" s="190"/>
      <c r="M183" s="131"/>
      <c r="N183" s="131"/>
      <c r="O183" s="131"/>
      <c r="P183" s="131"/>
      <c r="Q183" s="131"/>
      <c r="R183" s="131"/>
      <c r="S183" s="131"/>
      <c r="T183" s="131"/>
      <c r="U183" s="131"/>
      <c r="V183" s="131"/>
      <c r="W183" s="131"/>
      <c r="X183" s="131"/>
      <c r="Y183" s="131"/>
      <c r="Z183" s="131"/>
    </row>
    <row r="184" spans="1:26" ht="15.75" customHeight="1" x14ac:dyDescent="0.2">
      <c r="A184" s="131"/>
      <c r="B184" s="190"/>
      <c r="C184" s="190"/>
      <c r="D184" s="190"/>
      <c r="E184" s="190"/>
      <c r="F184" s="190"/>
      <c r="G184" s="190"/>
      <c r="H184" s="190"/>
      <c r="I184" s="190"/>
      <c r="J184" s="190"/>
      <c r="K184" s="190"/>
      <c r="L184" s="190"/>
      <c r="M184" s="131"/>
      <c r="N184" s="131"/>
      <c r="O184" s="131"/>
      <c r="P184" s="131"/>
      <c r="Q184" s="131"/>
      <c r="R184" s="131"/>
      <c r="S184" s="131"/>
      <c r="T184" s="131"/>
      <c r="U184" s="131"/>
      <c r="V184" s="131"/>
      <c r="W184" s="131"/>
      <c r="X184" s="131"/>
      <c r="Y184" s="131"/>
      <c r="Z184" s="131"/>
    </row>
    <row r="185" spans="1:26" ht="15.75" customHeight="1" x14ac:dyDescent="0.2">
      <c r="A185" s="131"/>
      <c r="B185" s="190"/>
      <c r="C185" s="190"/>
      <c r="D185" s="190"/>
      <c r="E185" s="190"/>
      <c r="F185" s="190"/>
      <c r="G185" s="190"/>
      <c r="H185" s="190"/>
      <c r="I185" s="190"/>
      <c r="J185" s="190"/>
      <c r="K185" s="190"/>
      <c r="L185" s="190"/>
      <c r="M185" s="131"/>
      <c r="N185" s="131"/>
      <c r="O185" s="131"/>
      <c r="P185" s="131"/>
      <c r="Q185" s="131"/>
      <c r="R185" s="131"/>
      <c r="S185" s="131"/>
      <c r="T185" s="131"/>
      <c r="U185" s="131"/>
      <c r="V185" s="131"/>
      <c r="W185" s="131"/>
      <c r="X185" s="131"/>
      <c r="Y185" s="131"/>
      <c r="Z185" s="131"/>
    </row>
    <row r="186" spans="1:26" ht="15.75" customHeight="1" x14ac:dyDescent="0.2">
      <c r="A186" s="131"/>
      <c r="B186" s="190"/>
      <c r="C186" s="190"/>
      <c r="D186" s="190"/>
      <c r="E186" s="190"/>
      <c r="F186" s="190"/>
      <c r="G186" s="190"/>
      <c r="H186" s="190"/>
      <c r="I186" s="190"/>
      <c r="J186" s="190"/>
      <c r="K186" s="190"/>
      <c r="L186" s="190"/>
      <c r="M186" s="131"/>
      <c r="N186" s="131"/>
      <c r="O186" s="131"/>
      <c r="P186" s="131"/>
      <c r="Q186" s="131"/>
      <c r="R186" s="131"/>
      <c r="S186" s="131"/>
      <c r="T186" s="131"/>
      <c r="U186" s="131"/>
      <c r="V186" s="131"/>
      <c r="W186" s="131"/>
      <c r="X186" s="131"/>
      <c r="Y186" s="131"/>
      <c r="Z186" s="131"/>
    </row>
    <row r="187" spans="1:26" ht="15.75" customHeight="1" x14ac:dyDescent="0.2">
      <c r="A187" s="131"/>
      <c r="B187" s="190"/>
      <c r="C187" s="190"/>
      <c r="D187" s="190"/>
      <c r="E187" s="190"/>
      <c r="F187" s="190"/>
      <c r="G187" s="190"/>
      <c r="H187" s="190"/>
      <c r="I187" s="190"/>
      <c r="J187" s="190"/>
      <c r="K187" s="190"/>
      <c r="L187" s="190"/>
      <c r="M187" s="131"/>
      <c r="N187" s="131"/>
      <c r="O187" s="131"/>
      <c r="P187" s="131"/>
      <c r="Q187" s="131"/>
      <c r="R187" s="131"/>
      <c r="S187" s="131"/>
      <c r="T187" s="131"/>
      <c r="U187" s="131"/>
      <c r="V187" s="131"/>
      <c r="W187" s="131"/>
      <c r="X187" s="131"/>
      <c r="Y187" s="131"/>
      <c r="Z187" s="131"/>
    </row>
    <row r="188" spans="1:26" ht="15.75" customHeight="1" x14ac:dyDescent="0.2">
      <c r="A188" s="131"/>
      <c r="B188" s="190"/>
      <c r="C188" s="190"/>
      <c r="D188" s="190"/>
      <c r="E188" s="190"/>
      <c r="F188" s="190"/>
      <c r="G188" s="190"/>
      <c r="H188" s="190"/>
      <c r="I188" s="190"/>
      <c r="J188" s="190"/>
      <c r="K188" s="190"/>
      <c r="L188" s="190"/>
      <c r="M188" s="131"/>
      <c r="N188" s="131"/>
      <c r="O188" s="131"/>
      <c r="P188" s="131"/>
      <c r="Q188" s="131"/>
      <c r="R188" s="131"/>
      <c r="S188" s="131"/>
      <c r="T188" s="131"/>
      <c r="U188" s="131"/>
      <c r="V188" s="131"/>
      <c r="W188" s="131"/>
      <c r="X188" s="131"/>
      <c r="Y188" s="131"/>
      <c r="Z188" s="131"/>
    </row>
    <row r="189" spans="1:26" ht="15.75" customHeight="1" x14ac:dyDescent="0.2">
      <c r="A189" s="131"/>
      <c r="B189" s="190"/>
      <c r="C189" s="190"/>
      <c r="D189" s="190"/>
      <c r="E189" s="190"/>
      <c r="F189" s="190"/>
      <c r="G189" s="190"/>
      <c r="H189" s="190"/>
      <c r="I189" s="190"/>
      <c r="J189" s="190"/>
      <c r="K189" s="190"/>
      <c r="L189" s="190"/>
      <c r="M189" s="131"/>
      <c r="N189" s="131"/>
      <c r="O189" s="131"/>
      <c r="P189" s="131"/>
      <c r="Q189" s="131"/>
      <c r="R189" s="131"/>
      <c r="S189" s="131"/>
      <c r="T189" s="131"/>
      <c r="U189" s="131"/>
      <c r="V189" s="131"/>
      <c r="W189" s="131"/>
      <c r="X189" s="131"/>
      <c r="Y189" s="131"/>
      <c r="Z189" s="131"/>
    </row>
    <row r="190" spans="1:26" ht="15.75" customHeight="1" x14ac:dyDescent="0.2">
      <c r="A190" s="131"/>
      <c r="B190" s="190"/>
      <c r="C190" s="190"/>
      <c r="D190" s="190"/>
      <c r="E190" s="190"/>
      <c r="F190" s="190"/>
      <c r="G190" s="190"/>
      <c r="H190" s="190"/>
      <c r="I190" s="190"/>
      <c r="J190" s="190"/>
      <c r="K190" s="190"/>
      <c r="L190" s="190"/>
      <c r="M190" s="131"/>
      <c r="N190" s="131"/>
      <c r="O190" s="131"/>
      <c r="P190" s="131"/>
      <c r="Q190" s="131"/>
      <c r="R190" s="131"/>
      <c r="S190" s="131"/>
      <c r="T190" s="131"/>
      <c r="U190" s="131"/>
      <c r="V190" s="131"/>
      <c r="W190" s="131"/>
      <c r="X190" s="131"/>
      <c r="Y190" s="131"/>
      <c r="Z190" s="131"/>
    </row>
    <row r="191" spans="1:26" ht="15.75" customHeight="1" x14ac:dyDescent="0.2">
      <c r="A191" s="131"/>
      <c r="B191" s="190"/>
      <c r="C191" s="190"/>
      <c r="D191" s="190"/>
      <c r="E191" s="190"/>
      <c r="F191" s="190"/>
      <c r="G191" s="190"/>
      <c r="H191" s="190"/>
      <c r="I191" s="190"/>
      <c r="J191" s="190"/>
      <c r="K191" s="190"/>
      <c r="L191" s="190"/>
      <c r="M191" s="131"/>
      <c r="N191" s="131"/>
      <c r="O191" s="131"/>
      <c r="P191" s="131"/>
      <c r="Q191" s="131"/>
      <c r="R191" s="131"/>
      <c r="S191" s="131"/>
      <c r="T191" s="131"/>
      <c r="U191" s="131"/>
      <c r="V191" s="131"/>
      <c r="W191" s="131"/>
      <c r="X191" s="131"/>
      <c r="Y191" s="131"/>
      <c r="Z191" s="131"/>
    </row>
    <row r="192" spans="1:26" ht="15.75" customHeight="1" x14ac:dyDescent="0.2">
      <c r="A192" s="131"/>
      <c r="B192" s="190"/>
      <c r="C192" s="190"/>
      <c r="D192" s="190"/>
      <c r="E192" s="190"/>
      <c r="F192" s="190"/>
      <c r="G192" s="190"/>
      <c r="H192" s="190"/>
      <c r="I192" s="190"/>
      <c r="J192" s="190"/>
      <c r="K192" s="190"/>
      <c r="L192" s="190"/>
      <c r="M192" s="131"/>
      <c r="N192" s="131"/>
      <c r="O192" s="131"/>
      <c r="P192" s="131"/>
      <c r="Q192" s="131"/>
      <c r="R192" s="131"/>
      <c r="S192" s="131"/>
      <c r="T192" s="131"/>
      <c r="U192" s="131"/>
      <c r="V192" s="131"/>
      <c r="W192" s="131"/>
      <c r="X192" s="131"/>
      <c r="Y192" s="131"/>
      <c r="Z192" s="131"/>
    </row>
    <row r="193" spans="1:26" ht="15.75" customHeight="1" x14ac:dyDescent="0.2">
      <c r="A193" s="131"/>
      <c r="B193" s="190"/>
      <c r="C193" s="190"/>
      <c r="D193" s="190"/>
      <c r="E193" s="190"/>
      <c r="F193" s="190"/>
      <c r="G193" s="190"/>
      <c r="H193" s="190"/>
      <c r="I193" s="190"/>
      <c r="J193" s="190"/>
      <c r="K193" s="190"/>
      <c r="L193" s="190"/>
      <c r="M193" s="131"/>
      <c r="N193" s="131"/>
      <c r="O193" s="131"/>
      <c r="P193" s="131"/>
      <c r="Q193" s="131"/>
      <c r="R193" s="131"/>
      <c r="S193" s="131"/>
      <c r="T193" s="131"/>
      <c r="U193" s="131"/>
      <c r="V193" s="131"/>
      <c r="W193" s="131"/>
      <c r="X193" s="131"/>
      <c r="Y193" s="131"/>
      <c r="Z193" s="131"/>
    </row>
    <row r="194" spans="1:26" ht="15.75" customHeight="1" x14ac:dyDescent="0.2">
      <c r="A194" s="131"/>
      <c r="B194" s="190"/>
      <c r="C194" s="190"/>
      <c r="D194" s="190"/>
      <c r="E194" s="190"/>
      <c r="F194" s="190"/>
      <c r="G194" s="190"/>
      <c r="H194" s="190"/>
      <c r="I194" s="190"/>
      <c r="J194" s="190"/>
      <c r="K194" s="190"/>
      <c r="L194" s="190"/>
      <c r="M194" s="131"/>
      <c r="N194" s="131"/>
      <c r="O194" s="131"/>
      <c r="P194" s="131"/>
      <c r="Q194" s="131"/>
      <c r="R194" s="131"/>
      <c r="S194" s="131"/>
      <c r="T194" s="131"/>
      <c r="U194" s="131"/>
      <c r="V194" s="131"/>
      <c r="W194" s="131"/>
      <c r="X194" s="131"/>
      <c r="Y194" s="131"/>
      <c r="Z194" s="131"/>
    </row>
    <row r="195" spans="1:26" ht="15.75" customHeight="1" x14ac:dyDescent="0.2">
      <c r="A195" s="131"/>
      <c r="B195" s="190"/>
      <c r="C195" s="190"/>
      <c r="D195" s="190"/>
      <c r="E195" s="190"/>
      <c r="F195" s="190"/>
      <c r="G195" s="190"/>
      <c r="H195" s="190"/>
      <c r="I195" s="190"/>
      <c r="J195" s="190"/>
      <c r="K195" s="190"/>
      <c r="L195" s="190"/>
      <c r="M195" s="131"/>
      <c r="N195" s="131"/>
      <c r="O195" s="131"/>
      <c r="P195" s="131"/>
      <c r="Q195" s="131"/>
      <c r="R195" s="131"/>
      <c r="S195" s="131"/>
      <c r="T195" s="131"/>
      <c r="U195" s="131"/>
      <c r="V195" s="131"/>
      <c r="W195" s="131"/>
      <c r="X195" s="131"/>
      <c r="Y195" s="131"/>
      <c r="Z195" s="131"/>
    </row>
    <row r="196" spans="1:26" ht="15.75" customHeight="1" x14ac:dyDescent="0.2">
      <c r="A196" s="131"/>
      <c r="B196" s="190"/>
      <c r="C196" s="190"/>
      <c r="D196" s="190"/>
      <c r="E196" s="190"/>
      <c r="F196" s="190"/>
      <c r="G196" s="190"/>
      <c r="H196" s="190"/>
      <c r="I196" s="190"/>
      <c r="J196" s="190"/>
      <c r="K196" s="190"/>
      <c r="L196" s="190"/>
      <c r="M196" s="131"/>
      <c r="N196" s="131"/>
      <c r="O196" s="131"/>
      <c r="P196" s="131"/>
      <c r="Q196" s="131"/>
      <c r="R196" s="131"/>
      <c r="S196" s="131"/>
      <c r="T196" s="131"/>
      <c r="U196" s="131"/>
      <c r="V196" s="131"/>
      <c r="W196" s="131"/>
      <c r="X196" s="131"/>
      <c r="Y196" s="131"/>
      <c r="Z196" s="131"/>
    </row>
    <row r="197" spans="1:26" ht="15.75" customHeight="1" x14ac:dyDescent="0.2">
      <c r="A197" s="131"/>
      <c r="B197" s="190"/>
      <c r="C197" s="190"/>
      <c r="D197" s="190"/>
      <c r="E197" s="190"/>
      <c r="F197" s="190"/>
      <c r="G197" s="190"/>
      <c r="H197" s="190"/>
      <c r="I197" s="190"/>
      <c r="J197" s="190"/>
      <c r="K197" s="190"/>
      <c r="L197" s="190"/>
      <c r="M197" s="131"/>
      <c r="N197" s="131"/>
      <c r="O197" s="131"/>
      <c r="P197" s="131"/>
      <c r="Q197" s="131"/>
      <c r="R197" s="131"/>
      <c r="S197" s="131"/>
      <c r="T197" s="131"/>
      <c r="U197" s="131"/>
      <c r="V197" s="131"/>
      <c r="W197" s="131"/>
      <c r="X197" s="131"/>
      <c r="Y197" s="131"/>
      <c r="Z197" s="131"/>
    </row>
    <row r="198" spans="1:26" ht="15.75" customHeight="1" x14ac:dyDescent="0.2">
      <c r="A198" s="131"/>
      <c r="B198" s="190"/>
      <c r="C198" s="190"/>
      <c r="D198" s="190"/>
      <c r="E198" s="190"/>
      <c r="F198" s="190"/>
      <c r="G198" s="190"/>
      <c r="H198" s="190"/>
      <c r="I198" s="190"/>
      <c r="J198" s="190"/>
      <c r="K198" s="190"/>
      <c r="L198" s="190"/>
      <c r="M198" s="131"/>
      <c r="N198" s="131"/>
      <c r="O198" s="131"/>
      <c r="P198" s="131"/>
      <c r="Q198" s="131"/>
      <c r="R198" s="131"/>
      <c r="S198" s="131"/>
      <c r="T198" s="131"/>
      <c r="U198" s="131"/>
      <c r="V198" s="131"/>
      <c r="W198" s="131"/>
      <c r="X198" s="131"/>
      <c r="Y198" s="131"/>
      <c r="Z198" s="131"/>
    </row>
    <row r="199" spans="1:26" ht="15.75" customHeight="1" x14ac:dyDescent="0.2">
      <c r="A199" s="131"/>
      <c r="B199" s="190"/>
      <c r="C199" s="190"/>
      <c r="D199" s="190"/>
      <c r="E199" s="190"/>
      <c r="F199" s="190"/>
      <c r="G199" s="190"/>
      <c r="H199" s="190"/>
      <c r="I199" s="190"/>
      <c r="J199" s="190"/>
      <c r="K199" s="190"/>
      <c r="L199" s="190"/>
      <c r="M199" s="131"/>
      <c r="N199" s="131"/>
      <c r="O199" s="131"/>
      <c r="P199" s="131"/>
      <c r="Q199" s="131"/>
      <c r="R199" s="131"/>
      <c r="S199" s="131"/>
      <c r="T199" s="131"/>
      <c r="U199" s="131"/>
      <c r="V199" s="131"/>
      <c r="W199" s="131"/>
      <c r="X199" s="131"/>
      <c r="Y199" s="131"/>
      <c r="Z199" s="131"/>
    </row>
    <row r="200" spans="1:26" ht="15.75" customHeight="1" x14ac:dyDescent="0.2">
      <c r="A200" s="131"/>
      <c r="B200" s="190"/>
      <c r="C200" s="190"/>
      <c r="D200" s="190"/>
      <c r="E200" s="190"/>
      <c r="F200" s="190"/>
      <c r="G200" s="190"/>
      <c r="H200" s="190"/>
      <c r="I200" s="190"/>
      <c r="J200" s="190"/>
      <c r="K200" s="190"/>
      <c r="L200" s="190"/>
      <c r="M200" s="131"/>
      <c r="N200" s="131"/>
      <c r="O200" s="131"/>
      <c r="P200" s="131"/>
      <c r="Q200" s="131"/>
      <c r="R200" s="131"/>
      <c r="S200" s="131"/>
      <c r="T200" s="131"/>
      <c r="U200" s="131"/>
      <c r="V200" s="131"/>
      <c r="W200" s="131"/>
      <c r="X200" s="131"/>
      <c r="Y200" s="131"/>
      <c r="Z200" s="131"/>
    </row>
    <row r="201" spans="1:26" ht="15.75" customHeight="1" x14ac:dyDescent="0.2">
      <c r="A201" s="131"/>
      <c r="B201" s="190"/>
      <c r="C201" s="190"/>
      <c r="D201" s="190"/>
      <c r="E201" s="190"/>
      <c r="F201" s="190"/>
      <c r="G201" s="190"/>
      <c r="H201" s="190"/>
      <c r="I201" s="190"/>
      <c r="J201" s="190"/>
      <c r="K201" s="190"/>
      <c r="L201" s="190"/>
      <c r="M201" s="131"/>
      <c r="N201" s="131"/>
      <c r="O201" s="131"/>
      <c r="P201" s="131"/>
      <c r="Q201" s="131"/>
      <c r="R201" s="131"/>
      <c r="S201" s="131"/>
      <c r="T201" s="131"/>
      <c r="U201" s="131"/>
      <c r="V201" s="131"/>
      <c r="W201" s="131"/>
      <c r="X201" s="131"/>
      <c r="Y201" s="131"/>
      <c r="Z201" s="131"/>
    </row>
    <row r="202" spans="1:26" ht="15.75" customHeight="1" x14ac:dyDescent="0.2">
      <c r="A202" s="131"/>
      <c r="B202" s="190"/>
      <c r="C202" s="190"/>
      <c r="D202" s="190"/>
      <c r="E202" s="190"/>
      <c r="F202" s="190"/>
      <c r="G202" s="190"/>
      <c r="H202" s="190"/>
      <c r="I202" s="190"/>
      <c r="J202" s="190"/>
      <c r="K202" s="190"/>
      <c r="L202" s="190"/>
      <c r="M202" s="131"/>
      <c r="N202" s="131"/>
      <c r="O202" s="131"/>
      <c r="P202" s="131"/>
      <c r="Q202" s="131"/>
      <c r="R202" s="131"/>
      <c r="S202" s="131"/>
      <c r="T202" s="131"/>
      <c r="U202" s="131"/>
      <c r="V202" s="131"/>
      <c r="W202" s="131"/>
      <c r="X202" s="131"/>
      <c r="Y202" s="131"/>
      <c r="Z202" s="131"/>
    </row>
    <row r="203" spans="1:26" ht="15.75" customHeight="1" x14ac:dyDescent="0.2">
      <c r="A203" s="131"/>
      <c r="B203" s="190"/>
      <c r="C203" s="190"/>
      <c r="D203" s="190"/>
      <c r="E203" s="190"/>
      <c r="F203" s="190"/>
      <c r="G203" s="190"/>
      <c r="H203" s="190"/>
      <c r="I203" s="190"/>
      <c r="J203" s="190"/>
      <c r="K203" s="190"/>
      <c r="L203" s="190"/>
      <c r="M203" s="131"/>
      <c r="N203" s="131"/>
      <c r="O203" s="131"/>
      <c r="P203" s="131"/>
      <c r="Q203" s="131"/>
      <c r="R203" s="131"/>
      <c r="S203" s="131"/>
      <c r="T203" s="131"/>
      <c r="U203" s="131"/>
      <c r="V203" s="131"/>
      <c r="W203" s="131"/>
      <c r="X203" s="131"/>
      <c r="Y203" s="131"/>
      <c r="Z203" s="131"/>
    </row>
    <row r="204" spans="1:26" ht="15.75" customHeight="1" x14ac:dyDescent="0.2">
      <c r="A204" s="131"/>
      <c r="B204" s="190"/>
      <c r="C204" s="190"/>
      <c r="D204" s="190"/>
      <c r="E204" s="190"/>
      <c r="F204" s="190"/>
      <c r="G204" s="190"/>
      <c r="H204" s="190"/>
      <c r="I204" s="190"/>
      <c r="J204" s="190"/>
      <c r="K204" s="190"/>
      <c r="L204" s="190"/>
      <c r="M204" s="131"/>
      <c r="N204" s="131"/>
      <c r="O204" s="131"/>
      <c r="P204" s="131"/>
      <c r="Q204" s="131"/>
      <c r="R204" s="131"/>
      <c r="S204" s="131"/>
      <c r="T204" s="131"/>
      <c r="U204" s="131"/>
      <c r="V204" s="131"/>
      <c r="W204" s="131"/>
      <c r="X204" s="131"/>
      <c r="Y204" s="131"/>
      <c r="Z204" s="131"/>
    </row>
    <row r="205" spans="1:26" ht="15.75" customHeight="1" x14ac:dyDescent="0.2">
      <c r="A205" s="131"/>
      <c r="B205" s="190"/>
      <c r="C205" s="190"/>
      <c r="D205" s="190"/>
      <c r="E205" s="190"/>
      <c r="F205" s="190"/>
      <c r="G205" s="190"/>
      <c r="H205" s="190"/>
      <c r="I205" s="190"/>
      <c r="J205" s="190"/>
      <c r="K205" s="190"/>
      <c r="L205" s="190"/>
      <c r="M205" s="131"/>
      <c r="N205" s="131"/>
      <c r="O205" s="131"/>
      <c r="P205" s="131"/>
      <c r="Q205" s="131"/>
      <c r="R205" s="131"/>
      <c r="S205" s="131"/>
      <c r="T205" s="131"/>
      <c r="U205" s="131"/>
      <c r="V205" s="131"/>
      <c r="W205" s="131"/>
      <c r="X205" s="131"/>
      <c r="Y205" s="131"/>
      <c r="Z205" s="131"/>
    </row>
    <row r="206" spans="1:26" ht="15.75" customHeight="1" x14ac:dyDescent="0.2">
      <c r="A206" s="131"/>
      <c r="B206" s="190"/>
      <c r="C206" s="190"/>
      <c r="D206" s="190"/>
      <c r="E206" s="190"/>
      <c r="F206" s="190"/>
      <c r="G206" s="190"/>
      <c r="H206" s="190"/>
      <c r="I206" s="190"/>
      <c r="J206" s="190"/>
      <c r="K206" s="190"/>
      <c r="L206" s="190"/>
      <c r="M206" s="131"/>
      <c r="N206" s="131"/>
      <c r="O206" s="131"/>
      <c r="P206" s="131"/>
      <c r="Q206" s="131"/>
      <c r="R206" s="131"/>
      <c r="S206" s="131"/>
      <c r="T206" s="131"/>
      <c r="U206" s="131"/>
      <c r="V206" s="131"/>
      <c r="W206" s="131"/>
      <c r="X206" s="131"/>
      <c r="Y206" s="131"/>
      <c r="Z206" s="131"/>
    </row>
    <row r="207" spans="1:26" ht="15.75" customHeight="1" x14ac:dyDescent="0.2">
      <c r="A207" s="131"/>
      <c r="B207" s="190"/>
      <c r="C207" s="190"/>
      <c r="D207" s="190"/>
      <c r="E207" s="190"/>
      <c r="F207" s="190"/>
      <c r="G207" s="190"/>
      <c r="H207" s="190"/>
      <c r="I207" s="190"/>
      <c r="J207" s="190"/>
      <c r="K207" s="190"/>
      <c r="L207" s="190"/>
      <c r="M207" s="131"/>
      <c r="N207" s="131"/>
      <c r="O207" s="131"/>
      <c r="P207" s="131"/>
      <c r="Q207" s="131"/>
      <c r="R207" s="131"/>
      <c r="S207" s="131"/>
      <c r="T207" s="131"/>
      <c r="U207" s="131"/>
      <c r="V207" s="131"/>
      <c r="W207" s="131"/>
      <c r="X207" s="131"/>
      <c r="Y207" s="131"/>
      <c r="Z207" s="131"/>
    </row>
    <row r="208" spans="1:26" ht="15.75" customHeight="1" x14ac:dyDescent="0.2">
      <c r="A208" s="131"/>
      <c r="B208" s="190"/>
      <c r="C208" s="190"/>
      <c r="D208" s="190"/>
      <c r="E208" s="190"/>
      <c r="F208" s="190"/>
      <c r="G208" s="190"/>
      <c r="H208" s="190"/>
      <c r="I208" s="190"/>
      <c r="J208" s="190"/>
      <c r="K208" s="190"/>
      <c r="L208" s="190"/>
      <c r="M208" s="131"/>
      <c r="N208" s="131"/>
      <c r="O208" s="131"/>
      <c r="P208" s="131"/>
      <c r="Q208" s="131"/>
      <c r="R208" s="131"/>
      <c r="S208" s="131"/>
      <c r="T208" s="131"/>
      <c r="U208" s="131"/>
      <c r="V208" s="131"/>
      <c r="W208" s="131"/>
      <c r="X208" s="131"/>
      <c r="Y208" s="131"/>
      <c r="Z208" s="131"/>
    </row>
    <row r="209" spans="1:26" ht="15.75" customHeight="1" x14ac:dyDescent="0.2">
      <c r="A209" s="131"/>
      <c r="B209" s="190"/>
      <c r="C209" s="190"/>
      <c r="D209" s="190"/>
      <c r="E209" s="190"/>
      <c r="F209" s="190"/>
      <c r="G209" s="190"/>
      <c r="H209" s="190"/>
      <c r="I209" s="190"/>
      <c r="J209" s="190"/>
      <c r="K209" s="190"/>
      <c r="L209" s="190"/>
      <c r="M209" s="131"/>
      <c r="N209" s="131"/>
      <c r="O209" s="131"/>
      <c r="P209" s="131"/>
      <c r="Q209" s="131"/>
      <c r="R209" s="131"/>
      <c r="S209" s="131"/>
      <c r="T209" s="131"/>
      <c r="U209" s="131"/>
      <c r="V209" s="131"/>
      <c r="W209" s="131"/>
      <c r="X209" s="131"/>
      <c r="Y209" s="131"/>
      <c r="Z209" s="131"/>
    </row>
    <row r="210" spans="1:26" ht="15.75" customHeight="1" x14ac:dyDescent="0.2">
      <c r="A210" s="131"/>
      <c r="B210" s="190"/>
      <c r="C210" s="190"/>
      <c r="D210" s="190"/>
      <c r="E210" s="190"/>
      <c r="F210" s="190"/>
      <c r="G210" s="190"/>
      <c r="H210" s="190"/>
      <c r="I210" s="190"/>
      <c r="J210" s="190"/>
      <c r="K210" s="190"/>
      <c r="L210" s="190"/>
      <c r="M210" s="131"/>
      <c r="N210" s="131"/>
      <c r="O210" s="131"/>
      <c r="P210" s="131"/>
      <c r="Q210" s="131"/>
      <c r="R210" s="131"/>
      <c r="S210" s="131"/>
      <c r="T210" s="131"/>
      <c r="U210" s="131"/>
      <c r="V210" s="131"/>
      <c r="W210" s="131"/>
      <c r="X210" s="131"/>
      <c r="Y210" s="131"/>
      <c r="Z210" s="131"/>
    </row>
    <row r="211" spans="1:26" ht="15.75" customHeight="1" x14ac:dyDescent="0.2">
      <c r="A211" s="131"/>
      <c r="B211" s="190" t="s">
        <v>527</v>
      </c>
      <c r="C211" s="190"/>
      <c r="D211" s="190"/>
      <c r="E211" s="190"/>
      <c r="F211" s="190"/>
      <c r="G211" s="190"/>
      <c r="H211" s="190"/>
      <c r="I211" s="190"/>
      <c r="J211" s="190"/>
      <c r="K211" s="190"/>
      <c r="L211" s="190"/>
      <c r="M211" s="131"/>
      <c r="N211" s="131"/>
      <c r="O211" s="131"/>
      <c r="P211" s="131"/>
      <c r="Q211" s="131"/>
      <c r="R211" s="131"/>
      <c r="S211" s="131"/>
      <c r="T211" s="131"/>
      <c r="U211" s="131"/>
      <c r="V211" s="131"/>
      <c r="W211" s="131"/>
      <c r="X211" s="131"/>
      <c r="Y211" s="131"/>
      <c r="Z211" s="131"/>
    </row>
    <row r="212" spans="1:26" ht="15.75" customHeight="1" x14ac:dyDescent="0.2">
      <c r="A212" s="131"/>
      <c r="B212" s="190"/>
      <c r="C212" s="190"/>
      <c r="D212" s="190"/>
      <c r="E212" s="190"/>
      <c r="F212" s="190"/>
      <c r="G212" s="190"/>
      <c r="H212" s="190"/>
      <c r="I212" s="190"/>
      <c r="J212" s="190"/>
      <c r="K212" s="190"/>
      <c r="L212" s="190"/>
      <c r="M212" s="131"/>
      <c r="N212" s="131"/>
      <c r="O212" s="131"/>
      <c r="P212" s="131"/>
      <c r="Q212" s="131"/>
      <c r="R212" s="131"/>
      <c r="S212" s="131"/>
      <c r="T212" s="131"/>
      <c r="U212" s="131"/>
      <c r="V212" s="131"/>
      <c r="W212" s="131"/>
      <c r="X212" s="131"/>
      <c r="Y212" s="131"/>
      <c r="Z212" s="131"/>
    </row>
    <row r="213" spans="1:26" ht="15.75" customHeight="1" x14ac:dyDescent="0.2">
      <c r="A213" s="131"/>
      <c r="B213" s="190"/>
      <c r="C213" s="190"/>
      <c r="D213" s="190"/>
      <c r="E213" s="190"/>
      <c r="F213" s="190"/>
      <c r="G213" s="190"/>
      <c r="H213" s="190"/>
      <c r="I213" s="190"/>
      <c r="J213" s="190"/>
      <c r="K213" s="190"/>
      <c r="L213" s="190"/>
      <c r="M213" s="131"/>
      <c r="N213" s="131"/>
      <c r="O213" s="131"/>
      <c r="P213" s="131"/>
      <c r="Q213" s="131"/>
      <c r="R213" s="131"/>
      <c r="S213" s="131"/>
      <c r="T213" s="131"/>
      <c r="U213" s="131"/>
      <c r="V213" s="131"/>
      <c r="W213" s="131"/>
      <c r="X213" s="131"/>
      <c r="Y213" s="131"/>
      <c r="Z213" s="131"/>
    </row>
    <row r="214" spans="1:26" ht="15.75" customHeight="1" x14ac:dyDescent="0.2">
      <c r="A214" s="131"/>
      <c r="B214" s="190"/>
      <c r="C214" s="190"/>
      <c r="D214" s="190"/>
      <c r="E214" s="190"/>
      <c r="F214" s="190"/>
      <c r="G214" s="190"/>
      <c r="H214" s="190"/>
      <c r="I214" s="190"/>
      <c r="J214" s="190"/>
      <c r="K214" s="190"/>
      <c r="L214" s="190"/>
      <c r="M214" s="131"/>
      <c r="N214" s="131"/>
      <c r="O214" s="131"/>
      <c r="P214" s="131"/>
      <c r="Q214" s="131"/>
      <c r="R214" s="131"/>
      <c r="S214" s="131"/>
      <c r="T214" s="131"/>
      <c r="U214" s="131"/>
      <c r="V214" s="131"/>
      <c r="W214" s="131"/>
      <c r="X214" s="131"/>
      <c r="Y214" s="131"/>
      <c r="Z214" s="131"/>
    </row>
    <row r="215" spans="1:26" ht="15.75" customHeight="1" x14ac:dyDescent="0.2">
      <c r="A215" s="131"/>
      <c r="B215" s="190"/>
      <c r="C215" s="190"/>
      <c r="D215" s="190"/>
      <c r="E215" s="190"/>
      <c r="F215" s="190"/>
      <c r="G215" s="190"/>
      <c r="H215" s="190"/>
      <c r="I215" s="190"/>
      <c r="J215" s="190"/>
      <c r="K215" s="190"/>
      <c r="L215" s="190"/>
      <c r="M215" s="131"/>
      <c r="N215" s="131"/>
      <c r="O215" s="131"/>
      <c r="P215" s="131"/>
      <c r="Q215" s="131"/>
      <c r="R215" s="131"/>
      <c r="S215" s="131"/>
      <c r="T215" s="131"/>
      <c r="U215" s="131"/>
      <c r="V215" s="131"/>
      <c r="W215" s="131"/>
      <c r="X215" s="131"/>
      <c r="Y215" s="131"/>
      <c r="Z215" s="131"/>
    </row>
    <row r="216" spans="1:26" ht="15.75" customHeight="1" x14ac:dyDescent="0.2">
      <c r="A216" s="131"/>
      <c r="B216" s="190"/>
      <c r="C216" s="190"/>
      <c r="D216" s="190"/>
      <c r="E216" s="190"/>
      <c r="F216" s="190"/>
      <c r="G216" s="190"/>
      <c r="H216" s="190"/>
      <c r="I216" s="190"/>
      <c r="J216" s="190"/>
      <c r="K216" s="190"/>
      <c r="L216" s="190"/>
      <c r="M216" s="131"/>
      <c r="N216" s="131"/>
      <c r="O216" s="131"/>
      <c r="P216" s="131"/>
      <c r="Q216" s="131"/>
      <c r="R216" s="131"/>
      <c r="S216" s="131"/>
      <c r="T216" s="131"/>
      <c r="U216" s="131"/>
      <c r="V216" s="131"/>
      <c r="W216" s="131"/>
      <c r="X216" s="131"/>
      <c r="Y216" s="131"/>
      <c r="Z216" s="131"/>
    </row>
    <row r="217" spans="1:26" ht="15.75" customHeight="1" x14ac:dyDescent="0.2">
      <c r="A217" s="131"/>
      <c r="B217" s="190"/>
      <c r="C217" s="190"/>
      <c r="D217" s="190"/>
      <c r="E217" s="190"/>
      <c r="F217" s="190"/>
      <c r="G217" s="190"/>
      <c r="H217" s="190"/>
      <c r="I217" s="190"/>
      <c r="J217" s="190"/>
      <c r="K217" s="190"/>
      <c r="L217" s="190"/>
      <c r="M217" s="131"/>
      <c r="N217" s="131"/>
      <c r="O217" s="131"/>
      <c r="P217" s="131"/>
      <c r="Q217" s="131"/>
      <c r="R217" s="131"/>
      <c r="S217" s="131"/>
      <c r="T217" s="131"/>
      <c r="U217" s="131"/>
      <c r="V217" s="131"/>
      <c r="W217" s="131"/>
      <c r="X217" s="131"/>
      <c r="Y217" s="131"/>
      <c r="Z217" s="131"/>
    </row>
    <row r="218" spans="1:26" ht="15.75" customHeight="1" x14ac:dyDescent="0.2">
      <c r="A218" s="131"/>
      <c r="B218" s="190"/>
      <c r="C218" s="190"/>
      <c r="D218" s="190"/>
      <c r="E218" s="190"/>
      <c r="F218" s="190"/>
      <c r="G218" s="190"/>
      <c r="H218" s="190"/>
      <c r="I218" s="190"/>
      <c r="J218" s="190"/>
      <c r="K218" s="190"/>
      <c r="L218" s="190"/>
      <c r="M218" s="131"/>
      <c r="N218" s="131"/>
      <c r="O218" s="131"/>
      <c r="P218" s="131"/>
      <c r="Q218" s="131"/>
      <c r="R218" s="131"/>
      <c r="S218" s="131"/>
      <c r="T218" s="131"/>
      <c r="U218" s="131"/>
      <c r="V218" s="131"/>
      <c r="W218" s="131"/>
      <c r="X218" s="131"/>
      <c r="Y218" s="131"/>
      <c r="Z218" s="131"/>
    </row>
    <row r="219" spans="1:26" ht="15.75" customHeight="1" x14ac:dyDescent="0.2">
      <c r="A219" s="131"/>
      <c r="B219" s="190"/>
      <c r="C219" s="190"/>
      <c r="D219" s="190"/>
      <c r="E219" s="190"/>
      <c r="F219" s="190"/>
      <c r="G219" s="190"/>
      <c r="H219" s="190"/>
      <c r="I219" s="190"/>
      <c r="J219" s="190"/>
      <c r="K219" s="190"/>
      <c r="L219" s="190"/>
      <c r="M219" s="131"/>
      <c r="N219" s="131"/>
      <c r="O219" s="131"/>
      <c r="P219" s="131"/>
      <c r="Q219" s="131"/>
      <c r="R219" s="131"/>
      <c r="S219" s="131"/>
      <c r="T219" s="131"/>
      <c r="U219" s="131"/>
      <c r="V219" s="131"/>
      <c r="W219" s="131"/>
      <c r="X219" s="131"/>
      <c r="Y219" s="131"/>
      <c r="Z219" s="131"/>
    </row>
    <row r="220" spans="1:26" ht="15.75" customHeight="1" x14ac:dyDescent="0.2">
      <c r="A220" s="131"/>
      <c r="B220" s="190"/>
      <c r="C220" s="190"/>
      <c r="D220" s="190"/>
      <c r="E220" s="190"/>
      <c r="F220" s="190"/>
      <c r="G220" s="190"/>
      <c r="H220" s="190"/>
      <c r="I220" s="190"/>
      <c r="J220" s="190"/>
      <c r="K220" s="190"/>
      <c r="L220" s="190"/>
      <c r="M220" s="131"/>
      <c r="N220" s="131"/>
      <c r="O220" s="131"/>
      <c r="P220" s="131"/>
      <c r="Q220" s="131"/>
      <c r="R220" s="131"/>
      <c r="S220" s="131"/>
      <c r="T220" s="131"/>
      <c r="U220" s="131"/>
      <c r="V220" s="131"/>
      <c r="W220" s="131"/>
      <c r="X220" s="131"/>
      <c r="Y220" s="131"/>
      <c r="Z220" s="131"/>
    </row>
    <row r="221" spans="1:26" ht="15.75" customHeight="1" x14ac:dyDescent="0.2">
      <c r="A221" s="131"/>
      <c r="B221" s="190"/>
      <c r="C221" s="190"/>
      <c r="D221" s="190"/>
      <c r="E221" s="190"/>
      <c r="F221" s="190"/>
      <c r="G221" s="190"/>
      <c r="H221" s="190"/>
      <c r="I221" s="190"/>
      <c r="J221" s="190"/>
      <c r="K221" s="190"/>
      <c r="L221" s="190"/>
      <c r="M221" s="131"/>
      <c r="N221" s="131"/>
      <c r="O221" s="131"/>
      <c r="P221" s="131"/>
      <c r="Q221" s="131"/>
      <c r="R221" s="131"/>
      <c r="S221" s="131"/>
      <c r="T221" s="131"/>
      <c r="U221" s="131"/>
      <c r="V221" s="131"/>
      <c r="W221" s="131"/>
      <c r="X221" s="131"/>
      <c r="Y221" s="131"/>
      <c r="Z221" s="131"/>
    </row>
    <row r="222" spans="1:26" ht="15.75" customHeight="1" x14ac:dyDescent="0.2">
      <c r="A222" s="131"/>
      <c r="B222" s="190"/>
      <c r="C222" s="190"/>
      <c r="D222" s="190"/>
      <c r="E222" s="190"/>
      <c r="F222" s="190"/>
      <c r="G222" s="190"/>
      <c r="H222" s="190"/>
      <c r="I222" s="190"/>
      <c r="J222" s="190"/>
      <c r="K222" s="190"/>
      <c r="L222" s="190"/>
      <c r="M222" s="131"/>
      <c r="N222" s="131"/>
      <c r="O222" s="131"/>
      <c r="P222" s="131"/>
      <c r="Q222" s="131"/>
      <c r="R222" s="131"/>
      <c r="S222" s="131"/>
      <c r="T222" s="131"/>
      <c r="U222" s="131"/>
      <c r="V222" s="131"/>
      <c r="W222" s="131"/>
      <c r="X222" s="131"/>
      <c r="Y222" s="131"/>
      <c r="Z222" s="131"/>
    </row>
    <row r="223" spans="1:26" ht="15.75" customHeight="1" x14ac:dyDescent="0.2">
      <c r="A223" s="131"/>
      <c r="B223" s="190"/>
      <c r="C223" s="190"/>
      <c r="D223" s="190"/>
      <c r="E223" s="190"/>
      <c r="F223" s="190"/>
      <c r="G223" s="190"/>
      <c r="H223" s="190"/>
      <c r="I223" s="190"/>
      <c r="J223" s="190"/>
      <c r="K223" s="190"/>
      <c r="L223" s="190"/>
      <c r="M223" s="131"/>
      <c r="N223" s="131"/>
      <c r="O223" s="131"/>
      <c r="P223" s="131"/>
      <c r="Q223" s="131"/>
      <c r="R223" s="131"/>
      <c r="S223" s="131"/>
      <c r="T223" s="131"/>
      <c r="U223" s="131"/>
      <c r="V223" s="131"/>
      <c r="W223" s="131"/>
      <c r="X223" s="131"/>
      <c r="Y223" s="131"/>
      <c r="Z223" s="131"/>
    </row>
    <row r="224" spans="1:26" ht="15.75" customHeight="1" x14ac:dyDescent="0.2">
      <c r="A224" s="131"/>
      <c r="B224" s="190"/>
      <c r="C224" s="190"/>
      <c r="D224" s="190"/>
      <c r="E224" s="190"/>
      <c r="F224" s="190"/>
      <c r="G224" s="190"/>
      <c r="H224" s="190"/>
      <c r="I224" s="190"/>
      <c r="J224" s="190"/>
      <c r="K224" s="190"/>
      <c r="L224" s="190"/>
      <c r="M224" s="131"/>
      <c r="N224" s="131"/>
      <c r="O224" s="131"/>
      <c r="P224" s="131"/>
      <c r="Q224" s="131"/>
      <c r="R224" s="131"/>
      <c r="S224" s="131"/>
      <c r="T224" s="131"/>
      <c r="U224" s="131"/>
      <c r="V224" s="131"/>
      <c r="W224" s="131"/>
      <c r="X224" s="131"/>
      <c r="Y224" s="131"/>
      <c r="Z224" s="131"/>
    </row>
    <row r="225" spans="1:26" ht="15.75" customHeight="1" x14ac:dyDescent="0.2">
      <c r="A225" s="131"/>
      <c r="B225" s="190"/>
      <c r="C225" s="190"/>
      <c r="D225" s="190"/>
      <c r="E225" s="190"/>
      <c r="F225" s="190"/>
      <c r="G225" s="190"/>
      <c r="H225" s="190"/>
      <c r="I225" s="190"/>
      <c r="J225" s="190"/>
      <c r="K225" s="190"/>
      <c r="L225" s="190"/>
      <c r="M225" s="131"/>
      <c r="N225" s="131"/>
      <c r="O225" s="131"/>
      <c r="P225" s="131"/>
      <c r="Q225" s="131"/>
      <c r="R225" s="131"/>
      <c r="S225" s="131"/>
      <c r="T225" s="131"/>
      <c r="U225" s="131"/>
      <c r="V225" s="131"/>
      <c r="W225" s="131"/>
      <c r="X225" s="131"/>
      <c r="Y225" s="131"/>
      <c r="Z225" s="131"/>
    </row>
    <row r="226" spans="1:26" ht="15.75" customHeight="1" x14ac:dyDescent="0.2">
      <c r="A226" s="131"/>
      <c r="B226" s="190"/>
      <c r="C226" s="190"/>
      <c r="D226" s="190"/>
      <c r="E226" s="190"/>
      <c r="F226" s="190"/>
      <c r="G226" s="190"/>
      <c r="H226" s="190"/>
      <c r="I226" s="190"/>
      <c r="J226" s="190"/>
      <c r="K226" s="190"/>
      <c r="L226" s="190"/>
      <c r="M226" s="131"/>
      <c r="N226" s="131"/>
      <c r="O226" s="131"/>
      <c r="P226" s="131"/>
      <c r="Q226" s="131"/>
      <c r="R226" s="131"/>
      <c r="S226" s="131"/>
      <c r="T226" s="131"/>
      <c r="U226" s="131"/>
      <c r="V226" s="131"/>
      <c r="W226" s="131"/>
      <c r="X226" s="131"/>
      <c r="Y226" s="131"/>
      <c r="Z226" s="131"/>
    </row>
    <row r="227" spans="1:26" ht="15.75" customHeight="1" x14ac:dyDescent="0.2">
      <c r="A227" s="131"/>
      <c r="B227" s="190"/>
      <c r="C227" s="190"/>
      <c r="D227" s="190"/>
      <c r="E227" s="190"/>
      <c r="F227" s="190"/>
      <c r="G227" s="190"/>
      <c r="H227" s="190"/>
      <c r="I227" s="190"/>
      <c r="J227" s="190"/>
      <c r="K227" s="190"/>
      <c r="L227" s="190"/>
      <c r="M227" s="131"/>
      <c r="N227" s="131"/>
      <c r="O227" s="131"/>
      <c r="P227" s="131"/>
      <c r="Q227" s="131"/>
      <c r="R227" s="131"/>
      <c r="S227" s="131"/>
      <c r="T227" s="131"/>
      <c r="U227" s="131"/>
      <c r="V227" s="131"/>
      <c r="W227" s="131"/>
      <c r="X227" s="131"/>
      <c r="Y227" s="131"/>
      <c r="Z227" s="131"/>
    </row>
    <row r="228" spans="1:26" ht="15.75" customHeight="1" x14ac:dyDescent="0.2">
      <c r="A228" s="131"/>
      <c r="B228" s="190"/>
      <c r="C228" s="190"/>
      <c r="D228" s="190"/>
      <c r="E228" s="190"/>
      <c r="F228" s="190"/>
      <c r="G228" s="190"/>
      <c r="H228" s="190"/>
      <c r="I228" s="190"/>
      <c r="J228" s="190"/>
      <c r="K228" s="190"/>
      <c r="L228" s="190"/>
      <c r="M228" s="131"/>
      <c r="N228" s="131"/>
      <c r="O228" s="131"/>
      <c r="P228" s="131"/>
      <c r="Q228" s="131"/>
      <c r="R228" s="131"/>
      <c r="S228" s="131"/>
      <c r="T228" s="131"/>
      <c r="U228" s="131"/>
      <c r="V228" s="131"/>
      <c r="W228" s="131"/>
      <c r="X228" s="131"/>
      <c r="Y228" s="131"/>
      <c r="Z228" s="131"/>
    </row>
    <row r="229" spans="1:26" ht="15.75" customHeight="1" x14ac:dyDescent="0.2">
      <c r="A229" s="131"/>
      <c r="B229" s="190"/>
      <c r="C229" s="190"/>
      <c r="D229" s="190"/>
      <c r="E229" s="190"/>
      <c r="F229" s="190"/>
      <c r="G229" s="190"/>
      <c r="H229" s="190"/>
      <c r="I229" s="190"/>
      <c r="J229" s="190"/>
      <c r="K229" s="190"/>
      <c r="L229" s="190"/>
      <c r="M229" s="131"/>
      <c r="N229" s="131"/>
      <c r="O229" s="131"/>
      <c r="P229" s="131"/>
      <c r="Q229" s="131"/>
      <c r="R229" s="131"/>
      <c r="S229" s="131"/>
      <c r="T229" s="131"/>
      <c r="U229" s="131"/>
      <c r="V229" s="131"/>
      <c r="W229" s="131"/>
      <c r="X229" s="131"/>
      <c r="Y229" s="131"/>
      <c r="Z229" s="131"/>
    </row>
    <row r="230" spans="1:26" ht="15.75" customHeight="1" x14ac:dyDescent="0.2">
      <c r="A230" s="131"/>
      <c r="B230" s="190"/>
      <c r="C230" s="190"/>
      <c r="D230" s="190"/>
      <c r="E230" s="190"/>
      <c r="F230" s="190"/>
      <c r="G230" s="190"/>
      <c r="H230" s="190"/>
      <c r="I230" s="190"/>
      <c r="J230" s="190"/>
      <c r="K230" s="190"/>
      <c r="L230" s="190"/>
      <c r="M230" s="131"/>
      <c r="N230" s="131"/>
      <c r="O230" s="131"/>
      <c r="P230" s="131"/>
      <c r="Q230" s="131"/>
      <c r="R230" s="131"/>
      <c r="S230" s="131"/>
      <c r="T230" s="131"/>
      <c r="U230" s="131"/>
      <c r="V230" s="131"/>
      <c r="W230" s="131"/>
      <c r="X230" s="131"/>
      <c r="Y230" s="131"/>
      <c r="Z230" s="131"/>
    </row>
    <row r="231" spans="1:26" ht="15.75" customHeight="1" x14ac:dyDescent="0.2">
      <c r="A231" s="131"/>
      <c r="B231" s="190"/>
      <c r="C231" s="190"/>
      <c r="D231" s="190"/>
      <c r="E231" s="190"/>
      <c r="F231" s="190"/>
      <c r="G231" s="190"/>
      <c r="H231" s="190"/>
      <c r="I231" s="190"/>
      <c r="J231" s="190"/>
      <c r="K231" s="190"/>
      <c r="L231" s="190"/>
      <c r="M231" s="131"/>
      <c r="N231" s="131"/>
      <c r="O231" s="131"/>
      <c r="P231" s="131"/>
      <c r="Q231" s="131"/>
      <c r="R231" s="131"/>
      <c r="S231" s="131"/>
      <c r="T231" s="131"/>
      <c r="U231" s="131"/>
      <c r="V231" s="131"/>
      <c r="W231" s="131"/>
      <c r="X231" s="131"/>
      <c r="Y231" s="131"/>
      <c r="Z231" s="131"/>
    </row>
    <row r="232" spans="1:26" ht="15.75" customHeight="1" x14ac:dyDescent="0.2">
      <c r="A232" s="131"/>
      <c r="B232" s="190"/>
      <c r="C232" s="190"/>
      <c r="D232" s="190"/>
      <c r="E232" s="190"/>
      <c r="F232" s="190"/>
      <c r="G232" s="190"/>
      <c r="H232" s="190"/>
      <c r="I232" s="190"/>
      <c r="J232" s="190"/>
      <c r="K232" s="190"/>
      <c r="L232" s="190"/>
      <c r="M232" s="131"/>
      <c r="N232" s="131"/>
      <c r="O232" s="131"/>
      <c r="P232" s="131"/>
      <c r="Q232" s="131"/>
      <c r="R232" s="131"/>
      <c r="S232" s="131"/>
      <c r="T232" s="131"/>
      <c r="U232" s="131"/>
      <c r="V232" s="131"/>
      <c r="W232" s="131"/>
      <c r="X232" s="131"/>
      <c r="Y232" s="131"/>
      <c r="Z232" s="131"/>
    </row>
    <row r="233" spans="1:26" ht="15.75" customHeight="1" x14ac:dyDescent="0.2">
      <c r="A233" s="131"/>
      <c r="B233" s="190"/>
      <c r="C233" s="190"/>
      <c r="D233" s="190"/>
      <c r="E233" s="190"/>
      <c r="F233" s="190"/>
      <c r="G233" s="190"/>
      <c r="H233" s="190"/>
      <c r="I233" s="190"/>
      <c r="J233" s="190"/>
      <c r="K233" s="190"/>
      <c r="L233" s="190"/>
      <c r="M233" s="131"/>
      <c r="N233" s="131"/>
      <c r="O233" s="131"/>
      <c r="P233" s="131"/>
      <c r="Q233" s="131"/>
      <c r="R233" s="131"/>
      <c r="S233" s="131"/>
      <c r="T233" s="131"/>
      <c r="U233" s="131"/>
      <c r="V233" s="131"/>
      <c r="W233" s="131"/>
      <c r="X233" s="131"/>
      <c r="Y233" s="131"/>
      <c r="Z233" s="131"/>
    </row>
    <row r="234" spans="1:26" ht="15.75" customHeight="1" x14ac:dyDescent="0.2">
      <c r="A234" s="131"/>
      <c r="B234" s="190"/>
      <c r="C234" s="190"/>
      <c r="D234" s="190"/>
      <c r="E234" s="190"/>
      <c r="F234" s="190"/>
      <c r="G234" s="190"/>
      <c r="H234" s="190"/>
      <c r="I234" s="190"/>
      <c r="J234" s="190"/>
      <c r="K234" s="190"/>
      <c r="L234" s="190"/>
      <c r="M234" s="131"/>
      <c r="N234" s="131"/>
      <c r="O234" s="131"/>
      <c r="P234" s="131"/>
      <c r="Q234" s="131"/>
      <c r="R234" s="131"/>
      <c r="S234" s="131"/>
      <c r="T234" s="131"/>
      <c r="U234" s="131"/>
      <c r="V234" s="131"/>
      <c r="W234" s="131"/>
      <c r="X234" s="131"/>
      <c r="Y234" s="131"/>
      <c r="Z234" s="131"/>
    </row>
    <row r="235" spans="1:26" ht="15.75" customHeight="1" x14ac:dyDescent="0.2">
      <c r="A235" s="131"/>
      <c r="B235" s="190"/>
      <c r="C235" s="190"/>
      <c r="D235" s="190"/>
      <c r="E235" s="190"/>
      <c r="F235" s="190"/>
      <c r="G235" s="190"/>
      <c r="H235" s="190"/>
      <c r="I235" s="190"/>
      <c r="J235" s="190"/>
      <c r="K235" s="190"/>
      <c r="L235" s="190"/>
      <c r="M235" s="131"/>
      <c r="N235" s="131"/>
      <c r="O235" s="131"/>
      <c r="P235" s="131"/>
      <c r="Q235" s="131"/>
      <c r="R235" s="131"/>
      <c r="S235" s="131"/>
      <c r="T235" s="131"/>
      <c r="U235" s="131"/>
      <c r="V235" s="131"/>
      <c r="W235" s="131"/>
      <c r="X235" s="131"/>
      <c r="Y235" s="131"/>
      <c r="Z235" s="131"/>
    </row>
    <row r="236" spans="1:26" ht="15.75" customHeight="1" x14ac:dyDescent="0.2">
      <c r="A236" s="131"/>
      <c r="B236" s="190"/>
      <c r="C236" s="190"/>
      <c r="D236" s="190"/>
      <c r="E236" s="190"/>
      <c r="F236" s="190"/>
      <c r="G236" s="190"/>
      <c r="H236" s="190"/>
      <c r="I236" s="190"/>
      <c r="J236" s="190"/>
      <c r="K236" s="190"/>
      <c r="L236" s="190"/>
      <c r="M236" s="131"/>
      <c r="N236" s="131"/>
      <c r="O236" s="131"/>
      <c r="P236" s="131"/>
      <c r="Q236" s="131"/>
      <c r="R236" s="131"/>
      <c r="S236" s="131"/>
      <c r="T236" s="131"/>
      <c r="U236" s="131"/>
      <c r="V236" s="131"/>
      <c r="W236" s="131"/>
      <c r="X236" s="131"/>
      <c r="Y236" s="131"/>
      <c r="Z236" s="131"/>
    </row>
    <row r="237" spans="1:26" ht="15.75" customHeight="1" x14ac:dyDescent="0.2">
      <c r="A237" s="131"/>
      <c r="B237" s="190"/>
      <c r="C237" s="190"/>
      <c r="D237" s="190"/>
      <c r="E237" s="190"/>
      <c r="F237" s="190"/>
      <c r="G237" s="190"/>
      <c r="H237" s="190"/>
      <c r="I237" s="190"/>
      <c r="J237" s="190"/>
      <c r="K237" s="190"/>
      <c r="L237" s="190"/>
      <c r="M237" s="131"/>
      <c r="N237" s="131"/>
      <c r="O237" s="131"/>
      <c r="P237" s="131"/>
      <c r="Q237" s="131"/>
      <c r="R237" s="131"/>
      <c r="S237" s="131"/>
      <c r="T237" s="131"/>
      <c r="U237" s="131"/>
      <c r="V237" s="131"/>
      <c r="W237" s="131"/>
      <c r="X237" s="131"/>
      <c r="Y237" s="131"/>
      <c r="Z237" s="131"/>
    </row>
    <row r="238" spans="1:26" ht="15.75" customHeight="1" x14ac:dyDescent="0.2">
      <c r="A238" s="131"/>
      <c r="B238" s="190"/>
      <c r="C238" s="190"/>
      <c r="D238" s="190"/>
      <c r="E238" s="190"/>
      <c r="F238" s="190"/>
      <c r="G238" s="190"/>
      <c r="H238" s="190"/>
      <c r="I238" s="190"/>
      <c r="J238" s="190"/>
      <c r="K238" s="190"/>
      <c r="L238" s="190"/>
      <c r="M238" s="131"/>
      <c r="N238" s="131"/>
      <c r="O238" s="131"/>
      <c r="P238" s="131"/>
      <c r="Q238" s="131"/>
      <c r="R238" s="131"/>
      <c r="S238" s="131"/>
      <c r="T238" s="131"/>
      <c r="U238" s="131"/>
      <c r="V238" s="131"/>
      <c r="W238" s="131"/>
      <c r="X238" s="131"/>
      <c r="Y238" s="131"/>
      <c r="Z238" s="131"/>
    </row>
    <row r="239" spans="1:26" ht="15.75" customHeight="1" x14ac:dyDescent="0.2">
      <c r="A239" s="131"/>
      <c r="B239" s="190"/>
      <c r="C239" s="190"/>
      <c r="D239" s="190"/>
      <c r="E239" s="190"/>
      <c r="F239" s="190"/>
      <c r="G239" s="190"/>
      <c r="H239" s="190"/>
      <c r="I239" s="190"/>
      <c r="J239" s="190"/>
      <c r="K239" s="190"/>
      <c r="L239" s="190"/>
      <c r="M239" s="131"/>
      <c r="N239" s="131"/>
      <c r="O239" s="131"/>
      <c r="P239" s="131"/>
      <c r="Q239" s="131"/>
      <c r="R239" s="131"/>
      <c r="S239" s="131"/>
      <c r="T239" s="131"/>
      <c r="U239" s="131"/>
      <c r="V239" s="131"/>
      <c r="W239" s="131"/>
      <c r="X239" s="131"/>
      <c r="Y239" s="131"/>
      <c r="Z239" s="131"/>
    </row>
    <row r="240" spans="1:26" ht="15.75" customHeight="1" x14ac:dyDescent="0.2">
      <c r="A240" s="131"/>
      <c r="B240" s="190"/>
      <c r="C240" s="190"/>
      <c r="D240" s="190"/>
      <c r="E240" s="190"/>
      <c r="F240" s="190"/>
      <c r="G240" s="190"/>
      <c r="H240" s="190"/>
      <c r="I240" s="190"/>
      <c r="J240" s="190"/>
      <c r="K240" s="190"/>
      <c r="L240" s="190"/>
      <c r="M240" s="131"/>
      <c r="N240" s="131"/>
      <c r="O240" s="131"/>
      <c r="P240" s="131"/>
      <c r="Q240" s="131"/>
      <c r="R240" s="131"/>
      <c r="S240" s="131"/>
      <c r="T240" s="131"/>
      <c r="U240" s="131"/>
      <c r="V240" s="131"/>
      <c r="W240" s="131"/>
      <c r="X240" s="131"/>
      <c r="Y240" s="131"/>
      <c r="Z240" s="131"/>
    </row>
    <row r="241" spans="1:26" ht="15.75" customHeight="1" x14ac:dyDescent="0.2">
      <c r="A241" s="131"/>
      <c r="B241" s="190"/>
      <c r="C241" s="190"/>
      <c r="D241" s="190"/>
      <c r="E241" s="190"/>
      <c r="F241" s="190"/>
      <c r="G241" s="190"/>
      <c r="H241" s="190"/>
      <c r="I241" s="190"/>
      <c r="J241" s="190"/>
      <c r="K241" s="190"/>
      <c r="L241" s="190"/>
      <c r="M241" s="131"/>
      <c r="N241" s="131"/>
      <c r="O241" s="131"/>
      <c r="P241" s="131"/>
      <c r="Q241" s="131"/>
      <c r="R241" s="131"/>
      <c r="S241" s="131"/>
      <c r="T241" s="131"/>
      <c r="U241" s="131"/>
      <c r="V241" s="131"/>
      <c r="W241" s="131"/>
      <c r="X241" s="131"/>
      <c r="Y241" s="131"/>
      <c r="Z241" s="131"/>
    </row>
    <row r="242" spans="1:26" ht="15.75" customHeight="1" x14ac:dyDescent="0.2">
      <c r="A242" s="131"/>
      <c r="B242" s="190"/>
      <c r="C242" s="190"/>
      <c r="D242" s="190"/>
      <c r="E242" s="190"/>
      <c r="F242" s="190"/>
      <c r="G242" s="190"/>
      <c r="H242" s="190"/>
      <c r="I242" s="190"/>
      <c r="J242" s="190"/>
      <c r="K242" s="190"/>
      <c r="L242" s="190"/>
      <c r="M242" s="131"/>
      <c r="N242" s="131"/>
      <c r="O242" s="131"/>
      <c r="P242" s="131"/>
      <c r="Q242" s="131"/>
      <c r="R242" s="131"/>
      <c r="S242" s="131"/>
      <c r="T242" s="131"/>
      <c r="U242" s="131"/>
      <c r="V242" s="131"/>
      <c r="W242" s="131"/>
      <c r="X242" s="131"/>
      <c r="Y242" s="131"/>
      <c r="Z242" s="131"/>
    </row>
    <row r="243" spans="1:26" ht="15.75" customHeight="1" x14ac:dyDescent="0.2">
      <c r="A243" s="131"/>
      <c r="B243" s="190"/>
      <c r="C243" s="190"/>
      <c r="D243" s="190"/>
      <c r="E243" s="190"/>
      <c r="F243" s="190"/>
      <c r="G243" s="190"/>
      <c r="H243" s="190"/>
      <c r="I243" s="190"/>
      <c r="J243" s="190"/>
      <c r="K243" s="190"/>
      <c r="L243" s="190"/>
      <c r="M243" s="131"/>
      <c r="N243" s="131"/>
      <c r="O243" s="131"/>
      <c r="P243" s="131"/>
      <c r="Q243" s="131"/>
      <c r="R243" s="131"/>
      <c r="S243" s="131"/>
      <c r="T243" s="131"/>
      <c r="U243" s="131"/>
      <c r="V243" s="131"/>
      <c r="W243" s="131"/>
      <c r="X243" s="131"/>
      <c r="Y243" s="131"/>
      <c r="Z243" s="131"/>
    </row>
    <row r="244" spans="1:26" ht="15.75" customHeight="1" x14ac:dyDescent="0.2">
      <c r="A244" s="131"/>
      <c r="B244" s="190"/>
      <c r="C244" s="190"/>
      <c r="D244" s="190"/>
      <c r="E244" s="190"/>
      <c r="F244" s="190"/>
      <c r="G244" s="190"/>
      <c r="H244" s="190"/>
      <c r="I244" s="190"/>
      <c r="J244" s="190"/>
      <c r="K244" s="190"/>
      <c r="L244" s="190"/>
      <c r="M244" s="131"/>
      <c r="N244" s="131"/>
      <c r="O244" s="131"/>
      <c r="P244" s="131"/>
      <c r="Q244" s="131"/>
      <c r="R244" s="131"/>
      <c r="S244" s="131"/>
      <c r="T244" s="131"/>
      <c r="U244" s="131"/>
      <c r="V244" s="131"/>
      <c r="W244" s="131"/>
      <c r="X244" s="131"/>
      <c r="Y244" s="131"/>
      <c r="Z244" s="131"/>
    </row>
    <row r="245" spans="1:26" ht="15.75" customHeight="1" x14ac:dyDescent="0.2">
      <c r="A245" s="131"/>
      <c r="B245" s="190"/>
      <c r="C245" s="190"/>
      <c r="D245" s="190"/>
      <c r="E245" s="190"/>
      <c r="F245" s="190"/>
      <c r="G245" s="190"/>
      <c r="H245" s="190"/>
      <c r="I245" s="190"/>
      <c r="J245" s="190"/>
      <c r="K245" s="190"/>
      <c r="L245" s="190"/>
      <c r="M245" s="131"/>
      <c r="N245" s="131"/>
      <c r="O245" s="131"/>
      <c r="P245" s="131"/>
      <c r="Q245" s="131"/>
      <c r="R245" s="131"/>
      <c r="S245" s="131"/>
      <c r="T245" s="131"/>
      <c r="U245" s="131"/>
      <c r="V245" s="131"/>
      <c r="W245" s="131"/>
      <c r="X245" s="131"/>
      <c r="Y245" s="131"/>
      <c r="Z245" s="131"/>
    </row>
    <row r="246" spans="1:26" ht="15.75" customHeight="1" x14ac:dyDescent="0.2">
      <c r="A246" s="131"/>
      <c r="B246" s="190"/>
      <c r="C246" s="190"/>
      <c r="D246" s="190"/>
      <c r="E246" s="190"/>
      <c r="F246" s="190"/>
      <c r="G246" s="190"/>
      <c r="H246" s="190"/>
      <c r="I246" s="190"/>
      <c r="J246" s="190"/>
      <c r="K246" s="190"/>
      <c r="L246" s="190"/>
      <c r="M246" s="131"/>
      <c r="N246" s="131"/>
      <c r="O246" s="131"/>
      <c r="P246" s="131"/>
      <c r="Q246" s="131"/>
      <c r="R246" s="131"/>
      <c r="S246" s="131"/>
      <c r="T246" s="131"/>
      <c r="U246" s="131"/>
      <c r="V246" s="131"/>
      <c r="W246" s="131"/>
      <c r="X246" s="131"/>
      <c r="Y246" s="131"/>
      <c r="Z246" s="131"/>
    </row>
    <row r="247" spans="1:26" ht="15.75" customHeight="1" x14ac:dyDescent="0.2">
      <c r="A247" s="131"/>
      <c r="B247" s="190"/>
      <c r="C247" s="190"/>
      <c r="D247" s="190"/>
      <c r="E247" s="190"/>
      <c r="F247" s="190"/>
      <c r="G247" s="190"/>
      <c r="H247" s="190"/>
      <c r="I247" s="190"/>
      <c r="J247" s="190"/>
      <c r="K247" s="190"/>
      <c r="L247" s="190"/>
      <c r="M247" s="131"/>
      <c r="N247" s="131"/>
      <c r="O247" s="131"/>
      <c r="P247" s="131"/>
      <c r="Q247" s="131"/>
      <c r="R247" s="131"/>
      <c r="S247" s="131"/>
      <c r="T247" s="131"/>
      <c r="U247" s="131"/>
      <c r="V247" s="131"/>
      <c r="W247" s="131"/>
      <c r="X247" s="131"/>
      <c r="Y247" s="131"/>
      <c r="Z247" s="131"/>
    </row>
    <row r="248" spans="1:26" ht="15.75" customHeight="1" x14ac:dyDescent="0.2">
      <c r="A248" s="131"/>
      <c r="B248" s="190"/>
      <c r="C248" s="190"/>
      <c r="D248" s="190"/>
      <c r="E248" s="190"/>
      <c r="F248" s="190"/>
      <c r="G248" s="190"/>
      <c r="H248" s="190"/>
      <c r="I248" s="190"/>
      <c r="J248" s="190"/>
      <c r="K248" s="190"/>
      <c r="L248" s="190"/>
      <c r="M248" s="131"/>
      <c r="N248" s="131"/>
      <c r="O248" s="131"/>
      <c r="P248" s="131"/>
      <c r="Q248" s="131"/>
      <c r="R248" s="131"/>
      <c r="S248" s="131"/>
      <c r="T248" s="131"/>
      <c r="U248" s="131"/>
      <c r="V248" s="131"/>
      <c r="W248" s="131"/>
      <c r="X248" s="131"/>
      <c r="Y248" s="131"/>
      <c r="Z248" s="131"/>
    </row>
    <row r="249" spans="1:26" ht="15.75" customHeight="1" x14ac:dyDescent="0.2">
      <c r="A249" s="131"/>
      <c r="B249" s="190"/>
      <c r="C249" s="190"/>
      <c r="D249" s="190"/>
      <c r="E249" s="190"/>
      <c r="F249" s="190"/>
      <c r="G249" s="190"/>
      <c r="H249" s="190"/>
      <c r="I249" s="190"/>
      <c r="J249" s="190"/>
      <c r="K249" s="190"/>
      <c r="L249" s="190"/>
      <c r="M249" s="131"/>
      <c r="N249" s="131"/>
      <c r="O249" s="131"/>
      <c r="P249" s="131"/>
      <c r="Q249" s="131"/>
      <c r="R249" s="131"/>
      <c r="S249" s="131"/>
      <c r="T249" s="131"/>
      <c r="U249" s="131"/>
      <c r="V249" s="131"/>
      <c r="W249" s="131"/>
      <c r="X249" s="131"/>
      <c r="Y249" s="131"/>
      <c r="Z249" s="131"/>
    </row>
    <row r="250" spans="1:26" ht="15.75" customHeight="1" x14ac:dyDescent="0.2">
      <c r="A250" s="131"/>
      <c r="B250" s="190"/>
      <c r="C250" s="190"/>
      <c r="D250" s="190"/>
      <c r="E250" s="190"/>
      <c r="F250" s="190"/>
      <c r="G250" s="190"/>
      <c r="H250" s="190"/>
      <c r="I250" s="190"/>
      <c r="J250" s="190"/>
      <c r="K250" s="190"/>
      <c r="L250" s="190"/>
      <c r="M250" s="131"/>
      <c r="N250" s="131"/>
      <c r="O250" s="131"/>
      <c r="P250" s="131"/>
      <c r="Q250" s="131"/>
      <c r="R250" s="131"/>
      <c r="S250" s="131"/>
      <c r="T250" s="131"/>
      <c r="U250" s="131"/>
      <c r="V250" s="131"/>
      <c r="W250" s="131"/>
      <c r="X250" s="131"/>
      <c r="Y250" s="131"/>
      <c r="Z250" s="131"/>
    </row>
    <row r="251" spans="1:26" ht="15.75" customHeight="1" x14ac:dyDescent="0.2">
      <c r="A251" s="131"/>
      <c r="B251" s="190"/>
      <c r="C251" s="190"/>
      <c r="D251" s="190"/>
      <c r="E251" s="190"/>
      <c r="F251" s="190"/>
      <c r="G251" s="190"/>
      <c r="H251" s="190"/>
      <c r="I251" s="190"/>
      <c r="J251" s="190"/>
      <c r="K251" s="190"/>
      <c r="L251" s="190"/>
      <c r="M251" s="131"/>
      <c r="N251" s="131"/>
      <c r="O251" s="131"/>
      <c r="P251" s="131"/>
      <c r="Q251" s="131"/>
      <c r="R251" s="131"/>
      <c r="S251" s="131"/>
      <c r="T251" s="131"/>
      <c r="U251" s="131"/>
      <c r="V251" s="131"/>
      <c r="W251" s="131"/>
      <c r="X251" s="131"/>
      <c r="Y251" s="131"/>
      <c r="Z251" s="131"/>
    </row>
    <row r="252" spans="1:26" ht="15.75" customHeight="1" x14ac:dyDescent="0.2">
      <c r="A252" s="131"/>
      <c r="B252" s="190"/>
      <c r="C252" s="190"/>
      <c r="D252" s="190"/>
      <c r="E252" s="190"/>
      <c r="F252" s="190"/>
      <c r="G252" s="190"/>
      <c r="H252" s="190"/>
      <c r="I252" s="190"/>
      <c r="J252" s="190"/>
      <c r="K252" s="190"/>
      <c r="L252" s="190"/>
      <c r="M252" s="131"/>
      <c r="N252" s="131"/>
      <c r="O252" s="131"/>
      <c r="P252" s="131"/>
      <c r="Q252" s="131"/>
      <c r="R252" s="131"/>
      <c r="S252" s="131"/>
      <c r="T252" s="131"/>
      <c r="U252" s="131"/>
      <c r="V252" s="131"/>
      <c r="W252" s="131"/>
      <c r="X252" s="131"/>
      <c r="Y252" s="131"/>
      <c r="Z252" s="131"/>
    </row>
    <row r="253" spans="1:26" ht="15.75" customHeight="1" x14ac:dyDescent="0.2"/>
    <row r="254" spans="1:26" ht="15.75" customHeight="1" x14ac:dyDescent="0.2"/>
    <row r="255" spans="1:26" ht="15.75" customHeight="1" x14ac:dyDescent="0.2"/>
    <row r="256" spans="1:2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1048574" spans="1:1" ht="15" customHeight="1" x14ac:dyDescent="0.2">
      <c r="A1048574" s="132" t="s">
        <v>307</v>
      </c>
    </row>
  </sheetData>
  <mergeCells count="54">
    <mergeCell ref="G10:L10"/>
    <mergeCell ref="B1:K1"/>
    <mergeCell ref="L1:M1"/>
    <mergeCell ref="B2:K2"/>
    <mergeCell ref="L2:M2"/>
    <mergeCell ref="B4:M4"/>
    <mergeCell ref="B6:D6"/>
    <mergeCell ref="G6:I6"/>
    <mergeCell ref="J6:K6"/>
    <mergeCell ref="L7:M7"/>
    <mergeCell ref="B9:D9"/>
    <mergeCell ref="F9:G9"/>
    <mergeCell ref="H9:K9"/>
    <mergeCell ref="L9:M9"/>
    <mergeCell ref="E28:J28"/>
    <mergeCell ref="B11:E11"/>
    <mergeCell ref="F11:H11"/>
    <mergeCell ref="L11:M11"/>
    <mergeCell ref="B14:M14"/>
    <mergeCell ref="E16:J16"/>
    <mergeCell ref="E17:K17"/>
    <mergeCell ref="E19:K19"/>
    <mergeCell ref="E21:K21"/>
    <mergeCell ref="E25:K25"/>
    <mergeCell ref="E27:K27"/>
    <mergeCell ref="E23:K23"/>
    <mergeCell ref="H39:L39"/>
    <mergeCell ref="B29:M29"/>
    <mergeCell ref="L30:M30"/>
    <mergeCell ref="E31:K31"/>
    <mergeCell ref="L31:M31"/>
    <mergeCell ref="E32:K32"/>
    <mergeCell ref="L32:M32"/>
    <mergeCell ref="B34:M34"/>
    <mergeCell ref="E36:H36"/>
    <mergeCell ref="J36:L36"/>
    <mergeCell ref="F38:G38"/>
    <mergeCell ref="J38:L38"/>
    <mergeCell ref="B40:M40"/>
    <mergeCell ref="B41:M41"/>
    <mergeCell ref="B45:F45"/>
    <mergeCell ref="H45:I45"/>
    <mergeCell ref="J45:M45"/>
    <mergeCell ref="B42:M44"/>
    <mergeCell ref="O42:T48"/>
    <mergeCell ref="B50:F50"/>
    <mergeCell ref="B51:F51"/>
    <mergeCell ref="B52:F52"/>
    <mergeCell ref="B46:F46"/>
    <mergeCell ref="H46:I46"/>
    <mergeCell ref="J46:M46"/>
    <mergeCell ref="B47:F47"/>
    <mergeCell ref="B48:F48"/>
    <mergeCell ref="B49:F49"/>
  </mergeCells>
  <hyperlinks>
    <hyperlink ref="E27" r:id="rId1" xr:uid="{EA48979F-3A04-4D6E-9343-31B2B6D5894E}"/>
  </hyperlinks>
  <pageMargins left="0.7" right="0.7" top="0.75" bottom="0.75" header="0" footer="0"/>
  <pageSetup scale="57" orientation="portrait" r:id="rId2"/>
  <drawing r:id="rId3"/>
  <extLst>
    <ext xmlns:x14="http://schemas.microsoft.com/office/spreadsheetml/2009/9/main" uri="{CCE6A557-97BC-4b89-ADB6-D9C93CAAB3DF}">
      <x14:dataValidations xmlns:xm="http://schemas.microsoft.com/office/excel/2006/main" count="7">
        <x14:dataValidation type="list" allowBlank="1" showInputMessage="1" showErrorMessage="1" xr:uid="{5F007CEE-B5EE-42C9-85A1-CA4F33FC105E}">
          <x14:formula1>
            <xm:f>OTROS!$A$2:$A$17</xm:f>
          </x14:formula1>
          <xm:sqref>G6:I6</xm:sqref>
        </x14:dataValidation>
        <x14:dataValidation type="list" allowBlank="1" showInputMessage="1" showErrorMessage="1" xr:uid="{14CA96B8-5478-4C0F-AA72-07790948028A}">
          <x14:formula1>
            <xm:f>OTROS!$F$2:$F$17</xm:f>
          </x14:formula1>
          <xm:sqref>E36:H36</xm:sqref>
        </x14:dataValidation>
        <x14:dataValidation type="list" allowBlank="1" showInputMessage="1" showErrorMessage="1" xr:uid="{D9741FBD-5F21-4A71-A3A1-A74591FA0CA7}">
          <x14:formula1>
            <xm:f>OTROS!$B$2:$B$11</xm:f>
          </x14:formula1>
          <xm:sqref>J36:L36</xm:sqref>
        </x14:dataValidation>
        <x14:dataValidation type="list" allowBlank="1" showInputMessage="1" showErrorMessage="1" xr:uid="{B8A34074-86C9-4E7D-9C81-528D8D1F41C8}">
          <x14:formula1>
            <xm:f>CLIENTES!$B$2:$B$230</xm:f>
          </x14:formula1>
          <xm:sqref>E20:K20</xm:sqref>
        </x14:dataValidation>
        <x14:dataValidation type="list" allowBlank="1" showInputMessage="1" showErrorMessage="1" xr:uid="{48CDC85A-7B03-4477-9334-7B1B026C4F4E}">
          <x14:formula1>
            <xm:f>CLIENTES!$A$2:$A$600</xm:f>
          </x14:formula1>
          <xm:sqref>E17:K17</xm:sqref>
        </x14:dataValidation>
        <x14:dataValidation type="list" allowBlank="1" showInputMessage="1" showErrorMessage="1" xr:uid="{15303ADE-85CD-4F6C-8FCA-041C0DD75B83}">
          <x14:formula1>
            <xm:f>CLIENTES!$A$2:$A$196</xm:f>
          </x14:formula1>
          <xm:sqref>E16:J16</xm:sqref>
        </x14:dataValidation>
        <x14:dataValidation type="list" allowBlank="1" showInputMessage="1" showErrorMessage="1" xr:uid="{093E3F09-4EB3-4362-BB5C-B702D52C5A1E}">
          <x14:formula1>
            <xm:f>CLIENTES!$B$2:$B$600</xm:f>
          </x14:formula1>
          <xm:sqref>E19:K19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C84EE-5B8E-4D51-826F-10709F6B8638}">
  <dimension ref="A1:Z999"/>
  <sheetViews>
    <sheetView view="pageBreakPreview" topLeftCell="A3" zoomScale="96" zoomScaleNormal="70" zoomScaleSheetLayoutView="96" workbookViewId="0">
      <selection activeCell="B24" sqref="B24:J24"/>
    </sheetView>
  </sheetViews>
  <sheetFormatPr baseColWidth="10" defaultColWidth="12.625" defaultRowHeight="15" customHeight="1" x14ac:dyDescent="0.2"/>
  <cols>
    <col min="1" max="1" width="15" style="247" customWidth="1"/>
    <col min="2" max="2" width="19.375" style="247" customWidth="1"/>
    <col min="3" max="3" width="4.625" style="247" customWidth="1"/>
    <col min="4" max="4" width="1.875" style="247" customWidth="1"/>
    <col min="5" max="6" width="18.875" style="247" customWidth="1"/>
    <col min="7" max="7" width="30.125" style="247" customWidth="1"/>
    <col min="8" max="8" width="18.875" style="247" customWidth="1"/>
    <col min="9" max="9" width="12.625" style="247"/>
    <col min="10" max="10" width="13.375" style="247" customWidth="1"/>
    <col min="11" max="11" width="8.625" style="247" customWidth="1"/>
    <col min="12" max="26" width="10.375" style="247" customWidth="1"/>
    <col min="27" max="16384" width="12.625" style="247"/>
  </cols>
  <sheetData>
    <row r="1" spans="1:26" ht="39" customHeight="1" x14ac:dyDescent="0.2">
      <c r="A1" s="348"/>
      <c r="B1" s="349"/>
      <c r="C1" s="349"/>
      <c r="D1" s="349"/>
      <c r="E1" s="349"/>
      <c r="F1" s="349"/>
      <c r="G1" s="349"/>
      <c r="H1" s="349"/>
      <c r="I1" s="350"/>
      <c r="J1" s="351" t="s">
        <v>262</v>
      </c>
      <c r="K1" s="352"/>
      <c r="L1" s="245"/>
      <c r="M1" s="246"/>
      <c r="N1" s="246"/>
      <c r="O1" s="246"/>
      <c r="P1" s="246"/>
      <c r="Q1" s="246"/>
      <c r="R1" s="246"/>
      <c r="S1" s="246"/>
      <c r="T1" s="246"/>
      <c r="U1" s="246"/>
      <c r="V1" s="246"/>
      <c r="W1" s="246"/>
      <c r="X1" s="246"/>
      <c r="Y1" s="246"/>
      <c r="Z1" s="246"/>
    </row>
    <row r="2" spans="1:26" ht="35.25" customHeight="1" x14ac:dyDescent="0.2">
      <c r="A2" s="353" t="s">
        <v>305</v>
      </c>
      <c r="B2" s="346"/>
      <c r="C2" s="346"/>
      <c r="D2" s="346"/>
      <c r="E2" s="346"/>
      <c r="F2" s="346"/>
      <c r="G2" s="346"/>
      <c r="H2" s="346"/>
      <c r="I2" s="354"/>
      <c r="J2" s="355" t="s">
        <v>518</v>
      </c>
      <c r="K2" s="347"/>
      <c r="L2" s="245"/>
      <c r="M2" s="246"/>
      <c r="N2" s="246"/>
      <c r="O2" s="246"/>
      <c r="P2" s="246"/>
      <c r="Q2" s="246"/>
      <c r="R2" s="246"/>
      <c r="S2" s="246"/>
      <c r="T2" s="246"/>
      <c r="U2" s="246"/>
      <c r="V2" s="246"/>
      <c r="W2" s="246"/>
      <c r="X2" s="246"/>
      <c r="Y2" s="246"/>
      <c r="Z2" s="246"/>
    </row>
    <row r="3" spans="1:26" ht="15.75" x14ac:dyDescent="0.2">
      <c r="A3" s="248"/>
      <c r="B3" s="249"/>
      <c r="C3" s="249"/>
      <c r="D3" s="249"/>
      <c r="E3" s="249"/>
      <c r="F3" s="249"/>
      <c r="G3" s="249"/>
      <c r="H3" s="249"/>
      <c r="I3" s="249"/>
      <c r="J3" s="249"/>
      <c r="K3" s="250"/>
      <c r="L3" s="245"/>
      <c r="M3" s="246"/>
      <c r="N3" s="246"/>
      <c r="O3" s="246"/>
      <c r="P3" s="246"/>
      <c r="Q3" s="246"/>
      <c r="R3" s="246"/>
      <c r="S3" s="246"/>
      <c r="T3" s="246"/>
      <c r="U3" s="246"/>
      <c r="V3" s="246"/>
      <c r="W3" s="246"/>
      <c r="X3" s="246"/>
      <c r="Y3" s="246"/>
      <c r="Z3" s="246"/>
    </row>
    <row r="4" spans="1:26" ht="15.75" x14ac:dyDescent="0.2">
      <c r="A4" s="345" t="s">
        <v>264</v>
      </c>
      <c r="B4" s="346"/>
      <c r="C4" s="346"/>
      <c r="D4" s="346"/>
      <c r="E4" s="346"/>
      <c r="F4" s="346"/>
      <c r="G4" s="346"/>
      <c r="H4" s="346"/>
      <c r="I4" s="346"/>
      <c r="J4" s="346"/>
      <c r="K4" s="347"/>
      <c r="L4" s="245"/>
      <c r="M4" s="246"/>
      <c r="N4" s="246"/>
      <c r="O4" s="246"/>
      <c r="P4" s="246"/>
      <c r="Q4" s="246"/>
      <c r="R4" s="246"/>
      <c r="S4" s="246"/>
      <c r="T4" s="246"/>
      <c r="U4" s="246"/>
      <c r="V4" s="246"/>
      <c r="W4" s="246"/>
      <c r="X4" s="246"/>
      <c r="Y4" s="246"/>
      <c r="Z4" s="246"/>
    </row>
    <row r="5" spans="1:26" ht="15.75" x14ac:dyDescent="0.2">
      <c r="A5" s="251"/>
      <c r="B5" s="252"/>
      <c r="C5" s="252"/>
      <c r="D5" s="252"/>
      <c r="E5" s="252"/>
      <c r="F5" s="252"/>
      <c r="G5" s="253"/>
      <c r="H5" s="252"/>
      <c r="I5" s="252"/>
      <c r="J5" s="252"/>
      <c r="K5" s="254"/>
      <c r="L5" s="245"/>
      <c r="M5" s="246"/>
      <c r="N5" s="246"/>
      <c r="O5" s="246"/>
      <c r="P5" s="246"/>
      <c r="Q5" s="246"/>
      <c r="R5" s="246"/>
      <c r="S5" s="246"/>
      <c r="T5" s="246"/>
      <c r="U5" s="246"/>
      <c r="V5" s="246"/>
      <c r="W5" s="246"/>
      <c r="X5" s="246"/>
      <c r="Y5" s="246"/>
      <c r="Z5" s="246"/>
    </row>
    <row r="6" spans="1:26" ht="24" customHeight="1" x14ac:dyDescent="0.2">
      <c r="A6" s="251"/>
      <c r="B6" s="253" t="s">
        <v>265</v>
      </c>
      <c r="C6" s="253"/>
      <c r="D6" s="356">
        <f>'ATENCION '!E6</f>
        <v>46122</v>
      </c>
      <c r="E6" s="354"/>
      <c r="F6" s="253" t="s">
        <v>266</v>
      </c>
      <c r="G6" s="357" t="str">
        <f>'ATENCION '!G6:I6</f>
        <v>LLANOS</v>
      </c>
      <c r="H6" s="354"/>
      <c r="I6" s="253" t="s">
        <v>268</v>
      </c>
      <c r="J6" s="255">
        <f>'ATENCION '!L6</f>
        <v>130</v>
      </c>
      <c r="K6" s="256"/>
      <c r="L6" s="245"/>
      <c r="M6" s="246"/>
      <c r="N6" s="246"/>
      <c r="O6" s="246"/>
      <c r="P6" s="246"/>
      <c r="Q6" s="246"/>
      <c r="R6" s="246"/>
      <c r="S6" s="246"/>
      <c r="T6" s="246"/>
      <c r="U6" s="246"/>
      <c r="V6" s="246"/>
      <c r="W6" s="246"/>
      <c r="X6" s="246"/>
      <c r="Y6" s="246"/>
      <c r="Z6" s="246"/>
    </row>
    <row r="7" spans="1:26" ht="15.75" customHeight="1" x14ac:dyDescent="0.2">
      <c r="A7" s="251"/>
      <c r="B7" s="252"/>
      <c r="C7" s="252"/>
      <c r="D7" s="358" t="s">
        <v>306</v>
      </c>
      <c r="E7" s="359"/>
      <c r="F7" s="257"/>
      <c r="G7" s="252"/>
      <c r="H7" s="257"/>
      <c r="I7" s="257"/>
      <c r="J7" s="257"/>
      <c r="K7" s="256"/>
      <c r="L7" s="245"/>
      <c r="M7" s="246"/>
      <c r="N7" s="246"/>
      <c r="O7" s="246"/>
      <c r="P7" s="246"/>
      <c r="Q7" s="246"/>
      <c r="R7" s="246"/>
      <c r="S7" s="246"/>
      <c r="T7" s="246"/>
      <c r="U7" s="246"/>
      <c r="V7" s="246"/>
      <c r="W7" s="246"/>
      <c r="X7" s="246"/>
      <c r="Y7" s="246"/>
      <c r="Z7" s="246"/>
    </row>
    <row r="8" spans="1:26" x14ac:dyDescent="0.2">
      <c r="A8" s="251"/>
      <c r="B8" s="252"/>
      <c r="C8" s="252"/>
      <c r="D8" s="252"/>
      <c r="E8" s="257"/>
      <c r="F8" s="257"/>
      <c r="G8" s="252"/>
      <c r="H8" s="257"/>
      <c r="I8" s="257"/>
      <c r="J8" s="257"/>
      <c r="K8" s="256"/>
      <c r="L8" s="245"/>
      <c r="M8" s="246"/>
      <c r="N8" s="246"/>
      <c r="O8" s="246"/>
      <c r="P8" s="246"/>
      <c r="Q8" s="246"/>
      <c r="R8" s="246"/>
      <c r="S8" s="246"/>
      <c r="T8" s="246"/>
      <c r="U8" s="246"/>
      <c r="V8" s="246"/>
      <c r="W8" s="246"/>
      <c r="X8" s="246"/>
      <c r="Y8" s="246"/>
      <c r="Z8" s="246"/>
    </row>
    <row r="9" spans="1:26" ht="15.75" x14ac:dyDescent="0.2">
      <c r="A9" s="345" t="s">
        <v>293</v>
      </c>
      <c r="B9" s="346"/>
      <c r="C9" s="346"/>
      <c r="D9" s="346"/>
      <c r="E9" s="346"/>
      <c r="F9" s="346"/>
      <c r="G9" s="346"/>
      <c r="H9" s="346"/>
      <c r="I9" s="346"/>
      <c r="J9" s="346"/>
      <c r="K9" s="347"/>
      <c r="L9" s="245"/>
      <c r="M9" s="246"/>
      <c r="N9" s="246"/>
      <c r="O9" s="246"/>
      <c r="P9" s="246"/>
      <c r="Q9" s="246"/>
      <c r="R9" s="246"/>
      <c r="S9" s="246"/>
      <c r="T9" s="246"/>
      <c r="U9" s="246"/>
      <c r="V9" s="246"/>
      <c r="W9" s="246"/>
      <c r="X9" s="246"/>
      <c r="Y9" s="246"/>
      <c r="Z9" s="246"/>
    </row>
    <row r="10" spans="1:26" ht="27" customHeight="1" thickBot="1" x14ac:dyDescent="0.25">
      <c r="A10" s="360" t="s">
        <v>294</v>
      </c>
      <c r="B10" s="361"/>
      <c r="C10" s="361"/>
      <c r="D10" s="361"/>
      <c r="E10" s="361"/>
      <c r="F10" s="361"/>
      <c r="G10" s="361"/>
      <c r="H10" s="361"/>
      <c r="I10" s="361"/>
      <c r="J10" s="361"/>
      <c r="K10" s="362"/>
      <c r="L10" s="245"/>
      <c r="M10" s="246"/>
      <c r="N10" s="246"/>
      <c r="O10" s="246"/>
      <c r="P10" s="246"/>
      <c r="Q10" s="246"/>
      <c r="R10" s="246"/>
      <c r="S10" s="246"/>
      <c r="T10" s="246"/>
      <c r="U10" s="246"/>
      <c r="V10" s="246"/>
      <c r="W10" s="246"/>
      <c r="X10" s="246"/>
      <c r="Y10" s="246"/>
      <c r="Z10" s="246"/>
    </row>
    <row r="11" spans="1:26" ht="39" customHeight="1" x14ac:dyDescent="0.25">
      <c r="A11" s="363" t="str">
        <f>'ATENCION '!B42</f>
        <v>Buen día, quisiera por medio de este correo reportar atrasos en la entrega de medicamentos de quimioterapia de los pacientes agendados para el día 08/04/2026, los cuales fueron citados 8 am y confirmados de manera oportuna, sin embargo siendo las 11+15 am no han sido entregada la OP, lo cual genera atrasos en los tratamientos de los pacientes, adicionalmente todos han manifestado inconformidad por lo sucedido.</v>
      </c>
      <c r="B11" s="364"/>
      <c r="C11" s="364"/>
      <c r="D11" s="364"/>
      <c r="E11" s="364"/>
      <c r="F11" s="364"/>
      <c r="G11" s="364"/>
      <c r="H11" s="364"/>
      <c r="I11" s="364"/>
      <c r="J11" s="364"/>
      <c r="K11" s="365"/>
      <c r="L11" s="245"/>
      <c r="M11" s="258"/>
      <c r="N11" s="258"/>
      <c r="O11" s="258"/>
      <c r="P11" s="258"/>
      <c r="Q11" s="258"/>
      <c r="R11" s="258"/>
      <c r="S11" s="246"/>
      <c r="T11" s="246"/>
      <c r="U11" s="246"/>
      <c r="V11" s="246"/>
      <c r="W11" s="246"/>
      <c r="X11" s="246"/>
      <c r="Y11" s="246"/>
      <c r="Z11" s="246"/>
    </row>
    <row r="12" spans="1:26" ht="39" customHeight="1" x14ac:dyDescent="0.2">
      <c r="A12" s="366"/>
      <c r="B12" s="367"/>
      <c r="C12" s="367"/>
      <c r="D12" s="367"/>
      <c r="E12" s="367"/>
      <c r="F12" s="367"/>
      <c r="G12" s="367"/>
      <c r="H12" s="367"/>
      <c r="I12" s="367"/>
      <c r="J12" s="367"/>
      <c r="K12" s="368"/>
      <c r="L12" s="259"/>
      <c r="M12" s="260"/>
      <c r="N12" s="260"/>
      <c r="O12" s="260"/>
      <c r="P12" s="260"/>
      <c r="Q12" s="260"/>
      <c r="R12" s="260"/>
      <c r="S12" s="261"/>
      <c r="T12" s="261"/>
      <c r="U12" s="261"/>
      <c r="V12" s="261"/>
      <c r="W12" s="261"/>
      <c r="X12" s="261"/>
      <c r="Y12" s="261"/>
      <c r="Z12" s="261"/>
    </row>
    <row r="13" spans="1:26" ht="39" customHeight="1" x14ac:dyDescent="0.2">
      <c r="A13" s="366"/>
      <c r="B13" s="367"/>
      <c r="C13" s="367"/>
      <c r="D13" s="367"/>
      <c r="E13" s="367"/>
      <c r="F13" s="367"/>
      <c r="G13" s="367"/>
      <c r="H13" s="367"/>
      <c r="I13" s="367"/>
      <c r="J13" s="367"/>
      <c r="K13" s="368"/>
      <c r="L13" s="259"/>
      <c r="M13" s="260"/>
      <c r="N13" s="260"/>
      <c r="O13" s="260"/>
      <c r="P13" s="260"/>
      <c r="Q13" s="260"/>
      <c r="R13" s="260"/>
      <c r="S13" s="261"/>
      <c r="T13" s="261"/>
      <c r="U13" s="261"/>
      <c r="V13" s="261"/>
      <c r="W13" s="261"/>
      <c r="X13" s="261"/>
      <c r="Y13" s="261"/>
      <c r="Z13" s="261"/>
    </row>
    <row r="14" spans="1:26" ht="39" customHeight="1" x14ac:dyDescent="0.2">
      <c r="A14" s="366"/>
      <c r="B14" s="367"/>
      <c r="C14" s="367"/>
      <c r="D14" s="367"/>
      <c r="E14" s="367"/>
      <c r="F14" s="367"/>
      <c r="G14" s="367"/>
      <c r="H14" s="367"/>
      <c r="I14" s="367"/>
      <c r="J14" s="367"/>
      <c r="K14" s="368"/>
      <c r="L14" s="259"/>
      <c r="M14" s="260"/>
      <c r="N14" s="260"/>
      <c r="O14" s="260"/>
      <c r="P14" s="260"/>
      <c r="Q14" s="260"/>
      <c r="R14" s="260"/>
      <c r="S14" s="261"/>
      <c r="T14" s="261"/>
      <c r="U14" s="261"/>
      <c r="V14" s="261"/>
      <c r="W14" s="261"/>
      <c r="X14" s="261"/>
      <c r="Y14" s="261"/>
      <c r="Z14" s="261"/>
    </row>
    <row r="15" spans="1:26" ht="39" customHeight="1" thickBot="1" x14ac:dyDescent="0.3">
      <c r="A15" s="369"/>
      <c r="B15" s="370"/>
      <c r="C15" s="370"/>
      <c r="D15" s="370"/>
      <c r="E15" s="370"/>
      <c r="F15" s="370"/>
      <c r="G15" s="370"/>
      <c r="H15" s="370"/>
      <c r="I15" s="370"/>
      <c r="J15" s="370"/>
      <c r="K15" s="371"/>
      <c r="L15" s="245"/>
      <c r="M15" s="258"/>
      <c r="N15" s="258"/>
      <c r="O15" s="258"/>
      <c r="P15" s="258"/>
      <c r="Q15" s="258"/>
      <c r="R15" s="258"/>
      <c r="S15" s="246"/>
      <c r="T15" s="246"/>
      <c r="U15" s="246"/>
      <c r="V15" s="246"/>
      <c r="W15" s="246"/>
      <c r="X15" s="246"/>
      <c r="Y15" s="246"/>
      <c r="Z15" s="246"/>
    </row>
    <row r="16" spans="1:26" ht="9.75" customHeight="1" x14ac:dyDescent="0.2">
      <c r="A16" s="372"/>
      <c r="B16" s="349"/>
      <c r="C16" s="349"/>
      <c r="D16" s="349"/>
      <c r="E16" s="349"/>
      <c r="F16" s="349"/>
      <c r="G16" s="349"/>
      <c r="H16" s="349"/>
      <c r="I16" s="349"/>
      <c r="J16" s="349"/>
      <c r="K16" s="352"/>
      <c r="L16" s="245" t="s">
        <v>307</v>
      </c>
      <c r="M16" s="246"/>
      <c r="N16" s="246"/>
      <c r="O16" s="246"/>
      <c r="P16" s="246"/>
      <c r="Q16" s="246"/>
      <c r="R16" s="246"/>
      <c r="S16" s="246"/>
      <c r="T16" s="246"/>
      <c r="U16" s="246"/>
      <c r="V16" s="246"/>
      <c r="W16" s="246"/>
      <c r="X16" s="246"/>
      <c r="Y16" s="246"/>
      <c r="Z16" s="246"/>
    </row>
    <row r="17" spans="1:26" ht="20.25" customHeight="1" x14ac:dyDescent="0.2">
      <c r="A17" s="345" t="s">
        <v>308</v>
      </c>
      <c r="B17" s="346"/>
      <c r="C17" s="346"/>
      <c r="D17" s="346"/>
      <c r="E17" s="346"/>
      <c r="F17" s="346"/>
      <c r="G17" s="346"/>
      <c r="H17" s="346"/>
      <c r="I17" s="346"/>
      <c r="J17" s="346"/>
      <c r="K17" s="347"/>
      <c r="L17" s="245"/>
      <c r="M17" s="245"/>
      <c r="N17" s="245"/>
      <c r="O17" s="245"/>
      <c r="P17" s="246"/>
      <c r="Q17" s="246"/>
      <c r="R17" s="246"/>
      <c r="S17" s="246"/>
      <c r="T17" s="246"/>
      <c r="U17" s="246"/>
      <c r="V17" s="246"/>
      <c r="W17" s="246"/>
      <c r="X17" s="246"/>
      <c r="Y17" s="246"/>
      <c r="Z17" s="246"/>
    </row>
    <row r="18" spans="1:26" ht="15.75" x14ac:dyDescent="0.2">
      <c r="A18" s="262"/>
      <c r="B18" s="263"/>
      <c r="C18" s="263"/>
      <c r="D18" s="263"/>
      <c r="E18" s="263"/>
      <c r="F18" s="263"/>
      <c r="G18" s="263"/>
      <c r="H18" s="263"/>
      <c r="I18" s="263"/>
      <c r="J18" s="263"/>
      <c r="K18" s="264"/>
      <c r="L18" s="245"/>
      <c r="M18" s="245"/>
      <c r="N18" s="245"/>
      <c r="O18" s="245"/>
      <c r="P18" s="245"/>
      <c r="Q18" s="245"/>
      <c r="R18" s="245"/>
      <c r="S18" s="245"/>
      <c r="T18" s="245"/>
      <c r="U18" s="245"/>
      <c r="V18" s="245"/>
      <c r="W18" s="245"/>
      <c r="X18" s="245"/>
      <c r="Y18" s="245"/>
      <c r="Z18" s="245"/>
    </row>
    <row r="19" spans="1:26" ht="15.75" x14ac:dyDescent="0.2">
      <c r="A19" s="262"/>
      <c r="B19" s="265" t="s">
        <v>309</v>
      </c>
      <c r="C19" s="263"/>
      <c r="D19" s="263"/>
      <c r="E19" s="263"/>
      <c r="F19" s="263"/>
      <c r="G19" s="263"/>
      <c r="H19" s="263"/>
      <c r="I19" s="263"/>
      <c r="J19" s="263"/>
      <c r="K19" s="264"/>
      <c r="L19" s="245"/>
      <c r="M19" s="245"/>
      <c r="N19" s="245"/>
      <c r="O19" s="245"/>
      <c r="P19" s="245"/>
      <c r="Q19" s="245"/>
      <c r="R19" s="245"/>
      <c r="S19" s="245"/>
      <c r="T19" s="245"/>
      <c r="U19" s="245"/>
      <c r="V19" s="245"/>
      <c r="W19" s="245"/>
      <c r="X19" s="245"/>
      <c r="Y19" s="245"/>
      <c r="Z19" s="245"/>
    </row>
    <row r="20" spans="1:26" ht="22.5" customHeight="1" x14ac:dyDescent="0.2">
      <c r="A20" s="266"/>
      <c r="B20" s="374" t="str">
        <f>'ATENCION '!E17</f>
        <v>CLINICA PRIMAVERA LLANOS</v>
      </c>
      <c r="C20" s="346"/>
      <c r="D20" s="346"/>
      <c r="E20" s="346"/>
      <c r="F20" s="346"/>
      <c r="G20" s="346"/>
      <c r="H20" s="346"/>
      <c r="I20" s="346"/>
      <c r="J20" s="354"/>
      <c r="K20" s="267"/>
      <c r="L20" s="245"/>
      <c r="M20" s="245"/>
      <c r="N20" s="245"/>
      <c r="O20" s="245"/>
      <c r="P20" s="246"/>
      <c r="Q20" s="246"/>
      <c r="R20" s="246"/>
      <c r="S20" s="246"/>
      <c r="T20" s="246"/>
      <c r="U20" s="246"/>
      <c r="V20" s="246"/>
      <c r="W20" s="246"/>
      <c r="X20" s="246"/>
      <c r="Y20" s="246"/>
      <c r="Z20" s="246"/>
    </row>
    <row r="21" spans="1:26" ht="15.75" customHeight="1" x14ac:dyDescent="0.2">
      <c r="A21" s="268"/>
      <c r="B21" s="375" t="s">
        <v>310</v>
      </c>
      <c r="C21" s="346"/>
      <c r="D21" s="346"/>
      <c r="E21" s="346"/>
      <c r="F21" s="346"/>
      <c r="G21" s="346"/>
      <c r="H21" s="346"/>
      <c r="I21" s="269"/>
      <c r="J21" s="269"/>
      <c r="K21" s="270"/>
      <c r="L21" s="245"/>
      <c r="M21" s="245"/>
      <c r="N21" s="245"/>
      <c r="O21" s="245"/>
      <c r="P21" s="246"/>
      <c r="Q21" s="246"/>
      <c r="R21" s="246"/>
      <c r="S21" s="246"/>
      <c r="T21" s="246"/>
      <c r="U21" s="246"/>
      <c r="V21" s="246"/>
      <c r="W21" s="246"/>
      <c r="X21" s="246"/>
      <c r="Y21" s="246"/>
      <c r="Z21" s="246"/>
    </row>
    <row r="22" spans="1:26" ht="22.5" customHeight="1" x14ac:dyDescent="0.2">
      <c r="A22" s="268"/>
      <c r="B22" s="357" t="s">
        <v>311</v>
      </c>
      <c r="C22" s="346"/>
      <c r="D22" s="346"/>
      <c r="E22" s="346"/>
      <c r="F22" s="346"/>
      <c r="G22" s="346"/>
      <c r="H22" s="346"/>
      <c r="I22" s="346"/>
      <c r="J22" s="354"/>
      <c r="K22" s="270"/>
      <c r="L22" s="245"/>
      <c r="M22" s="245"/>
      <c r="N22" s="245"/>
      <c r="O22" s="245"/>
      <c r="P22" s="246"/>
      <c r="Q22" s="246"/>
      <c r="R22" s="246"/>
      <c r="S22" s="246"/>
      <c r="T22" s="246"/>
      <c r="U22" s="246"/>
      <c r="V22" s="246"/>
      <c r="W22" s="246"/>
      <c r="X22" s="246"/>
      <c r="Y22" s="246"/>
      <c r="Z22" s="246"/>
    </row>
    <row r="23" spans="1:26" ht="15.75" customHeight="1" x14ac:dyDescent="0.2">
      <c r="A23" s="268"/>
      <c r="B23" s="375" t="s">
        <v>312</v>
      </c>
      <c r="C23" s="346"/>
      <c r="D23" s="346"/>
      <c r="E23" s="346"/>
      <c r="F23" s="346"/>
      <c r="G23" s="346"/>
      <c r="H23" s="346"/>
      <c r="I23" s="346"/>
      <c r="J23" s="271"/>
      <c r="K23" s="270"/>
      <c r="L23" s="245"/>
      <c r="M23" s="245"/>
      <c r="N23" s="245"/>
      <c r="O23" s="272"/>
      <c r="P23" s="246"/>
      <c r="Q23" s="246"/>
      <c r="R23" s="246"/>
      <c r="S23" s="246"/>
      <c r="T23" s="246"/>
      <c r="U23" s="246"/>
      <c r="V23" s="246"/>
      <c r="W23" s="246"/>
      <c r="X23" s="246"/>
      <c r="Y23" s="246"/>
      <c r="Z23" s="246"/>
    </row>
    <row r="24" spans="1:26" ht="24" customHeight="1" x14ac:dyDescent="0.2">
      <c r="A24" s="268"/>
      <c r="B24" s="357" t="s">
        <v>455</v>
      </c>
      <c r="C24" s="346"/>
      <c r="D24" s="346"/>
      <c r="E24" s="346"/>
      <c r="F24" s="346"/>
      <c r="G24" s="346"/>
      <c r="H24" s="346"/>
      <c r="I24" s="346"/>
      <c r="J24" s="354"/>
      <c r="K24" s="270"/>
      <c r="L24" s="245"/>
      <c r="M24" s="245"/>
      <c r="N24" s="245"/>
      <c r="O24" s="273"/>
      <c r="P24" s="246"/>
      <c r="Q24" s="246"/>
      <c r="R24" s="246"/>
      <c r="S24" s="246"/>
      <c r="T24" s="246"/>
      <c r="U24" s="246"/>
      <c r="V24" s="246"/>
      <c r="W24" s="246"/>
      <c r="X24" s="246"/>
      <c r="Y24" s="246"/>
      <c r="Z24" s="246"/>
    </row>
    <row r="25" spans="1:26" ht="15.75" customHeight="1" x14ac:dyDescent="0.2">
      <c r="A25" s="268"/>
      <c r="B25" s="375" t="s">
        <v>314</v>
      </c>
      <c r="C25" s="346"/>
      <c r="D25" s="346"/>
      <c r="E25" s="346"/>
      <c r="F25" s="346"/>
      <c r="G25" s="346"/>
      <c r="H25" s="346"/>
      <c r="I25" s="269"/>
      <c r="J25" s="269"/>
      <c r="K25" s="270"/>
      <c r="L25" s="245"/>
      <c r="M25" s="245"/>
      <c r="N25" s="245"/>
      <c r="O25" s="245"/>
      <c r="P25" s="246"/>
      <c r="Q25" s="246"/>
      <c r="R25" s="246"/>
      <c r="S25" s="246"/>
      <c r="T25" s="246"/>
      <c r="U25" s="246"/>
      <c r="V25" s="246"/>
      <c r="W25" s="246"/>
      <c r="X25" s="246"/>
      <c r="Y25" s="246"/>
      <c r="Z25" s="246"/>
    </row>
    <row r="26" spans="1:26" ht="24" customHeight="1" x14ac:dyDescent="0.2">
      <c r="A26" s="268"/>
      <c r="B26" s="357" t="str">
        <f>VLOOKUP(B24,'RESPONSABLE '!A2:B40,2,0)</f>
        <v>DIRECTOR DE TECNICO REGIONA LLANOS</v>
      </c>
      <c r="C26" s="346"/>
      <c r="D26" s="346"/>
      <c r="E26" s="346"/>
      <c r="F26" s="346"/>
      <c r="G26" s="346"/>
      <c r="H26" s="346"/>
      <c r="I26" s="346"/>
      <c r="J26" s="354"/>
      <c r="K26" s="270"/>
      <c r="L26" s="245"/>
      <c r="M26" s="245"/>
      <c r="N26" s="245"/>
      <c r="O26" s="245"/>
      <c r="P26" s="246"/>
      <c r="Q26" s="246"/>
      <c r="R26" s="246"/>
      <c r="S26" s="246"/>
      <c r="T26" s="246"/>
      <c r="U26" s="246"/>
      <c r="V26" s="246"/>
      <c r="W26" s="246"/>
      <c r="X26" s="246"/>
      <c r="Y26" s="246"/>
      <c r="Z26" s="246"/>
    </row>
    <row r="27" spans="1:26" ht="15.75" customHeight="1" x14ac:dyDescent="0.2">
      <c r="A27" s="268"/>
      <c r="B27" s="274"/>
      <c r="C27" s="274"/>
      <c r="D27" s="274"/>
      <c r="E27" s="274"/>
      <c r="F27" s="274"/>
      <c r="G27" s="274"/>
      <c r="H27" s="274"/>
      <c r="I27" s="274"/>
      <c r="J27" s="274"/>
      <c r="K27" s="270"/>
      <c r="L27" s="245"/>
      <c r="M27" s="245"/>
      <c r="N27" s="245"/>
      <c r="O27" s="245"/>
      <c r="P27" s="246"/>
      <c r="Q27" s="246"/>
      <c r="R27" s="246"/>
      <c r="S27" s="246"/>
      <c r="T27" s="246"/>
      <c r="U27" s="246"/>
      <c r="V27" s="246"/>
      <c r="W27" s="246"/>
      <c r="X27" s="246"/>
      <c r="Y27" s="246"/>
      <c r="Z27" s="246"/>
    </row>
    <row r="28" spans="1:26" ht="15.75" customHeight="1" x14ac:dyDescent="0.2">
      <c r="A28" s="345" t="s">
        <v>315</v>
      </c>
      <c r="B28" s="346"/>
      <c r="C28" s="346"/>
      <c r="D28" s="346"/>
      <c r="E28" s="346"/>
      <c r="F28" s="346"/>
      <c r="G28" s="346"/>
      <c r="H28" s="346"/>
      <c r="I28" s="346"/>
      <c r="J28" s="346"/>
      <c r="K28" s="347"/>
      <c r="L28" s="245"/>
      <c r="M28" s="245"/>
      <c r="N28" s="245"/>
      <c r="O28" s="245"/>
      <c r="P28" s="246"/>
      <c r="Q28" s="246"/>
      <c r="R28" s="246"/>
      <c r="S28" s="246"/>
      <c r="T28" s="246"/>
      <c r="U28" s="246"/>
      <c r="V28" s="246"/>
      <c r="W28" s="246"/>
      <c r="X28" s="246"/>
      <c r="Y28" s="246"/>
      <c r="Z28" s="246"/>
    </row>
    <row r="29" spans="1:26" ht="15.75" customHeight="1" x14ac:dyDescent="0.2">
      <c r="A29" s="376"/>
      <c r="B29" s="359"/>
      <c r="C29" s="359"/>
      <c r="D29" s="359"/>
      <c r="E29" s="359"/>
      <c r="F29" s="359"/>
      <c r="G29" s="359"/>
      <c r="H29" s="359"/>
      <c r="I29" s="359"/>
      <c r="J29" s="359"/>
      <c r="K29" s="368"/>
      <c r="L29" s="245"/>
      <c r="M29" s="245"/>
      <c r="N29" s="245"/>
      <c r="O29" s="245"/>
      <c r="P29" s="246"/>
      <c r="Q29" s="246"/>
      <c r="R29" s="246"/>
      <c r="S29" s="246"/>
      <c r="T29" s="246"/>
      <c r="U29" s="246"/>
      <c r="V29" s="246"/>
      <c r="W29" s="246"/>
      <c r="X29" s="246"/>
      <c r="Y29" s="246"/>
      <c r="Z29" s="246"/>
    </row>
    <row r="30" spans="1:26" ht="24" customHeight="1" x14ac:dyDescent="0.2">
      <c r="A30" s="275"/>
      <c r="B30" s="377" t="s">
        <v>479</v>
      </c>
      <c r="C30" s="346"/>
      <c r="D30" s="346"/>
      <c r="E30" s="346"/>
      <c r="F30" s="346"/>
      <c r="G30" s="346"/>
      <c r="H30" s="346"/>
      <c r="I30" s="346"/>
      <c r="J30" s="354"/>
      <c r="K30" s="256"/>
      <c r="L30" s="245"/>
      <c r="M30" s="245"/>
      <c r="N30" s="245"/>
      <c r="O30" s="245"/>
      <c r="P30" s="246"/>
      <c r="Q30" s="246"/>
      <c r="R30" s="246"/>
      <c r="S30" s="246"/>
      <c r="T30" s="246"/>
      <c r="U30" s="246"/>
      <c r="V30" s="246"/>
      <c r="W30" s="246"/>
      <c r="X30" s="246"/>
      <c r="Y30" s="246"/>
      <c r="Z30" s="246"/>
    </row>
    <row r="31" spans="1:26" ht="11.25" customHeight="1" thickBot="1" x14ac:dyDescent="0.25">
      <c r="A31" s="275"/>
      <c r="B31" s="253"/>
      <c r="C31" s="253"/>
      <c r="D31" s="253"/>
      <c r="E31" s="253"/>
      <c r="F31" s="253"/>
      <c r="G31" s="253"/>
      <c r="H31" s="253"/>
      <c r="I31" s="253"/>
      <c r="J31" s="253"/>
      <c r="K31" s="256"/>
      <c r="L31" s="245"/>
      <c r="M31" s="245"/>
      <c r="N31" s="245"/>
      <c r="O31" s="245"/>
      <c r="P31" s="246"/>
      <c r="Q31" s="246"/>
      <c r="R31" s="246"/>
      <c r="S31" s="246"/>
      <c r="T31" s="246"/>
      <c r="U31" s="246"/>
      <c r="V31" s="246"/>
      <c r="W31" s="246"/>
      <c r="X31" s="246"/>
      <c r="Y31" s="246"/>
      <c r="Z31" s="246"/>
    </row>
    <row r="32" spans="1:26" ht="15.75" customHeight="1" thickBot="1" x14ac:dyDescent="0.3">
      <c r="A32" s="275"/>
      <c r="B32" s="253"/>
      <c r="C32" s="276"/>
      <c r="D32" s="277"/>
      <c r="E32" s="278" t="s">
        <v>317</v>
      </c>
      <c r="F32" s="373" t="s">
        <v>318</v>
      </c>
      <c r="G32" s="359"/>
      <c r="H32" s="359"/>
      <c r="I32" s="359"/>
      <c r="J32" s="359"/>
      <c r="K32" s="256"/>
      <c r="L32" s="245"/>
      <c r="M32" s="245"/>
      <c r="N32" s="245"/>
      <c r="O32" s="245"/>
      <c r="P32" s="246"/>
      <c r="Q32" s="246"/>
      <c r="R32" s="246"/>
      <c r="S32" s="246"/>
      <c r="T32" s="246"/>
      <c r="U32" s="246"/>
      <c r="V32" s="246"/>
      <c r="W32" s="246"/>
      <c r="X32" s="246"/>
      <c r="Y32" s="246"/>
      <c r="Z32" s="246"/>
    </row>
    <row r="33" spans="1:26" ht="15.75" customHeight="1" thickBot="1" x14ac:dyDescent="0.3">
      <c r="A33" s="275"/>
      <c r="B33" s="253"/>
      <c r="C33" s="279" t="s">
        <v>289</v>
      </c>
      <c r="D33" s="277"/>
      <c r="E33" s="278" t="s">
        <v>319</v>
      </c>
      <c r="F33" s="373" t="s">
        <v>320</v>
      </c>
      <c r="G33" s="359"/>
      <c r="H33" s="359"/>
      <c r="I33" s="359"/>
      <c r="J33" s="359"/>
      <c r="K33" s="280"/>
      <c r="L33" s="246"/>
      <c r="M33" s="246"/>
      <c r="N33" s="246"/>
      <c r="O33" s="246"/>
      <c r="P33" s="246"/>
      <c r="Q33" s="246"/>
      <c r="R33" s="246"/>
      <c r="S33" s="246"/>
      <c r="T33" s="246"/>
      <c r="U33" s="246"/>
      <c r="V33" s="246"/>
      <c r="W33" s="246"/>
      <c r="X33" s="246"/>
      <c r="Y33" s="246"/>
      <c r="Z33" s="246"/>
    </row>
    <row r="34" spans="1:26" ht="15.75" customHeight="1" x14ac:dyDescent="0.2">
      <c r="A34" s="281"/>
      <c r="B34" s="277"/>
      <c r="C34" s="277"/>
      <c r="D34" s="277"/>
      <c r="E34" s="277"/>
      <c r="F34" s="277"/>
      <c r="G34" s="277"/>
      <c r="H34" s="277"/>
      <c r="I34" s="277"/>
      <c r="J34" s="277"/>
      <c r="K34" s="282"/>
      <c r="L34" s="246"/>
      <c r="M34" s="246"/>
      <c r="N34" s="246"/>
      <c r="O34" s="246"/>
      <c r="P34" s="246"/>
      <c r="Q34" s="246"/>
      <c r="R34" s="246"/>
      <c r="S34" s="246"/>
      <c r="T34" s="246"/>
      <c r="U34" s="246"/>
      <c r="V34" s="246"/>
      <c r="W34" s="246"/>
      <c r="X34" s="246"/>
      <c r="Y34" s="246"/>
      <c r="Z34" s="246"/>
    </row>
    <row r="35" spans="1:26" ht="38.25" customHeight="1" x14ac:dyDescent="0.2">
      <c r="A35" s="378" t="s">
        <v>321</v>
      </c>
      <c r="B35" s="379"/>
      <c r="C35" s="379"/>
      <c r="D35" s="379"/>
      <c r="E35" s="379"/>
      <c r="F35" s="378" t="s">
        <v>322</v>
      </c>
      <c r="G35" s="379"/>
      <c r="H35" s="378" t="s">
        <v>323</v>
      </c>
      <c r="I35" s="379"/>
      <c r="J35" s="378" t="s">
        <v>324</v>
      </c>
      <c r="K35" s="379"/>
      <c r="L35" s="283"/>
      <c r="M35" s="283"/>
      <c r="N35" s="283"/>
      <c r="O35" s="283"/>
      <c r="P35" s="283"/>
      <c r="Q35" s="283"/>
      <c r="R35" s="283"/>
      <c r="S35" s="283"/>
      <c r="T35" s="283"/>
      <c r="U35" s="283"/>
      <c r="V35" s="283"/>
      <c r="W35" s="283"/>
      <c r="X35" s="283"/>
      <c r="Y35" s="283"/>
      <c r="Z35" s="283"/>
    </row>
    <row r="36" spans="1:26" ht="46.15" customHeight="1" x14ac:dyDescent="0.2">
      <c r="A36" s="380"/>
      <c r="B36" s="381"/>
      <c r="C36" s="381"/>
      <c r="D36" s="381"/>
      <c r="E36" s="382"/>
      <c r="F36" s="380"/>
      <c r="G36" s="382"/>
      <c r="H36" s="383"/>
      <c r="I36" s="383"/>
      <c r="J36" s="383"/>
      <c r="K36" s="383"/>
      <c r="L36" s="284"/>
      <c r="M36" s="284"/>
      <c r="N36" s="284"/>
      <c r="O36" s="284"/>
      <c r="P36" s="284"/>
      <c r="Q36" s="284"/>
      <c r="R36" s="284"/>
      <c r="S36" s="284"/>
      <c r="T36" s="284"/>
      <c r="U36" s="284"/>
      <c r="V36" s="284"/>
      <c r="W36" s="284"/>
      <c r="X36" s="284"/>
      <c r="Y36" s="284"/>
      <c r="Z36" s="284"/>
    </row>
    <row r="37" spans="1:26" ht="46.15" customHeight="1" x14ac:dyDescent="0.2">
      <c r="A37" s="380"/>
      <c r="B37" s="381"/>
      <c r="C37" s="381"/>
      <c r="D37" s="381"/>
      <c r="E37" s="382"/>
      <c r="F37" s="380"/>
      <c r="G37" s="382"/>
      <c r="H37" s="383"/>
      <c r="I37" s="383"/>
      <c r="J37" s="384"/>
      <c r="K37" s="383"/>
      <c r="L37" s="284"/>
      <c r="M37" s="284"/>
      <c r="N37" s="284"/>
      <c r="O37" s="284"/>
      <c r="P37" s="284"/>
      <c r="Q37" s="284"/>
      <c r="R37" s="284"/>
      <c r="S37" s="284"/>
      <c r="T37" s="284"/>
      <c r="U37" s="284"/>
      <c r="V37" s="284"/>
      <c r="W37" s="284"/>
      <c r="X37" s="284"/>
      <c r="Y37" s="284"/>
      <c r="Z37" s="284"/>
    </row>
    <row r="38" spans="1:26" ht="46.15" customHeight="1" x14ac:dyDescent="0.2">
      <c r="A38" s="380"/>
      <c r="B38" s="381"/>
      <c r="C38" s="381"/>
      <c r="D38" s="381"/>
      <c r="E38" s="382"/>
      <c r="F38" s="380"/>
      <c r="G38" s="382"/>
      <c r="H38" s="383"/>
      <c r="I38" s="383"/>
      <c r="J38" s="384"/>
      <c r="K38" s="383"/>
      <c r="L38" s="284"/>
      <c r="M38" s="284"/>
      <c r="N38" s="284"/>
      <c r="O38" s="284"/>
      <c r="P38" s="284"/>
      <c r="Q38" s="284"/>
      <c r="R38" s="284"/>
      <c r="S38" s="284"/>
      <c r="T38" s="284"/>
      <c r="U38" s="284"/>
      <c r="V38" s="284"/>
      <c r="W38" s="284"/>
      <c r="X38" s="284"/>
      <c r="Y38" s="284"/>
      <c r="Z38" s="284"/>
    </row>
    <row r="39" spans="1:26" ht="46.15" customHeight="1" x14ac:dyDescent="0.2">
      <c r="A39" s="380"/>
      <c r="B39" s="381"/>
      <c r="C39" s="381"/>
      <c r="D39" s="381"/>
      <c r="E39" s="382"/>
      <c r="F39" s="380"/>
      <c r="G39" s="382"/>
      <c r="H39" s="383"/>
      <c r="I39" s="383"/>
      <c r="J39" s="384"/>
      <c r="K39" s="383"/>
      <c r="L39" s="284"/>
      <c r="M39" s="284"/>
      <c r="N39" s="284"/>
      <c r="O39" s="284"/>
      <c r="P39" s="284"/>
      <c r="Q39" s="284"/>
      <c r="R39" s="284"/>
      <c r="S39" s="284"/>
      <c r="T39" s="284"/>
      <c r="U39" s="284"/>
      <c r="V39" s="284"/>
      <c r="W39" s="284"/>
      <c r="X39" s="284"/>
      <c r="Y39" s="284"/>
      <c r="Z39" s="284"/>
    </row>
    <row r="40" spans="1:26" ht="46.15" customHeight="1" x14ac:dyDescent="0.2">
      <c r="A40" s="380"/>
      <c r="B40" s="381"/>
      <c r="C40" s="381"/>
      <c r="D40" s="381"/>
      <c r="E40" s="382"/>
      <c r="F40" s="380"/>
      <c r="G40" s="382"/>
      <c r="H40" s="383"/>
      <c r="I40" s="383"/>
      <c r="J40" s="384"/>
      <c r="K40" s="383"/>
      <c r="L40" s="284"/>
      <c r="M40" s="284"/>
      <c r="N40" s="284"/>
      <c r="O40" s="284"/>
      <c r="P40" s="284"/>
      <c r="Q40" s="284"/>
      <c r="R40" s="284"/>
      <c r="S40" s="284"/>
      <c r="T40" s="284"/>
      <c r="U40" s="284"/>
      <c r="V40" s="284"/>
      <c r="W40" s="284"/>
      <c r="X40" s="284"/>
      <c r="Y40" s="284"/>
      <c r="Z40" s="284"/>
    </row>
    <row r="41" spans="1:26" ht="46.15" customHeight="1" x14ac:dyDescent="0.2">
      <c r="A41" s="380"/>
      <c r="B41" s="381"/>
      <c r="C41" s="381"/>
      <c r="D41" s="381"/>
      <c r="E41" s="382"/>
      <c r="F41" s="380"/>
      <c r="G41" s="382"/>
      <c r="H41" s="383"/>
      <c r="I41" s="383"/>
      <c r="J41" s="384"/>
      <c r="K41" s="383"/>
      <c r="L41" s="284"/>
      <c r="M41" s="284"/>
      <c r="N41" s="284"/>
      <c r="O41" s="284"/>
      <c r="P41" s="284"/>
      <c r="Q41" s="284"/>
      <c r="R41" s="284"/>
      <c r="S41" s="284"/>
      <c r="T41" s="284"/>
      <c r="U41" s="284"/>
      <c r="V41" s="284"/>
      <c r="W41" s="284"/>
      <c r="X41" s="284"/>
      <c r="Y41" s="284"/>
      <c r="Z41" s="284"/>
    </row>
    <row r="42" spans="1:26" ht="15.75" customHeight="1" x14ac:dyDescent="0.2">
      <c r="A42" s="385" t="s">
        <v>297</v>
      </c>
      <c r="B42" s="386"/>
      <c r="C42" s="386"/>
      <c r="D42" s="386"/>
      <c r="E42" s="386"/>
      <c r="F42" s="386"/>
      <c r="G42" s="386"/>
      <c r="H42" s="386"/>
      <c r="I42" s="386"/>
      <c r="J42" s="386"/>
      <c r="K42" s="387"/>
      <c r="L42" s="246"/>
      <c r="M42" s="246"/>
      <c r="N42" s="246"/>
      <c r="O42" s="246"/>
      <c r="P42" s="246"/>
      <c r="Q42" s="246"/>
      <c r="R42" s="246"/>
      <c r="S42" s="246"/>
      <c r="T42" s="246"/>
      <c r="U42" s="246"/>
      <c r="V42" s="246"/>
      <c r="W42" s="246"/>
      <c r="X42" s="246"/>
      <c r="Y42" s="246"/>
      <c r="Z42" s="246"/>
    </row>
    <row r="43" spans="1:26" ht="124.5" customHeight="1" thickBot="1" x14ac:dyDescent="0.25">
      <c r="A43" s="388"/>
      <c r="B43" s="389"/>
      <c r="C43" s="389"/>
      <c r="D43" s="389"/>
      <c r="E43" s="389"/>
      <c r="F43" s="389"/>
      <c r="G43" s="389"/>
      <c r="H43" s="389"/>
      <c r="I43" s="389"/>
      <c r="J43" s="389"/>
      <c r="K43" s="390"/>
      <c r="L43" s="246"/>
      <c r="M43" s="246"/>
      <c r="N43" s="246"/>
      <c r="O43" s="246"/>
      <c r="P43" s="246"/>
      <c r="Q43" s="246"/>
      <c r="R43" s="246"/>
      <c r="S43" s="246"/>
      <c r="T43" s="246"/>
      <c r="U43" s="246"/>
      <c r="V43" s="246"/>
      <c r="W43" s="246"/>
      <c r="X43" s="246"/>
      <c r="Y43" s="246"/>
      <c r="Z43" s="246"/>
    </row>
    <row r="44" spans="1:26" ht="15.75" customHeight="1" thickBot="1" x14ac:dyDescent="0.25">
      <c r="A44" s="285"/>
      <c r="B44" s="259"/>
      <c r="C44" s="259"/>
      <c r="D44" s="259"/>
      <c r="E44" s="259"/>
      <c r="F44" s="259"/>
      <c r="G44" s="259"/>
      <c r="H44" s="259"/>
      <c r="I44" s="259"/>
      <c r="J44" s="259"/>
      <c r="K44" s="286"/>
      <c r="L44" s="246"/>
      <c r="M44" s="246"/>
      <c r="N44" s="246"/>
      <c r="O44" s="246"/>
      <c r="P44" s="246"/>
      <c r="Q44" s="246"/>
      <c r="R44" s="246"/>
      <c r="S44" s="246"/>
      <c r="T44" s="246"/>
      <c r="U44" s="246"/>
      <c r="V44" s="246"/>
      <c r="W44" s="246"/>
      <c r="X44" s="246"/>
      <c r="Y44" s="246"/>
      <c r="Z44" s="246"/>
    </row>
    <row r="45" spans="1:26" ht="33" customHeight="1" thickBot="1" x14ac:dyDescent="0.25">
      <c r="A45" s="285"/>
      <c r="B45" s="391" t="s">
        <v>325</v>
      </c>
      <c r="C45" s="359"/>
      <c r="D45" s="359"/>
      <c r="E45" s="287"/>
      <c r="F45" s="288"/>
      <c r="G45" s="257" t="s">
        <v>326</v>
      </c>
      <c r="H45" s="392"/>
      <c r="I45" s="393"/>
      <c r="J45" s="257"/>
      <c r="K45" s="256"/>
      <c r="L45" s="246"/>
      <c r="M45" s="246"/>
      <c r="N45" s="246"/>
      <c r="O45" s="246"/>
      <c r="P45" s="246"/>
      <c r="Q45" s="246"/>
      <c r="R45" s="246"/>
      <c r="S45" s="246"/>
      <c r="T45" s="246"/>
      <c r="U45" s="246"/>
      <c r="V45" s="246"/>
      <c r="W45" s="246"/>
      <c r="X45" s="246"/>
      <c r="Y45" s="246"/>
      <c r="Z45" s="246"/>
    </row>
    <row r="46" spans="1:26" ht="15.75" customHeight="1" thickBot="1" x14ac:dyDescent="0.25">
      <c r="A46" s="289"/>
      <c r="B46" s="290"/>
      <c r="C46" s="290"/>
      <c r="D46" s="290"/>
      <c r="E46" s="290"/>
      <c r="F46" s="290"/>
      <c r="G46" s="290"/>
      <c r="H46" s="290"/>
      <c r="I46" s="290"/>
      <c r="J46" s="290"/>
      <c r="K46" s="291"/>
      <c r="L46" s="246"/>
      <c r="M46" s="246"/>
      <c r="N46" s="246"/>
      <c r="O46" s="246"/>
      <c r="P46" s="246"/>
      <c r="Q46" s="246"/>
      <c r="R46" s="246"/>
      <c r="S46" s="246"/>
      <c r="T46" s="246"/>
      <c r="U46" s="246"/>
      <c r="V46" s="246"/>
      <c r="W46" s="246"/>
      <c r="X46" s="246"/>
      <c r="Y46" s="246"/>
      <c r="Z46" s="246"/>
    </row>
    <row r="47" spans="1:26" ht="15.75" customHeight="1" x14ac:dyDescent="0.2">
      <c r="A47" s="246"/>
      <c r="B47" s="246"/>
      <c r="C47" s="246"/>
      <c r="D47" s="246"/>
      <c r="E47" s="246"/>
      <c r="F47" s="246"/>
      <c r="G47" s="246"/>
      <c r="H47" s="246"/>
      <c r="I47" s="246"/>
      <c r="J47" s="246"/>
      <c r="K47" s="246"/>
      <c r="L47" s="246"/>
      <c r="M47" s="246"/>
      <c r="N47" s="246"/>
      <c r="O47" s="246"/>
      <c r="P47" s="246"/>
      <c r="Q47" s="246"/>
      <c r="R47" s="246"/>
      <c r="S47" s="246"/>
      <c r="T47" s="246"/>
      <c r="U47" s="246"/>
      <c r="V47" s="246"/>
      <c r="W47" s="246"/>
      <c r="X47" s="246"/>
      <c r="Y47" s="246"/>
      <c r="Z47" s="246"/>
    </row>
    <row r="48" spans="1:26" ht="15.75" customHeight="1" x14ac:dyDescent="0.2">
      <c r="A48" s="246"/>
      <c r="B48" s="246"/>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246"/>
    </row>
    <row r="49" spans="1:26" ht="3.75" customHeight="1" x14ac:dyDescent="0.2">
      <c r="A49" s="259"/>
      <c r="B49" s="259"/>
      <c r="C49" s="259"/>
      <c r="D49" s="259"/>
      <c r="E49" s="259"/>
      <c r="F49" s="259"/>
      <c r="G49" s="259"/>
      <c r="H49" s="259"/>
      <c r="I49" s="259"/>
      <c r="J49" s="259"/>
      <c r="K49" s="259"/>
      <c r="L49" s="246"/>
      <c r="M49" s="246"/>
      <c r="N49" s="246"/>
      <c r="O49" s="246"/>
      <c r="P49" s="246"/>
      <c r="Q49" s="246"/>
      <c r="R49" s="246"/>
      <c r="S49" s="246"/>
      <c r="T49" s="246"/>
      <c r="U49" s="246"/>
      <c r="V49" s="246"/>
      <c r="W49" s="246"/>
      <c r="X49" s="246"/>
      <c r="Y49" s="246"/>
      <c r="Z49" s="246"/>
    </row>
    <row r="50" spans="1:26" ht="15.75" hidden="1" customHeight="1" x14ac:dyDescent="0.2">
      <c r="A50" s="259"/>
      <c r="B50" s="259"/>
      <c r="C50" s="259"/>
      <c r="D50" s="259"/>
      <c r="E50" s="259"/>
      <c r="F50" s="259"/>
      <c r="G50" s="259"/>
      <c r="H50" s="259"/>
      <c r="I50" s="259"/>
      <c r="J50" s="259"/>
      <c r="K50" s="259"/>
      <c r="L50" s="246"/>
      <c r="M50" s="246"/>
      <c r="N50" s="246"/>
      <c r="O50" s="246"/>
      <c r="P50" s="246"/>
      <c r="Q50" s="246"/>
      <c r="R50" s="246"/>
      <c r="S50" s="246"/>
      <c r="T50" s="246"/>
      <c r="U50" s="246"/>
      <c r="V50" s="246"/>
      <c r="W50" s="246"/>
      <c r="X50" s="246"/>
      <c r="Y50" s="246"/>
      <c r="Z50" s="246"/>
    </row>
    <row r="51" spans="1:26" ht="15.75" customHeight="1" x14ac:dyDescent="0.2">
      <c r="A51" s="246"/>
      <c r="B51" s="246"/>
      <c r="C51" s="246"/>
      <c r="D51" s="246"/>
      <c r="E51" s="246"/>
      <c r="F51" s="246"/>
      <c r="G51" s="246"/>
      <c r="H51" s="246"/>
      <c r="I51" s="246"/>
      <c r="J51" s="246"/>
      <c r="K51" s="246"/>
      <c r="L51" s="246"/>
      <c r="M51" s="246"/>
      <c r="N51" s="246"/>
      <c r="O51" s="246"/>
      <c r="P51" s="246"/>
      <c r="Q51" s="246"/>
      <c r="R51" s="246"/>
      <c r="S51" s="246"/>
      <c r="T51" s="246"/>
      <c r="U51" s="246"/>
      <c r="V51" s="246"/>
      <c r="W51" s="246"/>
      <c r="X51" s="246"/>
      <c r="Y51" s="246"/>
      <c r="Z51" s="246"/>
    </row>
    <row r="52" spans="1:26" ht="15.75" customHeight="1" x14ac:dyDescent="0.2">
      <c r="A52" s="246"/>
      <c r="B52" s="246"/>
      <c r="C52" s="246"/>
      <c r="D52" s="246"/>
      <c r="E52" s="246"/>
      <c r="F52" s="246"/>
      <c r="G52" s="246"/>
      <c r="H52" s="246"/>
      <c r="I52" s="246"/>
      <c r="J52" s="246"/>
      <c r="K52" s="246"/>
      <c r="L52" s="246"/>
      <c r="M52" s="246"/>
      <c r="N52" s="246"/>
      <c r="O52" s="246"/>
      <c r="P52" s="246"/>
      <c r="Q52" s="246"/>
      <c r="R52" s="246"/>
      <c r="S52" s="246"/>
      <c r="T52" s="246"/>
      <c r="U52" s="246"/>
      <c r="V52" s="246"/>
      <c r="W52" s="246"/>
      <c r="X52" s="246"/>
      <c r="Y52" s="246"/>
      <c r="Z52" s="246"/>
    </row>
    <row r="53" spans="1:26" ht="15.75" customHeight="1" x14ac:dyDescent="0.2">
      <c r="A53" s="246"/>
      <c r="B53" s="246"/>
      <c r="C53" s="246"/>
      <c r="D53" s="246"/>
      <c r="E53" s="246"/>
      <c r="F53" s="246"/>
      <c r="G53" s="246"/>
      <c r="H53" s="246"/>
      <c r="I53" s="246"/>
      <c r="J53" s="246"/>
      <c r="K53" s="246"/>
      <c r="L53" s="246"/>
      <c r="M53" s="246"/>
      <c r="N53" s="246"/>
      <c r="O53" s="246"/>
      <c r="P53" s="246"/>
      <c r="Q53" s="246"/>
      <c r="R53" s="246"/>
      <c r="S53" s="246"/>
      <c r="T53" s="246"/>
      <c r="U53" s="246"/>
      <c r="V53" s="246"/>
      <c r="W53" s="246"/>
      <c r="X53" s="246"/>
      <c r="Y53" s="246"/>
      <c r="Z53" s="246"/>
    </row>
    <row r="54" spans="1:26" ht="15.75" customHeight="1" x14ac:dyDescent="0.2">
      <c r="A54" s="246"/>
      <c r="B54" s="246"/>
      <c r="C54" s="246"/>
      <c r="D54" s="246"/>
      <c r="E54" s="246"/>
      <c r="F54" s="246"/>
      <c r="G54" s="246"/>
      <c r="H54" s="246"/>
      <c r="I54" s="246"/>
      <c r="J54" s="246"/>
      <c r="K54" s="246"/>
      <c r="L54" s="246"/>
      <c r="M54" s="246"/>
      <c r="N54" s="246"/>
      <c r="O54" s="246"/>
      <c r="P54" s="246"/>
      <c r="Q54" s="246"/>
      <c r="R54" s="246"/>
      <c r="S54" s="246"/>
      <c r="T54" s="246"/>
      <c r="U54" s="246"/>
      <c r="V54" s="246"/>
      <c r="W54" s="246"/>
      <c r="X54" s="246"/>
      <c r="Y54" s="246"/>
      <c r="Z54" s="246"/>
    </row>
    <row r="55" spans="1:26" ht="15.75" customHeight="1" x14ac:dyDescent="0.2">
      <c r="A55" s="246"/>
      <c r="B55" s="246"/>
      <c r="C55" s="246"/>
      <c r="D55" s="246"/>
      <c r="E55" s="246"/>
      <c r="F55" s="246"/>
      <c r="G55" s="246"/>
      <c r="H55" s="246"/>
      <c r="I55" s="246"/>
      <c r="J55" s="246"/>
      <c r="K55" s="246"/>
      <c r="L55" s="246"/>
      <c r="M55" s="246"/>
      <c r="N55" s="246"/>
      <c r="O55" s="246"/>
      <c r="P55" s="246"/>
      <c r="Q55" s="246"/>
      <c r="R55" s="246"/>
      <c r="S55" s="246"/>
      <c r="T55" s="246"/>
      <c r="U55" s="246"/>
      <c r="V55" s="246"/>
      <c r="W55" s="246"/>
      <c r="X55" s="246"/>
      <c r="Y55" s="246"/>
      <c r="Z55" s="246"/>
    </row>
    <row r="56" spans="1:26" ht="15.75" customHeight="1" x14ac:dyDescent="0.2">
      <c r="A56" s="246"/>
      <c r="B56" s="246"/>
      <c r="C56" s="246"/>
      <c r="D56" s="246"/>
      <c r="E56" s="246"/>
      <c r="F56" s="246"/>
      <c r="G56" s="246"/>
      <c r="H56" s="246"/>
      <c r="I56" s="246"/>
      <c r="J56" s="246"/>
      <c r="K56" s="246"/>
      <c r="L56" s="246"/>
      <c r="M56" s="246"/>
      <c r="N56" s="246"/>
      <c r="O56" s="246"/>
      <c r="P56" s="246"/>
      <c r="Q56" s="246"/>
      <c r="R56" s="246"/>
      <c r="S56" s="246"/>
      <c r="T56" s="246"/>
      <c r="U56" s="246"/>
      <c r="V56" s="246"/>
      <c r="W56" s="246"/>
      <c r="X56" s="246"/>
      <c r="Y56" s="246"/>
      <c r="Z56" s="246"/>
    </row>
    <row r="57" spans="1:26" ht="15.75" customHeight="1" x14ac:dyDescent="0.2">
      <c r="A57" s="246"/>
      <c r="B57" s="246"/>
      <c r="C57" s="246"/>
      <c r="D57" s="246"/>
      <c r="E57" s="246"/>
      <c r="F57" s="246"/>
      <c r="G57" s="246"/>
      <c r="H57" s="246"/>
      <c r="I57" s="246"/>
      <c r="J57" s="246"/>
      <c r="K57" s="246"/>
      <c r="L57" s="246"/>
      <c r="M57" s="246"/>
      <c r="N57" s="246"/>
      <c r="O57" s="246"/>
      <c r="P57" s="246"/>
      <c r="Q57" s="246"/>
      <c r="R57" s="246"/>
      <c r="S57" s="246"/>
      <c r="T57" s="246"/>
      <c r="U57" s="246"/>
      <c r="V57" s="246"/>
      <c r="W57" s="246"/>
      <c r="X57" s="246"/>
      <c r="Y57" s="246"/>
      <c r="Z57" s="246"/>
    </row>
    <row r="58" spans="1:26" ht="15.75" customHeight="1" x14ac:dyDescent="0.2">
      <c r="A58" s="246"/>
      <c r="B58" s="246"/>
      <c r="C58" s="246"/>
      <c r="D58" s="246"/>
      <c r="E58" s="246"/>
      <c r="F58" s="246"/>
      <c r="G58" s="246"/>
      <c r="H58" s="246"/>
      <c r="I58" s="246"/>
      <c r="J58" s="246"/>
      <c r="K58" s="246"/>
      <c r="L58" s="246"/>
      <c r="M58" s="246"/>
      <c r="N58" s="246"/>
      <c r="O58" s="246"/>
      <c r="P58" s="246"/>
      <c r="Q58" s="246"/>
      <c r="R58" s="246"/>
      <c r="S58" s="246"/>
      <c r="T58" s="246"/>
      <c r="U58" s="246"/>
      <c r="V58" s="246"/>
      <c r="W58" s="246"/>
      <c r="X58" s="246"/>
      <c r="Y58" s="246"/>
      <c r="Z58" s="246"/>
    </row>
    <row r="59" spans="1:26" ht="15.75" customHeight="1" x14ac:dyDescent="0.2">
      <c r="A59" s="246"/>
      <c r="B59" s="246"/>
      <c r="C59" s="246"/>
      <c r="D59" s="246"/>
      <c r="E59" s="246"/>
      <c r="F59" s="246"/>
      <c r="G59" s="246"/>
      <c r="H59" s="246"/>
      <c r="I59" s="246"/>
      <c r="J59" s="246"/>
      <c r="K59" s="246"/>
      <c r="L59" s="246"/>
      <c r="M59" s="246"/>
      <c r="N59" s="246"/>
      <c r="O59" s="246"/>
      <c r="P59" s="246"/>
      <c r="Q59" s="246"/>
      <c r="R59" s="246"/>
      <c r="S59" s="246"/>
      <c r="T59" s="246"/>
      <c r="U59" s="246"/>
      <c r="V59" s="246"/>
      <c r="W59" s="246"/>
      <c r="X59" s="246"/>
      <c r="Y59" s="246"/>
      <c r="Z59" s="246"/>
    </row>
    <row r="60" spans="1:26" ht="15.75" customHeight="1" x14ac:dyDescent="0.2">
      <c r="A60" s="246"/>
      <c r="B60" s="246"/>
      <c r="C60" s="246"/>
      <c r="D60" s="246"/>
      <c r="E60" s="246"/>
      <c r="F60" s="246"/>
      <c r="G60" s="246"/>
      <c r="H60" s="246"/>
      <c r="I60" s="246"/>
      <c r="J60" s="246"/>
      <c r="K60" s="246"/>
      <c r="L60" s="246"/>
      <c r="M60" s="246"/>
      <c r="N60" s="246"/>
      <c r="O60" s="246"/>
      <c r="P60" s="246"/>
      <c r="Q60" s="246"/>
      <c r="R60" s="246"/>
      <c r="S60" s="246"/>
      <c r="T60" s="246"/>
      <c r="U60" s="246"/>
      <c r="V60" s="246"/>
      <c r="W60" s="246"/>
      <c r="X60" s="246"/>
      <c r="Y60" s="246"/>
      <c r="Z60" s="246"/>
    </row>
    <row r="61" spans="1:26" ht="15.75" customHeight="1" x14ac:dyDescent="0.2">
      <c r="A61" s="246"/>
      <c r="B61" s="246"/>
      <c r="C61" s="246"/>
      <c r="D61" s="246"/>
      <c r="E61" s="246"/>
      <c r="F61" s="246"/>
      <c r="G61" s="246"/>
      <c r="H61" s="246"/>
      <c r="I61" s="246"/>
      <c r="J61" s="246"/>
      <c r="K61" s="246"/>
      <c r="L61" s="246"/>
      <c r="M61" s="246"/>
      <c r="N61" s="246"/>
      <c r="O61" s="246"/>
      <c r="P61" s="246"/>
      <c r="Q61" s="246"/>
      <c r="R61" s="246"/>
      <c r="S61" s="246"/>
      <c r="T61" s="246"/>
      <c r="U61" s="246"/>
      <c r="V61" s="246"/>
      <c r="W61" s="246"/>
      <c r="X61" s="246"/>
      <c r="Y61" s="246"/>
      <c r="Z61" s="246"/>
    </row>
    <row r="62" spans="1:26" ht="15.75" customHeight="1" x14ac:dyDescent="0.2">
      <c r="A62" s="246"/>
      <c r="B62" s="246"/>
      <c r="C62" s="246"/>
      <c r="D62" s="246"/>
      <c r="E62" s="246"/>
      <c r="F62" s="246"/>
      <c r="G62" s="246"/>
      <c r="H62" s="246"/>
      <c r="I62" s="246"/>
      <c r="J62" s="246"/>
      <c r="K62" s="246"/>
      <c r="L62" s="246"/>
      <c r="M62" s="246"/>
      <c r="N62" s="246"/>
      <c r="O62" s="246"/>
      <c r="P62" s="246"/>
      <c r="Q62" s="246"/>
      <c r="R62" s="246"/>
      <c r="S62" s="246"/>
      <c r="T62" s="246"/>
      <c r="U62" s="246"/>
      <c r="V62" s="246"/>
      <c r="W62" s="246"/>
      <c r="X62" s="246"/>
      <c r="Y62" s="246"/>
      <c r="Z62" s="246"/>
    </row>
    <row r="63" spans="1:26" ht="15.75" customHeight="1" x14ac:dyDescent="0.2">
      <c r="A63" s="246"/>
      <c r="B63" s="246"/>
      <c r="C63" s="246"/>
      <c r="D63" s="246"/>
      <c r="E63" s="246"/>
      <c r="F63" s="246"/>
      <c r="G63" s="246"/>
      <c r="H63" s="246"/>
      <c r="I63" s="246"/>
      <c r="J63" s="246"/>
      <c r="K63" s="246"/>
      <c r="L63" s="246"/>
      <c r="M63" s="246"/>
      <c r="N63" s="246"/>
      <c r="O63" s="246"/>
      <c r="P63" s="246"/>
      <c r="Q63" s="246"/>
      <c r="R63" s="246"/>
      <c r="S63" s="246"/>
      <c r="T63" s="246"/>
      <c r="U63" s="246"/>
      <c r="V63" s="246"/>
      <c r="W63" s="246"/>
      <c r="X63" s="246"/>
      <c r="Y63" s="246"/>
      <c r="Z63" s="246"/>
    </row>
    <row r="64" spans="1:26" ht="15.75" customHeight="1" x14ac:dyDescent="0.2">
      <c r="A64" s="246"/>
      <c r="B64" s="246"/>
      <c r="C64" s="246"/>
      <c r="D64" s="246"/>
      <c r="E64" s="246"/>
      <c r="F64" s="246"/>
      <c r="G64" s="246"/>
      <c r="H64" s="246"/>
      <c r="I64" s="246"/>
      <c r="J64" s="246"/>
      <c r="K64" s="246"/>
      <c r="L64" s="246"/>
      <c r="M64" s="246"/>
      <c r="N64" s="246"/>
      <c r="O64" s="246"/>
      <c r="P64" s="246"/>
      <c r="Q64" s="246"/>
      <c r="R64" s="246"/>
      <c r="S64" s="246"/>
      <c r="T64" s="246"/>
      <c r="U64" s="246"/>
      <c r="V64" s="246"/>
      <c r="W64" s="246"/>
      <c r="X64" s="246"/>
      <c r="Y64" s="246"/>
      <c r="Z64" s="246"/>
    </row>
    <row r="65" spans="1:26" ht="15.75" customHeight="1" x14ac:dyDescent="0.2">
      <c r="A65" s="246"/>
      <c r="B65" s="246"/>
      <c r="C65" s="246"/>
      <c r="D65" s="246"/>
      <c r="E65" s="246"/>
      <c r="F65" s="246"/>
      <c r="G65" s="246"/>
      <c r="H65" s="246"/>
      <c r="I65" s="246"/>
      <c r="J65" s="246"/>
      <c r="K65" s="246"/>
      <c r="L65" s="246"/>
      <c r="M65" s="246"/>
      <c r="N65" s="246"/>
      <c r="O65" s="246"/>
      <c r="P65" s="246"/>
      <c r="Q65" s="246"/>
      <c r="R65" s="246"/>
      <c r="S65" s="246"/>
      <c r="T65" s="246"/>
      <c r="U65" s="246"/>
      <c r="V65" s="246"/>
      <c r="W65" s="246"/>
      <c r="X65" s="246"/>
      <c r="Y65" s="246"/>
      <c r="Z65" s="246"/>
    </row>
    <row r="66" spans="1:26" ht="15.75" customHeight="1" x14ac:dyDescent="0.2">
      <c r="A66" s="246"/>
      <c r="B66" s="246"/>
      <c r="C66" s="246"/>
      <c r="D66" s="246"/>
      <c r="E66" s="246"/>
      <c r="F66" s="246"/>
      <c r="G66" s="246"/>
      <c r="H66" s="246"/>
      <c r="I66" s="246"/>
      <c r="J66" s="246"/>
      <c r="K66" s="246"/>
      <c r="L66" s="246"/>
      <c r="M66" s="246"/>
      <c r="N66" s="246"/>
      <c r="O66" s="246"/>
      <c r="P66" s="246"/>
      <c r="Q66" s="246"/>
      <c r="R66" s="246"/>
      <c r="S66" s="246"/>
      <c r="T66" s="246"/>
      <c r="U66" s="246"/>
      <c r="V66" s="246"/>
      <c r="W66" s="246"/>
      <c r="X66" s="246"/>
      <c r="Y66" s="246"/>
      <c r="Z66" s="246"/>
    </row>
    <row r="67" spans="1:26" ht="15.75" customHeight="1" x14ac:dyDescent="0.2">
      <c r="A67" s="246"/>
      <c r="B67" s="246"/>
      <c r="C67" s="246"/>
      <c r="D67" s="246"/>
      <c r="E67" s="246"/>
      <c r="F67" s="246"/>
      <c r="G67" s="246"/>
      <c r="H67" s="246"/>
      <c r="I67" s="246"/>
      <c r="J67" s="246"/>
      <c r="K67" s="246"/>
      <c r="L67" s="246"/>
      <c r="M67" s="246"/>
      <c r="N67" s="246"/>
      <c r="O67" s="246"/>
      <c r="P67" s="246"/>
      <c r="Q67" s="246"/>
      <c r="R67" s="246"/>
      <c r="S67" s="246"/>
      <c r="T67" s="246"/>
      <c r="U67" s="246"/>
      <c r="V67" s="246"/>
      <c r="W67" s="246"/>
      <c r="X67" s="246"/>
      <c r="Y67" s="246"/>
      <c r="Z67" s="246"/>
    </row>
    <row r="68" spans="1:26" ht="15.75" customHeight="1" x14ac:dyDescent="0.2">
      <c r="A68" s="246"/>
      <c r="B68" s="246"/>
      <c r="C68" s="246"/>
      <c r="D68" s="246"/>
      <c r="E68" s="246"/>
      <c r="F68" s="246"/>
      <c r="G68" s="246"/>
      <c r="H68" s="246"/>
      <c r="I68" s="246"/>
      <c r="J68" s="246"/>
      <c r="K68" s="246"/>
      <c r="L68" s="246"/>
      <c r="M68" s="246"/>
      <c r="N68" s="246"/>
      <c r="O68" s="246"/>
      <c r="P68" s="246"/>
      <c r="Q68" s="246"/>
      <c r="R68" s="246"/>
      <c r="S68" s="246"/>
      <c r="T68" s="246"/>
      <c r="U68" s="246"/>
      <c r="V68" s="246"/>
      <c r="W68" s="246"/>
      <c r="X68" s="246"/>
      <c r="Y68" s="246"/>
      <c r="Z68" s="246"/>
    </row>
    <row r="69" spans="1:26" ht="15.75" customHeight="1" x14ac:dyDescent="0.2">
      <c r="A69" s="246"/>
      <c r="B69" s="246"/>
      <c r="C69" s="246"/>
      <c r="D69" s="246"/>
      <c r="E69" s="246"/>
      <c r="F69" s="246"/>
      <c r="G69" s="246"/>
      <c r="H69" s="246"/>
      <c r="I69" s="246"/>
      <c r="J69" s="246"/>
      <c r="K69" s="246"/>
      <c r="L69" s="246"/>
      <c r="M69" s="246"/>
      <c r="N69" s="246"/>
      <c r="O69" s="246"/>
      <c r="P69" s="246"/>
      <c r="Q69" s="246"/>
      <c r="R69" s="246"/>
      <c r="S69" s="246"/>
      <c r="T69" s="246"/>
      <c r="U69" s="246"/>
      <c r="V69" s="246"/>
      <c r="W69" s="246"/>
      <c r="X69" s="246"/>
      <c r="Y69" s="246"/>
      <c r="Z69" s="246"/>
    </row>
    <row r="70" spans="1:26" ht="15.75" customHeight="1" x14ac:dyDescent="0.2">
      <c r="A70" s="246"/>
      <c r="B70" s="246"/>
      <c r="C70" s="246"/>
      <c r="D70" s="246"/>
      <c r="E70" s="246"/>
      <c r="F70" s="246"/>
      <c r="G70" s="246"/>
      <c r="H70" s="246"/>
      <c r="I70" s="246"/>
      <c r="J70" s="246"/>
      <c r="K70" s="246"/>
      <c r="L70" s="246"/>
      <c r="M70" s="246"/>
      <c r="N70" s="246"/>
      <c r="O70" s="246"/>
      <c r="P70" s="246"/>
      <c r="Q70" s="246"/>
      <c r="R70" s="246"/>
      <c r="S70" s="246"/>
      <c r="T70" s="246"/>
      <c r="U70" s="246"/>
      <c r="V70" s="246"/>
      <c r="W70" s="246"/>
      <c r="X70" s="246"/>
      <c r="Y70" s="246"/>
      <c r="Z70" s="246"/>
    </row>
    <row r="71" spans="1:26" ht="15.75" customHeight="1" x14ac:dyDescent="0.2">
      <c r="A71" s="246"/>
      <c r="B71" s="246"/>
      <c r="C71" s="246"/>
      <c r="D71" s="246"/>
      <c r="E71" s="246"/>
      <c r="F71" s="246"/>
      <c r="G71" s="246"/>
      <c r="H71" s="246"/>
      <c r="I71" s="246"/>
      <c r="J71" s="246"/>
      <c r="K71" s="246"/>
      <c r="L71" s="246"/>
      <c r="M71" s="246"/>
      <c r="N71" s="246"/>
      <c r="O71" s="246"/>
      <c r="P71" s="246"/>
      <c r="Q71" s="246"/>
      <c r="R71" s="246"/>
      <c r="S71" s="246"/>
      <c r="T71" s="246"/>
      <c r="U71" s="246"/>
      <c r="V71" s="246"/>
      <c r="W71" s="246"/>
      <c r="X71" s="246"/>
      <c r="Y71" s="246"/>
      <c r="Z71" s="246"/>
    </row>
    <row r="72" spans="1:26" ht="15.75" customHeight="1" x14ac:dyDescent="0.2">
      <c r="A72" s="246"/>
      <c r="B72" s="246"/>
      <c r="C72" s="246"/>
      <c r="D72" s="246"/>
      <c r="E72" s="246"/>
      <c r="F72" s="246"/>
      <c r="G72" s="246"/>
      <c r="H72" s="246"/>
      <c r="I72" s="246"/>
      <c r="J72" s="246"/>
      <c r="K72" s="246"/>
      <c r="L72" s="246"/>
      <c r="M72" s="246"/>
      <c r="N72" s="246"/>
      <c r="O72" s="246"/>
      <c r="P72" s="246"/>
      <c r="Q72" s="246"/>
      <c r="R72" s="246"/>
      <c r="S72" s="246"/>
      <c r="T72" s="246"/>
      <c r="U72" s="246"/>
      <c r="V72" s="246"/>
      <c r="W72" s="246"/>
      <c r="X72" s="246"/>
      <c r="Y72" s="246"/>
      <c r="Z72" s="246"/>
    </row>
    <row r="73" spans="1:26" ht="15.75" customHeight="1" x14ac:dyDescent="0.2">
      <c r="A73" s="246"/>
      <c r="B73" s="246"/>
      <c r="C73" s="246"/>
      <c r="D73" s="246"/>
      <c r="E73" s="246"/>
      <c r="F73" s="246"/>
      <c r="G73" s="246"/>
      <c r="H73" s="246"/>
      <c r="I73" s="246"/>
      <c r="J73" s="246"/>
      <c r="K73" s="246"/>
      <c r="L73" s="246"/>
      <c r="M73" s="246"/>
      <c r="N73" s="246"/>
      <c r="O73" s="246"/>
      <c r="P73" s="246"/>
      <c r="Q73" s="246"/>
      <c r="R73" s="246"/>
      <c r="S73" s="246"/>
      <c r="T73" s="246"/>
      <c r="U73" s="246"/>
      <c r="V73" s="246"/>
      <c r="W73" s="246"/>
      <c r="X73" s="246"/>
      <c r="Y73" s="246"/>
      <c r="Z73" s="246"/>
    </row>
    <row r="74" spans="1:26" ht="15.75" customHeight="1" x14ac:dyDescent="0.2">
      <c r="A74" s="246"/>
      <c r="B74" s="246"/>
      <c r="C74" s="246"/>
      <c r="D74" s="246"/>
      <c r="E74" s="246"/>
      <c r="F74" s="246"/>
      <c r="G74" s="246"/>
      <c r="H74" s="246"/>
      <c r="I74" s="246"/>
      <c r="J74" s="246"/>
      <c r="K74" s="246"/>
      <c r="L74" s="246"/>
      <c r="M74" s="246"/>
      <c r="N74" s="246"/>
      <c r="O74" s="246"/>
      <c r="P74" s="246"/>
      <c r="Q74" s="246"/>
      <c r="R74" s="246"/>
      <c r="S74" s="246"/>
      <c r="T74" s="246"/>
      <c r="U74" s="246"/>
      <c r="V74" s="246"/>
      <c r="W74" s="246"/>
      <c r="X74" s="246"/>
      <c r="Y74" s="246"/>
      <c r="Z74" s="246"/>
    </row>
    <row r="75" spans="1:26" ht="15.75" customHeight="1" x14ac:dyDescent="0.2">
      <c r="A75" s="246"/>
      <c r="B75" s="246"/>
      <c r="C75" s="246"/>
      <c r="D75" s="246"/>
      <c r="E75" s="246"/>
      <c r="F75" s="246"/>
      <c r="G75" s="246"/>
      <c r="H75" s="246"/>
      <c r="I75" s="246"/>
      <c r="J75" s="246"/>
      <c r="K75" s="246"/>
      <c r="L75" s="246"/>
      <c r="M75" s="246"/>
      <c r="N75" s="246"/>
      <c r="O75" s="246"/>
      <c r="P75" s="246"/>
      <c r="Q75" s="246"/>
      <c r="R75" s="246"/>
      <c r="S75" s="246"/>
      <c r="T75" s="246"/>
      <c r="U75" s="246"/>
      <c r="V75" s="246"/>
      <c r="W75" s="246"/>
      <c r="X75" s="246"/>
      <c r="Y75" s="246"/>
      <c r="Z75" s="246"/>
    </row>
    <row r="76" spans="1:26" ht="15.75" customHeight="1" x14ac:dyDescent="0.2">
      <c r="A76" s="246"/>
      <c r="B76" s="246"/>
      <c r="C76" s="246"/>
      <c r="D76" s="246"/>
      <c r="E76" s="246"/>
      <c r="F76" s="246"/>
      <c r="G76" s="246"/>
      <c r="H76" s="246"/>
      <c r="I76" s="246"/>
      <c r="J76" s="246"/>
      <c r="K76" s="246"/>
      <c r="L76" s="246"/>
      <c r="M76" s="246"/>
      <c r="N76" s="246"/>
      <c r="O76" s="246"/>
      <c r="P76" s="246"/>
      <c r="Q76" s="246"/>
      <c r="R76" s="246"/>
      <c r="S76" s="246"/>
      <c r="T76" s="246"/>
      <c r="U76" s="246"/>
      <c r="V76" s="246"/>
      <c r="W76" s="246"/>
      <c r="X76" s="246"/>
      <c r="Y76" s="246"/>
      <c r="Z76" s="246"/>
    </row>
    <row r="77" spans="1:26" ht="15.75" customHeight="1" x14ac:dyDescent="0.2">
      <c r="A77" s="246"/>
      <c r="B77" s="246"/>
      <c r="C77" s="246"/>
      <c r="D77" s="246"/>
      <c r="E77" s="246"/>
      <c r="F77" s="246"/>
      <c r="G77" s="246"/>
      <c r="H77" s="246"/>
      <c r="I77" s="246"/>
      <c r="J77" s="246"/>
      <c r="K77" s="246"/>
      <c r="L77" s="246"/>
      <c r="M77" s="246"/>
      <c r="N77" s="246"/>
      <c r="O77" s="246"/>
      <c r="P77" s="246"/>
      <c r="Q77" s="246"/>
      <c r="R77" s="246"/>
      <c r="S77" s="246"/>
      <c r="T77" s="246"/>
      <c r="U77" s="246"/>
      <c r="V77" s="246"/>
      <c r="W77" s="246"/>
      <c r="X77" s="246"/>
      <c r="Y77" s="246"/>
      <c r="Z77" s="246"/>
    </row>
    <row r="78" spans="1:26" ht="15.75" customHeight="1" x14ac:dyDescent="0.2">
      <c r="A78" s="246"/>
      <c r="B78" s="246"/>
      <c r="C78" s="246"/>
      <c r="D78" s="246"/>
      <c r="E78" s="246"/>
      <c r="F78" s="246"/>
      <c r="G78" s="246"/>
      <c r="H78" s="246"/>
      <c r="I78" s="246"/>
      <c r="J78" s="246"/>
      <c r="K78" s="246"/>
      <c r="L78" s="246"/>
      <c r="M78" s="246"/>
      <c r="N78" s="246"/>
      <c r="O78" s="246"/>
      <c r="P78" s="246"/>
      <c r="Q78" s="246"/>
      <c r="R78" s="246"/>
      <c r="S78" s="246"/>
      <c r="T78" s="246"/>
      <c r="U78" s="246"/>
      <c r="V78" s="246"/>
      <c r="W78" s="246"/>
      <c r="X78" s="246"/>
      <c r="Y78" s="246"/>
      <c r="Z78" s="246"/>
    </row>
    <row r="79" spans="1:26" ht="15.75" customHeight="1" x14ac:dyDescent="0.2">
      <c r="A79" s="246"/>
      <c r="B79" s="246"/>
      <c r="C79" s="246"/>
      <c r="D79" s="246"/>
      <c r="E79" s="246"/>
      <c r="F79" s="246"/>
      <c r="G79" s="246"/>
      <c r="H79" s="246"/>
      <c r="I79" s="246"/>
      <c r="J79" s="246"/>
      <c r="K79" s="246"/>
      <c r="L79" s="246"/>
      <c r="M79" s="246"/>
      <c r="N79" s="246"/>
      <c r="O79" s="246"/>
      <c r="P79" s="246"/>
      <c r="Q79" s="246"/>
      <c r="R79" s="246"/>
      <c r="S79" s="246"/>
      <c r="T79" s="246"/>
      <c r="U79" s="246"/>
      <c r="V79" s="246"/>
      <c r="W79" s="246"/>
      <c r="X79" s="246"/>
      <c r="Y79" s="246"/>
      <c r="Z79" s="246"/>
    </row>
    <row r="80" spans="1:26" ht="15.75" customHeight="1" x14ac:dyDescent="0.2">
      <c r="A80" s="246"/>
      <c r="B80" s="246"/>
      <c r="C80" s="246"/>
      <c r="D80" s="246"/>
      <c r="E80" s="246"/>
      <c r="F80" s="246"/>
      <c r="G80" s="246"/>
      <c r="H80" s="246"/>
      <c r="I80" s="246"/>
      <c r="J80" s="246"/>
      <c r="K80" s="246"/>
      <c r="L80" s="246"/>
      <c r="M80" s="246"/>
      <c r="N80" s="246"/>
      <c r="O80" s="246"/>
      <c r="P80" s="246"/>
      <c r="Q80" s="246"/>
      <c r="R80" s="246"/>
      <c r="S80" s="246"/>
      <c r="T80" s="246"/>
      <c r="U80" s="246"/>
      <c r="V80" s="246"/>
      <c r="W80" s="246"/>
      <c r="X80" s="246"/>
      <c r="Y80" s="246"/>
      <c r="Z80" s="246"/>
    </row>
    <row r="81" spans="1:26" ht="15.75" customHeight="1" x14ac:dyDescent="0.2">
      <c r="A81" s="246"/>
      <c r="B81" s="246"/>
      <c r="C81" s="246"/>
      <c r="D81" s="246"/>
      <c r="E81" s="246"/>
      <c r="F81" s="246"/>
      <c r="G81" s="246"/>
      <c r="H81" s="246"/>
      <c r="I81" s="246"/>
      <c r="J81" s="246"/>
      <c r="K81" s="246"/>
      <c r="L81" s="246"/>
      <c r="M81" s="246"/>
      <c r="N81" s="246"/>
      <c r="O81" s="246"/>
      <c r="P81" s="246"/>
      <c r="Q81" s="246"/>
      <c r="R81" s="246"/>
      <c r="S81" s="246"/>
      <c r="T81" s="246"/>
      <c r="U81" s="246"/>
      <c r="V81" s="246"/>
      <c r="W81" s="246"/>
      <c r="X81" s="246"/>
      <c r="Y81" s="246"/>
      <c r="Z81" s="246"/>
    </row>
    <row r="82" spans="1:26" ht="15.75" customHeight="1" x14ac:dyDescent="0.2">
      <c r="A82" s="246"/>
      <c r="B82" s="246"/>
      <c r="C82" s="246"/>
      <c r="D82" s="246"/>
      <c r="E82" s="246"/>
      <c r="F82" s="246"/>
      <c r="G82" s="246"/>
      <c r="H82" s="246"/>
      <c r="I82" s="246"/>
      <c r="J82" s="246"/>
      <c r="K82" s="246"/>
      <c r="L82" s="246"/>
      <c r="M82" s="246"/>
      <c r="N82" s="246"/>
      <c r="O82" s="246"/>
      <c r="P82" s="246"/>
      <c r="Q82" s="246"/>
      <c r="R82" s="246"/>
      <c r="S82" s="246"/>
      <c r="T82" s="246"/>
      <c r="U82" s="246"/>
      <c r="V82" s="246"/>
      <c r="W82" s="246"/>
      <c r="X82" s="246"/>
      <c r="Y82" s="246"/>
      <c r="Z82" s="246"/>
    </row>
    <row r="83" spans="1:26" ht="15.75" customHeight="1" x14ac:dyDescent="0.2">
      <c r="A83" s="246"/>
      <c r="B83" s="246"/>
      <c r="C83" s="246"/>
      <c r="D83" s="246"/>
      <c r="E83" s="246"/>
      <c r="F83" s="246"/>
      <c r="G83" s="246"/>
      <c r="H83" s="246"/>
      <c r="I83" s="246"/>
      <c r="J83" s="246"/>
      <c r="K83" s="246"/>
      <c r="L83" s="246"/>
      <c r="M83" s="246"/>
      <c r="N83" s="246"/>
      <c r="O83" s="246"/>
      <c r="P83" s="246"/>
      <c r="Q83" s="246"/>
      <c r="R83" s="246"/>
      <c r="S83" s="246"/>
      <c r="T83" s="246"/>
      <c r="U83" s="246"/>
      <c r="V83" s="246"/>
      <c r="W83" s="246"/>
      <c r="X83" s="246"/>
      <c r="Y83" s="246"/>
      <c r="Z83" s="246"/>
    </row>
    <row r="84" spans="1:26" ht="15.75" customHeight="1" x14ac:dyDescent="0.2">
      <c r="A84" s="246"/>
      <c r="B84" s="246"/>
      <c r="C84" s="246"/>
      <c r="D84" s="246"/>
      <c r="E84" s="246"/>
      <c r="F84" s="246"/>
      <c r="G84" s="246"/>
      <c r="H84" s="246"/>
      <c r="I84" s="246"/>
      <c r="J84" s="246"/>
      <c r="K84" s="246"/>
      <c r="L84" s="246"/>
      <c r="M84" s="246"/>
      <c r="N84" s="246"/>
      <c r="O84" s="246"/>
      <c r="P84" s="246"/>
      <c r="Q84" s="246"/>
      <c r="R84" s="246"/>
      <c r="S84" s="246"/>
      <c r="T84" s="246"/>
      <c r="U84" s="246"/>
      <c r="V84" s="246"/>
      <c r="W84" s="246"/>
      <c r="X84" s="246"/>
      <c r="Y84" s="246"/>
      <c r="Z84" s="246"/>
    </row>
    <row r="85" spans="1:26" ht="15.75" customHeight="1" x14ac:dyDescent="0.2">
      <c r="A85" s="246"/>
      <c r="B85" s="246"/>
      <c r="C85" s="246"/>
      <c r="D85" s="246"/>
      <c r="E85" s="246"/>
      <c r="F85" s="246"/>
      <c r="G85" s="246"/>
      <c r="H85" s="246"/>
      <c r="I85" s="246"/>
      <c r="J85" s="246"/>
      <c r="K85" s="246"/>
      <c r="L85" s="246"/>
      <c r="M85" s="246"/>
      <c r="N85" s="246"/>
      <c r="O85" s="246"/>
      <c r="P85" s="246"/>
      <c r="Q85" s="246"/>
      <c r="R85" s="246"/>
      <c r="S85" s="246"/>
      <c r="T85" s="246"/>
      <c r="U85" s="246"/>
      <c r="V85" s="246"/>
      <c r="W85" s="246"/>
      <c r="X85" s="246"/>
      <c r="Y85" s="246"/>
      <c r="Z85" s="246"/>
    </row>
    <row r="86" spans="1:26" ht="15.75" customHeight="1" x14ac:dyDescent="0.2">
      <c r="A86" s="246"/>
      <c r="B86" s="246"/>
      <c r="C86" s="246"/>
      <c r="D86" s="246"/>
      <c r="E86" s="246"/>
      <c r="F86" s="246"/>
      <c r="G86" s="246"/>
      <c r="H86" s="246"/>
      <c r="I86" s="246"/>
      <c r="J86" s="246"/>
      <c r="K86" s="246"/>
      <c r="L86" s="246"/>
      <c r="M86" s="246"/>
      <c r="N86" s="246"/>
      <c r="O86" s="246"/>
      <c r="P86" s="246"/>
      <c r="Q86" s="246"/>
      <c r="R86" s="246"/>
      <c r="S86" s="246"/>
      <c r="T86" s="246"/>
      <c r="U86" s="246"/>
      <c r="V86" s="246"/>
      <c r="W86" s="246"/>
      <c r="X86" s="246"/>
      <c r="Y86" s="246"/>
      <c r="Z86" s="246"/>
    </row>
    <row r="87" spans="1:26" ht="15.75" customHeight="1" x14ac:dyDescent="0.2">
      <c r="A87" s="246"/>
      <c r="B87" s="246"/>
      <c r="C87" s="246"/>
      <c r="D87" s="246"/>
      <c r="E87" s="246"/>
      <c r="F87" s="246"/>
      <c r="G87" s="246"/>
      <c r="H87" s="246"/>
      <c r="I87" s="246"/>
      <c r="J87" s="246"/>
      <c r="K87" s="246"/>
      <c r="L87" s="246"/>
      <c r="M87" s="246"/>
      <c r="N87" s="246"/>
      <c r="O87" s="246"/>
      <c r="P87" s="246"/>
      <c r="Q87" s="246"/>
      <c r="R87" s="246"/>
      <c r="S87" s="246"/>
      <c r="T87" s="246"/>
      <c r="U87" s="246"/>
      <c r="V87" s="246"/>
      <c r="W87" s="246"/>
      <c r="X87" s="246"/>
      <c r="Y87" s="246"/>
      <c r="Z87" s="246"/>
    </row>
    <row r="88" spans="1:26" ht="15.75" customHeight="1" x14ac:dyDescent="0.2">
      <c r="A88" s="246"/>
      <c r="B88" s="246"/>
      <c r="C88" s="246"/>
      <c r="D88" s="246"/>
      <c r="E88" s="246"/>
      <c r="F88" s="246"/>
      <c r="G88" s="246"/>
      <c r="H88" s="246"/>
      <c r="I88" s="246"/>
      <c r="J88" s="246"/>
      <c r="K88" s="246"/>
      <c r="L88" s="246"/>
      <c r="M88" s="246"/>
      <c r="N88" s="246"/>
      <c r="O88" s="246"/>
      <c r="P88" s="246"/>
      <c r="Q88" s="246"/>
      <c r="R88" s="246"/>
      <c r="S88" s="246"/>
      <c r="T88" s="246"/>
      <c r="U88" s="246"/>
      <c r="V88" s="246"/>
      <c r="W88" s="246"/>
      <c r="X88" s="246"/>
      <c r="Y88" s="246"/>
      <c r="Z88" s="246"/>
    </row>
    <row r="89" spans="1:26" ht="15.75" customHeight="1" x14ac:dyDescent="0.2">
      <c r="A89" s="246"/>
      <c r="B89" s="246"/>
      <c r="C89" s="246"/>
      <c r="D89" s="246"/>
      <c r="E89" s="246"/>
      <c r="F89" s="246"/>
      <c r="G89" s="246"/>
      <c r="H89" s="246"/>
      <c r="I89" s="246"/>
      <c r="J89" s="246"/>
      <c r="K89" s="246"/>
      <c r="L89" s="246"/>
      <c r="M89" s="246"/>
      <c r="N89" s="246"/>
      <c r="O89" s="246"/>
      <c r="P89" s="246"/>
      <c r="Q89" s="246"/>
      <c r="R89" s="246"/>
      <c r="S89" s="246"/>
      <c r="T89" s="246"/>
      <c r="U89" s="246"/>
      <c r="V89" s="246"/>
      <c r="W89" s="246"/>
      <c r="X89" s="246"/>
      <c r="Y89" s="246"/>
      <c r="Z89" s="246"/>
    </row>
    <row r="90" spans="1:26" ht="15.75" customHeight="1" x14ac:dyDescent="0.2">
      <c r="A90" s="246"/>
      <c r="B90" s="246"/>
      <c r="C90" s="246"/>
      <c r="D90" s="246"/>
      <c r="E90" s="246"/>
      <c r="F90" s="246"/>
      <c r="G90" s="246"/>
      <c r="H90" s="246"/>
      <c r="I90" s="246"/>
      <c r="J90" s="246"/>
      <c r="K90" s="246"/>
      <c r="L90" s="246"/>
      <c r="M90" s="246"/>
      <c r="N90" s="246"/>
      <c r="O90" s="246"/>
      <c r="P90" s="246"/>
      <c r="Q90" s="246"/>
      <c r="R90" s="246"/>
      <c r="S90" s="246"/>
      <c r="T90" s="246"/>
      <c r="U90" s="246"/>
      <c r="V90" s="246"/>
      <c r="W90" s="246"/>
      <c r="X90" s="246"/>
      <c r="Y90" s="246"/>
      <c r="Z90" s="246"/>
    </row>
    <row r="91" spans="1:26" ht="15.75" customHeight="1" x14ac:dyDescent="0.2">
      <c r="A91" s="246"/>
      <c r="B91" s="246"/>
      <c r="C91" s="246"/>
      <c r="D91" s="246"/>
      <c r="E91" s="246"/>
      <c r="F91" s="246"/>
      <c r="G91" s="246"/>
      <c r="H91" s="246"/>
      <c r="I91" s="246"/>
      <c r="J91" s="246"/>
      <c r="K91" s="246"/>
      <c r="L91" s="246"/>
      <c r="M91" s="246"/>
      <c r="N91" s="246"/>
      <c r="O91" s="246"/>
      <c r="P91" s="246"/>
      <c r="Q91" s="246"/>
      <c r="R91" s="246"/>
      <c r="S91" s="246"/>
      <c r="T91" s="246"/>
      <c r="U91" s="246"/>
      <c r="V91" s="246"/>
      <c r="W91" s="246"/>
      <c r="X91" s="246"/>
      <c r="Y91" s="246"/>
      <c r="Z91" s="246"/>
    </row>
    <row r="92" spans="1:26" ht="15.75" customHeight="1" x14ac:dyDescent="0.2">
      <c r="A92" s="246"/>
      <c r="B92" s="246"/>
      <c r="C92" s="246"/>
      <c r="D92" s="246"/>
      <c r="E92" s="246"/>
      <c r="F92" s="246"/>
      <c r="G92" s="246"/>
      <c r="H92" s="246"/>
      <c r="I92" s="246"/>
      <c r="J92" s="246"/>
      <c r="K92" s="246"/>
      <c r="L92" s="246"/>
      <c r="M92" s="246"/>
      <c r="N92" s="246"/>
      <c r="O92" s="246"/>
      <c r="P92" s="246"/>
      <c r="Q92" s="246"/>
      <c r="R92" s="246"/>
      <c r="S92" s="246"/>
      <c r="T92" s="246"/>
      <c r="U92" s="246"/>
      <c r="V92" s="246"/>
      <c r="W92" s="246"/>
      <c r="X92" s="246"/>
      <c r="Y92" s="246"/>
      <c r="Z92" s="246"/>
    </row>
    <row r="93" spans="1:26" ht="15.75" customHeight="1" x14ac:dyDescent="0.2">
      <c r="A93" s="246"/>
      <c r="B93" s="246"/>
      <c r="C93" s="246"/>
      <c r="D93" s="246"/>
      <c r="E93" s="246"/>
      <c r="F93" s="246"/>
      <c r="G93" s="246"/>
      <c r="H93" s="246"/>
      <c r="I93" s="246"/>
      <c r="J93" s="246"/>
      <c r="K93" s="246"/>
      <c r="L93" s="246"/>
      <c r="M93" s="246"/>
      <c r="N93" s="246"/>
      <c r="O93" s="246"/>
      <c r="P93" s="246"/>
      <c r="Q93" s="246"/>
      <c r="R93" s="246"/>
      <c r="S93" s="246"/>
      <c r="T93" s="246"/>
      <c r="U93" s="246"/>
      <c r="V93" s="246"/>
      <c r="W93" s="246"/>
      <c r="X93" s="246"/>
      <c r="Y93" s="246"/>
      <c r="Z93" s="246"/>
    </row>
    <row r="94" spans="1:26" ht="15.75" customHeight="1" x14ac:dyDescent="0.2">
      <c r="A94" s="246"/>
      <c r="B94" s="246"/>
      <c r="C94" s="246"/>
      <c r="D94" s="246"/>
      <c r="E94" s="246"/>
      <c r="F94" s="246"/>
      <c r="G94" s="246"/>
      <c r="H94" s="246"/>
      <c r="I94" s="246"/>
      <c r="J94" s="246"/>
      <c r="K94" s="246"/>
      <c r="L94" s="246"/>
      <c r="M94" s="246"/>
      <c r="N94" s="246"/>
      <c r="O94" s="246"/>
      <c r="P94" s="246"/>
      <c r="Q94" s="246"/>
      <c r="R94" s="246"/>
      <c r="S94" s="246"/>
      <c r="T94" s="246"/>
      <c r="U94" s="246"/>
      <c r="V94" s="246"/>
      <c r="W94" s="246"/>
      <c r="X94" s="246"/>
      <c r="Y94" s="246"/>
      <c r="Z94" s="246"/>
    </row>
    <row r="95" spans="1:26" ht="15.75" customHeight="1" x14ac:dyDescent="0.2">
      <c r="A95" s="246"/>
      <c r="B95" s="246"/>
      <c r="C95" s="246"/>
      <c r="D95" s="246"/>
      <c r="E95" s="246"/>
      <c r="F95" s="246"/>
      <c r="G95" s="246"/>
      <c r="H95" s="246"/>
      <c r="I95" s="246"/>
      <c r="J95" s="246"/>
      <c r="K95" s="246"/>
      <c r="L95" s="246"/>
      <c r="M95" s="246"/>
      <c r="N95" s="246"/>
      <c r="O95" s="246"/>
      <c r="P95" s="246"/>
      <c r="Q95" s="246"/>
      <c r="R95" s="246"/>
      <c r="S95" s="246"/>
      <c r="T95" s="246"/>
      <c r="U95" s="246"/>
      <c r="V95" s="246"/>
      <c r="W95" s="246"/>
      <c r="X95" s="246"/>
      <c r="Y95" s="246"/>
      <c r="Z95" s="246"/>
    </row>
    <row r="96" spans="1:26" ht="15.75" customHeight="1" x14ac:dyDescent="0.2">
      <c r="A96" s="246"/>
      <c r="B96" s="246"/>
      <c r="C96" s="246"/>
      <c r="D96" s="246"/>
      <c r="E96" s="246"/>
      <c r="F96" s="246"/>
      <c r="G96" s="246"/>
      <c r="H96" s="246"/>
      <c r="I96" s="246"/>
      <c r="J96" s="246"/>
      <c r="K96" s="246"/>
      <c r="L96" s="246"/>
      <c r="M96" s="246"/>
      <c r="N96" s="246"/>
      <c r="O96" s="246"/>
      <c r="P96" s="246"/>
      <c r="Q96" s="246"/>
      <c r="R96" s="246"/>
      <c r="S96" s="246"/>
      <c r="T96" s="246"/>
      <c r="U96" s="246"/>
      <c r="V96" s="246"/>
      <c r="W96" s="246"/>
      <c r="X96" s="246"/>
      <c r="Y96" s="246"/>
      <c r="Z96" s="246"/>
    </row>
    <row r="97" spans="1:26" ht="15.75" customHeight="1" x14ac:dyDescent="0.2">
      <c r="A97" s="246"/>
      <c r="B97" s="246"/>
      <c r="C97" s="246"/>
      <c r="D97" s="246"/>
      <c r="E97" s="246"/>
      <c r="F97" s="246"/>
      <c r="G97" s="246"/>
      <c r="H97" s="246"/>
      <c r="I97" s="246"/>
      <c r="J97" s="246"/>
      <c r="K97" s="246"/>
      <c r="L97" s="246"/>
      <c r="M97" s="246"/>
      <c r="N97" s="246"/>
      <c r="O97" s="246"/>
      <c r="P97" s="246"/>
      <c r="Q97" s="246"/>
      <c r="R97" s="246"/>
      <c r="S97" s="246"/>
      <c r="T97" s="246"/>
      <c r="U97" s="246"/>
      <c r="V97" s="246"/>
      <c r="W97" s="246"/>
      <c r="X97" s="246"/>
      <c r="Y97" s="246"/>
      <c r="Z97" s="246"/>
    </row>
    <row r="98" spans="1:26" ht="15.75" customHeight="1" x14ac:dyDescent="0.2">
      <c r="A98" s="246"/>
      <c r="B98" s="246"/>
      <c r="C98" s="246"/>
      <c r="D98" s="246"/>
      <c r="E98" s="246"/>
      <c r="F98" s="246"/>
      <c r="G98" s="246"/>
      <c r="H98" s="246"/>
      <c r="I98" s="246"/>
      <c r="J98" s="246"/>
      <c r="K98" s="246"/>
      <c r="L98" s="246"/>
      <c r="M98" s="246"/>
      <c r="N98" s="246"/>
      <c r="O98" s="246"/>
      <c r="P98" s="246"/>
      <c r="Q98" s="246"/>
      <c r="R98" s="246"/>
      <c r="S98" s="246"/>
      <c r="T98" s="246"/>
      <c r="U98" s="246"/>
      <c r="V98" s="246"/>
      <c r="W98" s="246"/>
      <c r="X98" s="246"/>
      <c r="Y98" s="246"/>
      <c r="Z98" s="246"/>
    </row>
    <row r="99" spans="1:26" ht="15.75" customHeight="1" x14ac:dyDescent="0.2">
      <c r="A99" s="246"/>
      <c r="B99" s="246"/>
      <c r="C99" s="246"/>
      <c r="D99" s="246"/>
      <c r="E99" s="246"/>
      <c r="F99" s="246"/>
      <c r="G99" s="246"/>
      <c r="H99" s="246"/>
      <c r="I99" s="246"/>
      <c r="J99" s="246"/>
      <c r="K99" s="246"/>
      <c r="L99" s="246"/>
      <c r="M99" s="246"/>
      <c r="N99" s="246"/>
      <c r="O99" s="246"/>
      <c r="P99" s="246"/>
      <c r="Q99" s="246"/>
      <c r="R99" s="246"/>
      <c r="S99" s="246"/>
      <c r="T99" s="246"/>
      <c r="U99" s="246"/>
      <c r="V99" s="246"/>
      <c r="W99" s="246"/>
      <c r="X99" s="246"/>
      <c r="Y99" s="246"/>
      <c r="Z99" s="246"/>
    </row>
    <row r="100" spans="1:26" ht="15.75" customHeight="1" x14ac:dyDescent="0.2">
      <c r="A100" s="246"/>
      <c r="B100" s="246"/>
      <c r="C100" s="246"/>
      <c r="D100" s="246"/>
      <c r="E100" s="246"/>
      <c r="F100" s="246"/>
      <c r="G100" s="246"/>
      <c r="H100" s="246"/>
      <c r="I100" s="246"/>
      <c r="J100" s="246"/>
      <c r="K100" s="246"/>
      <c r="L100" s="246"/>
      <c r="M100" s="246"/>
      <c r="N100" s="246"/>
      <c r="O100" s="246"/>
      <c r="P100" s="246"/>
      <c r="Q100" s="246"/>
      <c r="R100" s="246"/>
      <c r="S100" s="246"/>
      <c r="T100" s="246"/>
      <c r="U100" s="246"/>
      <c r="V100" s="246"/>
      <c r="W100" s="246"/>
      <c r="X100" s="246"/>
      <c r="Y100" s="246"/>
      <c r="Z100" s="246"/>
    </row>
    <row r="101" spans="1:26" ht="15.75" customHeight="1" x14ac:dyDescent="0.2">
      <c r="A101" s="246"/>
      <c r="B101" s="246"/>
      <c r="C101" s="246"/>
      <c r="D101" s="246"/>
      <c r="E101" s="246"/>
      <c r="F101" s="246"/>
      <c r="G101" s="246"/>
      <c r="H101" s="246"/>
      <c r="I101" s="246"/>
      <c r="J101" s="246"/>
      <c r="K101" s="246"/>
      <c r="L101" s="246"/>
      <c r="M101" s="246"/>
      <c r="N101" s="246"/>
      <c r="O101" s="246"/>
      <c r="P101" s="246"/>
      <c r="Q101" s="246"/>
      <c r="R101" s="246"/>
      <c r="S101" s="246"/>
      <c r="T101" s="246"/>
      <c r="U101" s="246"/>
      <c r="V101" s="246"/>
      <c r="W101" s="246"/>
      <c r="X101" s="246"/>
      <c r="Y101" s="246"/>
      <c r="Z101" s="246"/>
    </row>
    <row r="102" spans="1:26" ht="15.75" customHeight="1" x14ac:dyDescent="0.2">
      <c r="A102" s="246"/>
      <c r="B102" s="246"/>
      <c r="C102" s="246"/>
      <c r="D102" s="246"/>
      <c r="E102" s="246"/>
      <c r="F102" s="246"/>
      <c r="G102" s="246"/>
      <c r="H102" s="246"/>
      <c r="I102" s="246"/>
      <c r="J102" s="246"/>
      <c r="K102" s="246"/>
      <c r="L102" s="246"/>
      <c r="M102" s="246"/>
      <c r="N102" s="246"/>
      <c r="O102" s="246"/>
      <c r="P102" s="246"/>
      <c r="Q102" s="246"/>
      <c r="R102" s="246"/>
      <c r="S102" s="246"/>
      <c r="T102" s="246"/>
      <c r="U102" s="246"/>
      <c r="V102" s="246"/>
      <c r="W102" s="246"/>
      <c r="X102" s="246"/>
      <c r="Y102" s="246"/>
      <c r="Z102" s="246"/>
    </row>
    <row r="103" spans="1:26" ht="15.75" customHeight="1" x14ac:dyDescent="0.2">
      <c r="A103" s="246"/>
      <c r="B103" s="246"/>
      <c r="C103" s="246"/>
      <c r="D103" s="246"/>
      <c r="E103" s="246"/>
      <c r="F103" s="246"/>
      <c r="G103" s="246"/>
      <c r="H103" s="246"/>
      <c r="I103" s="246"/>
      <c r="J103" s="246"/>
      <c r="K103" s="246"/>
      <c r="L103" s="246"/>
      <c r="M103" s="246"/>
      <c r="N103" s="246"/>
      <c r="O103" s="246"/>
      <c r="P103" s="246"/>
      <c r="Q103" s="246"/>
      <c r="R103" s="246"/>
      <c r="S103" s="246"/>
      <c r="T103" s="246"/>
      <c r="U103" s="246"/>
      <c r="V103" s="246"/>
      <c r="W103" s="246"/>
      <c r="X103" s="246"/>
      <c r="Y103" s="246"/>
      <c r="Z103" s="246"/>
    </row>
    <row r="104" spans="1:26" ht="15.75" customHeight="1" x14ac:dyDescent="0.2">
      <c r="A104" s="246"/>
      <c r="B104" s="246"/>
      <c r="C104" s="246"/>
      <c r="D104" s="246"/>
      <c r="E104" s="246"/>
      <c r="F104" s="246"/>
      <c r="G104" s="246"/>
      <c r="H104" s="246"/>
      <c r="I104" s="246"/>
      <c r="J104" s="246"/>
      <c r="K104" s="246"/>
      <c r="L104" s="246"/>
      <c r="M104" s="246"/>
      <c r="N104" s="246"/>
      <c r="O104" s="246"/>
      <c r="P104" s="246"/>
      <c r="Q104" s="246"/>
      <c r="R104" s="246"/>
      <c r="S104" s="246"/>
      <c r="T104" s="246"/>
      <c r="U104" s="246"/>
      <c r="V104" s="246"/>
      <c r="W104" s="246"/>
      <c r="X104" s="246"/>
      <c r="Y104" s="246"/>
      <c r="Z104" s="246"/>
    </row>
    <row r="105" spans="1:26" ht="15.75" customHeight="1" x14ac:dyDescent="0.2">
      <c r="A105" s="246"/>
      <c r="B105" s="246"/>
      <c r="C105" s="246"/>
      <c r="D105" s="246"/>
      <c r="E105" s="246"/>
      <c r="F105" s="246"/>
      <c r="G105" s="246"/>
      <c r="H105" s="246"/>
      <c r="I105" s="246"/>
      <c r="J105" s="246"/>
      <c r="K105" s="246"/>
      <c r="L105" s="246"/>
      <c r="M105" s="246"/>
      <c r="N105" s="246"/>
      <c r="O105" s="246"/>
      <c r="P105" s="246"/>
      <c r="Q105" s="246"/>
      <c r="R105" s="246"/>
      <c r="S105" s="246"/>
      <c r="T105" s="246"/>
      <c r="U105" s="246"/>
      <c r="V105" s="246"/>
      <c r="W105" s="246"/>
      <c r="X105" s="246"/>
      <c r="Y105" s="246"/>
      <c r="Z105" s="246"/>
    </row>
    <row r="106" spans="1:26" ht="15.75" customHeight="1" x14ac:dyDescent="0.2">
      <c r="A106" s="246"/>
      <c r="B106" s="246"/>
      <c r="C106" s="246"/>
      <c r="D106" s="246"/>
      <c r="E106" s="246"/>
      <c r="F106" s="246"/>
      <c r="G106" s="246"/>
      <c r="H106" s="246"/>
      <c r="I106" s="246"/>
      <c r="J106" s="246"/>
      <c r="K106" s="246"/>
      <c r="L106" s="246"/>
      <c r="M106" s="246"/>
      <c r="N106" s="246"/>
      <c r="O106" s="246"/>
      <c r="P106" s="246"/>
      <c r="Q106" s="246"/>
      <c r="R106" s="246"/>
      <c r="S106" s="246"/>
      <c r="T106" s="246"/>
      <c r="U106" s="246"/>
      <c r="V106" s="246"/>
      <c r="W106" s="246"/>
      <c r="X106" s="246"/>
      <c r="Y106" s="246"/>
      <c r="Z106" s="246"/>
    </row>
    <row r="107" spans="1:26" ht="15.75" customHeight="1" x14ac:dyDescent="0.2">
      <c r="A107" s="246"/>
      <c r="B107" s="246"/>
      <c r="C107" s="246"/>
      <c r="D107" s="246"/>
      <c r="E107" s="246"/>
      <c r="F107" s="246"/>
      <c r="G107" s="246"/>
      <c r="H107" s="246"/>
      <c r="I107" s="246"/>
      <c r="J107" s="246"/>
      <c r="K107" s="246"/>
      <c r="L107" s="246"/>
      <c r="M107" s="246"/>
      <c r="N107" s="246"/>
      <c r="O107" s="246"/>
      <c r="P107" s="246"/>
      <c r="Q107" s="246"/>
      <c r="R107" s="246"/>
      <c r="S107" s="246"/>
      <c r="T107" s="246"/>
      <c r="U107" s="246"/>
      <c r="V107" s="246"/>
      <c r="W107" s="246"/>
      <c r="X107" s="246"/>
      <c r="Y107" s="246"/>
      <c r="Z107" s="246"/>
    </row>
    <row r="108" spans="1:26" ht="15.75" customHeight="1" x14ac:dyDescent="0.2">
      <c r="A108" s="246"/>
      <c r="B108" s="246"/>
      <c r="C108" s="246"/>
      <c r="D108" s="246"/>
      <c r="E108" s="246"/>
      <c r="F108" s="246"/>
      <c r="G108" s="246"/>
      <c r="H108" s="246"/>
      <c r="I108" s="246"/>
      <c r="J108" s="246"/>
      <c r="K108" s="246"/>
      <c r="L108" s="246"/>
      <c r="M108" s="246"/>
      <c r="N108" s="246"/>
      <c r="O108" s="246"/>
      <c r="P108" s="246"/>
      <c r="Q108" s="246"/>
      <c r="R108" s="246"/>
      <c r="S108" s="246"/>
      <c r="T108" s="246"/>
      <c r="U108" s="246"/>
      <c r="V108" s="246"/>
      <c r="W108" s="246"/>
      <c r="X108" s="246"/>
      <c r="Y108" s="246"/>
      <c r="Z108" s="246"/>
    </row>
    <row r="109" spans="1:26" ht="15.75" customHeight="1" x14ac:dyDescent="0.2">
      <c r="A109" s="246"/>
      <c r="B109" s="246"/>
      <c r="C109" s="246"/>
      <c r="D109" s="246"/>
      <c r="E109" s="246"/>
      <c r="F109" s="246"/>
      <c r="G109" s="246"/>
      <c r="H109" s="246"/>
      <c r="I109" s="246"/>
      <c r="J109" s="246"/>
      <c r="K109" s="246"/>
      <c r="L109" s="246"/>
      <c r="M109" s="246"/>
      <c r="N109" s="246"/>
      <c r="O109" s="246"/>
      <c r="P109" s="246"/>
      <c r="Q109" s="246"/>
      <c r="R109" s="246"/>
      <c r="S109" s="246"/>
      <c r="T109" s="246"/>
      <c r="U109" s="246"/>
      <c r="V109" s="246"/>
      <c r="W109" s="246"/>
      <c r="X109" s="246"/>
      <c r="Y109" s="246"/>
      <c r="Z109" s="246"/>
    </row>
    <row r="110" spans="1:26" ht="15.75" customHeight="1" x14ac:dyDescent="0.2">
      <c r="A110" s="246"/>
      <c r="B110" s="246"/>
      <c r="C110" s="246"/>
      <c r="D110" s="246"/>
      <c r="E110" s="246"/>
      <c r="F110" s="246"/>
      <c r="G110" s="246"/>
      <c r="H110" s="246"/>
      <c r="I110" s="246"/>
      <c r="J110" s="246"/>
      <c r="K110" s="246"/>
      <c r="L110" s="246"/>
      <c r="M110" s="246"/>
      <c r="N110" s="246"/>
      <c r="O110" s="246"/>
      <c r="P110" s="246"/>
      <c r="Q110" s="246"/>
      <c r="R110" s="246"/>
      <c r="S110" s="246"/>
      <c r="T110" s="246"/>
      <c r="U110" s="246"/>
      <c r="V110" s="246"/>
      <c r="W110" s="246"/>
      <c r="X110" s="246"/>
      <c r="Y110" s="246"/>
      <c r="Z110" s="246"/>
    </row>
    <row r="111" spans="1:26" ht="15.75" customHeight="1" x14ac:dyDescent="0.2">
      <c r="A111" s="246"/>
      <c r="B111" s="246"/>
      <c r="C111" s="246"/>
      <c r="D111" s="246"/>
      <c r="E111" s="246"/>
      <c r="F111" s="246"/>
      <c r="G111" s="246"/>
      <c r="H111" s="246"/>
      <c r="I111" s="246"/>
      <c r="J111" s="246"/>
      <c r="K111" s="246"/>
      <c r="L111" s="246"/>
      <c r="M111" s="246"/>
      <c r="N111" s="246"/>
      <c r="O111" s="246"/>
      <c r="P111" s="246"/>
      <c r="Q111" s="246"/>
      <c r="R111" s="246"/>
      <c r="S111" s="246"/>
      <c r="T111" s="246"/>
      <c r="U111" s="246"/>
      <c r="V111" s="246"/>
      <c r="W111" s="246"/>
      <c r="X111" s="246"/>
      <c r="Y111" s="246"/>
      <c r="Z111" s="246"/>
    </row>
    <row r="112" spans="1:26" ht="15.75" customHeight="1" x14ac:dyDescent="0.2">
      <c r="A112" s="246"/>
      <c r="B112" s="246"/>
      <c r="C112" s="246"/>
      <c r="D112" s="246"/>
      <c r="E112" s="246"/>
      <c r="F112" s="246"/>
      <c r="G112" s="246"/>
      <c r="H112" s="246"/>
      <c r="I112" s="246"/>
      <c r="J112" s="246"/>
      <c r="K112" s="246"/>
      <c r="L112" s="246"/>
      <c r="M112" s="246"/>
      <c r="N112" s="246"/>
      <c r="O112" s="246"/>
      <c r="P112" s="246"/>
      <c r="Q112" s="246"/>
      <c r="R112" s="246"/>
      <c r="S112" s="246"/>
      <c r="T112" s="246"/>
      <c r="U112" s="246"/>
      <c r="V112" s="246"/>
      <c r="W112" s="246"/>
      <c r="X112" s="246"/>
      <c r="Y112" s="246"/>
      <c r="Z112" s="246"/>
    </row>
    <row r="113" spans="1:26" ht="15.75" customHeight="1" x14ac:dyDescent="0.2">
      <c r="A113" s="246"/>
      <c r="B113" s="246"/>
      <c r="C113" s="246"/>
      <c r="D113" s="246"/>
      <c r="E113" s="246"/>
      <c r="F113" s="246"/>
      <c r="G113" s="246"/>
      <c r="H113" s="246"/>
      <c r="I113" s="246"/>
      <c r="J113" s="246"/>
      <c r="K113" s="246"/>
      <c r="L113" s="246"/>
      <c r="M113" s="246"/>
      <c r="N113" s="246"/>
      <c r="O113" s="246"/>
      <c r="P113" s="246"/>
      <c r="Q113" s="246"/>
      <c r="R113" s="246"/>
      <c r="S113" s="246"/>
      <c r="T113" s="246"/>
      <c r="U113" s="246"/>
      <c r="V113" s="246"/>
      <c r="W113" s="246"/>
      <c r="X113" s="246"/>
      <c r="Y113" s="246"/>
      <c r="Z113" s="246"/>
    </row>
    <row r="114" spans="1:26" ht="15.75" customHeight="1" x14ac:dyDescent="0.2">
      <c r="A114" s="246"/>
      <c r="B114" s="246"/>
      <c r="C114" s="246"/>
      <c r="D114" s="246"/>
      <c r="E114" s="246"/>
      <c r="F114" s="246"/>
      <c r="G114" s="246"/>
      <c r="H114" s="246"/>
      <c r="I114" s="246"/>
      <c r="J114" s="246"/>
      <c r="K114" s="246"/>
      <c r="L114" s="246"/>
      <c r="M114" s="246"/>
      <c r="N114" s="246"/>
      <c r="O114" s="246"/>
      <c r="P114" s="246"/>
      <c r="Q114" s="246"/>
      <c r="R114" s="246"/>
      <c r="S114" s="246"/>
      <c r="T114" s="246"/>
      <c r="U114" s="246"/>
      <c r="V114" s="246"/>
      <c r="W114" s="246"/>
      <c r="X114" s="246"/>
      <c r="Y114" s="246"/>
      <c r="Z114" s="246"/>
    </row>
    <row r="115" spans="1:26" ht="15.75" customHeight="1" x14ac:dyDescent="0.2">
      <c r="A115" s="246"/>
      <c r="B115" s="246"/>
      <c r="C115" s="246"/>
      <c r="D115" s="246"/>
      <c r="E115" s="246"/>
      <c r="F115" s="246"/>
      <c r="G115" s="246"/>
      <c r="H115" s="246"/>
      <c r="I115" s="246"/>
      <c r="J115" s="246"/>
      <c r="K115" s="246"/>
      <c r="L115" s="246"/>
      <c r="M115" s="246"/>
      <c r="N115" s="246"/>
      <c r="O115" s="246"/>
      <c r="P115" s="246"/>
      <c r="Q115" s="246"/>
      <c r="R115" s="246"/>
      <c r="S115" s="246"/>
      <c r="T115" s="246"/>
      <c r="U115" s="246"/>
      <c r="V115" s="246"/>
      <c r="W115" s="246"/>
      <c r="X115" s="246"/>
      <c r="Y115" s="246"/>
      <c r="Z115" s="246"/>
    </row>
    <row r="116" spans="1:26" ht="15.75" customHeight="1" x14ac:dyDescent="0.2">
      <c r="A116" s="246"/>
      <c r="B116" s="246"/>
      <c r="C116" s="246"/>
      <c r="D116" s="246"/>
      <c r="E116" s="246"/>
      <c r="F116" s="246"/>
      <c r="G116" s="246"/>
      <c r="H116" s="246"/>
      <c r="I116" s="246"/>
      <c r="J116" s="246"/>
      <c r="K116" s="246"/>
      <c r="L116" s="246"/>
      <c r="M116" s="246"/>
      <c r="N116" s="246"/>
      <c r="O116" s="246"/>
      <c r="P116" s="246"/>
      <c r="Q116" s="246"/>
      <c r="R116" s="246"/>
      <c r="S116" s="246"/>
      <c r="T116" s="246"/>
      <c r="U116" s="246"/>
      <c r="V116" s="246"/>
      <c r="W116" s="246"/>
      <c r="X116" s="246"/>
      <c r="Y116" s="246"/>
      <c r="Z116" s="246"/>
    </row>
    <row r="117" spans="1:26" ht="15.75" customHeight="1" x14ac:dyDescent="0.2">
      <c r="A117" s="246"/>
      <c r="B117" s="246"/>
      <c r="C117" s="246"/>
      <c r="D117" s="246"/>
      <c r="E117" s="246"/>
      <c r="F117" s="246"/>
      <c r="G117" s="246"/>
      <c r="H117" s="246"/>
      <c r="I117" s="246"/>
      <c r="J117" s="246"/>
      <c r="K117" s="246"/>
      <c r="L117" s="246"/>
      <c r="M117" s="246"/>
      <c r="N117" s="246"/>
      <c r="O117" s="246"/>
      <c r="P117" s="246"/>
      <c r="Q117" s="246"/>
      <c r="R117" s="246"/>
      <c r="S117" s="246"/>
      <c r="T117" s="246"/>
      <c r="U117" s="246"/>
      <c r="V117" s="246"/>
      <c r="W117" s="246"/>
      <c r="X117" s="246"/>
      <c r="Y117" s="246"/>
      <c r="Z117" s="246"/>
    </row>
    <row r="118" spans="1:26" ht="15.75" customHeight="1" x14ac:dyDescent="0.2">
      <c r="A118" s="246"/>
      <c r="B118" s="246"/>
      <c r="C118" s="246"/>
      <c r="D118" s="246"/>
      <c r="E118" s="246"/>
      <c r="F118" s="246"/>
      <c r="G118" s="246"/>
      <c r="H118" s="246"/>
      <c r="I118" s="246"/>
      <c r="J118" s="246"/>
      <c r="K118" s="246"/>
      <c r="L118" s="246"/>
      <c r="M118" s="246"/>
      <c r="N118" s="246"/>
      <c r="O118" s="246"/>
      <c r="P118" s="246"/>
      <c r="Q118" s="246"/>
      <c r="R118" s="246"/>
      <c r="S118" s="246"/>
      <c r="T118" s="246"/>
      <c r="U118" s="246"/>
      <c r="V118" s="246"/>
      <c r="W118" s="246"/>
      <c r="X118" s="246"/>
      <c r="Y118" s="246"/>
      <c r="Z118" s="246"/>
    </row>
    <row r="119" spans="1:26" ht="15.75" customHeight="1" x14ac:dyDescent="0.2">
      <c r="A119" s="246"/>
      <c r="B119" s="246"/>
      <c r="C119" s="246"/>
      <c r="D119" s="246"/>
      <c r="E119" s="246"/>
      <c r="F119" s="246"/>
      <c r="G119" s="246"/>
      <c r="H119" s="246"/>
      <c r="I119" s="246"/>
      <c r="J119" s="246"/>
      <c r="K119" s="246"/>
      <c r="L119" s="246"/>
      <c r="M119" s="246"/>
      <c r="N119" s="246"/>
      <c r="O119" s="246"/>
      <c r="P119" s="246"/>
      <c r="Q119" s="246"/>
      <c r="R119" s="246"/>
      <c r="S119" s="246"/>
      <c r="T119" s="246"/>
      <c r="U119" s="246"/>
      <c r="V119" s="246"/>
      <c r="W119" s="246"/>
      <c r="X119" s="246"/>
      <c r="Y119" s="246"/>
      <c r="Z119" s="246"/>
    </row>
    <row r="120" spans="1:26" ht="15.75" customHeight="1" x14ac:dyDescent="0.2">
      <c r="A120" s="246"/>
      <c r="B120" s="246"/>
      <c r="C120" s="246"/>
      <c r="D120" s="246"/>
      <c r="E120" s="246"/>
      <c r="F120" s="246"/>
      <c r="G120" s="246"/>
      <c r="H120" s="246"/>
      <c r="I120" s="246"/>
      <c r="J120" s="246"/>
      <c r="K120" s="246"/>
      <c r="L120" s="246"/>
      <c r="M120" s="246"/>
      <c r="N120" s="246"/>
      <c r="O120" s="246"/>
      <c r="P120" s="246"/>
      <c r="Q120" s="246"/>
      <c r="R120" s="246"/>
      <c r="S120" s="246"/>
      <c r="T120" s="246"/>
      <c r="U120" s="246"/>
      <c r="V120" s="246"/>
      <c r="W120" s="246"/>
      <c r="X120" s="246"/>
      <c r="Y120" s="246"/>
      <c r="Z120" s="246"/>
    </row>
    <row r="121" spans="1:26" ht="15.75" customHeight="1" x14ac:dyDescent="0.2">
      <c r="A121" s="246"/>
      <c r="B121" s="246"/>
      <c r="C121" s="246"/>
      <c r="D121" s="246"/>
      <c r="E121" s="246"/>
      <c r="F121" s="246"/>
      <c r="G121" s="246"/>
      <c r="H121" s="246"/>
      <c r="I121" s="246"/>
      <c r="J121" s="246"/>
      <c r="K121" s="246"/>
      <c r="L121" s="246"/>
      <c r="M121" s="246"/>
      <c r="N121" s="246"/>
      <c r="O121" s="246"/>
      <c r="P121" s="246"/>
      <c r="Q121" s="246"/>
      <c r="R121" s="246"/>
      <c r="S121" s="246"/>
      <c r="T121" s="246"/>
      <c r="U121" s="246"/>
      <c r="V121" s="246"/>
      <c r="W121" s="246"/>
      <c r="X121" s="246"/>
      <c r="Y121" s="246"/>
      <c r="Z121" s="246"/>
    </row>
    <row r="122" spans="1:26" ht="15.75" customHeight="1" x14ac:dyDescent="0.2">
      <c r="A122" s="246"/>
      <c r="B122" s="246"/>
      <c r="C122" s="246"/>
      <c r="D122" s="246"/>
      <c r="E122" s="246"/>
      <c r="F122" s="246"/>
      <c r="G122" s="246"/>
      <c r="H122" s="246"/>
      <c r="I122" s="246"/>
      <c r="J122" s="246"/>
      <c r="K122" s="246"/>
      <c r="L122" s="246"/>
      <c r="M122" s="246"/>
      <c r="N122" s="246"/>
      <c r="O122" s="246"/>
      <c r="P122" s="246"/>
      <c r="Q122" s="246"/>
      <c r="R122" s="246"/>
      <c r="S122" s="246"/>
      <c r="T122" s="246"/>
      <c r="U122" s="246"/>
      <c r="V122" s="246"/>
      <c r="W122" s="246"/>
      <c r="X122" s="246"/>
      <c r="Y122" s="246"/>
      <c r="Z122" s="246"/>
    </row>
    <row r="123" spans="1:26" ht="15.75" customHeight="1" x14ac:dyDescent="0.2">
      <c r="A123" s="246"/>
      <c r="B123" s="246"/>
      <c r="C123" s="246"/>
      <c r="D123" s="246"/>
      <c r="E123" s="246"/>
      <c r="F123" s="246"/>
      <c r="G123" s="246"/>
      <c r="H123" s="246"/>
      <c r="I123" s="246"/>
      <c r="J123" s="246"/>
      <c r="K123" s="246"/>
      <c r="L123" s="246"/>
      <c r="M123" s="246"/>
      <c r="N123" s="246"/>
      <c r="O123" s="246"/>
      <c r="P123" s="246"/>
      <c r="Q123" s="246"/>
      <c r="R123" s="246"/>
      <c r="S123" s="246"/>
      <c r="T123" s="246"/>
      <c r="U123" s="246"/>
      <c r="V123" s="246"/>
      <c r="W123" s="246"/>
      <c r="X123" s="246"/>
      <c r="Y123" s="246"/>
      <c r="Z123" s="246"/>
    </row>
    <row r="124" spans="1:26" ht="15.75" customHeight="1" x14ac:dyDescent="0.2">
      <c r="A124" s="246"/>
      <c r="B124" s="246"/>
      <c r="C124" s="246"/>
      <c r="D124" s="246"/>
      <c r="E124" s="246"/>
      <c r="F124" s="246"/>
      <c r="G124" s="246"/>
      <c r="H124" s="246"/>
      <c r="I124" s="246"/>
      <c r="J124" s="246"/>
      <c r="K124" s="246"/>
      <c r="L124" s="246"/>
      <c r="M124" s="246"/>
      <c r="N124" s="246"/>
      <c r="O124" s="246"/>
      <c r="P124" s="246"/>
      <c r="Q124" s="246"/>
      <c r="R124" s="246"/>
      <c r="S124" s="246"/>
      <c r="T124" s="246"/>
      <c r="U124" s="246"/>
      <c r="V124" s="246"/>
      <c r="W124" s="246"/>
      <c r="X124" s="246"/>
      <c r="Y124" s="246"/>
      <c r="Z124" s="246"/>
    </row>
    <row r="125" spans="1:26" ht="15.75" customHeight="1" x14ac:dyDescent="0.2">
      <c r="A125" s="246"/>
      <c r="B125" s="246"/>
      <c r="C125" s="246"/>
      <c r="D125" s="246"/>
      <c r="E125" s="246"/>
      <c r="F125" s="246"/>
      <c r="G125" s="246"/>
      <c r="H125" s="246"/>
      <c r="I125" s="246"/>
      <c r="J125" s="246"/>
      <c r="K125" s="246"/>
      <c r="L125" s="246"/>
      <c r="M125" s="246"/>
      <c r="N125" s="246"/>
      <c r="O125" s="246"/>
      <c r="P125" s="246"/>
      <c r="Q125" s="246"/>
      <c r="R125" s="246"/>
      <c r="S125" s="246"/>
      <c r="T125" s="246"/>
      <c r="U125" s="246"/>
      <c r="V125" s="246"/>
      <c r="W125" s="246"/>
      <c r="X125" s="246"/>
      <c r="Y125" s="246"/>
      <c r="Z125" s="246"/>
    </row>
    <row r="126" spans="1:26" ht="15.75" customHeight="1" x14ac:dyDescent="0.2">
      <c r="A126" s="246"/>
      <c r="B126" s="246"/>
      <c r="C126" s="246"/>
      <c r="D126" s="246"/>
      <c r="E126" s="246"/>
      <c r="F126" s="246"/>
      <c r="G126" s="246"/>
      <c r="H126" s="246"/>
      <c r="I126" s="246"/>
      <c r="J126" s="246"/>
      <c r="K126" s="246"/>
      <c r="L126" s="246"/>
      <c r="M126" s="246"/>
      <c r="N126" s="246"/>
      <c r="O126" s="246"/>
      <c r="P126" s="246"/>
      <c r="Q126" s="246"/>
      <c r="R126" s="246"/>
      <c r="S126" s="246"/>
      <c r="T126" s="246"/>
      <c r="U126" s="246"/>
      <c r="V126" s="246"/>
      <c r="W126" s="246"/>
      <c r="X126" s="246"/>
      <c r="Y126" s="246"/>
      <c r="Z126" s="246"/>
    </row>
    <row r="127" spans="1:26" ht="15.75" customHeight="1" x14ac:dyDescent="0.2">
      <c r="A127" s="246"/>
      <c r="B127" s="246"/>
      <c r="C127" s="246"/>
      <c r="D127" s="246"/>
      <c r="E127" s="246"/>
      <c r="F127" s="246"/>
      <c r="G127" s="246"/>
      <c r="H127" s="246"/>
      <c r="I127" s="246"/>
      <c r="J127" s="246"/>
      <c r="K127" s="246"/>
      <c r="L127" s="246"/>
      <c r="M127" s="246"/>
      <c r="N127" s="246"/>
      <c r="O127" s="246"/>
      <c r="P127" s="246"/>
      <c r="Q127" s="246"/>
      <c r="R127" s="246"/>
      <c r="S127" s="246"/>
      <c r="T127" s="246"/>
      <c r="U127" s="246"/>
      <c r="V127" s="246"/>
      <c r="W127" s="246"/>
      <c r="X127" s="246"/>
      <c r="Y127" s="246"/>
      <c r="Z127" s="246"/>
    </row>
    <row r="128" spans="1:26" ht="15.75" customHeight="1" x14ac:dyDescent="0.2">
      <c r="A128" s="246"/>
      <c r="B128" s="246"/>
      <c r="C128" s="246"/>
      <c r="D128" s="246"/>
      <c r="E128" s="246"/>
      <c r="F128" s="246"/>
      <c r="G128" s="246"/>
      <c r="H128" s="246"/>
      <c r="I128" s="246"/>
      <c r="J128" s="246"/>
      <c r="K128" s="246"/>
      <c r="L128" s="246"/>
      <c r="M128" s="246"/>
      <c r="N128" s="246"/>
      <c r="O128" s="246"/>
      <c r="P128" s="246"/>
      <c r="Q128" s="246"/>
      <c r="R128" s="246"/>
      <c r="S128" s="246"/>
      <c r="T128" s="246"/>
      <c r="U128" s="246"/>
      <c r="V128" s="246"/>
      <c r="W128" s="246"/>
      <c r="X128" s="246"/>
      <c r="Y128" s="246"/>
      <c r="Z128" s="246"/>
    </row>
    <row r="129" spans="1:26" ht="15.75" customHeight="1" x14ac:dyDescent="0.2">
      <c r="A129" s="246"/>
      <c r="B129" s="246"/>
      <c r="C129" s="246"/>
      <c r="D129" s="246"/>
      <c r="E129" s="246"/>
      <c r="F129" s="246"/>
      <c r="G129" s="246"/>
      <c r="H129" s="246"/>
      <c r="I129" s="246"/>
      <c r="J129" s="246"/>
      <c r="K129" s="246"/>
      <c r="L129" s="246"/>
      <c r="M129" s="246"/>
      <c r="N129" s="246"/>
      <c r="O129" s="246"/>
      <c r="P129" s="246"/>
      <c r="Q129" s="246"/>
      <c r="R129" s="246"/>
      <c r="S129" s="246"/>
      <c r="T129" s="246"/>
      <c r="U129" s="246"/>
      <c r="V129" s="246"/>
      <c r="W129" s="246"/>
      <c r="X129" s="246"/>
      <c r="Y129" s="246"/>
      <c r="Z129" s="246"/>
    </row>
    <row r="130" spans="1:26" ht="15.75" customHeight="1" x14ac:dyDescent="0.2">
      <c r="A130" s="246"/>
      <c r="B130" s="246"/>
      <c r="C130" s="246"/>
      <c r="D130" s="246"/>
      <c r="E130" s="246"/>
      <c r="F130" s="246"/>
      <c r="G130" s="246"/>
      <c r="H130" s="246"/>
      <c r="I130" s="246"/>
      <c r="J130" s="246"/>
      <c r="K130" s="246"/>
      <c r="L130" s="246"/>
      <c r="M130" s="246"/>
      <c r="N130" s="246"/>
      <c r="O130" s="246"/>
      <c r="P130" s="246"/>
      <c r="Q130" s="246"/>
      <c r="R130" s="246"/>
      <c r="S130" s="246"/>
      <c r="T130" s="246"/>
      <c r="U130" s="246"/>
      <c r="V130" s="246"/>
      <c r="W130" s="246"/>
      <c r="X130" s="246"/>
      <c r="Y130" s="246"/>
      <c r="Z130" s="246"/>
    </row>
    <row r="131" spans="1:26" ht="15.75" customHeight="1" x14ac:dyDescent="0.2">
      <c r="A131" s="246"/>
      <c r="B131" s="246"/>
      <c r="C131" s="246"/>
      <c r="D131" s="246"/>
      <c r="E131" s="246"/>
      <c r="F131" s="246"/>
      <c r="G131" s="246"/>
      <c r="H131" s="246"/>
      <c r="I131" s="246"/>
      <c r="J131" s="246"/>
      <c r="K131" s="246"/>
      <c r="L131" s="246"/>
      <c r="M131" s="246"/>
      <c r="N131" s="246"/>
      <c r="O131" s="246"/>
      <c r="P131" s="246"/>
      <c r="Q131" s="246"/>
      <c r="R131" s="246"/>
      <c r="S131" s="246"/>
      <c r="T131" s="246"/>
      <c r="U131" s="246"/>
      <c r="V131" s="246"/>
      <c r="W131" s="246"/>
      <c r="X131" s="246"/>
      <c r="Y131" s="246"/>
      <c r="Z131" s="246"/>
    </row>
    <row r="132" spans="1:26" ht="15.75" customHeight="1" x14ac:dyDescent="0.2">
      <c r="A132" s="246"/>
      <c r="B132" s="246"/>
      <c r="C132" s="246"/>
      <c r="D132" s="246"/>
      <c r="E132" s="246"/>
      <c r="F132" s="246"/>
      <c r="G132" s="246"/>
      <c r="H132" s="246"/>
      <c r="I132" s="246"/>
      <c r="J132" s="246"/>
      <c r="K132" s="246"/>
      <c r="L132" s="246"/>
      <c r="M132" s="246"/>
      <c r="N132" s="246"/>
      <c r="O132" s="246"/>
      <c r="P132" s="246"/>
      <c r="Q132" s="246"/>
      <c r="R132" s="246"/>
      <c r="S132" s="246"/>
      <c r="T132" s="246"/>
      <c r="U132" s="246"/>
      <c r="V132" s="246"/>
      <c r="W132" s="246"/>
      <c r="X132" s="246"/>
      <c r="Y132" s="246"/>
      <c r="Z132" s="246"/>
    </row>
    <row r="133" spans="1:26" ht="15.75" customHeight="1" x14ac:dyDescent="0.2">
      <c r="A133" s="246"/>
      <c r="B133" s="246"/>
      <c r="C133" s="246"/>
      <c r="D133" s="246"/>
      <c r="E133" s="246"/>
      <c r="F133" s="246"/>
      <c r="G133" s="246"/>
      <c r="H133" s="246"/>
      <c r="I133" s="246"/>
      <c r="J133" s="246"/>
      <c r="K133" s="246"/>
      <c r="L133" s="246"/>
      <c r="M133" s="246"/>
      <c r="N133" s="246"/>
      <c r="O133" s="246"/>
      <c r="P133" s="246"/>
      <c r="Q133" s="246"/>
      <c r="R133" s="246"/>
      <c r="S133" s="246"/>
      <c r="T133" s="246"/>
      <c r="U133" s="246"/>
      <c r="V133" s="246"/>
      <c r="W133" s="246"/>
      <c r="X133" s="246"/>
      <c r="Y133" s="246"/>
      <c r="Z133" s="246"/>
    </row>
    <row r="134" spans="1:26" ht="15.75" customHeight="1" x14ac:dyDescent="0.2">
      <c r="A134" s="246"/>
      <c r="B134" s="246"/>
      <c r="C134" s="246"/>
      <c r="D134" s="246"/>
      <c r="E134" s="246"/>
      <c r="F134" s="246"/>
      <c r="G134" s="246"/>
      <c r="H134" s="246"/>
      <c r="I134" s="246"/>
      <c r="J134" s="246"/>
      <c r="K134" s="246"/>
      <c r="L134" s="246"/>
      <c r="M134" s="246"/>
      <c r="N134" s="246"/>
      <c r="O134" s="246"/>
      <c r="P134" s="246"/>
      <c r="Q134" s="246"/>
      <c r="R134" s="246"/>
      <c r="S134" s="246"/>
      <c r="T134" s="246"/>
      <c r="U134" s="246"/>
      <c r="V134" s="246"/>
      <c r="W134" s="246"/>
      <c r="X134" s="246"/>
      <c r="Y134" s="246"/>
      <c r="Z134" s="246"/>
    </row>
    <row r="135" spans="1:26" ht="15.75" customHeight="1" x14ac:dyDescent="0.2">
      <c r="A135" s="246"/>
      <c r="B135" s="246"/>
      <c r="C135" s="246"/>
      <c r="D135" s="246"/>
      <c r="E135" s="246"/>
      <c r="F135" s="246"/>
      <c r="G135" s="246"/>
      <c r="H135" s="246"/>
      <c r="I135" s="246"/>
      <c r="J135" s="246"/>
      <c r="K135" s="246"/>
      <c r="L135" s="246"/>
      <c r="M135" s="246"/>
      <c r="N135" s="246"/>
      <c r="O135" s="246"/>
      <c r="P135" s="246"/>
      <c r="Q135" s="246"/>
      <c r="R135" s="246"/>
      <c r="S135" s="246"/>
      <c r="T135" s="246"/>
      <c r="U135" s="246"/>
      <c r="V135" s="246"/>
      <c r="W135" s="246"/>
      <c r="X135" s="246"/>
      <c r="Y135" s="246"/>
      <c r="Z135" s="246"/>
    </row>
    <row r="136" spans="1:26" ht="15.75" customHeight="1" x14ac:dyDescent="0.2">
      <c r="A136" s="246"/>
      <c r="B136" s="246"/>
      <c r="C136" s="246"/>
      <c r="D136" s="246"/>
      <c r="E136" s="246"/>
      <c r="F136" s="246"/>
      <c r="G136" s="246"/>
      <c r="H136" s="246"/>
      <c r="I136" s="246"/>
      <c r="J136" s="246"/>
      <c r="K136" s="246"/>
      <c r="L136" s="246"/>
      <c r="M136" s="246"/>
      <c r="N136" s="246"/>
      <c r="O136" s="246"/>
      <c r="P136" s="246"/>
      <c r="Q136" s="246"/>
      <c r="R136" s="246"/>
      <c r="S136" s="246"/>
      <c r="T136" s="246"/>
      <c r="U136" s="246"/>
      <c r="V136" s="246"/>
      <c r="W136" s="246"/>
      <c r="X136" s="246"/>
      <c r="Y136" s="246"/>
      <c r="Z136" s="246"/>
    </row>
    <row r="137" spans="1:26" ht="15.75" customHeight="1" x14ac:dyDescent="0.2">
      <c r="A137" s="246"/>
      <c r="B137" s="246"/>
      <c r="C137" s="246"/>
      <c r="D137" s="246"/>
      <c r="E137" s="246"/>
      <c r="F137" s="246"/>
      <c r="G137" s="246"/>
      <c r="H137" s="246"/>
      <c r="I137" s="246"/>
      <c r="J137" s="246"/>
      <c r="K137" s="246"/>
      <c r="L137" s="246"/>
      <c r="M137" s="246"/>
      <c r="N137" s="246"/>
      <c r="O137" s="246"/>
      <c r="P137" s="246"/>
      <c r="Q137" s="246"/>
      <c r="R137" s="246"/>
      <c r="S137" s="246"/>
      <c r="T137" s="246"/>
      <c r="U137" s="246"/>
      <c r="V137" s="246"/>
      <c r="W137" s="246"/>
      <c r="X137" s="246"/>
      <c r="Y137" s="246"/>
      <c r="Z137" s="246"/>
    </row>
    <row r="138" spans="1:26" ht="15.75" customHeight="1" x14ac:dyDescent="0.2">
      <c r="A138" s="246"/>
      <c r="B138" s="246"/>
      <c r="C138" s="246"/>
      <c r="D138" s="246"/>
      <c r="E138" s="246"/>
      <c r="F138" s="246"/>
      <c r="G138" s="246"/>
      <c r="H138" s="246"/>
      <c r="I138" s="246"/>
      <c r="J138" s="246"/>
      <c r="K138" s="246"/>
      <c r="L138" s="246"/>
      <c r="M138" s="246"/>
      <c r="N138" s="246"/>
      <c r="O138" s="246"/>
      <c r="P138" s="246"/>
      <c r="Q138" s="246"/>
      <c r="R138" s="246"/>
      <c r="S138" s="246"/>
      <c r="T138" s="246"/>
      <c r="U138" s="246"/>
      <c r="V138" s="246"/>
      <c r="W138" s="246"/>
      <c r="X138" s="246"/>
      <c r="Y138" s="246"/>
      <c r="Z138" s="246"/>
    </row>
    <row r="139" spans="1:26" ht="15.75" customHeight="1" x14ac:dyDescent="0.2">
      <c r="A139" s="246"/>
      <c r="B139" s="246"/>
      <c r="C139" s="246"/>
      <c r="D139" s="246"/>
      <c r="E139" s="246"/>
      <c r="F139" s="246"/>
      <c r="G139" s="246"/>
      <c r="H139" s="246"/>
      <c r="I139" s="246"/>
      <c r="J139" s="246"/>
      <c r="K139" s="246"/>
      <c r="L139" s="246"/>
      <c r="M139" s="246"/>
      <c r="N139" s="246"/>
      <c r="O139" s="246"/>
      <c r="P139" s="246"/>
      <c r="Q139" s="246"/>
      <c r="R139" s="246"/>
      <c r="S139" s="246"/>
      <c r="T139" s="246"/>
      <c r="U139" s="246"/>
      <c r="V139" s="246"/>
      <c r="W139" s="246"/>
      <c r="X139" s="246"/>
      <c r="Y139" s="246"/>
      <c r="Z139" s="246"/>
    </row>
    <row r="140" spans="1:26" ht="15.75" customHeight="1" x14ac:dyDescent="0.2">
      <c r="A140" s="246"/>
      <c r="B140" s="246"/>
      <c r="C140" s="246"/>
      <c r="D140" s="246"/>
      <c r="E140" s="246"/>
      <c r="F140" s="246"/>
      <c r="G140" s="246"/>
      <c r="H140" s="246"/>
      <c r="I140" s="246"/>
      <c r="J140" s="246"/>
      <c r="K140" s="246"/>
      <c r="L140" s="246"/>
      <c r="M140" s="246"/>
      <c r="N140" s="246"/>
      <c r="O140" s="246"/>
      <c r="P140" s="246"/>
      <c r="Q140" s="246"/>
      <c r="R140" s="246"/>
      <c r="S140" s="246"/>
      <c r="T140" s="246"/>
      <c r="U140" s="246"/>
      <c r="V140" s="246"/>
      <c r="W140" s="246"/>
      <c r="X140" s="246"/>
      <c r="Y140" s="246"/>
      <c r="Z140" s="246"/>
    </row>
    <row r="141" spans="1:26" ht="15.75" customHeight="1" x14ac:dyDescent="0.2">
      <c r="A141" s="246"/>
      <c r="B141" s="246"/>
      <c r="C141" s="246"/>
      <c r="D141" s="246"/>
      <c r="E141" s="246"/>
      <c r="F141" s="246"/>
      <c r="G141" s="246"/>
      <c r="H141" s="246"/>
      <c r="I141" s="246"/>
      <c r="J141" s="246"/>
      <c r="K141" s="246"/>
      <c r="L141" s="246"/>
      <c r="M141" s="246"/>
      <c r="N141" s="246"/>
      <c r="O141" s="246"/>
      <c r="P141" s="246"/>
      <c r="Q141" s="246"/>
      <c r="R141" s="246"/>
      <c r="S141" s="246"/>
      <c r="T141" s="246"/>
      <c r="U141" s="246"/>
      <c r="V141" s="246"/>
      <c r="W141" s="246"/>
      <c r="X141" s="246"/>
      <c r="Y141" s="246"/>
      <c r="Z141" s="246"/>
    </row>
    <row r="142" spans="1:26" ht="15.75" customHeight="1" x14ac:dyDescent="0.2">
      <c r="A142" s="246"/>
      <c r="B142" s="246"/>
      <c r="C142" s="246"/>
      <c r="D142" s="246"/>
      <c r="E142" s="246"/>
      <c r="F142" s="246"/>
      <c r="G142" s="246"/>
      <c r="H142" s="246"/>
      <c r="I142" s="246"/>
      <c r="J142" s="246"/>
      <c r="K142" s="246"/>
      <c r="L142" s="246"/>
      <c r="M142" s="246"/>
      <c r="N142" s="246"/>
      <c r="O142" s="246"/>
      <c r="P142" s="246"/>
      <c r="Q142" s="246"/>
      <c r="R142" s="246"/>
      <c r="S142" s="246"/>
      <c r="T142" s="246"/>
      <c r="U142" s="246"/>
      <c r="V142" s="246"/>
      <c r="W142" s="246"/>
      <c r="X142" s="246"/>
      <c r="Y142" s="246"/>
      <c r="Z142" s="246"/>
    </row>
    <row r="143" spans="1:26" ht="15.75" customHeight="1" x14ac:dyDescent="0.2">
      <c r="A143" s="246"/>
      <c r="B143" s="246"/>
      <c r="C143" s="246"/>
      <c r="D143" s="246"/>
      <c r="E143" s="246"/>
      <c r="F143" s="246"/>
      <c r="G143" s="246"/>
      <c r="H143" s="246"/>
      <c r="I143" s="246"/>
      <c r="J143" s="246"/>
      <c r="K143" s="246"/>
      <c r="L143" s="246"/>
      <c r="M143" s="246"/>
      <c r="N143" s="246"/>
      <c r="O143" s="246"/>
      <c r="P143" s="246"/>
      <c r="Q143" s="246"/>
      <c r="R143" s="246"/>
      <c r="S143" s="246"/>
      <c r="T143" s="246"/>
      <c r="U143" s="246"/>
      <c r="V143" s="246"/>
      <c r="W143" s="246"/>
      <c r="X143" s="246"/>
      <c r="Y143" s="246"/>
      <c r="Z143" s="246"/>
    </row>
    <row r="144" spans="1:26" ht="15.75" customHeight="1" x14ac:dyDescent="0.2">
      <c r="A144" s="246"/>
      <c r="B144" s="246"/>
      <c r="C144" s="246"/>
      <c r="D144" s="246"/>
      <c r="E144" s="246"/>
      <c r="F144" s="246"/>
      <c r="G144" s="246"/>
      <c r="H144" s="246"/>
      <c r="I144" s="246"/>
      <c r="J144" s="246"/>
      <c r="K144" s="246"/>
      <c r="L144" s="246"/>
      <c r="M144" s="246"/>
      <c r="N144" s="246"/>
      <c r="O144" s="246"/>
      <c r="P144" s="246"/>
      <c r="Q144" s="246"/>
      <c r="R144" s="246"/>
      <c r="S144" s="246"/>
      <c r="T144" s="246"/>
      <c r="U144" s="246"/>
      <c r="V144" s="246"/>
      <c r="W144" s="246"/>
      <c r="X144" s="246"/>
      <c r="Y144" s="246"/>
      <c r="Z144" s="246"/>
    </row>
    <row r="145" spans="1:26" ht="15.75" customHeight="1" x14ac:dyDescent="0.2">
      <c r="A145" s="246"/>
      <c r="B145" s="246"/>
      <c r="C145" s="246"/>
      <c r="D145" s="246"/>
      <c r="E145" s="246"/>
      <c r="F145" s="246"/>
      <c r="G145" s="246"/>
      <c r="H145" s="246"/>
      <c r="I145" s="246"/>
      <c r="J145" s="246"/>
      <c r="K145" s="246"/>
      <c r="L145" s="246"/>
      <c r="M145" s="246"/>
      <c r="N145" s="246"/>
      <c r="O145" s="246"/>
      <c r="P145" s="246"/>
      <c r="Q145" s="246"/>
      <c r="R145" s="246"/>
      <c r="S145" s="246"/>
      <c r="T145" s="246"/>
      <c r="U145" s="246"/>
      <c r="V145" s="246"/>
      <c r="W145" s="246"/>
      <c r="X145" s="246"/>
      <c r="Y145" s="246"/>
      <c r="Z145" s="246"/>
    </row>
    <row r="146" spans="1:26" ht="15.75" customHeight="1" x14ac:dyDescent="0.2">
      <c r="A146" s="246"/>
      <c r="B146" s="246"/>
      <c r="C146" s="246"/>
      <c r="D146" s="246"/>
      <c r="E146" s="246"/>
      <c r="F146" s="246"/>
      <c r="G146" s="246"/>
      <c r="H146" s="246"/>
      <c r="I146" s="246"/>
      <c r="J146" s="246"/>
      <c r="K146" s="246"/>
      <c r="L146" s="246"/>
      <c r="M146" s="246"/>
      <c r="N146" s="246"/>
      <c r="O146" s="246"/>
      <c r="P146" s="246"/>
      <c r="Q146" s="246"/>
      <c r="R146" s="246"/>
      <c r="S146" s="246"/>
      <c r="T146" s="246"/>
      <c r="U146" s="246"/>
      <c r="V146" s="246"/>
      <c r="W146" s="246"/>
      <c r="X146" s="246"/>
      <c r="Y146" s="246"/>
      <c r="Z146" s="246"/>
    </row>
    <row r="147" spans="1:26" ht="15.75" customHeight="1" x14ac:dyDescent="0.2">
      <c r="A147" s="246"/>
      <c r="B147" s="246"/>
      <c r="C147" s="246"/>
      <c r="D147" s="246"/>
      <c r="E147" s="246"/>
      <c r="F147" s="246"/>
      <c r="G147" s="246"/>
      <c r="H147" s="246"/>
      <c r="I147" s="246"/>
      <c r="J147" s="246"/>
      <c r="K147" s="246"/>
      <c r="L147" s="246"/>
      <c r="M147" s="246"/>
      <c r="N147" s="246"/>
      <c r="O147" s="246"/>
      <c r="P147" s="246"/>
      <c r="Q147" s="246"/>
      <c r="R147" s="246"/>
      <c r="S147" s="246"/>
      <c r="T147" s="246"/>
      <c r="U147" s="246"/>
      <c r="V147" s="246"/>
      <c r="W147" s="246"/>
      <c r="X147" s="246"/>
      <c r="Y147" s="246"/>
      <c r="Z147" s="246"/>
    </row>
    <row r="148" spans="1:26" ht="15.75" customHeight="1" x14ac:dyDescent="0.2">
      <c r="A148" s="246"/>
      <c r="B148" s="246"/>
      <c r="C148" s="246"/>
      <c r="D148" s="246"/>
      <c r="E148" s="246"/>
      <c r="F148" s="246"/>
      <c r="G148" s="246"/>
      <c r="H148" s="246"/>
      <c r="I148" s="246"/>
      <c r="J148" s="246"/>
      <c r="K148" s="246"/>
      <c r="L148" s="246"/>
      <c r="M148" s="246"/>
      <c r="N148" s="246"/>
      <c r="O148" s="246"/>
      <c r="P148" s="246"/>
      <c r="Q148" s="246"/>
      <c r="R148" s="246"/>
      <c r="S148" s="246"/>
      <c r="T148" s="246"/>
      <c r="U148" s="246"/>
      <c r="V148" s="246"/>
      <c r="W148" s="246"/>
      <c r="X148" s="246"/>
      <c r="Y148" s="246"/>
      <c r="Z148" s="246"/>
    </row>
    <row r="149" spans="1:26" ht="15.75" customHeight="1" x14ac:dyDescent="0.2">
      <c r="A149" s="246"/>
      <c r="B149" s="246"/>
      <c r="C149" s="246"/>
      <c r="D149" s="246"/>
      <c r="E149" s="246"/>
      <c r="F149" s="246"/>
      <c r="G149" s="246"/>
      <c r="H149" s="246"/>
      <c r="I149" s="246"/>
      <c r="J149" s="246"/>
      <c r="K149" s="246"/>
      <c r="L149" s="246"/>
      <c r="M149" s="246"/>
      <c r="N149" s="246"/>
      <c r="O149" s="246"/>
      <c r="P149" s="246"/>
      <c r="Q149" s="246"/>
      <c r="R149" s="246"/>
      <c r="S149" s="246"/>
      <c r="T149" s="246"/>
      <c r="U149" s="246"/>
      <c r="V149" s="246"/>
      <c r="W149" s="246"/>
      <c r="X149" s="246"/>
      <c r="Y149" s="246"/>
      <c r="Z149" s="246"/>
    </row>
    <row r="150" spans="1:26" ht="15.75" customHeight="1" x14ac:dyDescent="0.2">
      <c r="A150" s="246"/>
      <c r="B150" s="246"/>
      <c r="C150" s="246"/>
      <c r="D150" s="246"/>
      <c r="E150" s="246"/>
      <c r="F150" s="246"/>
      <c r="G150" s="246"/>
      <c r="H150" s="246"/>
      <c r="I150" s="246"/>
      <c r="J150" s="246"/>
      <c r="K150" s="246"/>
      <c r="L150" s="246"/>
      <c r="M150" s="246"/>
      <c r="N150" s="246"/>
      <c r="O150" s="246"/>
      <c r="P150" s="246"/>
      <c r="Q150" s="246"/>
      <c r="R150" s="246"/>
      <c r="S150" s="246"/>
      <c r="T150" s="246"/>
      <c r="U150" s="246"/>
      <c r="V150" s="246"/>
      <c r="W150" s="246"/>
      <c r="X150" s="246"/>
      <c r="Y150" s="246"/>
      <c r="Z150" s="246"/>
    </row>
    <row r="151" spans="1:26" ht="15.75" customHeight="1" x14ac:dyDescent="0.2">
      <c r="A151" s="246"/>
      <c r="B151" s="246"/>
      <c r="C151" s="246"/>
      <c r="D151" s="246"/>
      <c r="E151" s="246"/>
      <c r="F151" s="246"/>
      <c r="G151" s="246"/>
      <c r="H151" s="246"/>
      <c r="I151" s="246"/>
      <c r="J151" s="246"/>
      <c r="K151" s="246"/>
      <c r="L151" s="246"/>
      <c r="M151" s="246"/>
      <c r="N151" s="246"/>
      <c r="O151" s="246"/>
      <c r="P151" s="246"/>
      <c r="Q151" s="246"/>
      <c r="R151" s="246"/>
      <c r="S151" s="246"/>
      <c r="T151" s="246"/>
      <c r="U151" s="246"/>
      <c r="V151" s="246"/>
      <c r="W151" s="246"/>
      <c r="X151" s="246"/>
      <c r="Y151" s="246"/>
      <c r="Z151" s="246"/>
    </row>
    <row r="152" spans="1:26" ht="15.75" customHeight="1" x14ac:dyDescent="0.2">
      <c r="A152" s="246"/>
      <c r="B152" s="246"/>
      <c r="C152" s="246"/>
      <c r="D152" s="246"/>
      <c r="E152" s="246"/>
      <c r="F152" s="246"/>
      <c r="G152" s="246"/>
      <c r="H152" s="246"/>
      <c r="I152" s="246"/>
      <c r="J152" s="246"/>
      <c r="K152" s="246"/>
      <c r="L152" s="246"/>
      <c r="M152" s="246"/>
      <c r="N152" s="246"/>
      <c r="O152" s="246"/>
      <c r="P152" s="246"/>
      <c r="Q152" s="246"/>
      <c r="R152" s="246"/>
      <c r="S152" s="246"/>
      <c r="T152" s="246"/>
      <c r="U152" s="246"/>
      <c r="V152" s="246"/>
      <c r="W152" s="246"/>
      <c r="X152" s="246"/>
      <c r="Y152" s="246"/>
      <c r="Z152" s="246"/>
    </row>
    <row r="153" spans="1:26" ht="15.75" customHeight="1" x14ac:dyDescent="0.2">
      <c r="A153" s="246"/>
      <c r="B153" s="246"/>
      <c r="C153" s="246"/>
      <c r="D153" s="246"/>
      <c r="E153" s="246"/>
      <c r="F153" s="246"/>
      <c r="G153" s="246"/>
      <c r="H153" s="246"/>
      <c r="I153" s="246"/>
      <c r="J153" s="246"/>
      <c r="K153" s="246"/>
      <c r="L153" s="246"/>
      <c r="M153" s="246"/>
      <c r="N153" s="246"/>
      <c r="O153" s="246"/>
      <c r="P153" s="246"/>
      <c r="Q153" s="246"/>
      <c r="R153" s="246"/>
      <c r="S153" s="246"/>
      <c r="T153" s="246"/>
      <c r="U153" s="246"/>
      <c r="V153" s="246"/>
      <c r="W153" s="246"/>
      <c r="X153" s="246"/>
      <c r="Y153" s="246"/>
      <c r="Z153" s="246"/>
    </row>
    <row r="154" spans="1:26" ht="15.75" customHeight="1" x14ac:dyDescent="0.2">
      <c r="A154" s="246"/>
      <c r="B154" s="246"/>
      <c r="C154" s="246"/>
      <c r="D154" s="246"/>
      <c r="E154" s="246"/>
      <c r="F154" s="246"/>
      <c r="G154" s="246"/>
      <c r="H154" s="246"/>
      <c r="I154" s="246"/>
      <c r="J154" s="246"/>
      <c r="K154" s="246"/>
      <c r="L154" s="246"/>
      <c r="M154" s="246"/>
      <c r="N154" s="246"/>
      <c r="O154" s="246"/>
      <c r="P154" s="246"/>
      <c r="Q154" s="246"/>
      <c r="R154" s="246"/>
      <c r="S154" s="246"/>
      <c r="T154" s="246"/>
      <c r="U154" s="246"/>
      <c r="V154" s="246"/>
      <c r="W154" s="246"/>
      <c r="X154" s="246"/>
      <c r="Y154" s="246"/>
      <c r="Z154" s="246"/>
    </row>
    <row r="155" spans="1:26" ht="15.75" customHeight="1" x14ac:dyDescent="0.2">
      <c r="A155" s="246"/>
      <c r="B155" s="246"/>
      <c r="C155" s="246"/>
      <c r="D155" s="246"/>
      <c r="E155" s="246"/>
      <c r="F155" s="246"/>
      <c r="G155" s="246"/>
      <c r="H155" s="246"/>
      <c r="I155" s="246"/>
      <c r="J155" s="246"/>
      <c r="K155" s="246"/>
      <c r="L155" s="246"/>
      <c r="M155" s="246"/>
      <c r="N155" s="246"/>
      <c r="O155" s="246"/>
      <c r="P155" s="246"/>
      <c r="Q155" s="246"/>
      <c r="R155" s="246"/>
      <c r="S155" s="246"/>
      <c r="T155" s="246"/>
      <c r="U155" s="246"/>
      <c r="V155" s="246"/>
      <c r="W155" s="246"/>
      <c r="X155" s="246"/>
      <c r="Y155" s="246"/>
      <c r="Z155" s="246"/>
    </row>
    <row r="156" spans="1:26" ht="15.75" customHeight="1" x14ac:dyDescent="0.2">
      <c r="A156" s="246"/>
      <c r="B156" s="246"/>
      <c r="C156" s="246"/>
      <c r="D156" s="246"/>
      <c r="E156" s="246"/>
      <c r="F156" s="246"/>
      <c r="G156" s="246"/>
      <c r="H156" s="246"/>
      <c r="I156" s="246"/>
      <c r="J156" s="246"/>
      <c r="K156" s="246"/>
      <c r="L156" s="246"/>
      <c r="M156" s="246"/>
      <c r="N156" s="246"/>
      <c r="O156" s="246"/>
      <c r="P156" s="246"/>
      <c r="Q156" s="246"/>
      <c r="R156" s="246"/>
      <c r="S156" s="246"/>
      <c r="T156" s="246"/>
      <c r="U156" s="246"/>
      <c r="V156" s="246"/>
      <c r="W156" s="246"/>
      <c r="X156" s="246"/>
      <c r="Y156" s="246"/>
      <c r="Z156" s="246"/>
    </row>
    <row r="157" spans="1:26" ht="15.75" customHeight="1" x14ac:dyDescent="0.2">
      <c r="A157" s="246"/>
      <c r="B157" s="246"/>
      <c r="C157" s="246"/>
      <c r="D157" s="246"/>
      <c r="E157" s="246"/>
      <c r="F157" s="246"/>
      <c r="G157" s="246"/>
      <c r="H157" s="246"/>
      <c r="I157" s="246"/>
      <c r="J157" s="246"/>
      <c r="K157" s="246"/>
      <c r="L157" s="246"/>
      <c r="M157" s="246"/>
      <c r="N157" s="246"/>
      <c r="O157" s="246"/>
      <c r="P157" s="246"/>
      <c r="Q157" s="246"/>
      <c r="R157" s="246"/>
      <c r="S157" s="246"/>
      <c r="T157" s="246"/>
      <c r="U157" s="246"/>
      <c r="V157" s="246"/>
      <c r="W157" s="246"/>
      <c r="X157" s="246"/>
      <c r="Y157" s="246"/>
      <c r="Z157" s="246"/>
    </row>
    <row r="158" spans="1:26" ht="15.75" customHeight="1" x14ac:dyDescent="0.2">
      <c r="A158" s="246"/>
      <c r="B158" s="246"/>
      <c r="C158" s="246"/>
      <c r="D158" s="246"/>
      <c r="E158" s="246"/>
      <c r="F158" s="246"/>
      <c r="G158" s="246"/>
      <c r="H158" s="246"/>
      <c r="I158" s="246"/>
      <c r="J158" s="246"/>
      <c r="K158" s="246"/>
      <c r="L158" s="246"/>
      <c r="M158" s="246"/>
      <c r="N158" s="246"/>
      <c r="O158" s="246"/>
      <c r="P158" s="246"/>
      <c r="Q158" s="246"/>
      <c r="R158" s="246"/>
      <c r="S158" s="246"/>
      <c r="T158" s="246"/>
      <c r="U158" s="246"/>
      <c r="V158" s="246"/>
      <c r="W158" s="246"/>
      <c r="X158" s="246"/>
      <c r="Y158" s="246"/>
      <c r="Z158" s="246"/>
    </row>
    <row r="159" spans="1:26" ht="15.75" customHeight="1" x14ac:dyDescent="0.2">
      <c r="A159" s="246"/>
      <c r="B159" s="246"/>
      <c r="C159" s="246"/>
      <c r="D159" s="246"/>
      <c r="E159" s="246"/>
      <c r="F159" s="246"/>
      <c r="G159" s="246"/>
      <c r="H159" s="246"/>
      <c r="I159" s="246"/>
      <c r="J159" s="246"/>
      <c r="K159" s="246"/>
      <c r="L159" s="246"/>
      <c r="M159" s="246"/>
      <c r="N159" s="246"/>
      <c r="O159" s="246"/>
      <c r="P159" s="246"/>
      <c r="Q159" s="246"/>
      <c r="R159" s="246"/>
      <c r="S159" s="246"/>
      <c r="T159" s="246"/>
      <c r="U159" s="246"/>
      <c r="V159" s="246"/>
      <c r="W159" s="246"/>
      <c r="X159" s="246"/>
      <c r="Y159" s="246"/>
      <c r="Z159" s="246"/>
    </row>
    <row r="160" spans="1:26" ht="15.75" customHeight="1" x14ac:dyDescent="0.2">
      <c r="A160" s="246"/>
      <c r="B160" s="246"/>
      <c r="C160" s="246"/>
      <c r="D160" s="246"/>
      <c r="E160" s="246"/>
      <c r="F160" s="246"/>
      <c r="G160" s="246"/>
      <c r="H160" s="246"/>
      <c r="I160" s="246"/>
      <c r="J160" s="246"/>
      <c r="K160" s="246"/>
      <c r="L160" s="246"/>
      <c r="M160" s="246"/>
      <c r="N160" s="246"/>
      <c r="O160" s="246"/>
      <c r="P160" s="246"/>
      <c r="Q160" s="246"/>
      <c r="R160" s="246"/>
      <c r="S160" s="246"/>
      <c r="T160" s="246"/>
      <c r="U160" s="246"/>
      <c r="V160" s="246"/>
      <c r="W160" s="246"/>
      <c r="X160" s="246"/>
      <c r="Y160" s="246"/>
      <c r="Z160" s="246"/>
    </row>
    <row r="161" spans="1:26" ht="15.75" customHeight="1" x14ac:dyDescent="0.2">
      <c r="A161" s="246"/>
      <c r="B161" s="246"/>
      <c r="C161" s="246"/>
      <c r="D161" s="246"/>
      <c r="E161" s="246"/>
      <c r="F161" s="246"/>
      <c r="G161" s="246"/>
      <c r="H161" s="246"/>
      <c r="I161" s="246"/>
      <c r="J161" s="246"/>
      <c r="K161" s="246"/>
      <c r="L161" s="246"/>
      <c r="M161" s="246"/>
      <c r="N161" s="246"/>
      <c r="O161" s="246"/>
      <c r="P161" s="246"/>
      <c r="Q161" s="246"/>
      <c r="R161" s="246"/>
      <c r="S161" s="246"/>
      <c r="T161" s="246"/>
      <c r="U161" s="246"/>
      <c r="V161" s="246"/>
      <c r="W161" s="246"/>
      <c r="X161" s="246"/>
      <c r="Y161" s="246"/>
      <c r="Z161" s="246"/>
    </row>
    <row r="162" spans="1:26" ht="15.75" customHeight="1" x14ac:dyDescent="0.2">
      <c r="A162" s="246"/>
      <c r="B162" s="246"/>
      <c r="C162" s="246"/>
      <c r="D162" s="246"/>
      <c r="E162" s="246"/>
      <c r="F162" s="246"/>
      <c r="G162" s="246"/>
      <c r="H162" s="246"/>
      <c r="I162" s="246"/>
      <c r="J162" s="246"/>
      <c r="K162" s="246"/>
      <c r="L162" s="246"/>
      <c r="M162" s="246"/>
      <c r="N162" s="246"/>
      <c r="O162" s="246"/>
      <c r="P162" s="246"/>
      <c r="Q162" s="246"/>
      <c r="R162" s="246"/>
      <c r="S162" s="246"/>
      <c r="T162" s="246"/>
      <c r="U162" s="246"/>
      <c r="V162" s="246"/>
      <c r="W162" s="246"/>
      <c r="X162" s="246"/>
      <c r="Y162" s="246"/>
      <c r="Z162" s="246"/>
    </row>
    <row r="163" spans="1:26" ht="15.75" customHeight="1" x14ac:dyDescent="0.2">
      <c r="A163" s="246"/>
      <c r="B163" s="246"/>
      <c r="C163" s="246"/>
      <c r="D163" s="246"/>
      <c r="E163" s="246"/>
      <c r="F163" s="246"/>
      <c r="G163" s="246"/>
      <c r="H163" s="246"/>
      <c r="I163" s="246"/>
      <c r="J163" s="246"/>
      <c r="K163" s="246"/>
      <c r="L163" s="246"/>
      <c r="M163" s="246"/>
      <c r="N163" s="246"/>
      <c r="O163" s="246"/>
      <c r="P163" s="246"/>
      <c r="Q163" s="246"/>
      <c r="R163" s="246"/>
      <c r="S163" s="246"/>
      <c r="T163" s="246"/>
      <c r="U163" s="246"/>
      <c r="V163" s="246"/>
      <c r="W163" s="246"/>
      <c r="X163" s="246"/>
      <c r="Y163" s="246"/>
      <c r="Z163" s="246"/>
    </row>
    <row r="164" spans="1:26" ht="15.75" customHeight="1" x14ac:dyDescent="0.2">
      <c r="A164" s="246"/>
      <c r="B164" s="246"/>
      <c r="C164" s="246"/>
      <c r="D164" s="246"/>
      <c r="E164" s="246"/>
      <c r="F164" s="246"/>
      <c r="G164" s="246"/>
      <c r="H164" s="246"/>
      <c r="I164" s="246"/>
      <c r="J164" s="246"/>
      <c r="K164" s="246"/>
      <c r="L164" s="246"/>
      <c r="M164" s="246"/>
      <c r="N164" s="246"/>
      <c r="O164" s="246"/>
      <c r="P164" s="246"/>
      <c r="Q164" s="246"/>
      <c r="R164" s="246"/>
      <c r="S164" s="246"/>
      <c r="T164" s="246"/>
      <c r="U164" s="246"/>
      <c r="V164" s="246"/>
      <c r="W164" s="246"/>
      <c r="X164" s="246"/>
      <c r="Y164" s="246"/>
      <c r="Z164" s="246"/>
    </row>
    <row r="165" spans="1:26" ht="15.75" customHeight="1" x14ac:dyDescent="0.2">
      <c r="A165" s="246"/>
      <c r="B165" s="246"/>
      <c r="C165" s="246"/>
      <c r="D165" s="246"/>
      <c r="E165" s="246"/>
      <c r="F165" s="246"/>
      <c r="G165" s="246"/>
      <c r="H165" s="246"/>
      <c r="I165" s="246"/>
      <c r="J165" s="246"/>
      <c r="K165" s="246"/>
      <c r="L165" s="246"/>
      <c r="M165" s="246"/>
      <c r="N165" s="246"/>
      <c r="O165" s="246"/>
      <c r="P165" s="246"/>
      <c r="Q165" s="246"/>
      <c r="R165" s="246"/>
      <c r="S165" s="246"/>
      <c r="T165" s="246"/>
      <c r="U165" s="246"/>
      <c r="V165" s="246"/>
      <c r="W165" s="246"/>
      <c r="X165" s="246"/>
      <c r="Y165" s="246"/>
      <c r="Z165" s="246"/>
    </row>
    <row r="166" spans="1:26" ht="15.75" customHeight="1" x14ac:dyDescent="0.2">
      <c r="A166" s="246"/>
      <c r="B166" s="246"/>
      <c r="C166" s="246"/>
      <c r="D166" s="246"/>
      <c r="E166" s="246"/>
      <c r="F166" s="246"/>
      <c r="G166" s="246"/>
      <c r="H166" s="246"/>
      <c r="I166" s="246"/>
      <c r="J166" s="246"/>
      <c r="K166" s="246"/>
      <c r="L166" s="246"/>
      <c r="M166" s="246"/>
      <c r="N166" s="246"/>
      <c r="O166" s="246"/>
      <c r="P166" s="246"/>
      <c r="Q166" s="246"/>
      <c r="R166" s="246"/>
      <c r="S166" s="246"/>
      <c r="T166" s="246"/>
      <c r="U166" s="246"/>
      <c r="V166" s="246"/>
      <c r="W166" s="246"/>
      <c r="X166" s="246"/>
      <c r="Y166" s="246"/>
      <c r="Z166" s="246"/>
    </row>
    <row r="167" spans="1:26" ht="15.75" customHeight="1" x14ac:dyDescent="0.2">
      <c r="A167" s="246"/>
      <c r="B167" s="246"/>
      <c r="C167" s="246"/>
      <c r="D167" s="246"/>
      <c r="E167" s="246"/>
      <c r="F167" s="246"/>
      <c r="G167" s="246"/>
      <c r="H167" s="246"/>
      <c r="I167" s="246"/>
      <c r="J167" s="246"/>
      <c r="K167" s="246"/>
      <c r="L167" s="246"/>
      <c r="M167" s="246"/>
      <c r="N167" s="246"/>
      <c r="O167" s="246"/>
      <c r="P167" s="246"/>
      <c r="Q167" s="246"/>
      <c r="R167" s="246"/>
      <c r="S167" s="246"/>
      <c r="T167" s="246"/>
      <c r="U167" s="246"/>
      <c r="V167" s="246"/>
      <c r="W167" s="246"/>
      <c r="X167" s="246"/>
      <c r="Y167" s="246"/>
      <c r="Z167" s="246"/>
    </row>
    <row r="168" spans="1:26" ht="15.75" customHeight="1" x14ac:dyDescent="0.2">
      <c r="A168" s="246"/>
      <c r="B168" s="246"/>
      <c r="C168" s="246"/>
      <c r="D168" s="246"/>
      <c r="E168" s="246"/>
      <c r="F168" s="246"/>
      <c r="G168" s="246"/>
      <c r="H168" s="246"/>
      <c r="I168" s="246"/>
      <c r="J168" s="246"/>
      <c r="K168" s="246"/>
      <c r="L168" s="246"/>
      <c r="M168" s="246"/>
      <c r="N168" s="246"/>
      <c r="O168" s="246"/>
      <c r="P168" s="246"/>
      <c r="Q168" s="246"/>
      <c r="R168" s="246"/>
      <c r="S168" s="246"/>
      <c r="T168" s="246"/>
      <c r="U168" s="246"/>
      <c r="V168" s="246"/>
      <c r="W168" s="246"/>
      <c r="X168" s="246"/>
      <c r="Y168" s="246"/>
      <c r="Z168" s="246"/>
    </row>
    <row r="169" spans="1:26" ht="15.75" customHeight="1" x14ac:dyDescent="0.2">
      <c r="A169" s="246"/>
      <c r="B169" s="246"/>
      <c r="C169" s="246"/>
      <c r="D169" s="246"/>
      <c r="E169" s="246"/>
      <c r="F169" s="246"/>
      <c r="G169" s="246"/>
      <c r="H169" s="246"/>
      <c r="I169" s="246"/>
      <c r="J169" s="246"/>
      <c r="K169" s="246"/>
      <c r="L169" s="246"/>
      <c r="M169" s="246"/>
      <c r="N169" s="246"/>
      <c r="O169" s="246"/>
      <c r="P169" s="246"/>
      <c r="Q169" s="246"/>
      <c r="R169" s="246"/>
      <c r="S169" s="246"/>
      <c r="T169" s="246"/>
      <c r="U169" s="246"/>
      <c r="V169" s="246"/>
      <c r="W169" s="246"/>
      <c r="X169" s="246"/>
      <c r="Y169" s="246"/>
      <c r="Z169" s="246"/>
    </row>
    <row r="170" spans="1:26" ht="15.75" customHeight="1" x14ac:dyDescent="0.2">
      <c r="A170" s="246"/>
      <c r="B170" s="246"/>
      <c r="C170" s="246"/>
      <c r="D170" s="246"/>
      <c r="E170" s="246"/>
      <c r="F170" s="246"/>
      <c r="G170" s="246"/>
      <c r="H170" s="246"/>
      <c r="I170" s="246"/>
      <c r="J170" s="246"/>
      <c r="K170" s="246"/>
      <c r="L170" s="246"/>
      <c r="M170" s="246"/>
      <c r="N170" s="246"/>
      <c r="O170" s="246"/>
      <c r="P170" s="246"/>
      <c r="Q170" s="246"/>
      <c r="R170" s="246"/>
      <c r="S170" s="246"/>
      <c r="T170" s="246"/>
      <c r="U170" s="246"/>
      <c r="V170" s="246"/>
      <c r="W170" s="246"/>
      <c r="X170" s="246"/>
      <c r="Y170" s="246"/>
      <c r="Z170" s="246"/>
    </row>
    <row r="171" spans="1:26" ht="15.75" customHeight="1" x14ac:dyDescent="0.2">
      <c r="A171" s="246"/>
      <c r="B171" s="246"/>
      <c r="C171" s="246"/>
      <c r="D171" s="246"/>
      <c r="E171" s="246"/>
      <c r="F171" s="246"/>
      <c r="G171" s="246"/>
      <c r="H171" s="246"/>
      <c r="I171" s="246"/>
      <c r="J171" s="246"/>
      <c r="K171" s="246"/>
      <c r="L171" s="246"/>
      <c r="M171" s="246"/>
      <c r="N171" s="246"/>
      <c r="O171" s="246"/>
      <c r="P171" s="246"/>
      <c r="Q171" s="246"/>
      <c r="R171" s="246"/>
      <c r="S171" s="246"/>
      <c r="T171" s="246"/>
      <c r="U171" s="246"/>
      <c r="V171" s="246"/>
      <c r="W171" s="246"/>
      <c r="X171" s="246"/>
      <c r="Y171" s="246"/>
      <c r="Z171" s="246"/>
    </row>
    <row r="172" spans="1:26" ht="15.75" customHeight="1" x14ac:dyDescent="0.2">
      <c r="A172" s="246"/>
      <c r="B172" s="246"/>
      <c r="C172" s="246"/>
      <c r="D172" s="246"/>
      <c r="E172" s="246"/>
      <c r="F172" s="246"/>
      <c r="G172" s="246"/>
      <c r="H172" s="246"/>
      <c r="I172" s="246"/>
      <c r="J172" s="246"/>
      <c r="K172" s="246"/>
      <c r="L172" s="246"/>
      <c r="M172" s="246"/>
      <c r="N172" s="246"/>
      <c r="O172" s="246"/>
      <c r="P172" s="246"/>
      <c r="Q172" s="246"/>
      <c r="R172" s="246"/>
      <c r="S172" s="246"/>
      <c r="T172" s="246"/>
      <c r="U172" s="246"/>
      <c r="V172" s="246"/>
      <c r="W172" s="246"/>
      <c r="X172" s="246"/>
      <c r="Y172" s="246"/>
      <c r="Z172" s="246"/>
    </row>
    <row r="173" spans="1:26" ht="15.75" customHeight="1" x14ac:dyDescent="0.2">
      <c r="A173" s="246"/>
      <c r="B173" s="246"/>
      <c r="C173" s="246"/>
      <c r="D173" s="246"/>
      <c r="E173" s="246"/>
      <c r="F173" s="246"/>
      <c r="G173" s="246"/>
      <c r="H173" s="246"/>
      <c r="I173" s="246"/>
      <c r="J173" s="246"/>
      <c r="K173" s="246"/>
      <c r="L173" s="246"/>
      <c r="M173" s="246"/>
      <c r="N173" s="246"/>
      <c r="O173" s="246"/>
      <c r="P173" s="246"/>
      <c r="Q173" s="246"/>
      <c r="R173" s="246"/>
      <c r="S173" s="246"/>
      <c r="T173" s="246"/>
      <c r="U173" s="246"/>
      <c r="V173" s="246"/>
      <c r="W173" s="246"/>
      <c r="X173" s="246"/>
      <c r="Y173" s="246"/>
      <c r="Z173" s="246"/>
    </row>
    <row r="174" spans="1:26" ht="15.75" customHeight="1" x14ac:dyDescent="0.2">
      <c r="A174" s="246"/>
      <c r="B174" s="246"/>
      <c r="C174" s="246"/>
      <c r="D174" s="246"/>
      <c r="E174" s="246"/>
      <c r="F174" s="246"/>
      <c r="G174" s="246"/>
      <c r="H174" s="246"/>
      <c r="I174" s="246"/>
      <c r="J174" s="246"/>
      <c r="K174" s="246"/>
      <c r="L174" s="246"/>
      <c r="M174" s="246"/>
      <c r="N174" s="246"/>
      <c r="O174" s="246"/>
      <c r="P174" s="246"/>
      <c r="Q174" s="246"/>
      <c r="R174" s="246"/>
      <c r="S174" s="246"/>
      <c r="T174" s="246"/>
      <c r="U174" s="246"/>
      <c r="V174" s="246"/>
      <c r="W174" s="246"/>
      <c r="X174" s="246"/>
      <c r="Y174" s="246"/>
      <c r="Z174" s="246"/>
    </row>
    <row r="175" spans="1:26" ht="15.75" customHeight="1" x14ac:dyDescent="0.2">
      <c r="A175" s="246"/>
      <c r="B175" s="246"/>
      <c r="C175" s="246"/>
      <c r="D175" s="246"/>
      <c r="E175" s="246"/>
      <c r="F175" s="246"/>
      <c r="G175" s="246"/>
      <c r="H175" s="246"/>
      <c r="I175" s="246"/>
      <c r="J175" s="246"/>
      <c r="K175" s="246"/>
      <c r="L175" s="246"/>
      <c r="M175" s="246"/>
      <c r="N175" s="246"/>
      <c r="O175" s="246"/>
      <c r="P175" s="246"/>
      <c r="Q175" s="246"/>
      <c r="R175" s="246"/>
      <c r="S175" s="246"/>
      <c r="T175" s="246"/>
      <c r="U175" s="246"/>
      <c r="V175" s="246"/>
      <c r="W175" s="246"/>
      <c r="X175" s="246"/>
      <c r="Y175" s="246"/>
      <c r="Z175" s="246"/>
    </row>
    <row r="176" spans="1:26" ht="15.75" customHeight="1" x14ac:dyDescent="0.2">
      <c r="A176" s="246"/>
      <c r="B176" s="246"/>
      <c r="C176" s="246"/>
      <c r="D176" s="246"/>
      <c r="E176" s="246"/>
      <c r="F176" s="246"/>
      <c r="G176" s="246"/>
      <c r="H176" s="246"/>
      <c r="I176" s="246"/>
      <c r="J176" s="246"/>
      <c r="K176" s="246"/>
      <c r="L176" s="246"/>
      <c r="M176" s="246"/>
      <c r="N176" s="246"/>
      <c r="O176" s="246"/>
      <c r="P176" s="246"/>
      <c r="Q176" s="246"/>
      <c r="R176" s="246"/>
      <c r="S176" s="246"/>
      <c r="T176" s="246"/>
      <c r="U176" s="246"/>
      <c r="V176" s="246"/>
      <c r="W176" s="246"/>
      <c r="X176" s="246"/>
      <c r="Y176" s="246"/>
      <c r="Z176" s="246"/>
    </row>
    <row r="177" spans="1:26" ht="15.75" customHeight="1" x14ac:dyDescent="0.2">
      <c r="A177" s="246"/>
      <c r="B177" s="246"/>
      <c r="C177" s="246"/>
      <c r="D177" s="246"/>
      <c r="E177" s="246"/>
      <c r="F177" s="246"/>
      <c r="G177" s="246"/>
      <c r="H177" s="246"/>
      <c r="I177" s="246"/>
      <c r="J177" s="246"/>
      <c r="K177" s="246"/>
      <c r="L177" s="246"/>
      <c r="M177" s="246"/>
      <c r="N177" s="246"/>
      <c r="O177" s="246"/>
      <c r="P177" s="246"/>
      <c r="Q177" s="246"/>
      <c r="R177" s="246"/>
      <c r="S177" s="246"/>
      <c r="T177" s="246"/>
      <c r="U177" s="246"/>
      <c r="V177" s="246"/>
      <c r="W177" s="246"/>
      <c r="X177" s="246"/>
      <c r="Y177" s="246"/>
      <c r="Z177" s="246"/>
    </row>
    <row r="178" spans="1:26" ht="15.75" customHeight="1" x14ac:dyDescent="0.2">
      <c r="A178" s="246"/>
      <c r="B178" s="246"/>
      <c r="C178" s="246"/>
      <c r="D178" s="246"/>
      <c r="E178" s="246"/>
      <c r="F178" s="246"/>
      <c r="G178" s="246"/>
      <c r="H178" s="246"/>
      <c r="I178" s="246"/>
      <c r="J178" s="246"/>
      <c r="K178" s="246"/>
      <c r="L178" s="246"/>
      <c r="M178" s="246"/>
      <c r="N178" s="246"/>
      <c r="O178" s="246"/>
      <c r="P178" s="246"/>
      <c r="Q178" s="246"/>
      <c r="R178" s="246"/>
      <c r="S178" s="246"/>
      <c r="T178" s="246"/>
      <c r="U178" s="246"/>
      <c r="V178" s="246"/>
      <c r="W178" s="246"/>
      <c r="X178" s="246"/>
      <c r="Y178" s="246"/>
      <c r="Z178" s="246"/>
    </row>
    <row r="179" spans="1:26" ht="15.75" customHeight="1" x14ac:dyDescent="0.2">
      <c r="A179" s="246"/>
      <c r="B179" s="246"/>
      <c r="C179" s="246"/>
      <c r="D179" s="246"/>
      <c r="E179" s="246"/>
      <c r="F179" s="246"/>
      <c r="G179" s="246"/>
      <c r="H179" s="246"/>
      <c r="I179" s="246"/>
      <c r="J179" s="246"/>
      <c r="K179" s="246"/>
      <c r="L179" s="246"/>
      <c r="M179" s="246"/>
      <c r="N179" s="246"/>
      <c r="O179" s="246"/>
      <c r="P179" s="246"/>
      <c r="Q179" s="246"/>
      <c r="R179" s="246"/>
      <c r="S179" s="246"/>
      <c r="T179" s="246"/>
      <c r="U179" s="246"/>
      <c r="V179" s="246"/>
      <c r="W179" s="246"/>
      <c r="X179" s="246"/>
      <c r="Y179" s="246"/>
      <c r="Z179" s="246"/>
    </row>
    <row r="180" spans="1:26" ht="15.75" customHeight="1" x14ac:dyDescent="0.2">
      <c r="A180" s="246"/>
      <c r="B180" s="246"/>
      <c r="C180" s="246"/>
      <c r="D180" s="246"/>
      <c r="E180" s="246"/>
      <c r="F180" s="246"/>
      <c r="G180" s="246"/>
      <c r="H180" s="246"/>
      <c r="I180" s="246"/>
      <c r="J180" s="246"/>
      <c r="K180" s="246"/>
      <c r="L180" s="246"/>
      <c r="M180" s="246"/>
      <c r="N180" s="246"/>
      <c r="O180" s="246"/>
      <c r="P180" s="246"/>
      <c r="Q180" s="246"/>
      <c r="R180" s="246"/>
      <c r="S180" s="246"/>
      <c r="T180" s="246"/>
      <c r="U180" s="246"/>
      <c r="V180" s="246"/>
      <c r="W180" s="246"/>
      <c r="X180" s="246"/>
      <c r="Y180" s="246"/>
      <c r="Z180" s="246"/>
    </row>
    <row r="181" spans="1:26" ht="15.75" customHeight="1" x14ac:dyDescent="0.2">
      <c r="A181" s="246"/>
      <c r="B181" s="246"/>
      <c r="C181" s="246"/>
      <c r="D181" s="246"/>
      <c r="E181" s="246"/>
      <c r="F181" s="246"/>
      <c r="G181" s="246"/>
      <c r="H181" s="246"/>
      <c r="I181" s="246"/>
      <c r="J181" s="246"/>
      <c r="K181" s="246"/>
      <c r="L181" s="246"/>
      <c r="M181" s="246"/>
      <c r="N181" s="246"/>
      <c r="O181" s="246"/>
      <c r="P181" s="246"/>
      <c r="Q181" s="246"/>
      <c r="R181" s="246"/>
      <c r="S181" s="246"/>
      <c r="T181" s="246"/>
      <c r="U181" s="246"/>
      <c r="V181" s="246"/>
      <c r="W181" s="246"/>
      <c r="X181" s="246"/>
      <c r="Y181" s="246"/>
      <c r="Z181" s="246"/>
    </row>
    <row r="182" spans="1:26" ht="15.75" customHeight="1" x14ac:dyDescent="0.2">
      <c r="A182" s="246"/>
      <c r="B182" s="246"/>
      <c r="C182" s="246"/>
      <c r="D182" s="246"/>
      <c r="E182" s="246"/>
      <c r="F182" s="246"/>
      <c r="G182" s="246"/>
      <c r="H182" s="246"/>
      <c r="I182" s="246"/>
      <c r="J182" s="246"/>
      <c r="K182" s="246"/>
      <c r="L182" s="246"/>
      <c r="M182" s="246"/>
      <c r="N182" s="246"/>
      <c r="O182" s="246"/>
      <c r="P182" s="246"/>
      <c r="Q182" s="246"/>
      <c r="R182" s="246"/>
      <c r="S182" s="246"/>
      <c r="T182" s="246"/>
      <c r="U182" s="246"/>
      <c r="V182" s="246"/>
      <c r="W182" s="246"/>
      <c r="X182" s="246"/>
      <c r="Y182" s="246"/>
      <c r="Z182" s="246"/>
    </row>
    <row r="183" spans="1:26" ht="15.75" customHeight="1" x14ac:dyDescent="0.2">
      <c r="A183" s="246"/>
      <c r="B183" s="246"/>
      <c r="C183" s="246"/>
      <c r="D183" s="246"/>
      <c r="E183" s="246"/>
      <c r="F183" s="246"/>
      <c r="G183" s="246"/>
      <c r="H183" s="246"/>
      <c r="I183" s="246"/>
      <c r="J183" s="246"/>
      <c r="K183" s="246"/>
      <c r="L183" s="246"/>
      <c r="M183" s="246"/>
      <c r="N183" s="246"/>
      <c r="O183" s="246"/>
      <c r="P183" s="246"/>
      <c r="Q183" s="246"/>
      <c r="R183" s="246"/>
      <c r="S183" s="246"/>
      <c r="T183" s="246"/>
      <c r="U183" s="246"/>
      <c r="V183" s="246"/>
      <c r="W183" s="246"/>
      <c r="X183" s="246"/>
      <c r="Y183" s="246"/>
      <c r="Z183" s="246"/>
    </row>
    <row r="184" spans="1:26" ht="15.75" customHeight="1" x14ac:dyDescent="0.2">
      <c r="A184" s="246"/>
      <c r="B184" s="246"/>
      <c r="C184" s="246"/>
      <c r="D184" s="246"/>
      <c r="E184" s="246"/>
      <c r="F184" s="246"/>
      <c r="G184" s="246"/>
      <c r="H184" s="246"/>
      <c r="I184" s="246"/>
      <c r="J184" s="246"/>
      <c r="K184" s="246"/>
      <c r="L184" s="246"/>
      <c r="M184" s="246"/>
      <c r="N184" s="246"/>
      <c r="O184" s="246"/>
      <c r="P184" s="246"/>
      <c r="Q184" s="246"/>
      <c r="R184" s="246"/>
      <c r="S184" s="246"/>
      <c r="T184" s="246"/>
      <c r="U184" s="246"/>
      <c r="V184" s="246"/>
      <c r="W184" s="246"/>
      <c r="X184" s="246"/>
      <c r="Y184" s="246"/>
      <c r="Z184" s="246"/>
    </row>
    <row r="185" spans="1:26" ht="15.75" customHeight="1" x14ac:dyDescent="0.2">
      <c r="A185" s="246"/>
      <c r="B185" s="246"/>
      <c r="C185" s="246"/>
      <c r="D185" s="246"/>
      <c r="E185" s="246"/>
      <c r="F185" s="246"/>
      <c r="G185" s="246"/>
      <c r="H185" s="246"/>
      <c r="I185" s="246"/>
      <c r="J185" s="246"/>
      <c r="K185" s="246"/>
      <c r="L185" s="246"/>
      <c r="M185" s="246"/>
      <c r="N185" s="246"/>
      <c r="O185" s="246"/>
      <c r="P185" s="246"/>
      <c r="Q185" s="246"/>
      <c r="R185" s="246"/>
      <c r="S185" s="246"/>
      <c r="T185" s="246"/>
      <c r="U185" s="246"/>
      <c r="V185" s="246"/>
      <c r="W185" s="246"/>
      <c r="X185" s="246"/>
      <c r="Y185" s="246"/>
      <c r="Z185" s="246"/>
    </row>
    <row r="186" spans="1:26" ht="15.75" customHeight="1" x14ac:dyDescent="0.2">
      <c r="A186" s="246"/>
      <c r="B186" s="246"/>
      <c r="C186" s="246"/>
      <c r="D186" s="246"/>
      <c r="E186" s="246"/>
      <c r="F186" s="246"/>
      <c r="G186" s="246"/>
      <c r="H186" s="246"/>
      <c r="I186" s="246"/>
      <c r="J186" s="246"/>
      <c r="K186" s="246"/>
      <c r="L186" s="246"/>
      <c r="M186" s="246"/>
      <c r="N186" s="246"/>
      <c r="O186" s="246"/>
      <c r="P186" s="246"/>
      <c r="Q186" s="246"/>
      <c r="R186" s="246"/>
      <c r="S186" s="246"/>
      <c r="T186" s="246"/>
      <c r="U186" s="246"/>
      <c r="V186" s="246"/>
      <c r="W186" s="246"/>
      <c r="X186" s="246"/>
      <c r="Y186" s="246"/>
      <c r="Z186" s="246"/>
    </row>
    <row r="187" spans="1:26" ht="15.75" customHeight="1" x14ac:dyDescent="0.2">
      <c r="A187" s="246"/>
      <c r="B187" s="246"/>
      <c r="C187" s="246"/>
      <c r="D187" s="246"/>
      <c r="E187" s="246"/>
      <c r="F187" s="246"/>
      <c r="G187" s="246"/>
      <c r="H187" s="246"/>
      <c r="I187" s="246"/>
      <c r="J187" s="246"/>
      <c r="K187" s="246"/>
      <c r="L187" s="246"/>
      <c r="M187" s="246"/>
      <c r="N187" s="246"/>
      <c r="O187" s="246"/>
      <c r="P187" s="246"/>
      <c r="Q187" s="246"/>
      <c r="R187" s="246"/>
      <c r="S187" s="246"/>
      <c r="T187" s="246"/>
      <c r="U187" s="246"/>
      <c r="V187" s="246"/>
      <c r="W187" s="246"/>
      <c r="X187" s="246"/>
      <c r="Y187" s="246"/>
      <c r="Z187" s="246"/>
    </row>
    <row r="188" spans="1:26" ht="15.75" customHeight="1" x14ac:dyDescent="0.2">
      <c r="A188" s="246"/>
      <c r="B188" s="246"/>
      <c r="C188" s="246"/>
      <c r="D188" s="246"/>
      <c r="E188" s="246"/>
      <c r="F188" s="246"/>
      <c r="G188" s="246"/>
      <c r="H188" s="246"/>
      <c r="I188" s="246"/>
      <c r="J188" s="246"/>
      <c r="K188" s="246"/>
      <c r="L188" s="246"/>
      <c r="M188" s="246"/>
      <c r="N188" s="246"/>
      <c r="O188" s="246"/>
      <c r="P188" s="246"/>
      <c r="Q188" s="246"/>
      <c r="R188" s="246"/>
      <c r="S188" s="246"/>
      <c r="T188" s="246"/>
      <c r="U188" s="246"/>
      <c r="V188" s="246"/>
      <c r="W188" s="246"/>
      <c r="X188" s="246"/>
      <c r="Y188" s="246"/>
      <c r="Z188" s="246"/>
    </row>
    <row r="189" spans="1:26" ht="15.75" customHeight="1" x14ac:dyDescent="0.2">
      <c r="A189" s="246"/>
      <c r="B189" s="246"/>
      <c r="C189" s="246"/>
      <c r="D189" s="246"/>
      <c r="E189" s="246"/>
      <c r="F189" s="246"/>
      <c r="G189" s="246"/>
      <c r="H189" s="246"/>
      <c r="I189" s="246"/>
      <c r="J189" s="246"/>
      <c r="K189" s="246"/>
      <c r="L189" s="246"/>
      <c r="M189" s="246"/>
      <c r="N189" s="246"/>
      <c r="O189" s="246"/>
      <c r="P189" s="246"/>
      <c r="Q189" s="246"/>
      <c r="R189" s="246"/>
      <c r="S189" s="246"/>
      <c r="T189" s="246"/>
      <c r="U189" s="246"/>
      <c r="V189" s="246"/>
      <c r="W189" s="246"/>
      <c r="X189" s="246"/>
      <c r="Y189" s="246"/>
      <c r="Z189" s="246"/>
    </row>
    <row r="190" spans="1:26" ht="15.75" customHeight="1" x14ac:dyDescent="0.2">
      <c r="A190" s="246"/>
      <c r="B190" s="246"/>
      <c r="C190" s="246"/>
      <c r="D190" s="246"/>
      <c r="E190" s="246"/>
      <c r="F190" s="246"/>
      <c r="G190" s="246"/>
      <c r="H190" s="246"/>
      <c r="I190" s="246"/>
      <c r="J190" s="246"/>
      <c r="K190" s="246"/>
      <c r="L190" s="246"/>
      <c r="M190" s="246"/>
      <c r="N190" s="246"/>
      <c r="O190" s="246"/>
      <c r="P190" s="246"/>
      <c r="Q190" s="246"/>
      <c r="R190" s="246"/>
      <c r="S190" s="246"/>
      <c r="T190" s="246"/>
      <c r="U190" s="246"/>
      <c r="V190" s="246"/>
      <c r="W190" s="246"/>
      <c r="X190" s="246"/>
      <c r="Y190" s="246"/>
      <c r="Z190" s="246"/>
    </row>
    <row r="191" spans="1:26" ht="15.75" customHeight="1" x14ac:dyDescent="0.2">
      <c r="A191" s="246"/>
      <c r="B191" s="246"/>
      <c r="C191" s="246"/>
      <c r="D191" s="246"/>
      <c r="E191" s="246"/>
      <c r="F191" s="246"/>
      <c r="G191" s="246"/>
      <c r="H191" s="246"/>
      <c r="I191" s="246"/>
      <c r="J191" s="246"/>
      <c r="K191" s="246"/>
      <c r="L191" s="246"/>
      <c r="M191" s="246"/>
      <c r="N191" s="246"/>
      <c r="O191" s="246"/>
      <c r="P191" s="246"/>
      <c r="Q191" s="246"/>
      <c r="R191" s="246"/>
      <c r="S191" s="246"/>
      <c r="T191" s="246"/>
      <c r="U191" s="246"/>
      <c r="V191" s="246"/>
      <c r="W191" s="246"/>
      <c r="X191" s="246"/>
      <c r="Y191" s="246"/>
      <c r="Z191" s="246"/>
    </row>
    <row r="192" spans="1:26" ht="15.75" customHeight="1" x14ac:dyDescent="0.2">
      <c r="A192" s="246"/>
      <c r="B192" s="246"/>
      <c r="C192" s="246"/>
      <c r="D192" s="246"/>
      <c r="E192" s="246"/>
      <c r="F192" s="246"/>
      <c r="G192" s="246"/>
      <c r="H192" s="246"/>
      <c r="I192" s="246"/>
      <c r="J192" s="246"/>
      <c r="K192" s="246"/>
      <c r="L192" s="246"/>
      <c r="M192" s="246"/>
      <c r="N192" s="246"/>
      <c r="O192" s="246"/>
      <c r="P192" s="246"/>
      <c r="Q192" s="246"/>
      <c r="R192" s="246"/>
      <c r="S192" s="246"/>
      <c r="T192" s="246"/>
      <c r="U192" s="246"/>
      <c r="V192" s="246"/>
      <c r="W192" s="246"/>
      <c r="X192" s="246"/>
      <c r="Y192" s="246"/>
      <c r="Z192" s="246"/>
    </row>
    <row r="193" spans="1:26" ht="15.75" customHeight="1" x14ac:dyDescent="0.2">
      <c r="A193" s="246"/>
      <c r="B193" s="246"/>
      <c r="C193" s="246"/>
      <c r="D193" s="246"/>
      <c r="E193" s="246"/>
      <c r="F193" s="246"/>
      <c r="G193" s="246"/>
      <c r="H193" s="246"/>
      <c r="I193" s="246"/>
      <c r="J193" s="246"/>
      <c r="K193" s="246"/>
      <c r="L193" s="246"/>
      <c r="M193" s="246"/>
      <c r="N193" s="246"/>
      <c r="O193" s="246"/>
      <c r="P193" s="246"/>
      <c r="Q193" s="246"/>
      <c r="R193" s="246"/>
      <c r="S193" s="246"/>
      <c r="T193" s="246"/>
      <c r="U193" s="246"/>
      <c r="V193" s="246"/>
      <c r="W193" s="246"/>
      <c r="X193" s="246"/>
      <c r="Y193" s="246"/>
      <c r="Z193" s="246"/>
    </row>
    <row r="194" spans="1:26" ht="15.75" customHeight="1" x14ac:dyDescent="0.2">
      <c r="A194" s="246"/>
      <c r="B194" s="246"/>
      <c r="C194" s="246"/>
      <c r="D194" s="246"/>
      <c r="E194" s="246"/>
      <c r="F194" s="246"/>
      <c r="G194" s="246"/>
      <c r="H194" s="246"/>
      <c r="I194" s="246"/>
      <c r="J194" s="246"/>
      <c r="K194" s="246"/>
      <c r="L194" s="246"/>
      <c r="M194" s="246"/>
      <c r="N194" s="246"/>
      <c r="O194" s="246"/>
      <c r="P194" s="246"/>
      <c r="Q194" s="246"/>
      <c r="R194" s="246"/>
      <c r="S194" s="246"/>
      <c r="T194" s="246"/>
      <c r="U194" s="246"/>
      <c r="V194" s="246"/>
      <c r="W194" s="246"/>
      <c r="X194" s="246"/>
      <c r="Y194" s="246"/>
      <c r="Z194" s="246"/>
    </row>
    <row r="195" spans="1:26" ht="15.75" customHeight="1" x14ac:dyDescent="0.2">
      <c r="A195" s="246"/>
      <c r="B195" s="246"/>
      <c r="C195" s="246"/>
      <c r="D195" s="246"/>
      <c r="E195" s="246"/>
      <c r="F195" s="246"/>
      <c r="G195" s="246"/>
      <c r="H195" s="246"/>
      <c r="I195" s="246"/>
      <c r="J195" s="246"/>
      <c r="K195" s="246"/>
      <c r="L195" s="246"/>
      <c r="M195" s="246"/>
      <c r="N195" s="246"/>
      <c r="O195" s="246"/>
      <c r="P195" s="246"/>
      <c r="Q195" s="246"/>
      <c r="R195" s="246"/>
      <c r="S195" s="246"/>
      <c r="T195" s="246"/>
      <c r="U195" s="246"/>
      <c r="V195" s="246"/>
      <c r="W195" s="246"/>
      <c r="X195" s="246"/>
      <c r="Y195" s="246"/>
      <c r="Z195" s="246"/>
    </row>
    <row r="196" spans="1:26" ht="15.75" customHeight="1" x14ac:dyDescent="0.2">
      <c r="A196" s="246"/>
      <c r="B196" s="246"/>
      <c r="C196" s="246"/>
      <c r="D196" s="246"/>
      <c r="E196" s="246"/>
      <c r="F196" s="246"/>
      <c r="G196" s="246"/>
      <c r="H196" s="246"/>
      <c r="I196" s="246"/>
      <c r="J196" s="246"/>
      <c r="K196" s="246"/>
      <c r="L196" s="246"/>
      <c r="M196" s="246"/>
      <c r="N196" s="246"/>
      <c r="O196" s="246"/>
      <c r="P196" s="246"/>
      <c r="Q196" s="246"/>
      <c r="R196" s="246"/>
      <c r="S196" s="246"/>
      <c r="T196" s="246"/>
      <c r="U196" s="246"/>
      <c r="V196" s="246"/>
      <c r="W196" s="246"/>
      <c r="X196" s="246"/>
      <c r="Y196" s="246"/>
      <c r="Z196" s="246"/>
    </row>
    <row r="197" spans="1:26" ht="15.75" customHeight="1" x14ac:dyDescent="0.2">
      <c r="A197" s="246"/>
      <c r="B197" s="246"/>
      <c r="C197" s="246"/>
      <c r="D197" s="246"/>
      <c r="E197" s="246"/>
      <c r="F197" s="246"/>
      <c r="G197" s="246"/>
      <c r="H197" s="246"/>
      <c r="I197" s="246"/>
      <c r="J197" s="246"/>
      <c r="K197" s="246"/>
      <c r="L197" s="246"/>
      <c r="M197" s="246"/>
      <c r="N197" s="246"/>
      <c r="O197" s="246"/>
      <c r="P197" s="246"/>
      <c r="Q197" s="246"/>
      <c r="R197" s="246"/>
      <c r="S197" s="246"/>
      <c r="T197" s="246"/>
      <c r="U197" s="246"/>
      <c r="V197" s="246"/>
      <c r="W197" s="246"/>
      <c r="X197" s="246"/>
      <c r="Y197" s="246"/>
      <c r="Z197" s="246"/>
    </row>
    <row r="198" spans="1:26" ht="15.75" customHeight="1" x14ac:dyDescent="0.2">
      <c r="A198" s="246"/>
      <c r="B198" s="246"/>
      <c r="C198" s="246"/>
      <c r="D198" s="246"/>
      <c r="E198" s="246"/>
      <c r="F198" s="246"/>
      <c r="G198" s="246"/>
      <c r="H198" s="246"/>
      <c r="I198" s="246"/>
      <c r="J198" s="246"/>
      <c r="K198" s="246"/>
      <c r="L198" s="246"/>
      <c r="M198" s="246"/>
      <c r="N198" s="246"/>
      <c r="O198" s="246"/>
      <c r="P198" s="246"/>
      <c r="Q198" s="246"/>
      <c r="R198" s="246"/>
      <c r="S198" s="246"/>
      <c r="T198" s="246"/>
      <c r="U198" s="246"/>
      <c r="V198" s="246"/>
      <c r="W198" s="246"/>
      <c r="X198" s="246"/>
      <c r="Y198" s="246"/>
      <c r="Z198" s="246"/>
    </row>
    <row r="199" spans="1:26" ht="15.75" customHeight="1" x14ac:dyDescent="0.2">
      <c r="A199" s="246"/>
      <c r="B199" s="246"/>
      <c r="C199" s="246"/>
      <c r="D199" s="246"/>
      <c r="E199" s="246"/>
      <c r="F199" s="246"/>
      <c r="G199" s="246"/>
      <c r="H199" s="246"/>
      <c r="I199" s="246"/>
      <c r="J199" s="246"/>
      <c r="K199" s="246"/>
      <c r="L199" s="246"/>
      <c r="M199" s="246"/>
      <c r="N199" s="246"/>
      <c r="O199" s="246"/>
      <c r="P199" s="246"/>
      <c r="Q199" s="246"/>
      <c r="R199" s="246"/>
      <c r="S199" s="246"/>
      <c r="T199" s="246"/>
      <c r="U199" s="246"/>
      <c r="V199" s="246"/>
      <c r="W199" s="246"/>
      <c r="X199" s="246"/>
      <c r="Y199" s="246"/>
      <c r="Z199" s="246"/>
    </row>
    <row r="200" spans="1:26" ht="15.75" customHeight="1" x14ac:dyDescent="0.2">
      <c r="A200" s="246"/>
      <c r="B200" s="246"/>
      <c r="C200" s="246"/>
      <c r="D200" s="246"/>
      <c r="E200" s="246"/>
      <c r="F200" s="246"/>
      <c r="G200" s="246"/>
      <c r="H200" s="246"/>
      <c r="I200" s="246"/>
      <c r="J200" s="246"/>
      <c r="K200" s="246"/>
      <c r="L200" s="246"/>
      <c r="M200" s="246"/>
      <c r="N200" s="246"/>
      <c r="O200" s="246"/>
      <c r="P200" s="246"/>
      <c r="Q200" s="246"/>
      <c r="R200" s="246"/>
      <c r="S200" s="246"/>
      <c r="T200" s="246"/>
      <c r="U200" s="246"/>
      <c r="V200" s="246"/>
      <c r="W200" s="246"/>
      <c r="X200" s="246"/>
      <c r="Y200" s="246"/>
      <c r="Z200" s="246"/>
    </row>
    <row r="201" spans="1:26" ht="15.75" customHeight="1" x14ac:dyDescent="0.2">
      <c r="A201" s="246"/>
      <c r="B201" s="246"/>
      <c r="C201" s="246"/>
      <c r="D201" s="246"/>
      <c r="E201" s="246"/>
      <c r="F201" s="246"/>
      <c r="G201" s="246"/>
      <c r="H201" s="246"/>
      <c r="I201" s="246"/>
      <c r="J201" s="246"/>
      <c r="K201" s="246"/>
      <c r="L201" s="246"/>
      <c r="M201" s="246"/>
      <c r="N201" s="246"/>
      <c r="O201" s="246"/>
      <c r="P201" s="246"/>
      <c r="Q201" s="246"/>
      <c r="R201" s="246"/>
      <c r="S201" s="246"/>
      <c r="T201" s="246"/>
      <c r="U201" s="246"/>
      <c r="V201" s="246"/>
      <c r="W201" s="246"/>
      <c r="X201" s="246"/>
      <c r="Y201" s="246"/>
      <c r="Z201" s="246"/>
    </row>
    <row r="202" spans="1:26" ht="15.75" customHeight="1" x14ac:dyDescent="0.2">
      <c r="A202" s="246"/>
      <c r="B202" s="246"/>
      <c r="C202" s="246"/>
      <c r="D202" s="246"/>
      <c r="E202" s="246"/>
      <c r="F202" s="246"/>
      <c r="G202" s="246"/>
      <c r="H202" s="246"/>
      <c r="I202" s="246"/>
      <c r="J202" s="246"/>
      <c r="K202" s="246"/>
      <c r="L202" s="246"/>
      <c r="M202" s="246"/>
      <c r="N202" s="246"/>
      <c r="O202" s="246"/>
      <c r="P202" s="246"/>
      <c r="Q202" s="246"/>
      <c r="R202" s="246"/>
      <c r="S202" s="246"/>
      <c r="T202" s="246"/>
      <c r="U202" s="246"/>
      <c r="V202" s="246"/>
      <c r="W202" s="246"/>
      <c r="X202" s="246"/>
      <c r="Y202" s="246"/>
      <c r="Z202" s="246"/>
    </row>
    <row r="203" spans="1:26" ht="15.75" customHeight="1" x14ac:dyDescent="0.2">
      <c r="A203" s="246"/>
      <c r="B203" s="246"/>
      <c r="C203" s="246"/>
      <c r="D203" s="246"/>
      <c r="E203" s="246"/>
      <c r="F203" s="246"/>
      <c r="G203" s="246"/>
      <c r="H203" s="246"/>
      <c r="I203" s="246"/>
      <c r="J203" s="246"/>
      <c r="K203" s="246"/>
      <c r="L203" s="246"/>
      <c r="M203" s="246"/>
      <c r="N203" s="246"/>
      <c r="O203" s="246"/>
      <c r="P203" s="246"/>
      <c r="Q203" s="246"/>
      <c r="R203" s="246"/>
      <c r="S203" s="246"/>
      <c r="T203" s="246"/>
      <c r="U203" s="246"/>
      <c r="V203" s="246"/>
      <c r="W203" s="246"/>
      <c r="X203" s="246"/>
      <c r="Y203" s="246"/>
      <c r="Z203" s="246"/>
    </row>
    <row r="204" spans="1:26" ht="15.75" customHeight="1" x14ac:dyDescent="0.2">
      <c r="A204" s="246"/>
      <c r="B204" s="246"/>
      <c r="C204" s="246"/>
      <c r="D204" s="246"/>
      <c r="E204" s="246"/>
      <c r="F204" s="246"/>
      <c r="G204" s="246"/>
      <c r="H204" s="246"/>
      <c r="I204" s="246"/>
      <c r="J204" s="246"/>
      <c r="K204" s="246"/>
      <c r="L204" s="246"/>
      <c r="M204" s="246"/>
      <c r="N204" s="246"/>
      <c r="O204" s="246"/>
      <c r="P204" s="246"/>
      <c r="Q204" s="246"/>
      <c r="R204" s="246"/>
      <c r="S204" s="246"/>
      <c r="T204" s="246"/>
      <c r="U204" s="246"/>
      <c r="V204" s="246"/>
      <c r="W204" s="246"/>
      <c r="X204" s="246"/>
      <c r="Y204" s="246"/>
      <c r="Z204" s="246"/>
    </row>
    <row r="205" spans="1:26" ht="15.75" customHeight="1" x14ac:dyDescent="0.2">
      <c r="A205" s="246"/>
      <c r="B205" s="246"/>
      <c r="C205" s="246"/>
      <c r="D205" s="246"/>
      <c r="E205" s="246"/>
      <c r="F205" s="246"/>
      <c r="G205" s="246"/>
      <c r="H205" s="246"/>
      <c r="I205" s="246"/>
      <c r="J205" s="246"/>
      <c r="K205" s="246"/>
      <c r="L205" s="246"/>
      <c r="M205" s="246"/>
      <c r="N205" s="246"/>
      <c r="O205" s="246"/>
      <c r="P205" s="246"/>
      <c r="Q205" s="246"/>
      <c r="R205" s="246"/>
      <c r="S205" s="246"/>
      <c r="T205" s="246"/>
      <c r="U205" s="246"/>
      <c r="V205" s="246"/>
      <c r="W205" s="246"/>
      <c r="X205" s="246"/>
      <c r="Y205" s="246"/>
      <c r="Z205" s="246"/>
    </row>
    <row r="206" spans="1:26" ht="15.75" customHeight="1" x14ac:dyDescent="0.2">
      <c r="A206" s="246"/>
      <c r="B206" s="246"/>
      <c r="C206" s="246"/>
      <c r="D206" s="246"/>
      <c r="E206" s="246"/>
      <c r="F206" s="246"/>
      <c r="G206" s="246"/>
      <c r="H206" s="246"/>
      <c r="I206" s="246"/>
      <c r="J206" s="246"/>
      <c r="K206" s="246"/>
      <c r="L206" s="246"/>
      <c r="M206" s="246"/>
      <c r="N206" s="246"/>
      <c r="O206" s="246"/>
      <c r="P206" s="246"/>
      <c r="Q206" s="246"/>
      <c r="R206" s="246"/>
      <c r="S206" s="246"/>
      <c r="T206" s="246"/>
      <c r="U206" s="246"/>
      <c r="V206" s="246"/>
      <c r="W206" s="246"/>
      <c r="X206" s="246"/>
      <c r="Y206" s="246"/>
      <c r="Z206" s="246"/>
    </row>
    <row r="207" spans="1:26" ht="15.75" customHeight="1" x14ac:dyDescent="0.2">
      <c r="A207" s="246"/>
      <c r="B207" s="246"/>
      <c r="C207" s="246"/>
      <c r="D207" s="246"/>
      <c r="E207" s="246"/>
      <c r="F207" s="246"/>
      <c r="G207" s="246"/>
      <c r="H207" s="246"/>
      <c r="I207" s="246"/>
      <c r="J207" s="246"/>
      <c r="K207" s="246"/>
      <c r="L207" s="246"/>
      <c r="M207" s="246"/>
      <c r="N207" s="246"/>
      <c r="O207" s="246"/>
      <c r="P207" s="246"/>
      <c r="Q207" s="246"/>
      <c r="R207" s="246"/>
      <c r="S207" s="246"/>
      <c r="T207" s="246"/>
      <c r="U207" s="246"/>
      <c r="V207" s="246"/>
      <c r="W207" s="246"/>
      <c r="X207" s="246"/>
      <c r="Y207" s="246"/>
      <c r="Z207" s="246"/>
    </row>
    <row r="208" spans="1:26" ht="15.75" customHeight="1" x14ac:dyDescent="0.2">
      <c r="A208" s="246"/>
      <c r="B208" s="246"/>
      <c r="C208" s="246"/>
      <c r="D208" s="246"/>
      <c r="E208" s="246"/>
      <c r="F208" s="246"/>
      <c r="G208" s="246"/>
      <c r="H208" s="246"/>
      <c r="I208" s="246"/>
      <c r="J208" s="246"/>
      <c r="K208" s="246"/>
      <c r="L208" s="246"/>
      <c r="M208" s="246"/>
      <c r="N208" s="246"/>
      <c r="O208" s="246"/>
      <c r="P208" s="246"/>
      <c r="Q208" s="246"/>
      <c r="R208" s="246"/>
      <c r="S208" s="246"/>
      <c r="T208" s="246"/>
      <c r="U208" s="246"/>
      <c r="V208" s="246"/>
      <c r="W208" s="246"/>
      <c r="X208" s="246"/>
      <c r="Y208" s="246"/>
      <c r="Z208" s="246"/>
    </row>
    <row r="209" spans="1:26" ht="15.75" customHeight="1" x14ac:dyDescent="0.2">
      <c r="A209" s="246"/>
      <c r="B209" s="246"/>
      <c r="C209" s="246"/>
      <c r="D209" s="246"/>
      <c r="E209" s="246"/>
      <c r="F209" s="246"/>
      <c r="G209" s="246"/>
      <c r="H209" s="246"/>
      <c r="I209" s="246"/>
      <c r="J209" s="246"/>
      <c r="K209" s="246"/>
      <c r="L209" s="246"/>
      <c r="M209" s="246"/>
      <c r="N209" s="246"/>
      <c r="O209" s="246"/>
      <c r="P209" s="246"/>
      <c r="Q209" s="246"/>
      <c r="R209" s="246"/>
      <c r="S209" s="246"/>
      <c r="T209" s="246"/>
      <c r="U209" s="246"/>
      <c r="V209" s="246"/>
      <c r="W209" s="246"/>
      <c r="X209" s="246"/>
      <c r="Y209" s="246"/>
      <c r="Z209" s="246"/>
    </row>
    <row r="210" spans="1:26" ht="15.75" customHeight="1" x14ac:dyDescent="0.2">
      <c r="A210" s="246"/>
      <c r="B210" s="246"/>
      <c r="C210" s="246"/>
      <c r="D210" s="246"/>
      <c r="E210" s="246"/>
      <c r="F210" s="246"/>
      <c r="G210" s="246"/>
      <c r="H210" s="246"/>
      <c r="I210" s="246"/>
      <c r="J210" s="246"/>
      <c r="K210" s="246"/>
      <c r="L210" s="246"/>
      <c r="M210" s="246"/>
      <c r="N210" s="246"/>
      <c r="O210" s="246"/>
      <c r="P210" s="246"/>
      <c r="Q210" s="246"/>
      <c r="R210" s="246"/>
      <c r="S210" s="246"/>
      <c r="T210" s="246"/>
      <c r="U210" s="246"/>
      <c r="V210" s="246"/>
      <c r="W210" s="246"/>
      <c r="X210" s="246"/>
      <c r="Y210" s="246"/>
      <c r="Z210" s="246"/>
    </row>
    <row r="211" spans="1:26" ht="15.75" customHeight="1" x14ac:dyDescent="0.2">
      <c r="A211" s="246"/>
      <c r="B211" s="246"/>
      <c r="C211" s="246"/>
      <c r="D211" s="246"/>
      <c r="E211" s="246"/>
      <c r="F211" s="246"/>
      <c r="G211" s="246"/>
      <c r="H211" s="246"/>
      <c r="I211" s="246"/>
      <c r="J211" s="246"/>
      <c r="K211" s="246"/>
      <c r="L211" s="246"/>
      <c r="M211" s="246"/>
      <c r="N211" s="246"/>
      <c r="O211" s="246"/>
      <c r="P211" s="246"/>
      <c r="Q211" s="246"/>
      <c r="R211" s="246"/>
      <c r="S211" s="246"/>
      <c r="T211" s="246"/>
      <c r="U211" s="246"/>
      <c r="V211" s="246"/>
      <c r="W211" s="246"/>
      <c r="X211" s="246"/>
      <c r="Y211" s="246"/>
      <c r="Z211" s="246"/>
    </row>
    <row r="212" spans="1:26" ht="15.75" customHeight="1" x14ac:dyDescent="0.2">
      <c r="A212" s="246"/>
      <c r="B212" s="246"/>
      <c r="C212" s="246"/>
      <c r="D212" s="246"/>
      <c r="E212" s="246"/>
      <c r="F212" s="246"/>
      <c r="G212" s="246"/>
      <c r="H212" s="246"/>
      <c r="I212" s="246"/>
      <c r="J212" s="246"/>
      <c r="K212" s="246"/>
      <c r="L212" s="246"/>
      <c r="M212" s="246"/>
      <c r="N212" s="246"/>
      <c r="O212" s="246"/>
      <c r="P212" s="246"/>
      <c r="Q212" s="246"/>
      <c r="R212" s="246"/>
      <c r="S212" s="246"/>
      <c r="T212" s="246"/>
      <c r="U212" s="246"/>
      <c r="V212" s="246"/>
      <c r="W212" s="246"/>
      <c r="X212" s="246"/>
      <c r="Y212" s="246"/>
      <c r="Z212" s="246"/>
    </row>
    <row r="213" spans="1:26" ht="15.75" customHeight="1" x14ac:dyDescent="0.2">
      <c r="A213" s="246"/>
      <c r="B213" s="246"/>
      <c r="C213" s="246"/>
      <c r="D213" s="246"/>
      <c r="E213" s="246"/>
      <c r="F213" s="246"/>
      <c r="G213" s="246"/>
      <c r="H213" s="246"/>
      <c r="I213" s="246"/>
      <c r="J213" s="246"/>
      <c r="K213" s="246"/>
      <c r="L213" s="246"/>
      <c r="M213" s="246"/>
      <c r="N213" s="246"/>
      <c r="O213" s="246"/>
      <c r="P213" s="246"/>
      <c r="Q213" s="246"/>
      <c r="R213" s="246"/>
      <c r="S213" s="246"/>
      <c r="T213" s="246"/>
      <c r="U213" s="246"/>
      <c r="V213" s="246"/>
      <c r="W213" s="246"/>
      <c r="X213" s="246"/>
      <c r="Y213" s="246"/>
      <c r="Z213" s="246"/>
    </row>
    <row r="214" spans="1:26" ht="15.75" customHeight="1" x14ac:dyDescent="0.2">
      <c r="A214" s="246"/>
      <c r="B214" s="246"/>
      <c r="C214" s="246"/>
      <c r="D214" s="246"/>
      <c r="E214" s="246"/>
      <c r="F214" s="246"/>
      <c r="G214" s="246"/>
      <c r="H214" s="246"/>
      <c r="I214" s="246"/>
      <c r="J214" s="246"/>
      <c r="K214" s="246"/>
      <c r="L214" s="246"/>
      <c r="M214" s="246"/>
      <c r="N214" s="246"/>
      <c r="O214" s="246"/>
      <c r="P214" s="246"/>
      <c r="Q214" s="246"/>
      <c r="R214" s="246"/>
      <c r="S214" s="246"/>
      <c r="T214" s="246"/>
      <c r="U214" s="246"/>
      <c r="V214" s="246"/>
      <c r="W214" s="246"/>
      <c r="X214" s="246"/>
      <c r="Y214" s="246"/>
      <c r="Z214" s="246"/>
    </row>
    <row r="215" spans="1:26" ht="15.75" customHeight="1" x14ac:dyDescent="0.2">
      <c r="A215" s="246"/>
      <c r="B215" s="246"/>
      <c r="C215" s="246"/>
      <c r="D215" s="246"/>
      <c r="E215" s="246"/>
      <c r="F215" s="246"/>
      <c r="G215" s="246"/>
      <c r="H215" s="246"/>
      <c r="I215" s="246"/>
      <c r="J215" s="246"/>
      <c r="K215" s="246"/>
      <c r="L215" s="246"/>
      <c r="M215" s="246"/>
      <c r="N215" s="246"/>
      <c r="O215" s="246"/>
      <c r="P215" s="246"/>
      <c r="Q215" s="246"/>
      <c r="R215" s="246"/>
      <c r="S215" s="246"/>
      <c r="T215" s="246"/>
      <c r="U215" s="246"/>
      <c r="V215" s="246"/>
      <c r="W215" s="246"/>
      <c r="X215" s="246"/>
      <c r="Y215" s="246"/>
      <c r="Z215" s="246"/>
    </row>
    <row r="216" spans="1:26" ht="15.75" customHeight="1" x14ac:dyDescent="0.2">
      <c r="A216" s="246"/>
      <c r="B216" s="246"/>
      <c r="C216" s="246"/>
      <c r="D216" s="246"/>
      <c r="E216" s="246"/>
      <c r="F216" s="246"/>
      <c r="G216" s="246"/>
      <c r="H216" s="246"/>
      <c r="I216" s="246"/>
      <c r="J216" s="246"/>
      <c r="K216" s="246"/>
      <c r="L216" s="246"/>
      <c r="M216" s="246"/>
      <c r="N216" s="246"/>
      <c r="O216" s="246"/>
      <c r="P216" s="246"/>
      <c r="Q216" s="246"/>
      <c r="R216" s="246"/>
      <c r="S216" s="246"/>
      <c r="T216" s="246"/>
      <c r="U216" s="246"/>
      <c r="V216" s="246"/>
      <c r="W216" s="246"/>
      <c r="X216" s="246"/>
      <c r="Y216" s="246"/>
      <c r="Z216" s="246"/>
    </row>
    <row r="217" spans="1:26" ht="15.75" customHeight="1" x14ac:dyDescent="0.2">
      <c r="A217" s="246"/>
      <c r="B217" s="246"/>
      <c r="C217" s="246"/>
      <c r="D217" s="246"/>
      <c r="E217" s="246"/>
      <c r="F217" s="246"/>
      <c r="G217" s="246"/>
      <c r="H217" s="246"/>
      <c r="I217" s="246"/>
      <c r="J217" s="246"/>
      <c r="K217" s="246"/>
      <c r="L217" s="246"/>
      <c r="M217" s="246"/>
      <c r="N217" s="246"/>
      <c r="O217" s="246"/>
      <c r="P217" s="246"/>
      <c r="Q217" s="246"/>
      <c r="R217" s="246"/>
      <c r="S217" s="246"/>
      <c r="T217" s="246"/>
      <c r="U217" s="246"/>
      <c r="V217" s="246"/>
      <c r="W217" s="246"/>
      <c r="X217" s="246"/>
      <c r="Y217" s="246"/>
      <c r="Z217" s="246"/>
    </row>
    <row r="218" spans="1:26" ht="15.75" customHeight="1" x14ac:dyDescent="0.2">
      <c r="A218" s="246"/>
      <c r="B218" s="246"/>
      <c r="C218" s="246"/>
      <c r="D218" s="246"/>
      <c r="E218" s="246"/>
      <c r="F218" s="246"/>
      <c r="G218" s="246"/>
      <c r="H218" s="246"/>
      <c r="I218" s="246"/>
      <c r="J218" s="246"/>
      <c r="K218" s="246"/>
      <c r="L218" s="246"/>
      <c r="M218" s="246"/>
      <c r="N218" s="246"/>
      <c r="O218" s="246"/>
      <c r="P218" s="246"/>
      <c r="Q218" s="246"/>
      <c r="R218" s="246"/>
      <c r="S218" s="246"/>
      <c r="T218" s="246"/>
      <c r="U218" s="246"/>
      <c r="V218" s="246"/>
      <c r="W218" s="246"/>
      <c r="X218" s="246"/>
      <c r="Y218" s="246"/>
      <c r="Z218" s="246"/>
    </row>
    <row r="219" spans="1:26" ht="15.75" customHeight="1" x14ac:dyDescent="0.2">
      <c r="A219" s="246"/>
      <c r="B219" s="246"/>
      <c r="C219" s="246"/>
      <c r="D219" s="246"/>
      <c r="E219" s="246"/>
      <c r="F219" s="246"/>
      <c r="G219" s="246"/>
      <c r="H219" s="246"/>
      <c r="I219" s="246"/>
      <c r="J219" s="246"/>
      <c r="K219" s="246"/>
      <c r="L219" s="246"/>
      <c r="M219" s="246"/>
      <c r="N219" s="246"/>
      <c r="O219" s="246"/>
      <c r="P219" s="246"/>
      <c r="Q219" s="246"/>
      <c r="R219" s="246"/>
      <c r="S219" s="246"/>
      <c r="T219" s="246"/>
      <c r="U219" s="246"/>
      <c r="V219" s="246"/>
      <c r="W219" s="246"/>
      <c r="X219" s="246"/>
      <c r="Y219" s="246"/>
      <c r="Z219" s="246"/>
    </row>
    <row r="220" spans="1:26" ht="15.75" customHeight="1" x14ac:dyDescent="0.2">
      <c r="A220" s="246"/>
      <c r="B220" s="246"/>
      <c r="C220" s="246"/>
      <c r="D220" s="246"/>
      <c r="E220" s="246"/>
      <c r="F220" s="246"/>
      <c r="G220" s="246"/>
      <c r="H220" s="246"/>
      <c r="I220" s="246"/>
      <c r="J220" s="246"/>
      <c r="K220" s="246"/>
      <c r="L220" s="246"/>
      <c r="M220" s="246"/>
      <c r="N220" s="246"/>
      <c r="O220" s="246"/>
      <c r="P220" s="246"/>
      <c r="Q220" s="246"/>
      <c r="R220" s="246"/>
      <c r="S220" s="246"/>
      <c r="T220" s="246"/>
      <c r="U220" s="246"/>
      <c r="V220" s="246"/>
      <c r="W220" s="246"/>
      <c r="X220" s="246"/>
      <c r="Y220" s="246"/>
      <c r="Z220" s="246"/>
    </row>
    <row r="221" spans="1:26" ht="15.75" customHeight="1" x14ac:dyDescent="0.2">
      <c r="A221" s="246"/>
      <c r="B221" s="246"/>
      <c r="C221" s="246"/>
      <c r="D221" s="246"/>
      <c r="E221" s="246"/>
      <c r="F221" s="246"/>
      <c r="G221" s="246"/>
      <c r="H221" s="246"/>
      <c r="I221" s="246"/>
      <c r="J221" s="246"/>
      <c r="K221" s="246"/>
      <c r="L221" s="246"/>
      <c r="M221" s="246"/>
      <c r="N221" s="246"/>
      <c r="O221" s="246"/>
      <c r="P221" s="246"/>
      <c r="Q221" s="246"/>
      <c r="R221" s="246"/>
      <c r="S221" s="246"/>
      <c r="T221" s="246"/>
      <c r="U221" s="246"/>
      <c r="V221" s="246"/>
      <c r="W221" s="246"/>
      <c r="X221" s="246"/>
      <c r="Y221" s="246"/>
      <c r="Z221" s="246"/>
    </row>
    <row r="222" spans="1:26" ht="15.75" customHeight="1" x14ac:dyDescent="0.2">
      <c r="A222" s="246"/>
      <c r="B222" s="246"/>
      <c r="C222" s="246"/>
      <c r="D222" s="246"/>
      <c r="E222" s="246"/>
      <c r="F222" s="246"/>
      <c r="G222" s="246"/>
      <c r="H222" s="246"/>
      <c r="I222" s="246"/>
      <c r="J222" s="246"/>
      <c r="K222" s="246"/>
      <c r="L222" s="246"/>
      <c r="M222" s="246"/>
      <c r="N222" s="246"/>
      <c r="O222" s="246"/>
      <c r="P222" s="246"/>
      <c r="Q222" s="246"/>
      <c r="R222" s="246"/>
      <c r="S222" s="246"/>
      <c r="T222" s="246"/>
      <c r="U222" s="246"/>
      <c r="V222" s="246"/>
      <c r="W222" s="246"/>
      <c r="X222" s="246"/>
      <c r="Y222" s="246"/>
      <c r="Z222" s="246"/>
    </row>
    <row r="223" spans="1:26" ht="15.75" customHeight="1" x14ac:dyDescent="0.2">
      <c r="A223" s="246"/>
      <c r="B223" s="246"/>
      <c r="C223" s="246"/>
      <c r="D223" s="246"/>
      <c r="E223" s="246"/>
      <c r="F223" s="246"/>
      <c r="G223" s="246"/>
      <c r="H223" s="246"/>
      <c r="I223" s="246"/>
      <c r="J223" s="246"/>
      <c r="K223" s="246"/>
      <c r="L223" s="246"/>
      <c r="M223" s="246"/>
      <c r="N223" s="246"/>
      <c r="O223" s="246"/>
      <c r="P223" s="246"/>
      <c r="Q223" s="246"/>
      <c r="R223" s="246"/>
      <c r="S223" s="246"/>
      <c r="T223" s="246"/>
      <c r="U223" s="246"/>
      <c r="V223" s="246"/>
      <c r="W223" s="246"/>
      <c r="X223" s="246"/>
      <c r="Y223" s="246"/>
      <c r="Z223" s="246"/>
    </row>
    <row r="224" spans="1:26" ht="15.75" customHeight="1" x14ac:dyDescent="0.2">
      <c r="A224" s="246"/>
      <c r="B224" s="246"/>
      <c r="C224" s="246"/>
      <c r="D224" s="246"/>
      <c r="E224" s="246"/>
      <c r="F224" s="246"/>
      <c r="G224" s="246"/>
      <c r="H224" s="246"/>
      <c r="I224" s="246"/>
      <c r="J224" s="246"/>
      <c r="K224" s="246"/>
      <c r="L224" s="246"/>
      <c r="M224" s="246"/>
      <c r="N224" s="246"/>
      <c r="O224" s="246"/>
      <c r="P224" s="246"/>
      <c r="Q224" s="246"/>
      <c r="R224" s="246"/>
      <c r="S224" s="246"/>
      <c r="T224" s="246"/>
      <c r="U224" s="246"/>
      <c r="V224" s="246"/>
      <c r="W224" s="246"/>
      <c r="X224" s="246"/>
      <c r="Y224" s="246"/>
      <c r="Z224" s="246"/>
    </row>
    <row r="225" spans="1:26" ht="15.75" customHeight="1" x14ac:dyDescent="0.2">
      <c r="A225" s="246"/>
      <c r="B225" s="246"/>
      <c r="C225" s="246"/>
      <c r="D225" s="246"/>
      <c r="E225" s="246"/>
      <c r="F225" s="246"/>
      <c r="G225" s="246"/>
      <c r="H225" s="246"/>
      <c r="I225" s="246"/>
      <c r="J225" s="246"/>
      <c r="K225" s="246"/>
      <c r="L225" s="246"/>
      <c r="M225" s="246"/>
      <c r="N225" s="246"/>
      <c r="O225" s="246"/>
      <c r="P225" s="246"/>
      <c r="Q225" s="246"/>
      <c r="R225" s="246"/>
      <c r="S225" s="246"/>
      <c r="T225" s="246"/>
      <c r="U225" s="246"/>
      <c r="V225" s="246"/>
      <c r="W225" s="246"/>
      <c r="X225" s="246"/>
      <c r="Y225" s="246"/>
      <c r="Z225" s="246"/>
    </row>
    <row r="226" spans="1:26" ht="15.75" customHeight="1" x14ac:dyDescent="0.2">
      <c r="A226" s="246"/>
      <c r="B226" s="246"/>
      <c r="C226" s="246"/>
      <c r="D226" s="246"/>
      <c r="E226" s="246"/>
      <c r="F226" s="246"/>
      <c r="G226" s="246"/>
      <c r="H226" s="246"/>
      <c r="I226" s="246"/>
      <c r="J226" s="246"/>
      <c r="K226" s="246"/>
      <c r="L226" s="246"/>
      <c r="M226" s="246"/>
      <c r="N226" s="246"/>
      <c r="O226" s="246"/>
      <c r="P226" s="246"/>
      <c r="Q226" s="246"/>
      <c r="R226" s="246"/>
      <c r="S226" s="246"/>
      <c r="T226" s="246"/>
      <c r="U226" s="246"/>
      <c r="V226" s="246"/>
      <c r="W226" s="246"/>
      <c r="X226" s="246"/>
      <c r="Y226" s="246"/>
      <c r="Z226" s="246"/>
    </row>
    <row r="227" spans="1:26" ht="15.75" customHeight="1" x14ac:dyDescent="0.2">
      <c r="A227" s="246"/>
      <c r="B227" s="246"/>
      <c r="C227" s="246"/>
      <c r="D227" s="246"/>
      <c r="E227" s="246"/>
      <c r="F227" s="246"/>
      <c r="G227" s="246"/>
      <c r="H227" s="246"/>
      <c r="I227" s="246"/>
      <c r="J227" s="246"/>
      <c r="K227" s="246"/>
      <c r="L227" s="246"/>
      <c r="M227" s="246"/>
      <c r="N227" s="246"/>
      <c r="O227" s="246"/>
      <c r="P227" s="246"/>
      <c r="Q227" s="246"/>
      <c r="R227" s="246"/>
      <c r="S227" s="246"/>
      <c r="T227" s="246"/>
      <c r="U227" s="246"/>
      <c r="V227" s="246"/>
      <c r="W227" s="246"/>
      <c r="X227" s="246"/>
      <c r="Y227" s="246"/>
      <c r="Z227" s="246"/>
    </row>
    <row r="228" spans="1:26" ht="15.75" customHeight="1" x14ac:dyDescent="0.2">
      <c r="A228" s="246"/>
      <c r="B228" s="246"/>
      <c r="C228" s="246"/>
      <c r="D228" s="246"/>
      <c r="E228" s="246"/>
      <c r="F228" s="246"/>
      <c r="G228" s="246"/>
      <c r="H228" s="246"/>
      <c r="I228" s="246"/>
      <c r="J228" s="246"/>
      <c r="K228" s="246"/>
      <c r="L228" s="246"/>
      <c r="M228" s="246"/>
      <c r="N228" s="246"/>
      <c r="O228" s="246"/>
      <c r="P228" s="246"/>
      <c r="Q228" s="246"/>
      <c r="R228" s="246"/>
      <c r="S228" s="246"/>
      <c r="T228" s="246"/>
      <c r="U228" s="246"/>
      <c r="V228" s="246"/>
      <c r="W228" s="246"/>
      <c r="X228" s="246"/>
      <c r="Y228" s="246"/>
      <c r="Z228" s="246"/>
    </row>
    <row r="229" spans="1:26" ht="15.75" customHeight="1" x14ac:dyDescent="0.2">
      <c r="A229" s="246"/>
      <c r="B229" s="246"/>
      <c r="C229" s="246"/>
      <c r="D229" s="246"/>
      <c r="E229" s="246"/>
      <c r="F229" s="246"/>
      <c r="G229" s="246"/>
      <c r="H229" s="246"/>
      <c r="I229" s="246"/>
      <c r="J229" s="246"/>
      <c r="K229" s="246"/>
      <c r="L229" s="246"/>
      <c r="M229" s="246"/>
      <c r="N229" s="246"/>
      <c r="O229" s="246"/>
      <c r="P229" s="246"/>
      <c r="Q229" s="246"/>
      <c r="R229" s="246"/>
      <c r="S229" s="246"/>
      <c r="T229" s="246"/>
      <c r="U229" s="246"/>
      <c r="V229" s="246"/>
      <c r="W229" s="246"/>
      <c r="X229" s="246"/>
      <c r="Y229" s="246"/>
      <c r="Z229" s="246"/>
    </row>
    <row r="230" spans="1:26" ht="15.75" customHeight="1" x14ac:dyDescent="0.2">
      <c r="A230" s="246"/>
      <c r="B230" s="246"/>
      <c r="C230" s="246"/>
      <c r="D230" s="246"/>
      <c r="E230" s="246"/>
      <c r="F230" s="246"/>
      <c r="G230" s="246"/>
      <c r="H230" s="246"/>
      <c r="I230" s="246"/>
      <c r="J230" s="246"/>
      <c r="K230" s="246"/>
      <c r="L230" s="246"/>
      <c r="M230" s="246"/>
      <c r="N230" s="246"/>
      <c r="O230" s="246"/>
      <c r="P230" s="246"/>
      <c r="Q230" s="246"/>
      <c r="R230" s="246"/>
      <c r="S230" s="246"/>
      <c r="T230" s="246"/>
      <c r="U230" s="246"/>
      <c r="V230" s="246"/>
      <c r="W230" s="246"/>
      <c r="X230" s="246"/>
      <c r="Y230" s="246"/>
      <c r="Z230" s="246"/>
    </row>
    <row r="231" spans="1:26" ht="15.75" customHeight="1" x14ac:dyDescent="0.2">
      <c r="A231" s="246"/>
      <c r="B231" s="246"/>
      <c r="C231" s="246"/>
      <c r="D231" s="246"/>
      <c r="E231" s="246"/>
      <c r="F231" s="246"/>
      <c r="G231" s="246"/>
      <c r="H231" s="246"/>
      <c r="I231" s="246"/>
      <c r="J231" s="246"/>
      <c r="K231" s="246"/>
      <c r="L231" s="246"/>
      <c r="M231" s="246"/>
      <c r="N231" s="246"/>
      <c r="O231" s="246"/>
      <c r="P231" s="246"/>
      <c r="Q231" s="246"/>
      <c r="R231" s="246"/>
      <c r="S231" s="246"/>
      <c r="T231" s="246"/>
      <c r="U231" s="246"/>
      <c r="V231" s="246"/>
      <c r="W231" s="246"/>
      <c r="X231" s="246"/>
      <c r="Y231" s="246"/>
      <c r="Z231" s="246"/>
    </row>
    <row r="232" spans="1:26" ht="15.75" customHeight="1" x14ac:dyDescent="0.2">
      <c r="A232" s="246"/>
      <c r="B232" s="246"/>
      <c r="C232" s="246"/>
      <c r="D232" s="246"/>
      <c r="E232" s="246"/>
      <c r="F232" s="246"/>
      <c r="G232" s="246"/>
      <c r="H232" s="246"/>
      <c r="I232" s="246"/>
      <c r="J232" s="246"/>
      <c r="K232" s="246"/>
      <c r="L232" s="246"/>
      <c r="M232" s="246"/>
      <c r="N232" s="246"/>
      <c r="O232" s="246"/>
      <c r="P232" s="246"/>
      <c r="Q232" s="246"/>
      <c r="R232" s="246"/>
      <c r="S232" s="246"/>
      <c r="T232" s="246"/>
      <c r="U232" s="246"/>
      <c r="V232" s="246"/>
      <c r="W232" s="246"/>
      <c r="X232" s="246"/>
      <c r="Y232" s="246"/>
      <c r="Z232" s="246"/>
    </row>
    <row r="233" spans="1:26" ht="15.75" customHeight="1" x14ac:dyDescent="0.2">
      <c r="A233" s="246"/>
      <c r="B233" s="246"/>
      <c r="C233" s="246"/>
      <c r="D233" s="246"/>
      <c r="E233" s="246"/>
      <c r="F233" s="246"/>
      <c r="G233" s="246"/>
      <c r="H233" s="246"/>
      <c r="I233" s="246"/>
      <c r="J233" s="246"/>
      <c r="K233" s="246"/>
      <c r="L233" s="246"/>
      <c r="M233" s="246"/>
      <c r="N233" s="246"/>
      <c r="O233" s="246"/>
      <c r="P233" s="246"/>
      <c r="Q233" s="246"/>
      <c r="R233" s="246"/>
      <c r="S233" s="246"/>
      <c r="T233" s="246"/>
      <c r="U233" s="246"/>
      <c r="V233" s="246"/>
      <c r="W233" s="246"/>
      <c r="X233" s="246"/>
      <c r="Y233" s="246"/>
      <c r="Z233" s="246"/>
    </row>
    <row r="234" spans="1:26" ht="15.75" customHeight="1" x14ac:dyDescent="0.2">
      <c r="A234" s="246"/>
      <c r="B234" s="246"/>
      <c r="C234" s="246"/>
      <c r="D234" s="246"/>
      <c r="E234" s="246"/>
      <c r="F234" s="246"/>
      <c r="G234" s="246"/>
      <c r="H234" s="246"/>
      <c r="I234" s="246"/>
      <c r="J234" s="246"/>
      <c r="K234" s="246"/>
      <c r="L234" s="246"/>
      <c r="M234" s="246"/>
      <c r="N234" s="246"/>
      <c r="O234" s="246"/>
      <c r="P234" s="246"/>
      <c r="Q234" s="246"/>
      <c r="R234" s="246"/>
      <c r="S234" s="246"/>
      <c r="T234" s="246"/>
      <c r="U234" s="246"/>
      <c r="V234" s="246"/>
      <c r="W234" s="246"/>
      <c r="X234" s="246"/>
      <c r="Y234" s="246"/>
      <c r="Z234" s="246"/>
    </row>
    <row r="235" spans="1:26" ht="15.75" customHeight="1" x14ac:dyDescent="0.2">
      <c r="A235" s="246"/>
      <c r="B235" s="246"/>
      <c r="C235" s="246"/>
      <c r="D235" s="246"/>
      <c r="E235" s="246"/>
      <c r="F235" s="246"/>
      <c r="G235" s="246"/>
      <c r="H235" s="246"/>
      <c r="I235" s="246"/>
      <c r="J235" s="246"/>
      <c r="K235" s="246"/>
      <c r="L235" s="246"/>
      <c r="M235" s="246"/>
      <c r="N235" s="246"/>
      <c r="O235" s="246"/>
      <c r="P235" s="246"/>
      <c r="Q235" s="246"/>
      <c r="R235" s="246"/>
      <c r="S235" s="246"/>
      <c r="T235" s="246"/>
      <c r="U235" s="246"/>
      <c r="V235" s="246"/>
      <c r="W235" s="246"/>
      <c r="X235" s="246"/>
      <c r="Y235" s="246"/>
      <c r="Z235" s="246"/>
    </row>
    <row r="236" spans="1:26" ht="15.75" customHeight="1" x14ac:dyDescent="0.2">
      <c r="A236" s="246"/>
      <c r="B236" s="246"/>
      <c r="C236" s="246"/>
      <c r="D236" s="246"/>
      <c r="E236" s="246"/>
      <c r="F236" s="246"/>
      <c r="G236" s="246"/>
      <c r="H236" s="246"/>
      <c r="I236" s="246"/>
      <c r="J236" s="246"/>
      <c r="K236" s="246"/>
      <c r="L236" s="246"/>
      <c r="M236" s="246"/>
      <c r="N236" s="246"/>
      <c r="O236" s="246"/>
      <c r="P236" s="246"/>
      <c r="Q236" s="246"/>
      <c r="R236" s="246"/>
      <c r="S236" s="246"/>
      <c r="T236" s="246"/>
      <c r="U236" s="246"/>
      <c r="V236" s="246"/>
      <c r="W236" s="246"/>
      <c r="X236" s="246"/>
      <c r="Y236" s="246"/>
      <c r="Z236" s="246"/>
    </row>
    <row r="237" spans="1:26" ht="15.75" customHeight="1" x14ac:dyDescent="0.2">
      <c r="A237" s="246"/>
      <c r="B237" s="246"/>
      <c r="C237" s="246"/>
      <c r="D237" s="246"/>
      <c r="E237" s="246"/>
      <c r="F237" s="246"/>
      <c r="G237" s="246"/>
      <c r="H237" s="246"/>
      <c r="I237" s="246"/>
      <c r="J237" s="246"/>
      <c r="K237" s="246"/>
      <c r="L237" s="246"/>
      <c r="M237" s="246"/>
      <c r="N237" s="246"/>
      <c r="O237" s="246"/>
      <c r="P237" s="246"/>
      <c r="Q237" s="246"/>
      <c r="R237" s="246"/>
      <c r="S237" s="246"/>
      <c r="T237" s="246"/>
      <c r="U237" s="246"/>
      <c r="V237" s="246"/>
      <c r="W237" s="246"/>
      <c r="X237" s="246"/>
      <c r="Y237" s="246"/>
      <c r="Z237" s="246"/>
    </row>
    <row r="238" spans="1:26" ht="15.75" customHeight="1" x14ac:dyDescent="0.2">
      <c r="A238" s="246"/>
      <c r="B238" s="246"/>
      <c r="C238" s="246"/>
      <c r="D238" s="246"/>
      <c r="E238" s="246"/>
      <c r="F238" s="246"/>
      <c r="G238" s="246"/>
      <c r="H238" s="246"/>
      <c r="I238" s="246"/>
      <c r="J238" s="246"/>
      <c r="K238" s="246"/>
      <c r="L238" s="246"/>
      <c r="M238" s="246"/>
      <c r="N238" s="246"/>
      <c r="O238" s="246"/>
      <c r="P238" s="246"/>
      <c r="Q238" s="246"/>
      <c r="R238" s="246"/>
      <c r="S238" s="246"/>
      <c r="T238" s="246"/>
      <c r="U238" s="246"/>
      <c r="V238" s="246"/>
      <c r="W238" s="246"/>
      <c r="X238" s="246"/>
      <c r="Y238" s="246"/>
      <c r="Z238" s="246"/>
    </row>
    <row r="239" spans="1:26" ht="15.75" customHeight="1" x14ac:dyDescent="0.2">
      <c r="A239" s="246"/>
      <c r="B239" s="246"/>
      <c r="C239" s="246"/>
      <c r="D239" s="246"/>
      <c r="E239" s="246"/>
      <c r="F239" s="246"/>
      <c r="G239" s="246"/>
      <c r="H239" s="246"/>
      <c r="I239" s="246"/>
      <c r="J239" s="246"/>
      <c r="K239" s="246"/>
      <c r="L239" s="246"/>
      <c r="M239" s="246"/>
      <c r="N239" s="246"/>
      <c r="O239" s="246"/>
      <c r="P239" s="246"/>
      <c r="Q239" s="246"/>
      <c r="R239" s="246"/>
      <c r="S239" s="246"/>
      <c r="T239" s="246"/>
      <c r="U239" s="246"/>
      <c r="V239" s="246"/>
      <c r="W239" s="246"/>
      <c r="X239" s="246"/>
      <c r="Y239" s="246"/>
      <c r="Z239" s="246"/>
    </row>
    <row r="240" spans="1:26" ht="15.75" customHeight="1" x14ac:dyDescent="0.2">
      <c r="A240" s="246"/>
      <c r="B240" s="246"/>
      <c r="C240" s="246"/>
      <c r="D240" s="246"/>
      <c r="E240" s="246"/>
      <c r="F240" s="246"/>
      <c r="G240" s="246"/>
      <c r="H240" s="246"/>
      <c r="I240" s="246"/>
      <c r="J240" s="246"/>
      <c r="K240" s="246"/>
      <c r="L240" s="246"/>
      <c r="M240" s="246"/>
      <c r="N240" s="246"/>
      <c r="O240" s="246"/>
      <c r="P240" s="246"/>
      <c r="Q240" s="246"/>
      <c r="R240" s="246"/>
      <c r="S240" s="246"/>
      <c r="T240" s="246"/>
      <c r="U240" s="246"/>
      <c r="V240" s="246"/>
      <c r="W240" s="246"/>
      <c r="X240" s="246"/>
      <c r="Y240" s="246"/>
      <c r="Z240" s="246"/>
    </row>
    <row r="241" spans="1:26" ht="15.75" customHeight="1" x14ac:dyDescent="0.2">
      <c r="A241" s="246"/>
      <c r="B241" s="246"/>
      <c r="C241" s="246"/>
      <c r="D241" s="246"/>
      <c r="E241" s="246"/>
      <c r="F241" s="246"/>
      <c r="G241" s="246"/>
      <c r="H241" s="246"/>
      <c r="I241" s="246"/>
      <c r="J241" s="246"/>
      <c r="K241" s="246"/>
      <c r="L241" s="246"/>
      <c r="M241" s="246"/>
      <c r="N241" s="246"/>
      <c r="O241" s="246"/>
      <c r="P241" s="246"/>
      <c r="Q241" s="246"/>
      <c r="R241" s="246"/>
      <c r="S241" s="246"/>
      <c r="T241" s="246"/>
      <c r="U241" s="246"/>
      <c r="V241" s="246"/>
      <c r="W241" s="246"/>
      <c r="X241" s="246"/>
      <c r="Y241" s="246"/>
      <c r="Z241" s="246"/>
    </row>
    <row r="242" spans="1:26" ht="15.75" customHeight="1" x14ac:dyDescent="0.2">
      <c r="A242" s="246"/>
      <c r="B242" s="246"/>
      <c r="C242" s="246"/>
      <c r="D242" s="246"/>
      <c r="E242" s="246"/>
      <c r="F242" s="246"/>
      <c r="G242" s="246"/>
      <c r="H242" s="246"/>
      <c r="I242" s="246"/>
      <c r="J242" s="246"/>
      <c r="K242" s="246"/>
      <c r="L242" s="246"/>
      <c r="M242" s="246"/>
      <c r="N242" s="246"/>
      <c r="O242" s="246"/>
      <c r="P242" s="246"/>
      <c r="Q242" s="246"/>
      <c r="R242" s="246"/>
      <c r="S242" s="246"/>
      <c r="T242" s="246"/>
      <c r="U242" s="246"/>
      <c r="V242" s="246"/>
      <c r="W242" s="246"/>
      <c r="X242" s="246"/>
      <c r="Y242" s="246"/>
      <c r="Z242" s="246"/>
    </row>
    <row r="243" spans="1:26" ht="15.75" customHeight="1" x14ac:dyDescent="0.2">
      <c r="A243" s="246"/>
      <c r="B243" s="246"/>
      <c r="C243" s="246"/>
      <c r="D243" s="246"/>
      <c r="E243" s="246"/>
      <c r="F243" s="246"/>
      <c r="G243" s="246"/>
      <c r="H243" s="246"/>
      <c r="I243" s="246"/>
      <c r="J243" s="246"/>
      <c r="K243" s="246"/>
      <c r="L243" s="246"/>
      <c r="M243" s="246"/>
      <c r="N243" s="246"/>
      <c r="O243" s="246"/>
      <c r="P243" s="246"/>
      <c r="Q243" s="246"/>
      <c r="R243" s="246"/>
      <c r="S243" s="246"/>
      <c r="T243" s="246"/>
      <c r="U243" s="246"/>
      <c r="V243" s="246"/>
      <c r="W243" s="246"/>
      <c r="X243" s="246"/>
      <c r="Y243" s="246"/>
      <c r="Z243" s="246"/>
    </row>
    <row r="244" spans="1:26" ht="15.75" customHeight="1" x14ac:dyDescent="0.2">
      <c r="A244" s="246"/>
      <c r="B244" s="246"/>
      <c r="C244" s="246"/>
      <c r="D244" s="246"/>
      <c r="E244" s="246"/>
      <c r="F244" s="246"/>
      <c r="G244" s="246"/>
      <c r="H244" s="246"/>
      <c r="I244" s="246"/>
      <c r="J244" s="246"/>
      <c r="K244" s="246"/>
      <c r="L244" s="246"/>
      <c r="M244" s="246"/>
      <c r="N244" s="246"/>
      <c r="O244" s="246"/>
      <c r="P244" s="246"/>
      <c r="Q244" s="246"/>
      <c r="R244" s="246"/>
      <c r="S244" s="246"/>
      <c r="T244" s="246"/>
      <c r="U244" s="246"/>
      <c r="V244" s="246"/>
      <c r="W244" s="246"/>
      <c r="X244" s="246"/>
      <c r="Y244" s="246"/>
      <c r="Z244" s="246"/>
    </row>
    <row r="245" spans="1:26" ht="15.75" customHeight="1" x14ac:dyDescent="0.2">
      <c r="A245" s="246"/>
      <c r="B245" s="246"/>
      <c r="C245" s="246"/>
      <c r="D245" s="246"/>
      <c r="E245" s="246"/>
      <c r="F245" s="246"/>
      <c r="G245" s="246"/>
      <c r="H245" s="246"/>
      <c r="I245" s="246"/>
      <c r="J245" s="246"/>
      <c r="K245" s="246"/>
      <c r="L245" s="246"/>
      <c r="M245" s="246"/>
      <c r="N245" s="246"/>
      <c r="O245" s="246"/>
      <c r="P245" s="246"/>
      <c r="Q245" s="246"/>
      <c r="R245" s="246"/>
      <c r="S245" s="246"/>
      <c r="T245" s="246"/>
      <c r="U245" s="246"/>
      <c r="V245" s="246"/>
      <c r="W245" s="246"/>
      <c r="X245" s="246"/>
      <c r="Y245" s="246"/>
      <c r="Z245" s="246"/>
    </row>
    <row r="246" spans="1:26" ht="15.75" customHeight="1" x14ac:dyDescent="0.2"/>
    <row r="247" spans="1:26" ht="15.75" customHeight="1" x14ac:dyDescent="0.2"/>
    <row r="248" spans="1:26" ht="15.75" customHeight="1" x14ac:dyDescent="0.2"/>
    <row r="249" spans="1:26" ht="15.75" customHeight="1" x14ac:dyDescent="0.2"/>
    <row r="250" spans="1:26" ht="15.75" customHeight="1" x14ac:dyDescent="0.2"/>
    <row r="251" spans="1:26" ht="15.75" customHeight="1" x14ac:dyDescent="0.2"/>
    <row r="252" spans="1:26" ht="15.75" customHeight="1" x14ac:dyDescent="0.2"/>
    <row r="253" spans="1:26" ht="15.75" customHeight="1" x14ac:dyDescent="0.2"/>
    <row r="254" spans="1:26" ht="15.75" customHeight="1" x14ac:dyDescent="0.2"/>
    <row r="255" spans="1:26" ht="15.75" customHeight="1" x14ac:dyDescent="0.2"/>
    <row r="256" spans="1:2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57">
    <mergeCell ref="B45:D45"/>
    <mergeCell ref="H45:I45"/>
    <mergeCell ref="A41:E41"/>
    <mergeCell ref="F41:G41"/>
    <mergeCell ref="H41:I41"/>
    <mergeCell ref="J41:K41"/>
    <mergeCell ref="A42:K42"/>
    <mergeCell ref="A43:K43"/>
    <mergeCell ref="A39:E39"/>
    <mergeCell ref="F39:G39"/>
    <mergeCell ref="H39:I39"/>
    <mergeCell ref="J39:K39"/>
    <mergeCell ref="A40:E40"/>
    <mergeCell ref="F40:G40"/>
    <mergeCell ref="H40:I40"/>
    <mergeCell ref="J40:K40"/>
    <mergeCell ref="A37:E37"/>
    <mergeCell ref="F37:G37"/>
    <mergeCell ref="H37:I37"/>
    <mergeCell ref="J37:K37"/>
    <mergeCell ref="A38:E38"/>
    <mergeCell ref="F38:G38"/>
    <mergeCell ref="H38:I38"/>
    <mergeCell ref="J38:K38"/>
    <mergeCell ref="A35:E35"/>
    <mergeCell ref="F35:G35"/>
    <mergeCell ref="H35:I35"/>
    <mergeCell ref="J35:K35"/>
    <mergeCell ref="A36:E36"/>
    <mergeCell ref="F36:G36"/>
    <mergeCell ref="H36:I36"/>
    <mergeCell ref="J36:K36"/>
    <mergeCell ref="F33:J33"/>
    <mergeCell ref="B20:J20"/>
    <mergeCell ref="B21:H21"/>
    <mergeCell ref="B22:J22"/>
    <mergeCell ref="B23:I23"/>
    <mergeCell ref="B24:J24"/>
    <mergeCell ref="B25:H25"/>
    <mergeCell ref="B26:J26"/>
    <mergeCell ref="A28:K28"/>
    <mergeCell ref="A29:K29"/>
    <mergeCell ref="B30:J30"/>
    <mergeCell ref="F32:J32"/>
    <mergeCell ref="A17:K17"/>
    <mergeCell ref="A1:I1"/>
    <mergeCell ref="J1:K1"/>
    <mergeCell ref="A2:I2"/>
    <mergeCell ref="J2:K2"/>
    <mergeCell ref="A4:K4"/>
    <mergeCell ref="D6:E6"/>
    <mergeCell ref="G6:H6"/>
    <mergeCell ref="D7:E7"/>
    <mergeCell ref="A9:K9"/>
    <mergeCell ref="A10:K10"/>
    <mergeCell ref="A11:K15"/>
    <mergeCell ref="A16:K16"/>
  </mergeCells>
  <pageMargins left="0.7" right="0.7" top="0.75" bottom="0.75" header="0" footer="0"/>
  <pageSetup scale="51" orientation="portrait" r:id="rId1"/>
  <colBreaks count="1" manualBreakCount="1">
    <brk id="11" man="1"/>
  </col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3F30971D-C0A4-4E97-AEEC-0597B5C10D07}">
          <x14:formula1>
            <xm:f>'RESPONSABLE '!$A$2:$A$31</xm:f>
          </x14:formula1>
          <xm:sqref>B24:J24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pageSetUpPr fitToPage="1"/>
  </sheetPr>
  <dimension ref="A1:AM523"/>
  <sheetViews>
    <sheetView tabSelected="1" zoomScale="106" zoomScaleNormal="106" workbookViewId="0">
      <pane xSplit="3" ySplit="4" topLeftCell="D133" activePane="bottomRight" state="frozen"/>
      <selection pane="topRight" activeCell="D1" sqref="D1"/>
      <selection pane="bottomLeft" activeCell="A5" sqref="A5"/>
      <selection pane="bottomRight" activeCell="A134" sqref="A134:XFD134"/>
    </sheetView>
  </sheetViews>
  <sheetFormatPr baseColWidth="10" defaultColWidth="12.625" defaultRowHeight="56.25" customHeight="1" x14ac:dyDescent="0.2"/>
  <cols>
    <col min="1" max="1" width="12.375" customWidth="1"/>
    <col min="2" max="4" width="9.5" customWidth="1"/>
    <col min="5" max="5" width="16" customWidth="1"/>
    <col min="6" max="7" width="12.375" customWidth="1"/>
    <col min="8" max="8" width="11" customWidth="1"/>
    <col min="9" max="9" width="59.375" customWidth="1"/>
    <col min="10" max="10" width="11.625" style="130" customWidth="1"/>
    <col min="11" max="11" width="9.25" style="130" customWidth="1"/>
    <col min="12" max="12" width="11.625" style="130" customWidth="1"/>
    <col min="13" max="13" width="11.625" style="119" customWidth="1"/>
    <col min="14" max="14" width="13.5" style="130" customWidth="1"/>
    <col min="15" max="16" width="12.375" style="130" customWidth="1"/>
    <col min="17" max="17" width="11" style="130" customWidth="1"/>
    <col min="18" max="19" width="11" customWidth="1"/>
    <col min="20" max="20" width="15" customWidth="1"/>
    <col min="21" max="21" width="16.25" customWidth="1"/>
    <col min="22" max="25" width="13.5" customWidth="1"/>
  </cols>
  <sheetData>
    <row r="1" spans="1:39" ht="22.5" customHeight="1" x14ac:dyDescent="0.3">
      <c r="A1" s="21"/>
      <c r="B1" s="21"/>
      <c r="C1" s="21"/>
      <c r="D1" s="21"/>
      <c r="E1" s="21"/>
      <c r="F1" s="21"/>
      <c r="G1" s="21"/>
      <c r="H1" s="21"/>
      <c r="I1" s="22"/>
      <c r="J1" s="122"/>
      <c r="K1" s="122"/>
      <c r="L1" s="122"/>
      <c r="M1" s="122"/>
      <c r="N1" s="122"/>
      <c r="O1" s="122"/>
      <c r="P1" s="122"/>
      <c r="Q1" s="122"/>
      <c r="R1" s="21"/>
      <c r="S1" s="21"/>
      <c r="T1" s="23"/>
      <c r="U1" s="397" t="s">
        <v>327</v>
      </c>
      <c r="V1" s="398"/>
      <c r="W1" s="398"/>
      <c r="X1" s="399"/>
      <c r="Y1" s="24"/>
      <c r="Z1" s="24"/>
      <c r="AA1" s="24"/>
      <c r="AB1" s="24"/>
      <c r="AC1" s="24"/>
      <c r="AD1" s="24"/>
      <c r="AE1" s="24"/>
      <c r="AF1" s="24"/>
      <c r="AG1" s="24"/>
      <c r="AH1" s="24"/>
      <c r="AI1" s="24"/>
      <c r="AJ1" s="24"/>
      <c r="AK1" s="24"/>
      <c r="AL1" s="24"/>
      <c r="AM1" s="24"/>
    </row>
    <row r="2" spans="1:39" ht="22.5" customHeight="1" x14ac:dyDescent="0.3">
      <c r="A2" s="397" t="s">
        <v>328</v>
      </c>
      <c r="B2" s="398"/>
      <c r="C2" s="398"/>
      <c r="D2" s="398"/>
      <c r="E2" s="398"/>
      <c r="F2" s="398"/>
      <c r="G2" s="398"/>
      <c r="H2" s="398"/>
      <c r="I2" s="398"/>
      <c r="J2" s="398"/>
      <c r="K2" s="398"/>
      <c r="L2" s="398"/>
      <c r="M2" s="398"/>
      <c r="N2" s="398"/>
      <c r="O2" s="398"/>
      <c r="P2" s="398"/>
      <c r="Q2" s="398"/>
      <c r="R2" s="398"/>
      <c r="S2" s="398"/>
      <c r="T2" s="399"/>
      <c r="U2" s="397" t="s">
        <v>516</v>
      </c>
      <c r="V2" s="398"/>
      <c r="W2" s="398"/>
      <c r="X2" s="399"/>
      <c r="Y2" s="24"/>
      <c r="Z2" s="24"/>
      <c r="AA2" s="24"/>
      <c r="AB2" s="24"/>
      <c r="AC2" s="24"/>
      <c r="AD2" s="24"/>
      <c r="AE2" s="24"/>
      <c r="AF2" s="24"/>
      <c r="AG2" s="24"/>
      <c r="AH2" s="24"/>
      <c r="AI2" s="24"/>
      <c r="AJ2" s="24"/>
      <c r="AK2" s="24"/>
      <c r="AL2" s="24"/>
      <c r="AM2" s="24"/>
    </row>
    <row r="3" spans="1:39" ht="22.5" customHeight="1" x14ac:dyDescent="0.3">
      <c r="A3" s="400" t="s">
        <v>329</v>
      </c>
      <c r="B3" s="398"/>
      <c r="C3" s="398"/>
      <c r="D3" s="398"/>
      <c r="E3" s="398"/>
      <c r="F3" s="401"/>
      <c r="G3" s="401"/>
      <c r="H3" s="401"/>
      <c r="I3" s="398"/>
      <c r="J3" s="402" t="s">
        <v>330</v>
      </c>
      <c r="K3" s="403"/>
      <c r="L3" s="403"/>
      <c r="M3" s="403"/>
      <c r="N3" s="404"/>
      <c r="O3" s="402" t="s">
        <v>331</v>
      </c>
      <c r="P3" s="398"/>
      <c r="Q3" s="398"/>
      <c r="R3" s="398"/>
      <c r="S3" s="398"/>
      <c r="T3" s="399"/>
      <c r="U3" s="402" t="s">
        <v>332</v>
      </c>
      <c r="V3" s="398"/>
      <c r="W3" s="398"/>
      <c r="X3" s="399"/>
      <c r="Y3" s="25"/>
      <c r="Z3" s="24"/>
      <c r="AA3" s="24"/>
      <c r="AB3" s="24"/>
      <c r="AC3" s="24"/>
      <c r="AD3" s="24"/>
      <c r="AE3" s="24"/>
      <c r="AF3" s="24"/>
      <c r="AG3" s="24"/>
      <c r="AH3" s="24"/>
      <c r="AI3" s="24"/>
      <c r="AJ3" s="24"/>
      <c r="AK3" s="24"/>
      <c r="AL3" s="24"/>
      <c r="AM3" s="24"/>
    </row>
    <row r="4" spans="1:39" ht="55.5" customHeight="1" x14ac:dyDescent="0.3">
      <c r="A4" s="26" t="s">
        <v>930</v>
      </c>
      <c r="B4" s="26" t="s">
        <v>333</v>
      </c>
      <c r="C4" s="27" t="s">
        <v>334</v>
      </c>
      <c r="D4" s="26" t="s">
        <v>335</v>
      </c>
      <c r="E4" s="217" t="s">
        <v>336</v>
      </c>
      <c r="F4" s="219" t="s">
        <v>0</v>
      </c>
      <c r="G4" s="219" t="s">
        <v>276</v>
      </c>
      <c r="H4" s="219" t="s">
        <v>337</v>
      </c>
      <c r="I4" s="218" t="s">
        <v>338</v>
      </c>
      <c r="J4" s="28" t="s">
        <v>339</v>
      </c>
      <c r="K4" s="29" t="s">
        <v>340</v>
      </c>
      <c r="L4" s="29" t="s">
        <v>341</v>
      </c>
      <c r="M4" s="28" t="s">
        <v>342</v>
      </c>
      <c r="N4" s="28" t="s">
        <v>296</v>
      </c>
      <c r="O4" s="30" t="s">
        <v>343</v>
      </c>
      <c r="P4" s="30" t="s">
        <v>344</v>
      </c>
      <c r="Q4" s="31" t="s">
        <v>345</v>
      </c>
      <c r="R4" s="27" t="s">
        <v>346</v>
      </c>
      <c r="S4" s="32" t="s">
        <v>347</v>
      </c>
      <c r="T4" s="28" t="s">
        <v>348</v>
      </c>
      <c r="U4" s="33" t="s">
        <v>349</v>
      </c>
      <c r="V4" s="33" t="s">
        <v>350</v>
      </c>
      <c r="W4" s="33" t="s">
        <v>351</v>
      </c>
      <c r="X4" s="33" t="s">
        <v>352</v>
      </c>
      <c r="Y4" s="33" t="s">
        <v>353</v>
      </c>
      <c r="Z4" s="24"/>
      <c r="AA4" s="24"/>
      <c r="AB4" s="24"/>
      <c r="AC4" s="24"/>
      <c r="AD4" s="24"/>
      <c r="AE4" s="24"/>
      <c r="AF4" s="24"/>
      <c r="AG4" s="24"/>
      <c r="AH4" s="24"/>
      <c r="AI4" s="24"/>
      <c r="AJ4" s="24"/>
      <c r="AK4" s="24"/>
      <c r="AL4" s="24"/>
      <c r="AM4" s="24"/>
    </row>
    <row r="5" spans="1:39" ht="56.25" customHeight="1" x14ac:dyDescent="0.3">
      <c r="A5" s="91">
        <v>1</v>
      </c>
      <c r="B5" s="240" t="s">
        <v>575</v>
      </c>
      <c r="C5" s="232">
        <v>46031</v>
      </c>
      <c r="D5" s="225" t="s">
        <v>449</v>
      </c>
      <c r="E5" s="233" t="s">
        <v>267</v>
      </c>
      <c r="F5" s="222" t="s">
        <v>535</v>
      </c>
      <c r="G5" s="221" t="s">
        <v>523</v>
      </c>
      <c r="H5" s="221" t="s">
        <v>376</v>
      </c>
      <c r="I5" s="234" t="s">
        <v>571</v>
      </c>
      <c r="J5" s="225" t="s">
        <v>362</v>
      </c>
      <c r="K5" s="235" t="s">
        <v>357</v>
      </c>
      <c r="L5" s="235" t="s">
        <v>479</v>
      </c>
      <c r="M5" s="225" t="s">
        <v>311</v>
      </c>
      <c r="N5" s="225" t="s">
        <v>504</v>
      </c>
      <c r="O5" s="232"/>
      <c r="P5" s="232"/>
      <c r="Q5" s="235" t="s">
        <v>358</v>
      </c>
      <c r="R5" s="236"/>
      <c r="S5" s="236" t="s">
        <v>358</v>
      </c>
      <c r="T5" s="237" t="s">
        <v>274</v>
      </c>
      <c r="U5" s="238" t="s">
        <v>572</v>
      </c>
      <c r="V5" s="238" t="s">
        <v>573</v>
      </c>
      <c r="W5" s="238" t="s">
        <v>495</v>
      </c>
      <c r="X5" s="238" t="s">
        <v>352</v>
      </c>
      <c r="Y5" s="239" t="s">
        <v>359</v>
      </c>
      <c r="Z5" s="24"/>
      <c r="AA5" s="24"/>
      <c r="AB5" s="24"/>
      <c r="AC5" s="24"/>
      <c r="AD5" s="24"/>
      <c r="AE5" s="24"/>
      <c r="AF5" s="24"/>
      <c r="AG5" s="24"/>
      <c r="AH5" s="24"/>
      <c r="AI5" s="24"/>
      <c r="AJ5" s="24"/>
      <c r="AK5" s="24"/>
      <c r="AL5" s="24"/>
      <c r="AM5" s="24"/>
    </row>
    <row r="6" spans="1:39" ht="84" customHeight="1" x14ac:dyDescent="0.3">
      <c r="A6" s="116">
        <v>1</v>
      </c>
      <c r="B6" s="210">
        <v>2</v>
      </c>
      <c r="C6" s="220">
        <v>46031</v>
      </c>
      <c r="D6" s="225" t="s">
        <v>449</v>
      </c>
      <c r="E6" s="221" t="s">
        <v>267</v>
      </c>
      <c r="F6" s="221" t="s">
        <v>32</v>
      </c>
      <c r="G6" s="221" t="s">
        <v>32</v>
      </c>
      <c r="H6" s="221" t="s">
        <v>355</v>
      </c>
      <c r="I6" s="230" t="s">
        <v>574</v>
      </c>
      <c r="J6" s="221" t="s">
        <v>369</v>
      </c>
      <c r="K6" s="221" t="s">
        <v>357</v>
      </c>
      <c r="L6" s="221" t="s">
        <v>479</v>
      </c>
      <c r="M6" s="221" t="s">
        <v>311</v>
      </c>
      <c r="N6" s="221" t="s">
        <v>504</v>
      </c>
      <c r="O6" s="231"/>
      <c r="P6" s="231"/>
      <c r="Q6" s="221" t="s">
        <v>358</v>
      </c>
      <c r="R6" s="221"/>
      <c r="S6" s="221" t="s">
        <v>358</v>
      </c>
      <c r="T6" s="221" t="s">
        <v>274</v>
      </c>
      <c r="U6" s="227" t="s">
        <v>572</v>
      </c>
      <c r="V6" s="228" t="s">
        <v>487</v>
      </c>
      <c r="W6" s="227" t="s">
        <v>532</v>
      </c>
      <c r="X6" s="229" t="s">
        <v>352</v>
      </c>
      <c r="Y6" s="224" t="s">
        <v>359</v>
      </c>
      <c r="Z6" s="24"/>
      <c r="AA6" s="24"/>
      <c r="AB6" s="24"/>
      <c r="AC6" s="24"/>
      <c r="AD6" s="24"/>
      <c r="AE6" s="24"/>
      <c r="AF6" s="24"/>
      <c r="AG6" s="24"/>
      <c r="AH6" s="24"/>
      <c r="AI6" s="24"/>
      <c r="AJ6" s="24"/>
      <c r="AK6" s="24"/>
      <c r="AL6" s="24"/>
      <c r="AM6" s="24"/>
    </row>
    <row r="7" spans="1:39" ht="182.25" customHeight="1" x14ac:dyDescent="0.3">
      <c r="A7" s="116">
        <v>1</v>
      </c>
      <c r="B7" s="210">
        <v>3</v>
      </c>
      <c r="C7" s="220">
        <v>46031</v>
      </c>
      <c r="D7" s="225" t="s">
        <v>449</v>
      </c>
      <c r="E7" s="221" t="s">
        <v>267</v>
      </c>
      <c r="F7" s="221" t="s">
        <v>469</v>
      </c>
      <c r="G7" s="221" t="s">
        <v>469</v>
      </c>
      <c r="H7" s="221" t="s">
        <v>287</v>
      </c>
      <c r="I7" s="230" t="s">
        <v>576</v>
      </c>
      <c r="J7" s="221" t="s">
        <v>286</v>
      </c>
      <c r="K7" s="221" t="s">
        <v>357</v>
      </c>
      <c r="L7" s="221" t="s">
        <v>479</v>
      </c>
      <c r="M7" s="221" t="s">
        <v>311</v>
      </c>
      <c r="N7" s="221" t="s">
        <v>504</v>
      </c>
      <c r="O7" s="231"/>
      <c r="P7" s="231"/>
      <c r="Q7" s="221" t="s">
        <v>358</v>
      </c>
      <c r="R7" s="221"/>
      <c r="S7" s="221" t="s">
        <v>358</v>
      </c>
      <c r="T7" s="221" t="s">
        <v>274</v>
      </c>
      <c r="U7" s="227" t="s">
        <v>528</v>
      </c>
      <c r="V7" s="228" t="s">
        <v>482</v>
      </c>
      <c r="W7" s="227" t="s">
        <v>510</v>
      </c>
      <c r="X7" s="229" t="s">
        <v>352</v>
      </c>
      <c r="Y7" s="224" t="s">
        <v>359</v>
      </c>
      <c r="Z7" s="24"/>
      <c r="AA7" s="24"/>
      <c r="AB7" s="24"/>
      <c r="AC7" s="24"/>
      <c r="AD7" s="24"/>
      <c r="AE7" s="24"/>
      <c r="AF7" s="24"/>
      <c r="AG7" s="24"/>
      <c r="AH7" s="24"/>
      <c r="AI7" s="24"/>
      <c r="AJ7" s="24"/>
      <c r="AK7" s="24"/>
      <c r="AL7" s="24"/>
      <c r="AM7" s="24"/>
    </row>
    <row r="8" spans="1:39" ht="84" customHeight="1" x14ac:dyDescent="0.3">
      <c r="A8" s="116">
        <v>1</v>
      </c>
      <c r="B8" s="210">
        <v>4</v>
      </c>
      <c r="C8" s="220">
        <v>46031</v>
      </c>
      <c r="D8" s="225" t="s">
        <v>449</v>
      </c>
      <c r="E8" s="221" t="s">
        <v>267</v>
      </c>
      <c r="F8" s="221" t="s">
        <v>143</v>
      </c>
      <c r="G8" s="221" t="s">
        <v>201</v>
      </c>
      <c r="H8" s="221" t="s">
        <v>372</v>
      </c>
      <c r="I8" s="230" t="s">
        <v>578</v>
      </c>
      <c r="J8" s="221" t="s">
        <v>368</v>
      </c>
      <c r="K8" s="221" t="s">
        <v>357</v>
      </c>
      <c r="L8" s="221" t="s">
        <v>479</v>
      </c>
      <c r="M8" s="221" t="s">
        <v>311</v>
      </c>
      <c r="N8" s="221" t="s">
        <v>373</v>
      </c>
      <c r="O8" s="231"/>
      <c r="P8" s="231"/>
      <c r="Q8" s="221" t="s">
        <v>358</v>
      </c>
      <c r="R8" s="221"/>
      <c r="S8" s="221" t="s">
        <v>358</v>
      </c>
      <c r="T8" s="221" t="s">
        <v>274</v>
      </c>
      <c r="U8" s="227" t="s">
        <v>577</v>
      </c>
      <c r="V8" s="228" t="s">
        <v>579</v>
      </c>
      <c r="W8" s="227" t="s">
        <v>580</v>
      </c>
      <c r="X8" s="229" t="s">
        <v>352</v>
      </c>
      <c r="Y8" s="224" t="s">
        <v>359</v>
      </c>
      <c r="Z8" s="24"/>
      <c r="AA8" s="24"/>
      <c r="AB8" s="24"/>
      <c r="AC8" s="24"/>
      <c r="AD8" s="24"/>
      <c r="AE8" s="24"/>
      <c r="AF8" s="24"/>
      <c r="AG8" s="24"/>
      <c r="AH8" s="24"/>
      <c r="AI8" s="24"/>
      <c r="AJ8" s="24"/>
      <c r="AK8" s="24"/>
      <c r="AL8" s="24"/>
      <c r="AM8" s="24"/>
    </row>
    <row r="9" spans="1:39" ht="84" customHeight="1" x14ac:dyDescent="0.3">
      <c r="A9" s="116">
        <v>1</v>
      </c>
      <c r="B9" s="210">
        <v>5</v>
      </c>
      <c r="C9" s="220">
        <v>46031</v>
      </c>
      <c r="D9" s="225" t="s">
        <v>449</v>
      </c>
      <c r="E9" s="221" t="s">
        <v>267</v>
      </c>
      <c r="F9" s="221" t="s">
        <v>549</v>
      </c>
      <c r="G9" s="221" t="s">
        <v>261</v>
      </c>
      <c r="H9" s="221" t="s">
        <v>361</v>
      </c>
      <c r="I9" s="230" t="s">
        <v>581</v>
      </c>
      <c r="J9" s="221" t="s">
        <v>286</v>
      </c>
      <c r="K9" s="221" t="s">
        <v>357</v>
      </c>
      <c r="L9" s="221" t="s">
        <v>479</v>
      </c>
      <c r="M9" s="221" t="s">
        <v>311</v>
      </c>
      <c r="N9" s="221" t="s">
        <v>379</v>
      </c>
      <c r="O9" s="231"/>
      <c r="P9" s="231"/>
      <c r="Q9" s="221" t="s">
        <v>358</v>
      </c>
      <c r="R9" s="221"/>
      <c r="S9" s="221" t="s">
        <v>358</v>
      </c>
      <c r="T9" s="221" t="s">
        <v>274</v>
      </c>
      <c r="U9" s="227" t="s">
        <v>583</v>
      </c>
      <c r="V9" s="228">
        <v>5144646</v>
      </c>
      <c r="W9" s="227" t="s">
        <v>582</v>
      </c>
      <c r="X9" s="229" t="s">
        <v>352</v>
      </c>
      <c r="Y9" s="224" t="s">
        <v>359</v>
      </c>
      <c r="Z9" s="24"/>
      <c r="AA9" s="24"/>
      <c r="AB9" s="24"/>
      <c r="AC9" s="24"/>
      <c r="AD9" s="24"/>
      <c r="AE9" s="24"/>
      <c r="AF9" s="24"/>
      <c r="AG9" s="24"/>
      <c r="AH9" s="24"/>
      <c r="AI9" s="24"/>
      <c r="AJ9" s="24"/>
      <c r="AK9" s="24"/>
      <c r="AL9" s="24"/>
      <c r="AM9" s="24"/>
    </row>
    <row r="10" spans="1:39" ht="111" customHeight="1" x14ac:dyDescent="0.3">
      <c r="A10" s="116">
        <v>1</v>
      </c>
      <c r="B10" s="210">
        <v>6</v>
      </c>
      <c r="C10" s="220">
        <v>46031</v>
      </c>
      <c r="D10" s="225" t="s">
        <v>449</v>
      </c>
      <c r="E10" s="221" t="s">
        <v>365</v>
      </c>
      <c r="F10" s="221" t="s">
        <v>80</v>
      </c>
      <c r="G10" s="221" t="s">
        <v>80</v>
      </c>
      <c r="H10" s="221" t="s">
        <v>361</v>
      </c>
      <c r="I10" s="230" t="s">
        <v>584</v>
      </c>
      <c r="J10" s="221" t="s">
        <v>366</v>
      </c>
      <c r="K10" s="221" t="s">
        <v>357</v>
      </c>
      <c r="L10" s="221" t="s">
        <v>479</v>
      </c>
      <c r="M10" s="221" t="s">
        <v>311</v>
      </c>
      <c r="N10" s="221" t="s">
        <v>503</v>
      </c>
      <c r="O10" s="231"/>
      <c r="P10" s="231"/>
      <c r="Q10" s="221" t="s">
        <v>358</v>
      </c>
      <c r="R10" s="221"/>
      <c r="S10" s="221" t="s">
        <v>358</v>
      </c>
      <c r="T10" s="221" t="s">
        <v>274</v>
      </c>
      <c r="U10" s="227" t="s">
        <v>511</v>
      </c>
      <c r="V10" s="228">
        <v>8353810</v>
      </c>
      <c r="W10" s="227" t="s">
        <v>506</v>
      </c>
      <c r="X10" s="229" t="s">
        <v>352</v>
      </c>
      <c r="Y10" s="224" t="s">
        <v>359</v>
      </c>
      <c r="Z10" s="24"/>
      <c r="AA10" s="24"/>
      <c r="AB10" s="24"/>
      <c r="AC10" s="24"/>
      <c r="AD10" s="24"/>
      <c r="AE10" s="24"/>
      <c r="AF10" s="24"/>
      <c r="AG10" s="24"/>
      <c r="AH10" s="24"/>
      <c r="AI10" s="24"/>
      <c r="AJ10" s="24"/>
      <c r="AK10" s="24"/>
      <c r="AL10" s="24"/>
      <c r="AM10" s="24"/>
    </row>
    <row r="11" spans="1:39" ht="86.25" customHeight="1" x14ac:dyDescent="0.3">
      <c r="A11" s="116">
        <v>1</v>
      </c>
      <c r="B11" s="210">
        <v>7</v>
      </c>
      <c r="C11" s="220">
        <v>46031</v>
      </c>
      <c r="D11" s="225" t="s">
        <v>449</v>
      </c>
      <c r="E11" s="221" t="s">
        <v>365</v>
      </c>
      <c r="F11" s="221" t="s">
        <v>114</v>
      </c>
      <c r="G11" s="221" t="s">
        <v>153</v>
      </c>
      <c r="H11" s="221" t="s">
        <v>372</v>
      </c>
      <c r="I11" s="230" t="s">
        <v>586</v>
      </c>
      <c r="J11" s="221" t="s">
        <v>362</v>
      </c>
      <c r="K11" s="221" t="s">
        <v>357</v>
      </c>
      <c r="L11" s="221" t="s">
        <v>479</v>
      </c>
      <c r="M11" s="221" t="s">
        <v>311</v>
      </c>
      <c r="N11" s="221" t="s">
        <v>373</v>
      </c>
      <c r="O11" s="231"/>
      <c r="P11" s="231">
        <v>45736</v>
      </c>
      <c r="Q11" s="221" t="s">
        <v>620</v>
      </c>
      <c r="R11" s="221"/>
      <c r="S11" s="221" t="s">
        <v>358</v>
      </c>
      <c r="T11" s="221" t="s">
        <v>274</v>
      </c>
      <c r="U11" s="227" t="s">
        <v>585</v>
      </c>
      <c r="V11" s="228">
        <v>3115059392</v>
      </c>
      <c r="W11" s="227" t="s">
        <v>587</v>
      </c>
      <c r="X11" s="229" t="s">
        <v>352</v>
      </c>
      <c r="Y11" s="224" t="s">
        <v>359</v>
      </c>
      <c r="Z11" s="24"/>
      <c r="AA11" s="24"/>
      <c r="AB11" s="24"/>
      <c r="AC11" s="24"/>
      <c r="AD11" s="24"/>
      <c r="AE11" s="24"/>
      <c r="AF11" s="24"/>
      <c r="AG11" s="24"/>
      <c r="AH11" s="24"/>
      <c r="AI11" s="24"/>
      <c r="AJ11" s="24"/>
      <c r="AK11" s="24"/>
      <c r="AL11" s="24"/>
      <c r="AM11" s="24"/>
    </row>
    <row r="12" spans="1:39" ht="84" customHeight="1" x14ac:dyDescent="0.3">
      <c r="A12" s="116">
        <v>1</v>
      </c>
      <c r="B12" s="210">
        <v>8</v>
      </c>
      <c r="C12" s="220">
        <v>46031</v>
      </c>
      <c r="D12" s="225" t="s">
        <v>449</v>
      </c>
      <c r="E12" s="221" t="s">
        <v>354</v>
      </c>
      <c r="F12" s="221" t="s">
        <v>43</v>
      </c>
      <c r="G12" s="221" t="s">
        <v>66</v>
      </c>
      <c r="H12" s="221" t="s">
        <v>372</v>
      </c>
      <c r="I12" s="230" t="s">
        <v>588</v>
      </c>
      <c r="J12" s="221" t="s">
        <v>362</v>
      </c>
      <c r="K12" s="221" t="s">
        <v>357</v>
      </c>
      <c r="L12" s="221" t="s">
        <v>479</v>
      </c>
      <c r="M12" s="221" t="s">
        <v>311</v>
      </c>
      <c r="N12" s="221" t="s">
        <v>373</v>
      </c>
      <c r="O12" s="231"/>
      <c r="P12" s="231"/>
      <c r="Q12" s="221" t="s">
        <v>358</v>
      </c>
      <c r="R12" s="221"/>
      <c r="S12" s="221" t="s">
        <v>358</v>
      </c>
      <c r="T12" s="221" t="s">
        <v>274</v>
      </c>
      <c r="U12" s="227" t="s">
        <v>509</v>
      </c>
      <c r="V12" s="228" t="s">
        <v>491</v>
      </c>
      <c r="W12" s="227" t="s">
        <v>492</v>
      </c>
      <c r="X12" s="229" t="s">
        <v>352</v>
      </c>
      <c r="Y12" s="224" t="s">
        <v>359</v>
      </c>
      <c r="Z12" s="24"/>
      <c r="AA12" s="24"/>
      <c r="AB12" s="24"/>
      <c r="AC12" s="24"/>
      <c r="AD12" s="24"/>
      <c r="AE12" s="24"/>
      <c r="AF12" s="24"/>
      <c r="AG12" s="24"/>
      <c r="AH12" s="24"/>
      <c r="AI12" s="24"/>
      <c r="AJ12" s="24"/>
      <c r="AK12" s="24"/>
      <c r="AL12" s="24"/>
      <c r="AM12" s="24"/>
    </row>
    <row r="13" spans="1:39" ht="84" customHeight="1" x14ac:dyDescent="0.3">
      <c r="A13" s="116">
        <v>1</v>
      </c>
      <c r="B13" s="210">
        <v>9</v>
      </c>
      <c r="C13" s="220">
        <v>46027</v>
      </c>
      <c r="D13" s="221" t="s">
        <v>449</v>
      </c>
      <c r="E13" s="221" t="s">
        <v>371</v>
      </c>
      <c r="F13" s="221" t="s">
        <v>534</v>
      </c>
      <c r="G13" s="221" t="s">
        <v>534</v>
      </c>
      <c r="H13" s="221" t="s">
        <v>372</v>
      </c>
      <c r="I13" s="230" t="s">
        <v>590</v>
      </c>
      <c r="J13" s="221" t="s">
        <v>368</v>
      </c>
      <c r="K13" s="221" t="s">
        <v>357</v>
      </c>
      <c r="L13" s="221" t="s">
        <v>479</v>
      </c>
      <c r="M13" s="221" t="s">
        <v>311</v>
      </c>
      <c r="N13" s="221" t="s">
        <v>373</v>
      </c>
      <c r="O13" s="231"/>
      <c r="P13" s="231"/>
      <c r="Q13" s="221" t="s">
        <v>358</v>
      </c>
      <c r="R13" s="221"/>
      <c r="S13" s="221" t="s">
        <v>358</v>
      </c>
      <c r="T13" s="221" t="s">
        <v>274</v>
      </c>
      <c r="U13" s="227" t="s">
        <v>591</v>
      </c>
      <c r="V13" s="228">
        <v>3168785821</v>
      </c>
      <c r="W13" s="227" t="s">
        <v>592</v>
      </c>
      <c r="X13" s="229" t="s">
        <v>352</v>
      </c>
      <c r="Y13" s="224" t="s">
        <v>359</v>
      </c>
      <c r="Z13" s="24"/>
      <c r="AA13" s="24"/>
      <c r="AB13" s="24"/>
      <c r="AC13" s="24"/>
      <c r="AD13" s="24"/>
      <c r="AE13" s="24"/>
      <c r="AF13" s="24"/>
      <c r="AG13" s="24"/>
      <c r="AH13" s="24"/>
      <c r="AI13" s="24"/>
      <c r="AJ13" s="24"/>
      <c r="AK13" s="24"/>
      <c r="AL13" s="24"/>
      <c r="AM13" s="24"/>
    </row>
    <row r="14" spans="1:39" ht="84" customHeight="1" x14ac:dyDescent="0.3">
      <c r="A14" s="116">
        <v>1</v>
      </c>
      <c r="B14" s="210">
        <v>10</v>
      </c>
      <c r="C14" s="220">
        <v>46027</v>
      </c>
      <c r="D14" s="221" t="s">
        <v>449</v>
      </c>
      <c r="E14" s="221" t="s">
        <v>371</v>
      </c>
      <c r="F14" s="221" t="s">
        <v>75</v>
      </c>
      <c r="G14" s="221" t="s">
        <v>123</v>
      </c>
      <c r="H14" s="221" t="s">
        <v>372</v>
      </c>
      <c r="I14" s="230" t="s">
        <v>593</v>
      </c>
      <c r="J14" s="221" t="s">
        <v>368</v>
      </c>
      <c r="K14" s="221" t="s">
        <v>357</v>
      </c>
      <c r="L14" s="221" t="s">
        <v>479</v>
      </c>
      <c r="M14" s="221" t="s">
        <v>311</v>
      </c>
      <c r="N14" s="221" t="s">
        <v>373</v>
      </c>
      <c r="O14" s="231"/>
      <c r="P14" s="231"/>
      <c r="Q14" s="221" t="s">
        <v>358</v>
      </c>
      <c r="R14" s="221"/>
      <c r="S14" s="221" t="s">
        <v>358</v>
      </c>
      <c r="T14" s="221" t="s">
        <v>274</v>
      </c>
      <c r="U14" s="227" t="s">
        <v>594</v>
      </c>
      <c r="V14" s="228" t="s">
        <v>595</v>
      </c>
      <c r="W14" s="227" t="s">
        <v>596</v>
      </c>
      <c r="X14" s="229" t="s">
        <v>352</v>
      </c>
      <c r="Y14" s="224" t="s">
        <v>359</v>
      </c>
      <c r="Z14" s="24"/>
      <c r="AA14" s="24"/>
      <c r="AB14" s="24"/>
      <c r="AC14" s="24"/>
      <c r="AD14" s="24"/>
      <c r="AE14" s="24"/>
      <c r="AF14" s="24"/>
      <c r="AG14" s="24"/>
      <c r="AH14" s="24"/>
      <c r="AI14" s="24"/>
      <c r="AJ14" s="24"/>
      <c r="AK14" s="24"/>
      <c r="AL14" s="24"/>
      <c r="AM14" s="24"/>
    </row>
    <row r="15" spans="1:39" ht="84" customHeight="1" x14ac:dyDescent="0.3">
      <c r="A15" s="116">
        <v>1</v>
      </c>
      <c r="B15" s="210">
        <v>11</v>
      </c>
      <c r="C15" s="220">
        <v>46038</v>
      </c>
      <c r="D15" s="221" t="s">
        <v>449</v>
      </c>
      <c r="E15" s="221" t="s">
        <v>365</v>
      </c>
      <c r="F15" s="221" t="s">
        <v>50</v>
      </c>
      <c r="G15" s="221" t="s">
        <v>50</v>
      </c>
      <c r="H15" s="221" t="s">
        <v>355</v>
      </c>
      <c r="I15" s="230" t="s">
        <v>597</v>
      </c>
      <c r="J15" s="221" t="s">
        <v>362</v>
      </c>
      <c r="K15" s="221" t="s">
        <v>357</v>
      </c>
      <c r="L15" s="221" t="s">
        <v>479</v>
      </c>
      <c r="M15" s="221" t="s">
        <v>311</v>
      </c>
      <c r="N15" s="221" t="s">
        <v>384</v>
      </c>
      <c r="O15" s="231"/>
      <c r="P15" s="231"/>
      <c r="Q15" s="221" t="s">
        <v>358</v>
      </c>
      <c r="R15" s="221"/>
      <c r="S15" s="221" t="s">
        <v>358</v>
      </c>
      <c r="T15" s="221" t="s">
        <v>274</v>
      </c>
      <c r="U15" s="227" t="s">
        <v>598</v>
      </c>
      <c r="V15" s="228" t="s">
        <v>599</v>
      </c>
      <c r="W15" s="227" t="s">
        <v>600</v>
      </c>
      <c r="X15" s="229" t="s">
        <v>352</v>
      </c>
      <c r="Y15" s="224" t="s">
        <v>359</v>
      </c>
      <c r="Z15" s="24"/>
      <c r="AA15" s="24"/>
      <c r="AB15" s="24"/>
      <c r="AC15" s="24"/>
      <c r="AD15" s="24"/>
      <c r="AE15" s="24"/>
      <c r="AF15" s="24"/>
      <c r="AG15" s="24"/>
      <c r="AH15" s="24"/>
      <c r="AI15" s="24"/>
      <c r="AJ15" s="24"/>
      <c r="AK15" s="24"/>
      <c r="AL15" s="24"/>
      <c r="AM15" s="24"/>
    </row>
    <row r="16" spans="1:39" ht="84" customHeight="1" x14ac:dyDescent="0.3">
      <c r="A16" s="116">
        <v>1</v>
      </c>
      <c r="B16" s="210">
        <v>12</v>
      </c>
      <c r="C16" s="220">
        <v>46041</v>
      </c>
      <c r="D16" s="221" t="s">
        <v>449</v>
      </c>
      <c r="E16" s="221" t="s">
        <v>267</v>
      </c>
      <c r="F16" s="221" t="s">
        <v>469</v>
      </c>
      <c r="G16" s="221" t="s">
        <v>469</v>
      </c>
      <c r="H16" s="221" t="s">
        <v>287</v>
      </c>
      <c r="I16" s="230" t="s">
        <v>601</v>
      </c>
      <c r="J16" s="221" t="s">
        <v>362</v>
      </c>
      <c r="K16" s="221" t="s">
        <v>357</v>
      </c>
      <c r="L16" s="221" t="s">
        <v>479</v>
      </c>
      <c r="M16" s="221" t="s">
        <v>311</v>
      </c>
      <c r="N16" s="221" t="s">
        <v>504</v>
      </c>
      <c r="O16" s="231"/>
      <c r="P16" s="231" t="s">
        <v>917</v>
      </c>
      <c r="Q16" s="221" t="s">
        <v>620</v>
      </c>
      <c r="R16" s="221"/>
      <c r="S16" s="221" t="s">
        <v>358</v>
      </c>
      <c r="T16" s="221" t="s">
        <v>274</v>
      </c>
      <c r="U16" s="227" t="s">
        <v>602</v>
      </c>
      <c r="V16" s="228" t="s">
        <v>603</v>
      </c>
      <c r="W16" s="227" t="s">
        <v>604</v>
      </c>
      <c r="X16" s="229" t="s">
        <v>352</v>
      </c>
      <c r="Y16" s="224" t="s">
        <v>359</v>
      </c>
      <c r="Z16" s="24"/>
      <c r="AA16" s="24"/>
      <c r="AB16" s="24"/>
      <c r="AC16" s="24"/>
      <c r="AD16" s="24"/>
      <c r="AE16" s="24"/>
      <c r="AF16" s="24"/>
      <c r="AG16" s="24"/>
      <c r="AH16" s="24"/>
      <c r="AI16" s="24"/>
      <c r="AJ16" s="24"/>
      <c r="AK16" s="24"/>
      <c r="AL16" s="24"/>
      <c r="AM16" s="24"/>
    </row>
    <row r="17" spans="1:39" ht="84" customHeight="1" x14ac:dyDescent="0.3">
      <c r="A17" s="116">
        <v>1</v>
      </c>
      <c r="B17" s="210">
        <v>13</v>
      </c>
      <c r="C17" s="220">
        <v>46041</v>
      </c>
      <c r="D17" s="221" t="s">
        <v>449</v>
      </c>
      <c r="E17" s="221" t="s">
        <v>365</v>
      </c>
      <c r="F17" s="221" t="s">
        <v>589</v>
      </c>
      <c r="G17" s="221" t="s">
        <v>589</v>
      </c>
      <c r="H17" s="221" t="s">
        <v>425</v>
      </c>
      <c r="I17" s="230" t="s">
        <v>605</v>
      </c>
      <c r="J17" s="221" t="s">
        <v>369</v>
      </c>
      <c r="K17" s="221" t="s">
        <v>357</v>
      </c>
      <c r="L17" s="221" t="s">
        <v>479</v>
      </c>
      <c r="M17" s="221" t="s">
        <v>311</v>
      </c>
      <c r="N17" s="221" t="s">
        <v>608</v>
      </c>
      <c r="O17" s="231">
        <v>46053</v>
      </c>
      <c r="P17" s="231">
        <v>46053</v>
      </c>
      <c r="Q17" s="221" t="s">
        <v>620</v>
      </c>
      <c r="R17" s="221" t="s">
        <v>659</v>
      </c>
      <c r="S17" s="221" t="s">
        <v>620</v>
      </c>
      <c r="T17" s="221" t="s">
        <v>274</v>
      </c>
      <c r="U17" s="227" t="s">
        <v>606</v>
      </c>
      <c r="V17" s="228">
        <v>3176990583</v>
      </c>
      <c r="W17" s="227" t="s">
        <v>607</v>
      </c>
      <c r="X17" s="229" t="s">
        <v>352</v>
      </c>
      <c r="Y17" s="224" t="s">
        <v>359</v>
      </c>
      <c r="Z17" s="24"/>
      <c r="AA17" s="24"/>
      <c r="AB17" s="24"/>
      <c r="AC17" s="24"/>
      <c r="AD17" s="24"/>
      <c r="AE17" s="24"/>
      <c r="AF17" s="24"/>
      <c r="AG17" s="24"/>
      <c r="AH17" s="24"/>
      <c r="AI17" s="24"/>
      <c r="AJ17" s="24"/>
      <c r="AK17" s="24"/>
      <c r="AL17" s="24"/>
      <c r="AM17" s="24"/>
    </row>
    <row r="18" spans="1:39" ht="84" customHeight="1" x14ac:dyDescent="0.3">
      <c r="A18" s="116">
        <v>1</v>
      </c>
      <c r="B18" s="210">
        <v>14</v>
      </c>
      <c r="C18" s="220">
        <v>46041</v>
      </c>
      <c r="D18" s="221" t="s">
        <v>449</v>
      </c>
      <c r="E18" s="221" t="s">
        <v>267</v>
      </c>
      <c r="F18" s="221" t="s">
        <v>535</v>
      </c>
      <c r="G18" s="221" t="s">
        <v>523</v>
      </c>
      <c r="H18" s="221" t="s">
        <v>355</v>
      </c>
      <c r="I18" s="230" t="s">
        <v>610</v>
      </c>
      <c r="J18" s="221" t="s">
        <v>366</v>
      </c>
      <c r="K18" s="221" t="s">
        <v>357</v>
      </c>
      <c r="L18" s="221" t="s">
        <v>479</v>
      </c>
      <c r="M18" s="221" t="s">
        <v>311</v>
      </c>
      <c r="N18" s="221" t="s">
        <v>504</v>
      </c>
      <c r="O18" s="231"/>
      <c r="P18" s="231"/>
      <c r="Q18" s="221" t="s">
        <v>358</v>
      </c>
      <c r="R18" s="221"/>
      <c r="S18" s="221" t="s">
        <v>358</v>
      </c>
      <c r="T18" s="221" t="s">
        <v>274</v>
      </c>
      <c r="U18" s="227" t="s">
        <v>611</v>
      </c>
      <c r="V18" s="228" t="s">
        <v>612</v>
      </c>
      <c r="W18" s="227" t="s">
        <v>495</v>
      </c>
      <c r="X18" s="229" t="s">
        <v>352</v>
      </c>
      <c r="Y18" s="224" t="s">
        <v>359</v>
      </c>
      <c r="Z18" s="24"/>
      <c r="AA18" s="24"/>
      <c r="AB18" s="24"/>
      <c r="AC18" s="24"/>
      <c r="AD18" s="24"/>
      <c r="AE18" s="24"/>
      <c r="AF18" s="24"/>
      <c r="AG18" s="24"/>
      <c r="AH18" s="24"/>
      <c r="AI18" s="24"/>
      <c r="AJ18" s="24"/>
      <c r="AK18" s="24"/>
      <c r="AL18" s="24"/>
      <c r="AM18" s="24"/>
    </row>
    <row r="19" spans="1:39" ht="84" customHeight="1" x14ac:dyDescent="0.3">
      <c r="A19" s="116">
        <v>1</v>
      </c>
      <c r="B19" s="210">
        <v>15</v>
      </c>
      <c r="C19" s="220">
        <v>46041</v>
      </c>
      <c r="D19" s="221" t="s">
        <v>449</v>
      </c>
      <c r="E19" s="221" t="s">
        <v>267</v>
      </c>
      <c r="F19" s="221" t="s">
        <v>32</v>
      </c>
      <c r="G19" s="221" t="s">
        <v>32</v>
      </c>
      <c r="H19" s="221" t="s">
        <v>380</v>
      </c>
      <c r="I19" s="230" t="s">
        <v>613</v>
      </c>
      <c r="J19" s="221" t="s">
        <v>362</v>
      </c>
      <c r="K19" s="221" t="s">
        <v>357</v>
      </c>
      <c r="L19" s="221" t="s">
        <v>479</v>
      </c>
      <c r="M19" s="221" t="s">
        <v>311</v>
      </c>
      <c r="N19" s="221" t="s">
        <v>384</v>
      </c>
      <c r="O19" s="231"/>
      <c r="P19" s="231"/>
      <c r="Q19" s="221" t="s">
        <v>358</v>
      </c>
      <c r="R19" s="221"/>
      <c r="S19" s="221" t="s">
        <v>358</v>
      </c>
      <c r="T19" s="221" t="s">
        <v>274</v>
      </c>
      <c r="U19" s="227" t="s">
        <v>614</v>
      </c>
      <c r="V19" s="228" t="s">
        <v>487</v>
      </c>
      <c r="W19" s="227" t="s">
        <v>532</v>
      </c>
      <c r="X19" s="229" t="s">
        <v>352</v>
      </c>
      <c r="Y19" s="224" t="s">
        <v>359</v>
      </c>
      <c r="Z19" s="24"/>
      <c r="AA19" s="24"/>
      <c r="AB19" s="24"/>
      <c r="AC19" s="24"/>
      <c r="AD19" s="24"/>
      <c r="AE19" s="24"/>
      <c r="AF19" s="24"/>
      <c r="AG19" s="24"/>
      <c r="AH19" s="24"/>
      <c r="AI19" s="24"/>
      <c r="AJ19" s="24"/>
      <c r="AK19" s="24"/>
      <c r="AL19" s="24"/>
      <c r="AM19" s="24"/>
    </row>
    <row r="20" spans="1:39" ht="84" customHeight="1" x14ac:dyDescent="0.3">
      <c r="A20" s="116">
        <v>1</v>
      </c>
      <c r="B20" s="210">
        <v>16</v>
      </c>
      <c r="C20" s="220">
        <v>46042</v>
      </c>
      <c r="D20" s="221" t="s">
        <v>449</v>
      </c>
      <c r="E20" s="221" t="s">
        <v>367</v>
      </c>
      <c r="F20" s="221" t="s">
        <v>615</v>
      </c>
      <c r="G20" s="221" t="s">
        <v>615</v>
      </c>
      <c r="H20" s="221" t="s">
        <v>361</v>
      </c>
      <c r="I20" s="230" t="s">
        <v>619</v>
      </c>
      <c r="J20" s="221" t="s">
        <v>366</v>
      </c>
      <c r="K20" s="221" t="s">
        <v>357</v>
      </c>
      <c r="L20" s="221" t="s">
        <v>479</v>
      </c>
      <c r="M20" s="221" t="s">
        <v>311</v>
      </c>
      <c r="N20" s="221" t="s">
        <v>456</v>
      </c>
      <c r="O20" s="231">
        <v>46048</v>
      </c>
      <c r="P20" s="231">
        <v>46048</v>
      </c>
      <c r="Q20" s="221" t="s">
        <v>620</v>
      </c>
      <c r="R20" s="221"/>
      <c r="S20" s="221" t="s">
        <v>358</v>
      </c>
      <c r="T20" s="221" t="s">
        <v>274</v>
      </c>
      <c r="U20" s="227" t="s">
        <v>616</v>
      </c>
      <c r="V20" s="228" t="s">
        <v>617</v>
      </c>
      <c r="W20" s="227" t="s">
        <v>618</v>
      </c>
      <c r="X20" s="229" t="s">
        <v>352</v>
      </c>
      <c r="Y20" s="224" t="s">
        <v>359</v>
      </c>
      <c r="Z20" s="24"/>
      <c r="AA20" s="24"/>
      <c r="AB20" s="24"/>
      <c r="AC20" s="24"/>
      <c r="AD20" s="24"/>
      <c r="AE20" s="24"/>
      <c r="AF20" s="24"/>
      <c r="AG20" s="24"/>
      <c r="AH20" s="24"/>
      <c r="AI20" s="24"/>
      <c r="AJ20" s="24"/>
      <c r="AK20" s="24"/>
      <c r="AL20" s="24"/>
      <c r="AM20" s="24"/>
    </row>
    <row r="21" spans="1:39" ht="84" customHeight="1" x14ac:dyDescent="0.3">
      <c r="A21" s="116">
        <v>1</v>
      </c>
      <c r="B21" s="210">
        <v>17</v>
      </c>
      <c r="C21" s="220">
        <v>46042</v>
      </c>
      <c r="D21" s="221" t="s">
        <v>449</v>
      </c>
      <c r="E21" s="221" t="s">
        <v>367</v>
      </c>
      <c r="F21" s="221" t="s">
        <v>61</v>
      </c>
      <c r="G21" s="221" t="s">
        <v>113</v>
      </c>
      <c r="H21" s="221" t="s">
        <v>361</v>
      </c>
      <c r="I21" s="230" t="s">
        <v>621</v>
      </c>
      <c r="J21" s="221" t="s">
        <v>368</v>
      </c>
      <c r="K21" s="221" t="s">
        <v>357</v>
      </c>
      <c r="L21" s="221" t="s">
        <v>479</v>
      </c>
      <c r="M21" s="221" t="s">
        <v>311</v>
      </c>
      <c r="N21" s="221" t="s">
        <v>456</v>
      </c>
      <c r="O21" s="231">
        <v>46048</v>
      </c>
      <c r="P21" s="231" t="s">
        <v>623</v>
      </c>
      <c r="Q21" s="221" t="s">
        <v>620</v>
      </c>
      <c r="R21" s="221"/>
      <c r="S21" s="221" t="s">
        <v>358</v>
      </c>
      <c r="T21" s="221" t="s">
        <v>274</v>
      </c>
      <c r="U21" s="227" t="s">
        <v>487</v>
      </c>
      <c r="V21" s="228" t="s">
        <v>487</v>
      </c>
      <c r="W21" s="227" t="s">
        <v>622</v>
      </c>
      <c r="X21" s="229" t="s">
        <v>352</v>
      </c>
      <c r="Y21" s="224" t="s">
        <v>359</v>
      </c>
      <c r="Z21" s="24"/>
      <c r="AA21" s="24"/>
      <c r="AB21" s="24"/>
      <c r="AC21" s="24"/>
      <c r="AD21" s="24"/>
      <c r="AE21" s="24"/>
      <c r="AF21" s="24"/>
      <c r="AG21" s="24"/>
      <c r="AH21" s="24"/>
      <c r="AI21" s="24"/>
      <c r="AJ21" s="24"/>
      <c r="AK21" s="24"/>
      <c r="AL21" s="24"/>
      <c r="AM21" s="24"/>
    </row>
    <row r="22" spans="1:39" ht="84" customHeight="1" x14ac:dyDescent="0.3">
      <c r="A22" s="116">
        <v>1</v>
      </c>
      <c r="B22" s="210">
        <v>18</v>
      </c>
      <c r="C22" s="220">
        <v>46043</v>
      </c>
      <c r="D22" s="221" t="s">
        <v>449</v>
      </c>
      <c r="E22" s="221" t="s">
        <v>360</v>
      </c>
      <c r="F22" s="221" t="s">
        <v>56</v>
      </c>
      <c r="G22" s="221" t="s">
        <v>89</v>
      </c>
      <c r="H22" s="221" t="s">
        <v>287</v>
      </c>
      <c r="I22" s="230" t="s">
        <v>624</v>
      </c>
      <c r="J22" s="221" t="s">
        <v>364</v>
      </c>
      <c r="K22" s="221" t="s">
        <v>357</v>
      </c>
      <c r="L22" s="221" t="s">
        <v>479</v>
      </c>
      <c r="M22" s="221" t="s">
        <v>311</v>
      </c>
      <c r="N22" s="221" t="s">
        <v>398</v>
      </c>
      <c r="O22" s="231">
        <v>46043</v>
      </c>
      <c r="P22" s="231">
        <v>46043</v>
      </c>
      <c r="Q22" s="221" t="s">
        <v>620</v>
      </c>
      <c r="R22" s="221"/>
      <c r="S22" s="221" t="s">
        <v>358</v>
      </c>
      <c r="T22" s="221" t="s">
        <v>274</v>
      </c>
      <c r="U22" s="227" t="s">
        <v>625</v>
      </c>
      <c r="V22" s="228" t="s">
        <v>626</v>
      </c>
      <c r="W22" s="227" t="s">
        <v>627</v>
      </c>
      <c r="X22" s="229" t="s">
        <v>352</v>
      </c>
      <c r="Y22" s="224" t="s">
        <v>359</v>
      </c>
      <c r="Z22" s="24"/>
      <c r="AA22" s="24"/>
      <c r="AB22" s="24"/>
      <c r="AC22" s="24"/>
      <c r="AD22" s="24"/>
      <c r="AE22" s="24"/>
      <c r="AF22" s="24"/>
      <c r="AG22" s="24"/>
      <c r="AH22" s="24"/>
      <c r="AI22" s="24"/>
      <c r="AJ22" s="24"/>
      <c r="AK22" s="24"/>
      <c r="AL22" s="24"/>
      <c r="AM22" s="24"/>
    </row>
    <row r="23" spans="1:39" ht="84" customHeight="1" x14ac:dyDescent="0.3">
      <c r="A23" s="116">
        <v>1</v>
      </c>
      <c r="B23" s="210">
        <v>19</v>
      </c>
      <c r="C23" s="220">
        <v>46044</v>
      </c>
      <c r="D23" s="221" t="s">
        <v>449</v>
      </c>
      <c r="E23" s="221" t="s">
        <v>371</v>
      </c>
      <c r="F23" s="221" t="s">
        <v>469</v>
      </c>
      <c r="G23" s="221" t="s">
        <v>469</v>
      </c>
      <c r="H23" s="221" t="s">
        <v>372</v>
      </c>
      <c r="I23" s="230" t="s">
        <v>628</v>
      </c>
      <c r="J23" s="221" t="s">
        <v>381</v>
      </c>
      <c r="K23" s="221" t="s">
        <v>357</v>
      </c>
      <c r="L23" s="221" t="s">
        <v>479</v>
      </c>
      <c r="M23" s="221" t="s">
        <v>311</v>
      </c>
      <c r="N23" s="221" t="s">
        <v>373</v>
      </c>
      <c r="O23" s="231"/>
      <c r="P23" s="231"/>
      <c r="Q23" s="221" t="s">
        <v>358</v>
      </c>
      <c r="R23" s="221"/>
      <c r="S23" s="221" t="s">
        <v>358</v>
      </c>
      <c r="T23" s="221" t="s">
        <v>274</v>
      </c>
      <c r="U23" s="227" t="s">
        <v>630</v>
      </c>
      <c r="V23" s="228" t="s">
        <v>629</v>
      </c>
      <c r="W23" s="227" t="s">
        <v>631</v>
      </c>
      <c r="X23" s="229" t="s">
        <v>352</v>
      </c>
      <c r="Y23" s="224" t="s">
        <v>359</v>
      </c>
      <c r="Z23" s="24"/>
      <c r="AA23" s="24"/>
      <c r="AB23" s="24"/>
      <c r="AC23" s="24"/>
      <c r="AD23" s="24"/>
      <c r="AE23" s="24"/>
      <c r="AF23" s="24"/>
      <c r="AG23" s="24"/>
      <c r="AH23" s="24"/>
      <c r="AI23" s="24"/>
      <c r="AJ23" s="24"/>
      <c r="AK23" s="24"/>
      <c r="AL23" s="24"/>
      <c r="AM23" s="24"/>
    </row>
    <row r="24" spans="1:39" ht="84" customHeight="1" x14ac:dyDescent="0.3">
      <c r="A24" s="116">
        <v>1</v>
      </c>
      <c r="B24" s="210">
        <v>20</v>
      </c>
      <c r="C24" s="220">
        <v>46045</v>
      </c>
      <c r="D24" s="221" t="s">
        <v>449</v>
      </c>
      <c r="E24" s="221" t="s">
        <v>267</v>
      </c>
      <c r="F24" s="221" t="s">
        <v>469</v>
      </c>
      <c r="G24" s="221" t="s">
        <v>469</v>
      </c>
      <c r="H24" s="221" t="s">
        <v>287</v>
      </c>
      <c r="I24" s="230" t="s">
        <v>632</v>
      </c>
      <c r="J24" s="221" t="s">
        <v>362</v>
      </c>
      <c r="K24" s="221" t="s">
        <v>357</v>
      </c>
      <c r="L24" s="221" t="s">
        <v>479</v>
      </c>
      <c r="M24" s="221" t="s">
        <v>311</v>
      </c>
      <c r="N24" s="221" t="s">
        <v>504</v>
      </c>
      <c r="O24" s="231">
        <v>46094</v>
      </c>
      <c r="P24" s="231">
        <v>46094</v>
      </c>
      <c r="Q24" s="221" t="s">
        <v>620</v>
      </c>
      <c r="R24" s="221"/>
      <c r="S24" s="221" t="s">
        <v>358</v>
      </c>
      <c r="T24" s="221" t="s">
        <v>274</v>
      </c>
      <c r="U24" s="227" t="s">
        <v>633</v>
      </c>
      <c r="V24" s="228" t="s">
        <v>482</v>
      </c>
      <c r="W24" s="227" t="s">
        <v>634</v>
      </c>
      <c r="X24" s="229" t="s">
        <v>352</v>
      </c>
      <c r="Y24" s="224" t="s">
        <v>359</v>
      </c>
      <c r="Z24" s="24"/>
      <c r="AA24" s="24"/>
      <c r="AB24" s="24"/>
      <c r="AC24" s="24"/>
      <c r="AD24" s="24"/>
      <c r="AE24" s="24"/>
      <c r="AF24" s="24"/>
      <c r="AG24" s="24"/>
      <c r="AH24" s="24"/>
      <c r="AI24" s="24"/>
      <c r="AJ24" s="24"/>
      <c r="AK24" s="24"/>
      <c r="AL24" s="24"/>
      <c r="AM24" s="24"/>
    </row>
    <row r="25" spans="1:39" ht="84" customHeight="1" x14ac:dyDescent="0.3">
      <c r="A25" s="116">
        <v>1</v>
      </c>
      <c r="B25" s="210">
        <v>21</v>
      </c>
      <c r="C25" s="220">
        <v>46048</v>
      </c>
      <c r="D25" s="221" t="s">
        <v>449</v>
      </c>
      <c r="E25" s="221" t="s">
        <v>365</v>
      </c>
      <c r="F25" s="221" t="s">
        <v>110</v>
      </c>
      <c r="G25" s="221" t="s">
        <v>110</v>
      </c>
      <c r="H25" s="221" t="s">
        <v>361</v>
      </c>
      <c r="I25" s="230" t="s">
        <v>635</v>
      </c>
      <c r="J25" s="221" t="s">
        <v>362</v>
      </c>
      <c r="K25" s="221" t="s">
        <v>357</v>
      </c>
      <c r="L25" s="221" t="s">
        <v>479</v>
      </c>
      <c r="M25" s="221" t="s">
        <v>311</v>
      </c>
      <c r="N25" s="221" t="s">
        <v>384</v>
      </c>
      <c r="O25" s="231"/>
      <c r="P25" s="231"/>
      <c r="Q25" s="221" t="s">
        <v>358</v>
      </c>
      <c r="R25" s="221"/>
      <c r="S25" s="221" t="s">
        <v>358</v>
      </c>
      <c r="T25" s="221" t="s">
        <v>274</v>
      </c>
      <c r="U25" s="227" t="s">
        <v>636</v>
      </c>
      <c r="V25" s="228" t="s">
        <v>637</v>
      </c>
      <c r="W25" s="227" t="s">
        <v>638</v>
      </c>
      <c r="X25" s="229" t="s">
        <v>352</v>
      </c>
      <c r="Y25" s="224" t="s">
        <v>359</v>
      </c>
      <c r="Z25" s="24"/>
      <c r="AA25" s="24"/>
      <c r="AB25" s="24"/>
      <c r="AC25" s="24"/>
      <c r="AD25" s="24"/>
      <c r="AE25" s="24"/>
      <c r="AF25" s="24"/>
      <c r="AG25" s="24"/>
      <c r="AH25" s="24"/>
      <c r="AI25" s="24"/>
      <c r="AJ25" s="24"/>
      <c r="AK25" s="24"/>
      <c r="AL25" s="24"/>
      <c r="AM25" s="24"/>
    </row>
    <row r="26" spans="1:39" ht="84" customHeight="1" x14ac:dyDescent="0.3">
      <c r="A26" s="116">
        <v>1</v>
      </c>
      <c r="B26" s="210">
        <v>22</v>
      </c>
      <c r="C26" s="220">
        <v>46048</v>
      </c>
      <c r="D26" s="221" t="s">
        <v>449</v>
      </c>
      <c r="E26" s="221" t="s">
        <v>267</v>
      </c>
      <c r="F26" s="221" t="s">
        <v>469</v>
      </c>
      <c r="G26" s="221" t="s">
        <v>469</v>
      </c>
      <c r="H26" s="221" t="s">
        <v>287</v>
      </c>
      <c r="I26" s="230" t="s">
        <v>639</v>
      </c>
      <c r="J26" s="221" t="s">
        <v>362</v>
      </c>
      <c r="K26" s="221" t="s">
        <v>357</v>
      </c>
      <c r="L26" s="221" t="s">
        <v>479</v>
      </c>
      <c r="M26" s="221" t="s">
        <v>311</v>
      </c>
      <c r="N26" s="221" t="s">
        <v>504</v>
      </c>
      <c r="O26" s="231">
        <v>46094</v>
      </c>
      <c r="P26" s="231">
        <v>46094</v>
      </c>
      <c r="Q26" s="221" t="s">
        <v>620</v>
      </c>
      <c r="R26" s="221"/>
      <c r="S26" s="221" t="s">
        <v>358</v>
      </c>
      <c r="T26" s="221" t="s">
        <v>274</v>
      </c>
      <c r="U26" s="227" t="s">
        <v>640</v>
      </c>
      <c r="V26" s="228" t="s">
        <v>482</v>
      </c>
      <c r="W26" s="227" t="s">
        <v>641</v>
      </c>
      <c r="X26" s="229" t="s">
        <v>352</v>
      </c>
      <c r="Y26" s="224" t="s">
        <v>359</v>
      </c>
      <c r="Z26" s="24"/>
      <c r="AA26" s="24"/>
      <c r="AB26" s="24"/>
      <c r="AC26" s="24"/>
      <c r="AD26" s="24"/>
      <c r="AE26" s="24"/>
      <c r="AF26" s="24"/>
      <c r="AG26" s="24"/>
      <c r="AH26" s="24"/>
      <c r="AI26" s="24"/>
      <c r="AJ26" s="24"/>
      <c r="AK26" s="24"/>
      <c r="AL26" s="24"/>
      <c r="AM26" s="24"/>
    </row>
    <row r="27" spans="1:39" ht="84" customHeight="1" x14ac:dyDescent="0.3">
      <c r="A27" s="116">
        <v>1</v>
      </c>
      <c r="B27" s="210">
        <v>23</v>
      </c>
      <c r="C27" s="220">
        <v>46049</v>
      </c>
      <c r="D27" s="221" t="s">
        <v>449</v>
      </c>
      <c r="E27" s="221" t="s">
        <v>267</v>
      </c>
      <c r="F27" s="221" t="s">
        <v>75</v>
      </c>
      <c r="G27" s="221" t="s">
        <v>123</v>
      </c>
      <c r="H27" s="221" t="s">
        <v>376</v>
      </c>
      <c r="I27" s="230" t="s">
        <v>642</v>
      </c>
      <c r="J27" s="221" t="s">
        <v>366</v>
      </c>
      <c r="K27" s="221" t="s">
        <v>357</v>
      </c>
      <c r="L27" s="221" t="s">
        <v>479</v>
      </c>
      <c r="M27" s="221" t="s">
        <v>311</v>
      </c>
      <c r="N27" s="221" t="s">
        <v>504</v>
      </c>
      <c r="O27" s="231"/>
      <c r="P27" s="231"/>
      <c r="Q27" s="221" t="s">
        <v>358</v>
      </c>
      <c r="R27" s="221"/>
      <c r="S27" s="221" t="s">
        <v>358</v>
      </c>
      <c r="T27" s="221" t="s">
        <v>274</v>
      </c>
      <c r="U27" s="227" t="s">
        <v>643</v>
      </c>
      <c r="V27" s="228">
        <v>8617777</v>
      </c>
      <c r="W27" s="227" t="s">
        <v>644</v>
      </c>
      <c r="X27" s="229" t="s">
        <v>352</v>
      </c>
      <c r="Y27" s="224" t="s">
        <v>359</v>
      </c>
      <c r="Z27" s="24"/>
      <c r="AA27" s="24"/>
      <c r="AB27" s="24"/>
      <c r="AC27" s="24"/>
      <c r="AD27" s="24"/>
      <c r="AE27" s="24"/>
      <c r="AF27" s="24"/>
      <c r="AG27" s="24"/>
      <c r="AH27" s="24"/>
      <c r="AI27" s="24"/>
      <c r="AJ27" s="24"/>
      <c r="AK27" s="24"/>
      <c r="AL27" s="24"/>
      <c r="AM27" s="24"/>
    </row>
    <row r="28" spans="1:39" ht="84" customHeight="1" x14ac:dyDescent="0.3">
      <c r="A28" s="116">
        <v>1</v>
      </c>
      <c r="B28" s="210">
        <v>24</v>
      </c>
      <c r="C28" s="220">
        <v>46049</v>
      </c>
      <c r="D28" s="221" t="s">
        <v>449</v>
      </c>
      <c r="E28" s="221" t="s">
        <v>267</v>
      </c>
      <c r="F28" s="221" t="s">
        <v>645</v>
      </c>
      <c r="G28" s="221" t="s">
        <v>645</v>
      </c>
      <c r="H28" s="221" t="s">
        <v>361</v>
      </c>
      <c r="I28" s="230" t="s">
        <v>646</v>
      </c>
      <c r="J28" s="221" t="s">
        <v>362</v>
      </c>
      <c r="K28" s="221" t="s">
        <v>357</v>
      </c>
      <c r="L28" s="221" t="s">
        <v>479</v>
      </c>
      <c r="M28" s="221" t="s">
        <v>311</v>
      </c>
      <c r="N28" s="221" t="s">
        <v>363</v>
      </c>
      <c r="O28" s="231"/>
      <c r="P28" s="231"/>
      <c r="Q28" s="221" t="s">
        <v>358</v>
      </c>
      <c r="R28" s="221"/>
      <c r="S28" s="221" t="s">
        <v>358</v>
      </c>
      <c r="T28" s="221" t="s">
        <v>274</v>
      </c>
      <c r="U28" s="227" t="s">
        <v>647</v>
      </c>
      <c r="V28" s="228">
        <v>4351847</v>
      </c>
      <c r="W28" s="227" t="s">
        <v>648</v>
      </c>
      <c r="X28" s="229" t="s">
        <v>352</v>
      </c>
      <c r="Y28" s="224" t="s">
        <v>359</v>
      </c>
      <c r="Z28" s="24"/>
      <c r="AA28" s="24"/>
      <c r="AB28" s="24"/>
      <c r="AC28" s="24"/>
      <c r="AD28" s="24"/>
      <c r="AE28" s="24"/>
      <c r="AF28" s="24"/>
      <c r="AG28" s="24"/>
      <c r="AH28" s="24"/>
      <c r="AI28" s="24"/>
      <c r="AJ28" s="24"/>
      <c r="AK28" s="24"/>
      <c r="AL28" s="24"/>
      <c r="AM28" s="24"/>
    </row>
    <row r="29" spans="1:39" ht="108" customHeight="1" x14ac:dyDescent="0.3">
      <c r="A29" s="116">
        <v>1</v>
      </c>
      <c r="B29" s="210">
        <v>25</v>
      </c>
      <c r="C29" s="220">
        <v>46049</v>
      </c>
      <c r="D29" s="221" t="s">
        <v>449</v>
      </c>
      <c r="E29" s="221" t="s">
        <v>267</v>
      </c>
      <c r="F29" s="221" t="s">
        <v>535</v>
      </c>
      <c r="G29" s="221" t="s">
        <v>164</v>
      </c>
      <c r="H29" s="221" t="s">
        <v>355</v>
      </c>
      <c r="I29" s="230" t="s">
        <v>649</v>
      </c>
      <c r="J29" s="221" t="s">
        <v>366</v>
      </c>
      <c r="K29" s="221" t="s">
        <v>357</v>
      </c>
      <c r="L29" s="221" t="s">
        <v>479</v>
      </c>
      <c r="M29" s="221" t="s">
        <v>311</v>
      </c>
      <c r="N29" s="221" t="s">
        <v>504</v>
      </c>
      <c r="O29" s="231"/>
      <c r="P29" s="231"/>
      <c r="Q29" s="221" t="s">
        <v>358</v>
      </c>
      <c r="R29" s="221"/>
      <c r="S29" s="221" t="s">
        <v>358</v>
      </c>
      <c r="T29" s="221" t="s">
        <v>274</v>
      </c>
      <c r="U29" s="227" t="s">
        <v>650</v>
      </c>
      <c r="V29" s="228" t="s">
        <v>651</v>
      </c>
      <c r="W29" s="227" t="s">
        <v>495</v>
      </c>
      <c r="X29" s="229" t="s">
        <v>352</v>
      </c>
      <c r="Y29" s="224" t="s">
        <v>359</v>
      </c>
      <c r="Z29" s="24"/>
      <c r="AA29" s="24"/>
      <c r="AB29" s="24"/>
      <c r="AC29" s="24"/>
      <c r="AD29" s="24"/>
      <c r="AE29" s="24"/>
      <c r="AF29" s="24"/>
      <c r="AG29" s="24"/>
      <c r="AH29" s="24"/>
      <c r="AI29" s="24"/>
      <c r="AJ29" s="24"/>
      <c r="AK29" s="24"/>
      <c r="AL29" s="24"/>
      <c r="AM29" s="24"/>
    </row>
    <row r="30" spans="1:39" ht="84" customHeight="1" x14ac:dyDescent="0.3">
      <c r="A30" s="116">
        <v>1</v>
      </c>
      <c r="B30" s="210">
        <v>26</v>
      </c>
      <c r="C30" s="220">
        <v>46050</v>
      </c>
      <c r="D30" s="221" t="s">
        <v>449</v>
      </c>
      <c r="E30" s="221" t="s">
        <v>360</v>
      </c>
      <c r="F30" s="221" t="s">
        <v>656</v>
      </c>
      <c r="G30" s="221" t="s">
        <v>657</v>
      </c>
      <c r="H30" s="221" t="s">
        <v>355</v>
      </c>
      <c r="I30" s="230" t="s">
        <v>652</v>
      </c>
      <c r="J30" s="221" t="s">
        <v>362</v>
      </c>
      <c r="K30" s="221" t="s">
        <v>357</v>
      </c>
      <c r="L30" s="221" t="s">
        <v>479</v>
      </c>
      <c r="M30" s="221" t="s">
        <v>311</v>
      </c>
      <c r="N30" s="221" t="s">
        <v>363</v>
      </c>
      <c r="O30" s="231"/>
      <c r="P30" s="231"/>
      <c r="Q30" s="221" t="s">
        <v>358</v>
      </c>
      <c r="R30" s="221"/>
      <c r="S30" s="221" t="s">
        <v>358</v>
      </c>
      <c r="T30" s="221" t="s">
        <v>274</v>
      </c>
      <c r="U30" s="227" t="s">
        <v>654</v>
      </c>
      <c r="V30" s="228" t="s">
        <v>653</v>
      </c>
      <c r="W30" s="227" t="s">
        <v>655</v>
      </c>
      <c r="X30" s="229" t="s">
        <v>352</v>
      </c>
      <c r="Y30" s="224" t="s">
        <v>359</v>
      </c>
      <c r="Z30" s="24"/>
      <c r="AA30" s="24"/>
      <c r="AB30" s="24"/>
      <c r="AC30" s="24"/>
      <c r="AD30" s="24"/>
      <c r="AE30" s="24"/>
      <c r="AF30" s="24"/>
      <c r="AG30" s="24"/>
      <c r="AH30" s="24"/>
      <c r="AI30" s="24"/>
      <c r="AJ30" s="24"/>
      <c r="AK30" s="24"/>
      <c r="AL30" s="24"/>
      <c r="AM30" s="24"/>
    </row>
    <row r="31" spans="1:39" ht="84" customHeight="1" x14ac:dyDescent="0.3">
      <c r="A31" s="116">
        <v>1</v>
      </c>
      <c r="B31" s="210">
        <v>27</v>
      </c>
      <c r="C31" s="220">
        <v>46050</v>
      </c>
      <c r="D31" s="221" t="s">
        <v>449</v>
      </c>
      <c r="E31" s="221" t="s">
        <v>267</v>
      </c>
      <c r="F31" s="221" t="s">
        <v>469</v>
      </c>
      <c r="G31" s="221" t="s">
        <v>469</v>
      </c>
      <c r="H31" s="221" t="s">
        <v>287</v>
      </c>
      <c r="I31" s="230" t="s">
        <v>658</v>
      </c>
      <c r="J31" s="221" t="s">
        <v>362</v>
      </c>
      <c r="K31" s="221" t="s">
        <v>357</v>
      </c>
      <c r="L31" s="221" t="s">
        <v>479</v>
      </c>
      <c r="M31" s="221" t="s">
        <v>311</v>
      </c>
      <c r="N31" s="221" t="s">
        <v>504</v>
      </c>
      <c r="O31" s="231"/>
      <c r="P31" s="231"/>
      <c r="Q31" s="221" t="s">
        <v>358</v>
      </c>
      <c r="R31" s="221"/>
      <c r="S31" s="221" t="s">
        <v>358</v>
      </c>
      <c r="T31" s="221" t="s">
        <v>274</v>
      </c>
      <c r="U31" s="227" t="s">
        <v>640</v>
      </c>
      <c r="V31" s="228" t="s">
        <v>482</v>
      </c>
      <c r="W31" s="227" t="s">
        <v>641</v>
      </c>
      <c r="X31" s="229" t="s">
        <v>352</v>
      </c>
      <c r="Y31" s="224" t="s">
        <v>359</v>
      </c>
      <c r="Z31" s="24"/>
      <c r="AA31" s="24"/>
      <c r="AB31" s="24"/>
      <c r="AC31" s="24"/>
      <c r="AD31" s="24"/>
      <c r="AE31" s="24"/>
      <c r="AF31" s="24"/>
      <c r="AG31" s="24"/>
      <c r="AH31" s="24"/>
      <c r="AI31" s="24"/>
      <c r="AJ31" s="24"/>
      <c r="AK31" s="24"/>
      <c r="AL31" s="24"/>
      <c r="AM31" s="24"/>
    </row>
    <row r="32" spans="1:39" ht="84" customHeight="1" x14ac:dyDescent="0.3">
      <c r="A32" s="116">
        <v>1</v>
      </c>
      <c r="B32" s="210">
        <v>28</v>
      </c>
      <c r="C32" s="220">
        <v>46050</v>
      </c>
      <c r="D32" s="221" t="s">
        <v>449</v>
      </c>
      <c r="E32" s="221" t="s">
        <v>267</v>
      </c>
      <c r="F32" s="221" t="s">
        <v>562</v>
      </c>
      <c r="G32" s="221" t="s">
        <v>497</v>
      </c>
      <c r="H32" s="221" t="s">
        <v>376</v>
      </c>
      <c r="I32" s="230" t="s">
        <v>660</v>
      </c>
      <c r="J32" s="221" t="s">
        <v>368</v>
      </c>
      <c r="K32" s="221" t="s">
        <v>357</v>
      </c>
      <c r="L32" s="221" t="s">
        <v>479</v>
      </c>
      <c r="M32" s="221" t="s">
        <v>311</v>
      </c>
      <c r="N32" s="221" t="s">
        <v>504</v>
      </c>
      <c r="O32" s="231"/>
      <c r="P32" s="231"/>
      <c r="Q32" s="221" t="s">
        <v>358</v>
      </c>
      <c r="R32" s="221"/>
      <c r="S32" s="221" t="s">
        <v>358</v>
      </c>
      <c r="T32" s="221" t="s">
        <v>274</v>
      </c>
      <c r="U32" s="227" t="s">
        <v>663</v>
      </c>
      <c r="V32" s="228" t="s">
        <v>661</v>
      </c>
      <c r="W32" s="227" t="s">
        <v>662</v>
      </c>
      <c r="X32" s="229" t="s">
        <v>352</v>
      </c>
      <c r="Y32" s="224" t="s">
        <v>359</v>
      </c>
      <c r="Z32" s="24"/>
      <c r="AA32" s="24"/>
      <c r="AB32" s="24"/>
      <c r="AC32" s="24"/>
      <c r="AD32" s="24"/>
      <c r="AE32" s="24"/>
      <c r="AF32" s="24"/>
      <c r="AG32" s="24"/>
      <c r="AH32" s="24"/>
      <c r="AI32" s="24"/>
      <c r="AJ32" s="24"/>
      <c r="AK32" s="24"/>
      <c r="AL32" s="24"/>
      <c r="AM32" s="24"/>
    </row>
    <row r="33" spans="1:39" ht="138" customHeight="1" x14ac:dyDescent="0.3">
      <c r="A33" s="116">
        <v>1</v>
      </c>
      <c r="B33" s="210">
        <v>29</v>
      </c>
      <c r="C33" s="220">
        <v>46051</v>
      </c>
      <c r="D33" s="221" t="s">
        <v>449</v>
      </c>
      <c r="E33" s="221" t="s">
        <v>267</v>
      </c>
      <c r="F33" s="221" t="s">
        <v>75</v>
      </c>
      <c r="G33" s="221" t="s">
        <v>123</v>
      </c>
      <c r="H33" s="221" t="s">
        <v>376</v>
      </c>
      <c r="I33" s="230" t="s">
        <v>664</v>
      </c>
      <c r="J33" s="221" t="s">
        <v>366</v>
      </c>
      <c r="K33" s="221" t="s">
        <v>357</v>
      </c>
      <c r="L33" s="221" t="s">
        <v>479</v>
      </c>
      <c r="M33" s="221" t="s">
        <v>311</v>
      </c>
      <c r="N33" s="221" t="s">
        <v>504</v>
      </c>
      <c r="O33" s="231"/>
      <c r="P33" s="231"/>
      <c r="Q33" s="221" t="s">
        <v>358</v>
      </c>
      <c r="R33" s="221"/>
      <c r="S33" s="221" t="s">
        <v>358</v>
      </c>
      <c r="T33" s="221" t="s">
        <v>274</v>
      </c>
      <c r="U33" s="227" t="s">
        <v>643</v>
      </c>
      <c r="V33" s="228">
        <v>8617777</v>
      </c>
      <c r="W33" s="227" t="s">
        <v>644</v>
      </c>
      <c r="X33" s="229" t="s">
        <v>352</v>
      </c>
      <c r="Y33" s="224" t="s">
        <v>359</v>
      </c>
      <c r="Z33" s="24"/>
      <c r="AA33" s="24"/>
      <c r="AB33" s="24"/>
      <c r="AC33" s="24"/>
      <c r="AD33" s="24"/>
      <c r="AE33" s="24"/>
      <c r="AF33" s="24"/>
      <c r="AG33" s="24"/>
      <c r="AH33" s="24"/>
      <c r="AI33" s="24"/>
      <c r="AJ33" s="24"/>
      <c r="AK33" s="24"/>
      <c r="AL33" s="24"/>
      <c r="AM33" s="24"/>
    </row>
    <row r="34" spans="1:39" ht="84" customHeight="1" x14ac:dyDescent="0.3">
      <c r="A34" s="116">
        <v>1</v>
      </c>
      <c r="B34" s="210">
        <v>30</v>
      </c>
      <c r="C34" s="220">
        <v>46051</v>
      </c>
      <c r="D34" s="221" t="s">
        <v>449</v>
      </c>
      <c r="E34" s="221" t="s">
        <v>267</v>
      </c>
      <c r="F34" s="221" t="s">
        <v>536</v>
      </c>
      <c r="G34" s="221" t="s">
        <v>149</v>
      </c>
      <c r="H34" s="221" t="s">
        <v>376</v>
      </c>
      <c r="I34" s="230" t="s">
        <v>665</v>
      </c>
      <c r="J34" s="221" t="s">
        <v>366</v>
      </c>
      <c r="K34" s="221" t="s">
        <v>357</v>
      </c>
      <c r="L34" s="221" t="s">
        <v>479</v>
      </c>
      <c r="M34" s="221" t="s">
        <v>311</v>
      </c>
      <c r="N34" s="221" t="s">
        <v>504</v>
      </c>
      <c r="O34" s="231"/>
      <c r="P34" s="231"/>
      <c r="Q34" s="221" t="s">
        <v>358</v>
      </c>
      <c r="R34" s="221"/>
      <c r="S34" s="221" t="s">
        <v>358</v>
      </c>
      <c r="T34" s="221" t="s">
        <v>274</v>
      </c>
      <c r="U34" s="227" t="s">
        <v>666</v>
      </c>
      <c r="V34" s="228" t="s">
        <v>667</v>
      </c>
      <c r="W34" s="227" t="s">
        <v>668</v>
      </c>
      <c r="X34" s="229" t="s">
        <v>352</v>
      </c>
      <c r="Y34" s="224" t="s">
        <v>359</v>
      </c>
      <c r="Z34" s="24"/>
      <c r="AA34" s="24"/>
      <c r="AB34" s="24"/>
      <c r="AC34" s="24"/>
      <c r="AD34" s="24"/>
      <c r="AE34" s="24"/>
      <c r="AF34" s="24"/>
      <c r="AG34" s="24"/>
      <c r="AH34" s="24"/>
      <c r="AI34" s="24"/>
      <c r="AJ34" s="24"/>
      <c r="AK34" s="24"/>
      <c r="AL34" s="24"/>
      <c r="AM34" s="24"/>
    </row>
    <row r="35" spans="1:39" ht="84" customHeight="1" x14ac:dyDescent="0.3">
      <c r="A35" s="116">
        <v>1</v>
      </c>
      <c r="B35" s="210">
        <v>31</v>
      </c>
      <c r="C35" s="220">
        <v>46051</v>
      </c>
      <c r="D35" s="221" t="s">
        <v>449</v>
      </c>
      <c r="E35" s="221" t="s">
        <v>267</v>
      </c>
      <c r="F35" s="221" t="s">
        <v>536</v>
      </c>
      <c r="G35" s="221" t="s">
        <v>149</v>
      </c>
      <c r="H35" s="221" t="s">
        <v>372</v>
      </c>
      <c r="I35" s="230" t="s">
        <v>669</v>
      </c>
      <c r="J35" s="221" t="s">
        <v>366</v>
      </c>
      <c r="K35" s="221" t="s">
        <v>357</v>
      </c>
      <c r="L35" s="221" t="s">
        <v>479</v>
      </c>
      <c r="M35" s="221" t="s">
        <v>311</v>
      </c>
      <c r="N35" s="221" t="s">
        <v>504</v>
      </c>
      <c r="O35" s="231"/>
      <c r="P35" s="231"/>
      <c r="Q35" s="221" t="s">
        <v>358</v>
      </c>
      <c r="R35" s="221"/>
      <c r="S35" s="221" t="s">
        <v>358</v>
      </c>
      <c r="T35" s="221" t="s">
        <v>274</v>
      </c>
      <c r="U35" s="227" t="s">
        <v>666</v>
      </c>
      <c r="V35" s="228" t="s">
        <v>667</v>
      </c>
      <c r="W35" s="227" t="s">
        <v>668</v>
      </c>
      <c r="X35" s="229" t="s">
        <v>352</v>
      </c>
      <c r="Y35" s="224" t="s">
        <v>359</v>
      </c>
      <c r="Z35" s="24"/>
      <c r="AA35" s="24"/>
      <c r="AB35" s="24"/>
      <c r="AC35" s="24"/>
      <c r="AD35" s="24"/>
      <c r="AE35" s="24"/>
      <c r="AF35" s="24"/>
      <c r="AG35" s="24"/>
      <c r="AH35" s="24"/>
      <c r="AI35" s="24"/>
      <c r="AJ35" s="24"/>
      <c r="AK35" s="24"/>
      <c r="AL35" s="24"/>
      <c r="AM35" s="24"/>
    </row>
    <row r="36" spans="1:39" ht="84" customHeight="1" x14ac:dyDescent="0.3">
      <c r="A36" s="116">
        <v>1</v>
      </c>
      <c r="B36" s="210">
        <v>32</v>
      </c>
      <c r="C36" s="220">
        <v>46051</v>
      </c>
      <c r="D36" s="221" t="s">
        <v>449</v>
      </c>
      <c r="E36" s="221" t="s">
        <v>360</v>
      </c>
      <c r="F36" s="221" t="s">
        <v>56</v>
      </c>
      <c r="G36" s="221" t="s">
        <v>89</v>
      </c>
      <c r="H36" s="221" t="s">
        <v>372</v>
      </c>
      <c r="I36" s="230" t="s">
        <v>670</v>
      </c>
      <c r="J36" s="221" t="s">
        <v>366</v>
      </c>
      <c r="K36" s="221" t="s">
        <v>357</v>
      </c>
      <c r="L36" s="221" t="s">
        <v>479</v>
      </c>
      <c r="M36" s="221" t="s">
        <v>311</v>
      </c>
      <c r="N36" s="221" t="s">
        <v>504</v>
      </c>
      <c r="O36" s="231"/>
      <c r="P36" s="231"/>
      <c r="Q36" s="221" t="s">
        <v>358</v>
      </c>
      <c r="R36" s="221"/>
      <c r="S36" s="221" t="s">
        <v>358</v>
      </c>
      <c r="T36" s="221" t="s">
        <v>274</v>
      </c>
      <c r="U36" s="227" t="s">
        <v>671</v>
      </c>
      <c r="V36" s="228" t="s">
        <v>672</v>
      </c>
      <c r="W36" s="227" t="s">
        <v>673</v>
      </c>
      <c r="X36" s="229" t="s">
        <v>352</v>
      </c>
      <c r="Y36" s="224" t="s">
        <v>359</v>
      </c>
      <c r="Z36" s="24"/>
      <c r="AA36" s="24"/>
      <c r="AB36" s="24"/>
      <c r="AC36" s="24"/>
      <c r="AD36" s="24"/>
      <c r="AE36" s="24"/>
      <c r="AF36" s="24"/>
      <c r="AG36" s="24"/>
      <c r="AH36" s="24"/>
      <c r="AI36" s="24"/>
      <c r="AJ36" s="24"/>
      <c r="AK36" s="24"/>
      <c r="AL36" s="24"/>
      <c r="AM36" s="24"/>
    </row>
    <row r="37" spans="1:39" ht="84" customHeight="1" x14ac:dyDescent="0.3">
      <c r="A37" s="116">
        <v>1</v>
      </c>
      <c r="B37" s="210">
        <v>33</v>
      </c>
      <c r="C37" s="220">
        <v>46051</v>
      </c>
      <c r="D37" s="221" t="s">
        <v>449</v>
      </c>
      <c r="E37" s="221" t="s">
        <v>360</v>
      </c>
      <c r="F37" s="221" t="s">
        <v>466</v>
      </c>
      <c r="G37" s="221" t="s">
        <v>465</v>
      </c>
      <c r="H37" s="221" t="s">
        <v>372</v>
      </c>
      <c r="I37" s="230" t="s">
        <v>674</v>
      </c>
      <c r="J37" s="221" t="s">
        <v>366</v>
      </c>
      <c r="K37" s="221" t="s">
        <v>357</v>
      </c>
      <c r="L37" s="221" t="s">
        <v>479</v>
      </c>
      <c r="M37" s="221" t="s">
        <v>311</v>
      </c>
      <c r="N37" s="221" t="s">
        <v>363</v>
      </c>
      <c r="O37" s="231"/>
      <c r="P37" s="231"/>
      <c r="Q37" s="221" t="s">
        <v>358</v>
      </c>
      <c r="R37" s="221"/>
      <c r="S37" s="221" t="s">
        <v>358</v>
      </c>
      <c r="T37" s="221" t="s">
        <v>274</v>
      </c>
      <c r="U37" s="227" t="s">
        <v>676</v>
      </c>
      <c r="V37" s="228" t="s">
        <v>487</v>
      </c>
      <c r="W37" s="227" t="s">
        <v>675</v>
      </c>
      <c r="X37" s="229" t="s">
        <v>352</v>
      </c>
      <c r="Y37" s="224" t="s">
        <v>359</v>
      </c>
      <c r="Z37" s="24"/>
      <c r="AA37" s="24"/>
      <c r="AB37" s="24"/>
      <c r="AC37" s="24"/>
      <c r="AD37" s="24"/>
      <c r="AE37" s="24"/>
      <c r="AF37" s="24"/>
      <c r="AG37" s="24"/>
      <c r="AH37" s="24"/>
      <c r="AI37" s="24"/>
      <c r="AJ37" s="24"/>
      <c r="AK37" s="24"/>
      <c r="AL37" s="24"/>
      <c r="AM37" s="24"/>
    </row>
    <row r="38" spans="1:39" ht="84" customHeight="1" x14ac:dyDescent="0.3">
      <c r="A38" s="116">
        <v>1</v>
      </c>
      <c r="B38" s="210">
        <v>34</v>
      </c>
      <c r="C38" s="220">
        <v>46051</v>
      </c>
      <c r="D38" s="221" t="s">
        <v>449</v>
      </c>
      <c r="E38" s="221" t="s">
        <v>267</v>
      </c>
      <c r="F38" s="221" t="s">
        <v>114</v>
      </c>
      <c r="G38" s="221" t="s">
        <v>153</v>
      </c>
      <c r="H38" s="221" t="s">
        <v>372</v>
      </c>
      <c r="I38" s="230" t="s">
        <v>679</v>
      </c>
      <c r="J38" s="221" t="s">
        <v>366</v>
      </c>
      <c r="K38" s="221" t="s">
        <v>357</v>
      </c>
      <c r="L38" s="221" t="s">
        <v>479</v>
      </c>
      <c r="M38" s="221" t="s">
        <v>311</v>
      </c>
      <c r="N38" s="221" t="s">
        <v>373</v>
      </c>
      <c r="O38" s="231"/>
      <c r="P38" s="231">
        <v>46101</v>
      </c>
      <c r="Q38" s="221" t="s">
        <v>620</v>
      </c>
      <c r="R38" s="221"/>
      <c r="S38" s="221" t="s">
        <v>358</v>
      </c>
      <c r="T38" s="221" t="s">
        <v>274</v>
      </c>
      <c r="U38" s="227" t="s">
        <v>678</v>
      </c>
      <c r="V38" s="228" t="s">
        <v>487</v>
      </c>
      <c r="W38" s="227" t="s">
        <v>680</v>
      </c>
      <c r="X38" s="229" t="s">
        <v>352</v>
      </c>
      <c r="Y38" s="224" t="s">
        <v>359</v>
      </c>
      <c r="Z38" s="24"/>
      <c r="AA38" s="24"/>
      <c r="AB38" s="24"/>
      <c r="AC38" s="24"/>
      <c r="AD38" s="24"/>
      <c r="AE38" s="24"/>
      <c r="AF38" s="24"/>
      <c r="AG38" s="24"/>
      <c r="AH38" s="24"/>
      <c r="AI38" s="24"/>
      <c r="AJ38" s="24"/>
      <c r="AK38" s="24"/>
      <c r="AL38" s="24"/>
      <c r="AM38" s="24"/>
    </row>
    <row r="39" spans="1:39" ht="84" customHeight="1" x14ac:dyDescent="0.3">
      <c r="A39" s="116">
        <v>1</v>
      </c>
      <c r="B39" s="210">
        <v>35</v>
      </c>
      <c r="C39" s="220">
        <v>46051</v>
      </c>
      <c r="D39" s="221" t="s">
        <v>449</v>
      </c>
      <c r="E39" s="221" t="s">
        <v>267</v>
      </c>
      <c r="F39" s="221" t="s">
        <v>534</v>
      </c>
      <c r="G39" s="221" t="s">
        <v>534</v>
      </c>
      <c r="H39" s="221" t="s">
        <v>372</v>
      </c>
      <c r="I39" s="230" t="s">
        <v>681</v>
      </c>
      <c r="J39" s="221" t="s">
        <v>366</v>
      </c>
      <c r="K39" s="221" t="s">
        <v>357</v>
      </c>
      <c r="L39" s="221" t="s">
        <v>479</v>
      </c>
      <c r="M39" s="221" t="s">
        <v>311</v>
      </c>
      <c r="N39" s="221" t="s">
        <v>363</v>
      </c>
      <c r="O39" s="231"/>
      <c r="P39" s="231"/>
      <c r="Q39" s="221" t="s">
        <v>358</v>
      </c>
      <c r="R39" s="221"/>
      <c r="S39" s="221" t="s">
        <v>358</v>
      </c>
      <c r="T39" s="221" t="s">
        <v>274</v>
      </c>
      <c r="U39" s="227" t="s">
        <v>682</v>
      </c>
      <c r="V39" s="228">
        <v>3168785821</v>
      </c>
      <c r="W39" s="227" t="s">
        <v>592</v>
      </c>
      <c r="X39" s="229" t="s">
        <v>352</v>
      </c>
      <c r="Y39" s="224" t="s">
        <v>359</v>
      </c>
      <c r="Z39" s="24"/>
      <c r="AA39" s="24"/>
      <c r="AB39" s="24"/>
      <c r="AC39" s="24"/>
      <c r="AD39" s="24"/>
      <c r="AE39" s="24"/>
      <c r="AF39" s="24"/>
      <c r="AG39" s="24"/>
      <c r="AH39" s="24"/>
      <c r="AI39" s="24"/>
      <c r="AJ39" s="24"/>
      <c r="AK39" s="24"/>
      <c r="AL39" s="24"/>
      <c r="AM39" s="24"/>
    </row>
    <row r="40" spans="1:39" ht="84" customHeight="1" x14ac:dyDescent="0.3">
      <c r="A40" s="116">
        <v>1</v>
      </c>
      <c r="B40" s="210">
        <v>36</v>
      </c>
      <c r="C40" s="220">
        <v>46051</v>
      </c>
      <c r="D40" s="221" t="s">
        <v>449</v>
      </c>
      <c r="E40" s="221" t="s">
        <v>267</v>
      </c>
      <c r="F40" s="221" t="s">
        <v>32</v>
      </c>
      <c r="G40" s="221" t="s">
        <v>32</v>
      </c>
      <c r="H40" s="221" t="s">
        <v>372</v>
      </c>
      <c r="I40" s="230" t="s">
        <v>683</v>
      </c>
      <c r="J40" s="221" t="s">
        <v>366</v>
      </c>
      <c r="K40" s="221" t="s">
        <v>357</v>
      </c>
      <c r="L40" s="221" t="s">
        <v>479</v>
      </c>
      <c r="M40" s="221" t="s">
        <v>311</v>
      </c>
      <c r="N40" s="221" t="s">
        <v>363</v>
      </c>
      <c r="O40" s="231"/>
      <c r="P40" s="231"/>
      <c r="Q40" s="221" t="s">
        <v>358</v>
      </c>
      <c r="R40" s="221"/>
      <c r="S40" s="221" t="s">
        <v>358</v>
      </c>
      <c r="T40" s="221" t="s">
        <v>274</v>
      </c>
      <c r="U40" s="227" t="s">
        <v>684</v>
      </c>
      <c r="V40" s="228" t="s">
        <v>487</v>
      </c>
      <c r="W40" s="227" t="s">
        <v>532</v>
      </c>
      <c r="X40" s="229" t="s">
        <v>352</v>
      </c>
      <c r="Y40" s="224" t="s">
        <v>359</v>
      </c>
      <c r="Z40" s="24"/>
      <c r="AA40" s="24"/>
      <c r="AB40" s="24"/>
      <c r="AC40" s="24"/>
      <c r="AD40" s="24"/>
      <c r="AE40" s="24"/>
      <c r="AF40" s="24"/>
      <c r="AG40" s="24"/>
      <c r="AH40" s="24"/>
      <c r="AI40" s="24"/>
      <c r="AJ40" s="24"/>
      <c r="AK40" s="24"/>
      <c r="AL40" s="24"/>
      <c r="AM40" s="24"/>
    </row>
    <row r="41" spans="1:39" ht="84" customHeight="1" x14ac:dyDescent="0.3">
      <c r="A41" s="116">
        <v>1</v>
      </c>
      <c r="B41" s="210">
        <v>37</v>
      </c>
      <c r="C41" s="220">
        <v>46063</v>
      </c>
      <c r="D41" s="221" t="s">
        <v>452</v>
      </c>
      <c r="E41" s="221" t="s">
        <v>365</v>
      </c>
      <c r="F41" s="221" t="s">
        <v>110</v>
      </c>
      <c r="G41" s="221" t="s">
        <v>110</v>
      </c>
      <c r="H41" s="221" t="s">
        <v>361</v>
      </c>
      <c r="I41" s="230" t="s">
        <v>685</v>
      </c>
      <c r="J41" s="221" t="s">
        <v>368</v>
      </c>
      <c r="K41" s="221" t="s">
        <v>357</v>
      </c>
      <c r="L41" s="221" t="s">
        <v>479</v>
      </c>
      <c r="M41" s="221" t="s">
        <v>311</v>
      </c>
      <c r="N41" s="221" t="s">
        <v>363</v>
      </c>
      <c r="O41" s="231"/>
      <c r="P41" s="231"/>
      <c r="Q41" s="221" t="s">
        <v>358</v>
      </c>
      <c r="R41" s="221"/>
      <c r="S41" s="221" t="s">
        <v>358</v>
      </c>
      <c r="T41" s="221" t="s">
        <v>274</v>
      </c>
      <c r="U41" s="227" t="s">
        <v>686</v>
      </c>
      <c r="V41" s="228" t="s">
        <v>637</v>
      </c>
      <c r="W41" s="227" t="s">
        <v>687</v>
      </c>
      <c r="X41" s="229" t="s">
        <v>352</v>
      </c>
      <c r="Y41" s="224" t="s">
        <v>359</v>
      </c>
      <c r="Z41" s="24"/>
      <c r="AA41" s="24"/>
      <c r="AB41" s="24"/>
      <c r="AC41" s="24"/>
      <c r="AD41" s="24"/>
      <c r="AE41" s="24"/>
      <c r="AF41" s="24"/>
      <c r="AG41" s="24"/>
      <c r="AH41" s="24"/>
      <c r="AI41" s="24"/>
      <c r="AJ41" s="24"/>
      <c r="AK41" s="24"/>
      <c r="AL41" s="24"/>
      <c r="AM41" s="24"/>
    </row>
    <row r="42" spans="1:39" ht="84" customHeight="1" x14ac:dyDescent="0.3">
      <c r="A42" s="116">
        <v>1</v>
      </c>
      <c r="B42" s="210">
        <v>38</v>
      </c>
      <c r="C42" s="220">
        <v>46064</v>
      </c>
      <c r="D42" s="221" t="s">
        <v>452</v>
      </c>
      <c r="E42" s="221" t="s">
        <v>389</v>
      </c>
      <c r="F42" s="221" t="s">
        <v>150</v>
      </c>
      <c r="G42" s="221" t="s">
        <v>203</v>
      </c>
      <c r="H42" s="221" t="s">
        <v>376</v>
      </c>
      <c r="I42" s="230" t="s">
        <v>779</v>
      </c>
      <c r="J42" s="221" t="s">
        <v>368</v>
      </c>
      <c r="K42" s="221" t="s">
        <v>357</v>
      </c>
      <c r="L42" s="221" t="s">
        <v>479</v>
      </c>
      <c r="M42" s="221" t="s">
        <v>311</v>
      </c>
      <c r="N42" s="221" t="s">
        <v>417</v>
      </c>
      <c r="O42" s="231"/>
      <c r="P42" s="231"/>
      <c r="Q42" s="221" t="s">
        <v>358</v>
      </c>
      <c r="R42" s="221"/>
      <c r="S42" s="221" t="s">
        <v>358</v>
      </c>
      <c r="T42" s="221" t="s">
        <v>274</v>
      </c>
      <c r="U42" s="227" t="s">
        <v>688</v>
      </c>
      <c r="V42" s="228">
        <v>3105474457</v>
      </c>
      <c r="W42" s="227" t="s">
        <v>689</v>
      </c>
      <c r="X42" s="229" t="s">
        <v>352</v>
      </c>
      <c r="Y42" s="224" t="s">
        <v>359</v>
      </c>
      <c r="Z42" s="24"/>
      <c r="AA42" s="24"/>
      <c r="AB42" s="24"/>
      <c r="AC42" s="24"/>
      <c r="AD42" s="24"/>
      <c r="AE42" s="24"/>
      <c r="AF42" s="24"/>
      <c r="AG42" s="24"/>
      <c r="AH42" s="24"/>
      <c r="AI42" s="24"/>
      <c r="AJ42" s="24"/>
      <c r="AK42" s="24"/>
      <c r="AL42" s="24"/>
      <c r="AM42" s="24"/>
    </row>
    <row r="43" spans="1:39" ht="84" customHeight="1" x14ac:dyDescent="0.3">
      <c r="A43" s="116">
        <v>1</v>
      </c>
      <c r="B43" s="210">
        <v>39</v>
      </c>
      <c r="C43" s="220">
        <v>46065</v>
      </c>
      <c r="D43" s="221" t="s">
        <v>452</v>
      </c>
      <c r="E43" s="221" t="s">
        <v>267</v>
      </c>
      <c r="F43" s="221" t="s">
        <v>143</v>
      </c>
      <c r="G43" s="221" t="s">
        <v>201</v>
      </c>
      <c r="H43" s="221" t="s">
        <v>376</v>
      </c>
      <c r="I43" s="230" t="s">
        <v>690</v>
      </c>
      <c r="J43" s="221" t="s">
        <v>362</v>
      </c>
      <c r="K43" s="221" t="s">
        <v>357</v>
      </c>
      <c r="L43" s="221" t="s">
        <v>479</v>
      </c>
      <c r="M43" s="221" t="s">
        <v>311</v>
      </c>
      <c r="N43" s="221" t="s">
        <v>504</v>
      </c>
      <c r="O43" s="231"/>
      <c r="P43" s="231"/>
      <c r="Q43" s="221" t="s">
        <v>358</v>
      </c>
      <c r="R43" s="221"/>
      <c r="S43" s="221" t="s">
        <v>358</v>
      </c>
      <c r="T43" s="221" t="s">
        <v>274</v>
      </c>
      <c r="U43" s="227" t="s">
        <v>691</v>
      </c>
      <c r="V43" s="228" t="s">
        <v>692</v>
      </c>
      <c r="W43" s="227" t="s">
        <v>693</v>
      </c>
      <c r="X43" s="229" t="s">
        <v>352</v>
      </c>
      <c r="Y43" s="224" t="s">
        <v>359</v>
      </c>
      <c r="Z43" s="24"/>
      <c r="AA43" s="24"/>
      <c r="AB43" s="24"/>
      <c r="AC43" s="24"/>
      <c r="AD43" s="24"/>
      <c r="AE43" s="24"/>
      <c r="AF43" s="24"/>
      <c r="AG43" s="24"/>
      <c r="AH43" s="24"/>
      <c r="AI43" s="24"/>
      <c r="AJ43" s="24"/>
      <c r="AK43" s="24"/>
      <c r="AL43" s="24"/>
      <c r="AM43" s="24"/>
    </row>
    <row r="44" spans="1:39" ht="84" customHeight="1" x14ac:dyDescent="0.3">
      <c r="A44" s="116">
        <v>1</v>
      </c>
      <c r="B44" s="210">
        <v>40</v>
      </c>
      <c r="C44" s="220">
        <v>46065</v>
      </c>
      <c r="D44" s="221" t="s">
        <v>452</v>
      </c>
      <c r="E44" s="221" t="s">
        <v>354</v>
      </c>
      <c r="F44" s="221" t="s">
        <v>45</v>
      </c>
      <c r="G44" s="221" t="s">
        <v>64</v>
      </c>
      <c r="H44" s="221" t="s">
        <v>376</v>
      </c>
      <c r="I44" s="230" t="s">
        <v>694</v>
      </c>
      <c r="J44" s="221" t="s">
        <v>368</v>
      </c>
      <c r="K44" s="221" t="s">
        <v>357</v>
      </c>
      <c r="L44" s="221" t="s">
        <v>479</v>
      </c>
      <c r="M44" s="221" t="s">
        <v>311</v>
      </c>
      <c r="N44" s="221" t="s">
        <v>385</v>
      </c>
      <c r="O44" s="231"/>
      <c r="P44" s="231"/>
      <c r="Q44" s="221" t="s">
        <v>358</v>
      </c>
      <c r="R44" s="221"/>
      <c r="S44" s="221" t="s">
        <v>358</v>
      </c>
      <c r="T44" s="221" t="s">
        <v>274</v>
      </c>
      <c r="U44" s="227" t="s">
        <v>695</v>
      </c>
      <c r="V44" s="228" t="s">
        <v>696</v>
      </c>
      <c r="W44" s="227" t="s">
        <v>697</v>
      </c>
      <c r="X44" s="229" t="s">
        <v>352</v>
      </c>
      <c r="Y44" s="224" t="s">
        <v>359</v>
      </c>
      <c r="Z44" s="24"/>
      <c r="AA44" s="24"/>
      <c r="AB44" s="24"/>
      <c r="AC44" s="24"/>
      <c r="AD44" s="24"/>
      <c r="AE44" s="24"/>
      <c r="AF44" s="24"/>
      <c r="AG44" s="24"/>
      <c r="AH44" s="24"/>
      <c r="AI44" s="24"/>
      <c r="AJ44" s="24"/>
      <c r="AK44" s="24"/>
      <c r="AL44" s="24"/>
      <c r="AM44" s="24"/>
    </row>
    <row r="45" spans="1:39" ht="84" customHeight="1" x14ac:dyDescent="0.3">
      <c r="A45" s="116">
        <v>1</v>
      </c>
      <c r="B45" s="210">
        <v>41</v>
      </c>
      <c r="C45" s="220">
        <v>46065</v>
      </c>
      <c r="D45" s="221" t="s">
        <v>452</v>
      </c>
      <c r="E45" s="221" t="s">
        <v>267</v>
      </c>
      <c r="F45" s="221" t="s">
        <v>469</v>
      </c>
      <c r="G45" s="221" t="s">
        <v>469</v>
      </c>
      <c r="H45" s="221" t="s">
        <v>287</v>
      </c>
      <c r="I45" s="230" t="s">
        <v>698</v>
      </c>
      <c r="J45" s="221" t="s">
        <v>362</v>
      </c>
      <c r="K45" s="221" t="s">
        <v>357</v>
      </c>
      <c r="L45" s="221" t="s">
        <v>479</v>
      </c>
      <c r="M45" s="221" t="s">
        <v>311</v>
      </c>
      <c r="N45" s="221" t="s">
        <v>504</v>
      </c>
      <c r="O45" s="231">
        <v>46094</v>
      </c>
      <c r="P45" s="231">
        <v>46094</v>
      </c>
      <c r="Q45" s="221" t="s">
        <v>620</v>
      </c>
      <c r="R45" s="221"/>
      <c r="S45" s="221" t="s">
        <v>358</v>
      </c>
      <c r="T45" s="221" t="s">
        <v>274</v>
      </c>
      <c r="U45" s="227" t="s">
        <v>640</v>
      </c>
      <c r="V45" s="228" t="s">
        <v>699</v>
      </c>
      <c r="W45" s="227" t="s">
        <v>641</v>
      </c>
      <c r="X45" s="229" t="s">
        <v>352</v>
      </c>
      <c r="Y45" s="224" t="s">
        <v>359</v>
      </c>
      <c r="Z45" s="24"/>
      <c r="AA45" s="24"/>
      <c r="AB45" s="24"/>
      <c r="AC45" s="24"/>
      <c r="AD45" s="24"/>
      <c r="AE45" s="24"/>
      <c r="AF45" s="24"/>
      <c r="AG45" s="24"/>
      <c r="AH45" s="24"/>
      <c r="AI45" s="24"/>
      <c r="AJ45" s="24"/>
      <c r="AK45" s="24"/>
      <c r="AL45" s="24"/>
      <c r="AM45" s="24"/>
    </row>
    <row r="46" spans="1:39" ht="84" customHeight="1" x14ac:dyDescent="0.3">
      <c r="A46" s="116">
        <v>1</v>
      </c>
      <c r="B46" s="210">
        <v>42</v>
      </c>
      <c r="C46" s="220">
        <v>46065</v>
      </c>
      <c r="D46" s="221" t="s">
        <v>452</v>
      </c>
      <c r="E46" s="221" t="s">
        <v>371</v>
      </c>
      <c r="F46" s="221" t="s">
        <v>75</v>
      </c>
      <c r="G46" s="221" t="s">
        <v>123</v>
      </c>
      <c r="H46" s="221" t="s">
        <v>372</v>
      </c>
      <c r="I46" s="230" t="s">
        <v>700</v>
      </c>
      <c r="J46" s="221" t="s">
        <v>366</v>
      </c>
      <c r="K46" s="221" t="s">
        <v>357</v>
      </c>
      <c r="L46" s="221" t="s">
        <v>479</v>
      </c>
      <c r="M46" s="221" t="s">
        <v>311</v>
      </c>
      <c r="N46" s="221" t="s">
        <v>373</v>
      </c>
      <c r="O46" s="231">
        <v>46093</v>
      </c>
      <c r="P46" s="231">
        <v>46093</v>
      </c>
      <c r="Q46" s="221" t="s">
        <v>620</v>
      </c>
      <c r="R46" s="221"/>
      <c r="S46" s="221" t="s">
        <v>358</v>
      </c>
      <c r="T46" s="221" t="s">
        <v>274</v>
      </c>
      <c r="U46" s="227" t="s">
        <v>701</v>
      </c>
      <c r="V46" s="228">
        <v>8617777</v>
      </c>
      <c r="W46" s="227" t="s">
        <v>702</v>
      </c>
      <c r="X46" s="229" t="s">
        <v>352</v>
      </c>
      <c r="Y46" s="224" t="s">
        <v>359</v>
      </c>
      <c r="Z46" s="24"/>
      <c r="AA46" s="24"/>
      <c r="AB46" s="24"/>
      <c r="AC46" s="24"/>
      <c r="AD46" s="24"/>
      <c r="AE46" s="24"/>
      <c r="AF46" s="24"/>
      <c r="AG46" s="24"/>
      <c r="AH46" s="24"/>
      <c r="AI46" s="24"/>
      <c r="AJ46" s="24"/>
      <c r="AK46" s="24"/>
      <c r="AL46" s="24"/>
      <c r="AM46" s="24"/>
    </row>
    <row r="47" spans="1:39" ht="84" customHeight="1" x14ac:dyDescent="0.3">
      <c r="A47" s="116">
        <v>1</v>
      </c>
      <c r="B47" s="210">
        <v>43</v>
      </c>
      <c r="C47" s="220">
        <v>46066</v>
      </c>
      <c r="D47" s="221" t="s">
        <v>452</v>
      </c>
      <c r="E47" s="221" t="s">
        <v>267</v>
      </c>
      <c r="F47" s="221" t="s">
        <v>703</v>
      </c>
      <c r="G47" s="221" t="s">
        <v>703</v>
      </c>
      <c r="H47" s="221" t="s">
        <v>287</v>
      </c>
      <c r="I47" s="230" t="s">
        <v>706</v>
      </c>
      <c r="J47" s="221" t="s">
        <v>366</v>
      </c>
      <c r="K47" s="221" t="s">
        <v>357</v>
      </c>
      <c r="L47" s="221" t="s">
        <v>479</v>
      </c>
      <c r="M47" s="221" t="s">
        <v>311</v>
      </c>
      <c r="N47" s="221" t="s">
        <v>504</v>
      </c>
      <c r="O47" s="231"/>
      <c r="P47" s="231"/>
      <c r="Q47" s="221" t="s">
        <v>358</v>
      </c>
      <c r="R47" s="221"/>
      <c r="S47" s="221" t="s">
        <v>358</v>
      </c>
      <c r="T47" s="221" t="s">
        <v>274</v>
      </c>
      <c r="U47" s="227" t="s">
        <v>704</v>
      </c>
      <c r="V47" s="228" t="s">
        <v>487</v>
      </c>
      <c r="W47" s="227" t="s">
        <v>705</v>
      </c>
      <c r="X47" s="229" t="s">
        <v>352</v>
      </c>
      <c r="Y47" s="224" t="s">
        <v>359</v>
      </c>
      <c r="Z47" s="24"/>
      <c r="AA47" s="24"/>
      <c r="AB47" s="24"/>
      <c r="AC47" s="24"/>
      <c r="AD47" s="24"/>
      <c r="AE47" s="24"/>
      <c r="AF47" s="24"/>
      <c r="AG47" s="24"/>
      <c r="AH47" s="24"/>
      <c r="AI47" s="24"/>
      <c r="AJ47" s="24"/>
      <c r="AK47" s="24"/>
      <c r="AL47" s="24"/>
      <c r="AM47" s="24"/>
    </row>
    <row r="48" spans="1:39" ht="84" customHeight="1" x14ac:dyDescent="0.3">
      <c r="A48" s="116">
        <v>1</v>
      </c>
      <c r="B48" s="210">
        <v>44</v>
      </c>
      <c r="C48" s="220">
        <v>46066</v>
      </c>
      <c r="D48" s="221" t="s">
        <v>452</v>
      </c>
      <c r="E48" s="221" t="s">
        <v>267</v>
      </c>
      <c r="F48" s="221" t="s">
        <v>707</v>
      </c>
      <c r="G48" s="221" t="s">
        <v>707</v>
      </c>
      <c r="H48" s="221" t="s">
        <v>372</v>
      </c>
      <c r="I48" s="230" t="s">
        <v>710</v>
      </c>
      <c r="J48" s="221" t="s">
        <v>366</v>
      </c>
      <c r="K48" s="221" t="s">
        <v>357</v>
      </c>
      <c r="L48" s="221" t="s">
        <v>479</v>
      </c>
      <c r="M48" s="221" t="s">
        <v>311</v>
      </c>
      <c r="N48" s="221" t="s">
        <v>373</v>
      </c>
      <c r="O48" s="231"/>
      <c r="P48" s="231"/>
      <c r="Q48" s="221" t="s">
        <v>358</v>
      </c>
      <c r="R48" s="221"/>
      <c r="S48" s="221" t="s">
        <v>358</v>
      </c>
      <c r="T48" s="221" t="s">
        <v>274</v>
      </c>
      <c r="U48" s="227" t="s">
        <v>708</v>
      </c>
      <c r="V48" s="228" t="s">
        <v>487</v>
      </c>
      <c r="W48" s="227" t="s">
        <v>709</v>
      </c>
      <c r="X48" s="229" t="s">
        <v>352</v>
      </c>
      <c r="Y48" s="224" t="s">
        <v>359</v>
      </c>
      <c r="Z48" s="24"/>
      <c r="AA48" s="24"/>
      <c r="AB48" s="24"/>
      <c r="AC48" s="24"/>
      <c r="AD48" s="24"/>
      <c r="AE48" s="24"/>
      <c r="AF48" s="24"/>
      <c r="AG48" s="24"/>
      <c r="AH48" s="24"/>
      <c r="AI48" s="24"/>
      <c r="AJ48" s="24"/>
      <c r="AK48" s="24"/>
      <c r="AL48" s="24"/>
      <c r="AM48" s="24"/>
    </row>
    <row r="49" spans="1:39" ht="84" customHeight="1" x14ac:dyDescent="0.3">
      <c r="A49" s="116">
        <v>1</v>
      </c>
      <c r="B49" s="210">
        <v>45</v>
      </c>
      <c r="C49" s="220">
        <v>46069</v>
      </c>
      <c r="D49" s="221" t="s">
        <v>452</v>
      </c>
      <c r="E49" s="221" t="s">
        <v>371</v>
      </c>
      <c r="F49" s="221" t="s">
        <v>554</v>
      </c>
      <c r="G49" s="221" t="s">
        <v>53</v>
      </c>
      <c r="H49" s="221" t="s">
        <v>372</v>
      </c>
      <c r="I49" s="230" t="s">
        <v>711</v>
      </c>
      <c r="J49" s="221" t="s">
        <v>368</v>
      </c>
      <c r="K49" s="221" t="s">
        <v>357</v>
      </c>
      <c r="L49" s="221" t="s">
        <v>479</v>
      </c>
      <c r="M49" s="221" t="s">
        <v>311</v>
      </c>
      <c r="N49" s="221" t="s">
        <v>373</v>
      </c>
      <c r="O49" s="231"/>
      <c r="P49" s="231"/>
      <c r="Q49" s="221" t="s">
        <v>358</v>
      </c>
      <c r="R49" s="221"/>
      <c r="S49" s="221" t="s">
        <v>358</v>
      </c>
      <c r="T49" s="221" t="s">
        <v>274</v>
      </c>
      <c r="U49" s="227" t="s">
        <v>712</v>
      </c>
      <c r="V49" s="228">
        <v>74601111405</v>
      </c>
      <c r="W49" s="227" t="s">
        <v>713</v>
      </c>
      <c r="X49" s="229" t="s">
        <v>352</v>
      </c>
      <c r="Y49" s="224" t="s">
        <v>359</v>
      </c>
      <c r="Z49" s="24"/>
      <c r="AA49" s="24"/>
      <c r="AB49" s="24"/>
      <c r="AC49" s="24"/>
      <c r="AD49" s="24"/>
      <c r="AE49" s="24"/>
      <c r="AF49" s="24"/>
      <c r="AG49" s="24"/>
      <c r="AH49" s="24"/>
      <c r="AI49" s="24"/>
      <c r="AJ49" s="24"/>
      <c r="AK49" s="24"/>
      <c r="AL49" s="24"/>
      <c r="AM49" s="24"/>
    </row>
    <row r="50" spans="1:39" ht="84" customHeight="1" x14ac:dyDescent="0.3">
      <c r="A50" s="116">
        <v>1</v>
      </c>
      <c r="B50" s="210">
        <v>46</v>
      </c>
      <c r="C50" s="220">
        <v>46069</v>
      </c>
      <c r="D50" s="221" t="s">
        <v>452</v>
      </c>
      <c r="E50" s="221" t="s">
        <v>365</v>
      </c>
      <c r="F50" s="221" t="s">
        <v>110</v>
      </c>
      <c r="G50" s="221" t="s">
        <v>110</v>
      </c>
      <c r="H50" s="221" t="s">
        <v>287</v>
      </c>
      <c r="I50" s="230" t="s">
        <v>714</v>
      </c>
      <c r="J50" s="221" t="s">
        <v>366</v>
      </c>
      <c r="K50" s="221" t="s">
        <v>357</v>
      </c>
      <c r="L50" s="221" t="s">
        <v>479</v>
      </c>
      <c r="M50" s="221" t="s">
        <v>311</v>
      </c>
      <c r="N50" s="221" t="s">
        <v>384</v>
      </c>
      <c r="O50" s="231"/>
      <c r="P50" s="231"/>
      <c r="Q50" s="221" t="s">
        <v>358</v>
      </c>
      <c r="R50" s="221"/>
      <c r="S50" s="221" t="s">
        <v>358</v>
      </c>
      <c r="T50" s="221" t="s">
        <v>274</v>
      </c>
      <c r="U50" s="227" t="s">
        <v>715</v>
      </c>
      <c r="V50" s="228" t="s">
        <v>716</v>
      </c>
      <c r="W50" s="227" t="s">
        <v>717</v>
      </c>
      <c r="X50" s="229" t="s">
        <v>352</v>
      </c>
      <c r="Y50" s="224" t="s">
        <v>359</v>
      </c>
      <c r="Z50" s="24"/>
      <c r="AA50" s="24"/>
      <c r="AB50" s="24"/>
      <c r="AC50" s="24"/>
      <c r="AD50" s="24"/>
      <c r="AE50" s="24"/>
      <c r="AF50" s="24"/>
      <c r="AG50" s="24"/>
      <c r="AH50" s="24"/>
      <c r="AI50" s="24"/>
      <c r="AJ50" s="24"/>
      <c r="AK50" s="24"/>
      <c r="AL50" s="24"/>
      <c r="AM50" s="24"/>
    </row>
    <row r="51" spans="1:39" ht="84" customHeight="1" x14ac:dyDescent="0.3">
      <c r="A51" s="116">
        <v>1</v>
      </c>
      <c r="B51" s="210">
        <v>47</v>
      </c>
      <c r="C51" s="220">
        <v>46069</v>
      </c>
      <c r="D51" s="221" t="s">
        <v>452</v>
      </c>
      <c r="E51" s="221" t="s">
        <v>375</v>
      </c>
      <c r="F51" s="221" t="s">
        <v>515</v>
      </c>
      <c r="G51" s="221" t="s">
        <v>515</v>
      </c>
      <c r="H51" s="221" t="s">
        <v>380</v>
      </c>
      <c r="I51" s="230" t="s">
        <v>721</v>
      </c>
      <c r="J51" s="221" t="s">
        <v>369</v>
      </c>
      <c r="K51" s="221" t="s">
        <v>357</v>
      </c>
      <c r="L51" s="221" t="s">
        <v>479</v>
      </c>
      <c r="M51" s="221" t="s">
        <v>311</v>
      </c>
      <c r="N51" s="221" t="s">
        <v>455</v>
      </c>
      <c r="O51" s="231"/>
      <c r="P51" s="231"/>
      <c r="Q51" s="221" t="s">
        <v>358</v>
      </c>
      <c r="R51" s="221"/>
      <c r="S51" s="221" t="s">
        <v>358</v>
      </c>
      <c r="T51" s="221" t="s">
        <v>274</v>
      </c>
      <c r="U51" s="227" t="s">
        <v>719</v>
      </c>
      <c r="V51" s="228" t="s">
        <v>720</v>
      </c>
      <c r="W51" s="227" t="s">
        <v>718</v>
      </c>
      <c r="X51" s="229" t="s">
        <v>352</v>
      </c>
      <c r="Y51" s="224" t="s">
        <v>359</v>
      </c>
      <c r="Z51" s="24"/>
      <c r="AA51" s="24"/>
      <c r="AB51" s="24"/>
      <c r="AC51" s="24"/>
      <c r="AD51" s="24"/>
      <c r="AE51" s="24"/>
      <c r="AF51" s="24"/>
      <c r="AG51" s="24"/>
      <c r="AH51" s="24"/>
      <c r="AI51" s="24"/>
      <c r="AJ51" s="24"/>
      <c r="AK51" s="24"/>
      <c r="AL51" s="24"/>
      <c r="AM51" s="24"/>
    </row>
    <row r="52" spans="1:39" ht="84" customHeight="1" thickBot="1" x14ac:dyDescent="0.35">
      <c r="A52" s="116">
        <v>1</v>
      </c>
      <c r="B52" s="210">
        <v>48</v>
      </c>
      <c r="C52" s="220">
        <v>46071</v>
      </c>
      <c r="D52" s="221" t="s">
        <v>452</v>
      </c>
      <c r="E52" s="221" t="s">
        <v>267</v>
      </c>
      <c r="F52" s="221" t="s">
        <v>114</v>
      </c>
      <c r="G52" s="221" t="s">
        <v>153</v>
      </c>
      <c r="H52" s="221" t="s">
        <v>852</v>
      </c>
      <c r="I52" s="230" t="s">
        <v>722</v>
      </c>
      <c r="J52" s="244" t="s">
        <v>853</v>
      </c>
      <c r="K52" s="221" t="s">
        <v>357</v>
      </c>
      <c r="L52" s="221" t="s">
        <v>479</v>
      </c>
      <c r="M52" s="221" t="s">
        <v>311</v>
      </c>
      <c r="N52" s="221" t="s">
        <v>504</v>
      </c>
      <c r="O52" s="231"/>
      <c r="P52" s="231"/>
      <c r="Q52" s="221" t="s">
        <v>620</v>
      </c>
      <c r="R52" s="221"/>
      <c r="S52" s="221" t="s">
        <v>358</v>
      </c>
      <c r="T52" s="221" t="s">
        <v>274</v>
      </c>
      <c r="U52" s="227" t="s">
        <v>723</v>
      </c>
      <c r="V52" s="228">
        <v>7443333</v>
      </c>
      <c r="W52" s="227" t="s">
        <v>724</v>
      </c>
      <c r="X52" s="229" t="s">
        <v>352</v>
      </c>
      <c r="Y52" s="224" t="s">
        <v>359</v>
      </c>
      <c r="Z52" s="24"/>
      <c r="AA52" s="24"/>
      <c r="AB52" s="24"/>
      <c r="AC52" s="24"/>
      <c r="AD52" s="24"/>
      <c r="AE52" s="24"/>
      <c r="AF52" s="24"/>
      <c r="AG52" s="24"/>
      <c r="AH52" s="24"/>
      <c r="AI52" s="24"/>
      <c r="AJ52" s="24"/>
      <c r="AK52" s="24"/>
      <c r="AL52" s="24"/>
      <c r="AM52" s="24"/>
    </row>
    <row r="53" spans="1:39" ht="84" customHeight="1" x14ac:dyDescent="0.3">
      <c r="A53" s="116">
        <v>1</v>
      </c>
      <c r="B53" s="210">
        <v>49</v>
      </c>
      <c r="C53" s="220">
        <v>46071</v>
      </c>
      <c r="D53" s="221" t="s">
        <v>452</v>
      </c>
      <c r="E53" s="221" t="s">
        <v>371</v>
      </c>
      <c r="F53" s="221" t="s">
        <v>493</v>
      </c>
      <c r="G53" s="221" t="s">
        <v>725</v>
      </c>
      <c r="H53" s="221" t="s">
        <v>372</v>
      </c>
      <c r="I53" s="230" t="s">
        <v>728</v>
      </c>
      <c r="J53" s="221" t="s">
        <v>364</v>
      </c>
      <c r="K53" s="221" t="s">
        <v>357</v>
      </c>
      <c r="L53" s="221" t="s">
        <v>479</v>
      </c>
      <c r="M53" s="221" t="s">
        <v>311</v>
      </c>
      <c r="N53" s="221" t="s">
        <v>373</v>
      </c>
      <c r="O53" s="231"/>
      <c r="P53" s="231"/>
      <c r="Q53" s="221" t="s">
        <v>358</v>
      </c>
      <c r="R53" s="221"/>
      <c r="S53" s="221" t="s">
        <v>358</v>
      </c>
      <c r="T53" s="221" t="s">
        <v>274</v>
      </c>
      <c r="U53" s="227" t="s">
        <v>726</v>
      </c>
      <c r="V53" s="228">
        <v>3188142323</v>
      </c>
      <c r="W53" s="227" t="s">
        <v>727</v>
      </c>
      <c r="X53" s="229" t="s">
        <v>352</v>
      </c>
      <c r="Y53" s="224" t="s">
        <v>359</v>
      </c>
      <c r="Z53" s="24"/>
      <c r="AA53" s="24"/>
      <c r="AB53" s="24"/>
      <c r="AC53" s="24"/>
      <c r="AD53" s="24"/>
      <c r="AE53" s="24"/>
      <c r="AF53" s="24"/>
      <c r="AG53" s="24"/>
      <c r="AH53" s="24"/>
      <c r="AI53" s="24"/>
      <c r="AJ53" s="24"/>
      <c r="AK53" s="24"/>
      <c r="AL53" s="24"/>
      <c r="AM53" s="24"/>
    </row>
    <row r="54" spans="1:39" ht="159.75" customHeight="1" x14ac:dyDescent="0.3">
      <c r="A54" s="116">
        <v>1</v>
      </c>
      <c r="B54" s="210">
        <v>50</v>
      </c>
      <c r="C54" s="220">
        <v>46071</v>
      </c>
      <c r="D54" s="221" t="s">
        <v>452</v>
      </c>
      <c r="E54" s="221" t="s">
        <v>371</v>
      </c>
      <c r="F54" s="221" t="s">
        <v>535</v>
      </c>
      <c r="G54" s="221" t="s">
        <v>164</v>
      </c>
      <c r="H54" s="221" t="s">
        <v>355</v>
      </c>
      <c r="I54" s="230" t="s">
        <v>729</v>
      </c>
      <c r="J54" s="221" t="s">
        <v>366</v>
      </c>
      <c r="K54" s="221" t="s">
        <v>357</v>
      </c>
      <c r="L54" s="221" t="s">
        <v>479</v>
      </c>
      <c r="M54" s="221" t="s">
        <v>311</v>
      </c>
      <c r="N54" s="221" t="s">
        <v>504</v>
      </c>
      <c r="O54" s="231"/>
      <c r="P54" s="231"/>
      <c r="Q54" s="221" t="s">
        <v>358</v>
      </c>
      <c r="R54" s="221"/>
      <c r="S54" s="221" t="s">
        <v>358</v>
      </c>
      <c r="T54" s="221" t="s">
        <v>274</v>
      </c>
      <c r="U54" s="227" t="s">
        <v>730</v>
      </c>
      <c r="V54" s="228" t="s">
        <v>731</v>
      </c>
      <c r="W54" s="227" t="s">
        <v>495</v>
      </c>
      <c r="X54" s="229" t="s">
        <v>352</v>
      </c>
      <c r="Y54" s="224" t="s">
        <v>359</v>
      </c>
      <c r="Z54" s="24"/>
      <c r="AA54" s="24"/>
      <c r="AB54" s="24"/>
      <c r="AC54" s="24"/>
      <c r="AD54" s="24"/>
      <c r="AE54" s="24"/>
      <c r="AF54" s="24"/>
      <c r="AG54" s="24"/>
      <c r="AH54" s="24"/>
      <c r="AI54" s="24"/>
      <c r="AJ54" s="24"/>
      <c r="AK54" s="24"/>
      <c r="AL54" s="24"/>
      <c r="AM54" s="24"/>
    </row>
    <row r="55" spans="1:39" ht="84" customHeight="1" x14ac:dyDescent="0.3">
      <c r="A55" s="116">
        <v>1</v>
      </c>
      <c r="B55" s="210">
        <v>51</v>
      </c>
      <c r="C55" s="220">
        <v>46071</v>
      </c>
      <c r="D55" s="221" t="s">
        <v>452</v>
      </c>
      <c r="E55" s="221" t="s">
        <v>371</v>
      </c>
      <c r="F55" s="221" t="s">
        <v>536</v>
      </c>
      <c r="G55" s="221" t="s">
        <v>149</v>
      </c>
      <c r="H55" s="221" t="s">
        <v>372</v>
      </c>
      <c r="I55" s="230" t="s">
        <v>732</v>
      </c>
      <c r="J55" s="221" t="s">
        <v>286</v>
      </c>
      <c r="K55" s="221" t="s">
        <v>357</v>
      </c>
      <c r="L55" s="221" t="s">
        <v>479</v>
      </c>
      <c r="M55" s="221" t="s">
        <v>311</v>
      </c>
      <c r="N55" s="221" t="s">
        <v>373</v>
      </c>
      <c r="O55" s="231"/>
      <c r="P55" s="231"/>
      <c r="Q55" s="221" t="s">
        <v>358</v>
      </c>
      <c r="R55" s="221"/>
      <c r="S55" s="221" t="s">
        <v>358</v>
      </c>
      <c r="T55" s="221" t="s">
        <v>274</v>
      </c>
      <c r="U55" s="227" t="s">
        <v>666</v>
      </c>
      <c r="V55" s="228" t="s">
        <v>667</v>
      </c>
      <c r="W55" s="227" t="s">
        <v>668</v>
      </c>
      <c r="X55" s="229" t="s">
        <v>352</v>
      </c>
      <c r="Y55" s="224" t="s">
        <v>359</v>
      </c>
      <c r="Z55" s="24"/>
      <c r="AA55" s="24"/>
      <c r="AB55" s="24"/>
      <c r="AC55" s="24"/>
      <c r="AD55" s="24"/>
      <c r="AE55" s="24"/>
      <c r="AF55" s="24"/>
      <c r="AG55" s="24"/>
      <c r="AH55" s="24"/>
      <c r="AI55" s="24"/>
      <c r="AJ55" s="24"/>
      <c r="AK55" s="24"/>
      <c r="AL55" s="24"/>
      <c r="AM55" s="24"/>
    </row>
    <row r="56" spans="1:39" ht="84" customHeight="1" x14ac:dyDescent="0.3">
      <c r="A56" s="116">
        <v>1</v>
      </c>
      <c r="B56" s="210">
        <v>52</v>
      </c>
      <c r="C56" s="220">
        <v>46072</v>
      </c>
      <c r="D56" s="221" t="s">
        <v>452</v>
      </c>
      <c r="E56" s="221" t="s">
        <v>267</v>
      </c>
      <c r="F56" s="221" t="s">
        <v>535</v>
      </c>
      <c r="G56" s="221" t="s">
        <v>164</v>
      </c>
      <c r="H56" s="221" t="s">
        <v>361</v>
      </c>
      <c r="I56" s="230" t="s">
        <v>737</v>
      </c>
      <c r="J56" s="221" t="s">
        <v>286</v>
      </c>
      <c r="K56" s="221" t="s">
        <v>357</v>
      </c>
      <c r="L56" s="221" t="s">
        <v>479</v>
      </c>
      <c r="M56" s="221" t="s">
        <v>311</v>
      </c>
      <c r="N56" s="221" t="s">
        <v>373</v>
      </c>
      <c r="O56" s="231"/>
      <c r="P56" s="231"/>
      <c r="Q56" s="221" t="s">
        <v>358</v>
      </c>
      <c r="R56" s="221"/>
      <c r="S56" s="221" t="s">
        <v>358</v>
      </c>
      <c r="T56" s="221" t="s">
        <v>274</v>
      </c>
      <c r="U56" s="227" t="s">
        <v>734</v>
      </c>
      <c r="V56" s="228" t="s">
        <v>735</v>
      </c>
      <c r="W56" s="227" t="s">
        <v>736</v>
      </c>
      <c r="X56" s="229" t="s">
        <v>352</v>
      </c>
      <c r="Y56" s="224" t="s">
        <v>359</v>
      </c>
      <c r="Z56" s="24"/>
      <c r="AA56" s="24"/>
      <c r="AB56" s="24"/>
      <c r="AC56" s="24"/>
      <c r="AD56" s="24"/>
      <c r="AE56" s="24"/>
      <c r="AF56" s="24"/>
      <c r="AG56" s="24"/>
      <c r="AH56" s="24"/>
      <c r="AI56" s="24"/>
      <c r="AJ56" s="24"/>
      <c r="AK56" s="24"/>
      <c r="AL56" s="24"/>
      <c r="AM56" s="24"/>
    </row>
    <row r="57" spans="1:39" ht="84" customHeight="1" x14ac:dyDescent="0.3">
      <c r="A57" s="116">
        <v>1</v>
      </c>
      <c r="B57" s="210">
        <v>53</v>
      </c>
      <c r="C57" s="220">
        <v>46073</v>
      </c>
      <c r="D57" s="221" t="s">
        <v>452</v>
      </c>
      <c r="E57" s="221" t="s">
        <v>354</v>
      </c>
      <c r="F57" s="221" t="s">
        <v>45</v>
      </c>
      <c r="G57" s="221" t="s">
        <v>64</v>
      </c>
      <c r="H57" s="221" t="s">
        <v>361</v>
      </c>
      <c r="I57" s="230" t="s">
        <v>738</v>
      </c>
      <c r="J57" s="221" t="s">
        <v>366</v>
      </c>
      <c r="K57" s="221" t="s">
        <v>357</v>
      </c>
      <c r="L57" s="221" t="s">
        <v>479</v>
      </c>
      <c r="M57" s="221" t="s">
        <v>311</v>
      </c>
      <c r="N57" s="221" t="s">
        <v>373</v>
      </c>
      <c r="O57" s="231"/>
      <c r="P57" s="231"/>
      <c r="Q57" s="221" t="s">
        <v>358</v>
      </c>
      <c r="R57" s="221"/>
      <c r="S57" s="221" t="s">
        <v>358</v>
      </c>
      <c r="T57" s="221" t="s">
        <v>274</v>
      </c>
      <c r="U57" s="227" t="s">
        <v>739</v>
      </c>
      <c r="V57" s="228" t="s">
        <v>740</v>
      </c>
      <c r="W57" s="227" t="s">
        <v>741</v>
      </c>
      <c r="X57" s="229" t="s">
        <v>352</v>
      </c>
      <c r="Y57" s="224" t="s">
        <v>359</v>
      </c>
      <c r="Z57" s="24"/>
      <c r="AA57" s="24"/>
      <c r="AB57" s="24"/>
      <c r="AC57" s="24"/>
      <c r="AD57" s="24"/>
      <c r="AE57" s="24"/>
      <c r="AF57" s="24"/>
      <c r="AG57" s="24"/>
      <c r="AH57" s="24"/>
      <c r="AI57" s="24"/>
      <c r="AJ57" s="24"/>
      <c r="AK57" s="24"/>
      <c r="AL57" s="24"/>
      <c r="AM57" s="24"/>
    </row>
    <row r="58" spans="1:39" ht="84" customHeight="1" x14ac:dyDescent="0.3">
      <c r="A58" s="116">
        <v>1</v>
      </c>
      <c r="B58" s="210">
        <v>54</v>
      </c>
      <c r="C58" s="220">
        <v>46073</v>
      </c>
      <c r="D58" s="221" t="s">
        <v>452</v>
      </c>
      <c r="E58" s="221" t="s">
        <v>389</v>
      </c>
      <c r="F58" s="221" t="s">
        <v>150</v>
      </c>
      <c r="G58" s="221" t="s">
        <v>203</v>
      </c>
      <c r="H58" s="221" t="s">
        <v>361</v>
      </c>
      <c r="I58" s="230" t="s">
        <v>742</v>
      </c>
      <c r="J58" s="221" t="s">
        <v>366</v>
      </c>
      <c r="K58" s="221" t="s">
        <v>357</v>
      </c>
      <c r="L58" s="221" t="s">
        <v>479</v>
      </c>
      <c r="M58" s="221" t="s">
        <v>311</v>
      </c>
      <c r="N58" s="221" t="s">
        <v>417</v>
      </c>
      <c r="O58" s="231"/>
      <c r="P58" s="231"/>
      <c r="Q58" s="221" t="s">
        <v>358</v>
      </c>
      <c r="R58" s="221"/>
      <c r="S58" s="221" t="s">
        <v>358</v>
      </c>
      <c r="T58" s="221" t="s">
        <v>274</v>
      </c>
      <c r="U58" s="227" t="s">
        <v>743</v>
      </c>
      <c r="V58" s="228" t="s">
        <v>744</v>
      </c>
      <c r="W58" s="227" t="s">
        <v>745</v>
      </c>
      <c r="X58" s="229" t="s">
        <v>352</v>
      </c>
      <c r="Y58" s="224" t="s">
        <v>359</v>
      </c>
      <c r="Z58" s="24"/>
      <c r="AA58" s="24"/>
      <c r="AB58" s="24"/>
      <c r="AC58" s="24"/>
      <c r="AD58" s="24"/>
      <c r="AE58" s="24"/>
      <c r="AF58" s="24"/>
      <c r="AG58" s="24"/>
      <c r="AH58" s="24"/>
      <c r="AI58" s="24"/>
      <c r="AJ58" s="24"/>
      <c r="AK58" s="24"/>
      <c r="AL58" s="24"/>
      <c r="AM58" s="24"/>
    </row>
    <row r="59" spans="1:39" ht="84" customHeight="1" x14ac:dyDescent="0.3">
      <c r="A59" s="116">
        <v>1</v>
      </c>
      <c r="B59" s="210">
        <v>55</v>
      </c>
      <c r="C59" s="220">
        <v>46073</v>
      </c>
      <c r="D59" s="221" t="s">
        <v>452</v>
      </c>
      <c r="E59" s="221" t="s">
        <v>389</v>
      </c>
      <c r="F59" s="221" t="s">
        <v>535</v>
      </c>
      <c r="G59" s="221" t="s">
        <v>164</v>
      </c>
      <c r="H59" s="221" t="s">
        <v>361</v>
      </c>
      <c r="I59" s="230" t="s">
        <v>746</v>
      </c>
      <c r="J59" s="221" t="s">
        <v>366</v>
      </c>
      <c r="K59" s="221" t="s">
        <v>357</v>
      </c>
      <c r="L59" s="221" t="s">
        <v>479</v>
      </c>
      <c r="M59" s="221" t="s">
        <v>311</v>
      </c>
      <c r="N59" s="221" t="s">
        <v>504</v>
      </c>
      <c r="O59" s="231"/>
      <c r="P59" s="231"/>
      <c r="Q59" s="221" t="s">
        <v>358</v>
      </c>
      <c r="R59" s="221"/>
      <c r="S59" s="221" t="s">
        <v>358</v>
      </c>
      <c r="T59" s="221" t="s">
        <v>274</v>
      </c>
      <c r="U59" s="227" t="s">
        <v>734</v>
      </c>
      <c r="V59" s="228" t="s">
        <v>735</v>
      </c>
      <c r="W59" s="227" t="s">
        <v>747</v>
      </c>
      <c r="X59" s="229" t="s">
        <v>352</v>
      </c>
      <c r="Y59" s="224" t="s">
        <v>359</v>
      </c>
      <c r="Z59" s="24"/>
      <c r="AA59" s="24"/>
      <c r="AB59" s="24"/>
      <c r="AC59" s="24"/>
      <c r="AD59" s="24"/>
      <c r="AE59" s="24"/>
      <c r="AF59" s="24"/>
      <c r="AG59" s="24"/>
      <c r="AH59" s="24"/>
      <c r="AI59" s="24"/>
      <c r="AJ59" s="24"/>
      <c r="AK59" s="24"/>
      <c r="AL59" s="24"/>
      <c r="AM59" s="24"/>
    </row>
    <row r="60" spans="1:39" ht="84" customHeight="1" x14ac:dyDescent="0.3">
      <c r="A60" s="116">
        <v>1</v>
      </c>
      <c r="B60" s="210">
        <v>56</v>
      </c>
      <c r="C60" s="220">
        <v>46073</v>
      </c>
      <c r="D60" s="221" t="s">
        <v>452</v>
      </c>
      <c r="E60" s="221" t="s">
        <v>389</v>
      </c>
      <c r="F60" s="221" t="s">
        <v>75</v>
      </c>
      <c r="G60" s="221" t="s">
        <v>123</v>
      </c>
      <c r="H60" s="221" t="s">
        <v>376</v>
      </c>
      <c r="I60" s="230" t="s">
        <v>748</v>
      </c>
      <c r="J60" s="221" t="s">
        <v>366</v>
      </c>
      <c r="K60" s="221" t="s">
        <v>357</v>
      </c>
      <c r="L60" s="221" t="s">
        <v>479</v>
      </c>
      <c r="M60" s="221" t="s">
        <v>311</v>
      </c>
      <c r="N60" s="221" t="s">
        <v>504</v>
      </c>
      <c r="O60" s="231"/>
      <c r="P60" s="231"/>
      <c r="Q60" s="221" t="s">
        <v>358</v>
      </c>
      <c r="R60" s="221"/>
      <c r="S60" s="221" t="s">
        <v>358</v>
      </c>
      <c r="T60" s="221" t="s">
        <v>274</v>
      </c>
      <c r="U60" s="227" t="s">
        <v>750</v>
      </c>
      <c r="V60" s="228" t="s">
        <v>487</v>
      </c>
      <c r="W60" s="227" t="s">
        <v>749</v>
      </c>
      <c r="X60" s="229" t="s">
        <v>352</v>
      </c>
      <c r="Y60" s="224" t="s">
        <v>359</v>
      </c>
      <c r="Z60" s="24"/>
      <c r="AA60" s="24"/>
      <c r="AB60" s="24"/>
      <c r="AC60" s="24"/>
      <c r="AD60" s="24"/>
      <c r="AE60" s="24"/>
      <c r="AF60" s="24"/>
      <c r="AG60" s="24"/>
      <c r="AH60" s="24"/>
      <c r="AI60" s="24"/>
      <c r="AJ60" s="24"/>
      <c r="AK60" s="24"/>
      <c r="AL60" s="24"/>
      <c r="AM60" s="24"/>
    </row>
    <row r="61" spans="1:39" ht="84" customHeight="1" x14ac:dyDescent="0.3">
      <c r="A61" s="116">
        <v>1</v>
      </c>
      <c r="B61" s="210">
        <v>57</v>
      </c>
      <c r="C61" s="220">
        <v>46083</v>
      </c>
      <c r="D61" s="221" t="s">
        <v>453</v>
      </c>
      <c r="E61" s="221" t="s">
        <v>267</v>
      </c>
      <c r="F61" s="221" t="s">
        <v>536</v>
      </c>
      <c r="G61" s="221" t="s">
        <v>149</v>
      </c>
      <c r="H61" s="221" t="s">
        <v>376</v>
      </c>
      <c r="I61" s="230" t="s">
        <v>751</v>
      </c>
      <c r="J61" s="221" t="s">
        <v>366</v>
      </c>
      <c r="K61" s="221" t="s">
        <v>357</v>
      </c>
      <c r="L61" s="221" t="s">
        <v>479</v>
      </c>
      <c r="M61" s="221" t="s">
        <v>311</v>
      </c>
      <c r="N61" s="221" t="s">
        <v>504</v>
      </c>
      <c r="O61" s="231"/>
      <c r="P61" s="231"/>
      <c r="Q61" s="221" t="s">
        <v>358</v>
      </c>
      <c r="R61" s="221"/>
      <c r="S61" s="221" t="s">
        <v>358</v>
      </c>
      <c r="T61" s="221" t="s">
        <v>274</v>
      </c>
      <c r="U61" s="227" t="s">
        <v>752</v>
      </c>
      <c r="V61" s="228" t="s">
        <v>667</v>
      </c>
      <c r="W61" s="227" t="s">
        <v>753</v>
      </c>
      <c r="X61" s="229" t="s">
        <v>352</v>
      </c>
      <c r="Y61" s="224" t="s">
        <v>359</v>
      </c>
      <c r="Z61" s="24"/>
      <c r="AA61" s="24"/>
      <c r="AB61" s="24"/>
      <c r="AC61" s="24"/>
      <c r="AD61" s="24"/>
      <c r="AE61" s="24"/>
      <c r="AF61" s="24"/>
      <c r="AG61" s="24"/>
      <c r="AH61" s="24"/>
      <c r="AI61" s="24"/>
      <c r="AJ61" s="24"/>
      <c r="AK61" s="24"/>
      <c r="AL61" s="24"/>
      <c r="AM61" s="24"/>
    </row>
    <row r="62" spans="1:39" ht="84" customHeight="1" x14ac:dyDescent="0.3">
      <c r="A62" s="116">
        <v>1</v>
      </c>
      <c r="B62" s="210">
        <v>58</v>
      </c>
      <c r="C62" s="220">
        <v>46083</v>
      </c>
      <c r="D62" s="221" t="s">
        <v>453</v>
      </c>
      <c r="E62" s="221" t="s">
        <v>267</v>
      </c>
      <c r="F62" s="221" t="s">
        <v>469</v>
      </c>
      <c r="G62" s="221" t="s">
        <v>469</v>
      </c>
      <c r="H62" s="221" t="s">
        <v>376</v>
      </c>
      <c r="I62" s="230" t="s">
        <v>754</v>
      </c>
      <c r="J62" s="221" t="s">
        <v>366</v>
      </c>
      <c r="K62" s="221" t="s">
        <v>357</v>
      </c>
      <c r="L62" s="221" t="s">
        <v>479</v>
      </c>
      <c r="M62" s="221" t="s">
        <v>311</v>
      </c>
      <c r="N62" s="221" t="s">
        <v>504</v>
      </c>
      <c r="O62" s="231">
        <v>46094</v>
      </c>
      <c r="P62" s="231">
        <v>46094</v>
      </c>
      <c r="Q62" s="221" t="s">
        <v>620</v>
      </c>
      <c r="R62" s="221"/>
      <c r="S62" s="221" t="s">
        <v>358</v>
      </c>
      <c r="T62" s="221" t="s">
        <v>274</v>
      </c>
      <c r="U62" s="227" t="s">
        <v>633</v>
      </c>
      <c r="V62" s="228" t="s">
        <v>699</v>
      </c>
      <c r="W62" s="227" t="s">
        <v>634</v>
      </c>
      <c r="X62" s="229" t="s">
        <v>352</v>
      </c>
      <c r="Y62" s="224" t="s">
        <v>359</v>
      </c>
      <c r="Z62" s="24"/>
      <c r="AA62" s="24"/>
      <c r="AB62" s="24"/>
      <c r="AC62" s="24"/>
      <c r="AD62" s="24"/>
      <c r="AE62" s="24"/>
      <c r="AF62" s="24"/>
      <c r="AG62" s="24"/>
      <c r="AH62" s="24"/>
      <c r="AI62" s="24"/>
      <c r="AJ62" s="24"/>
      <c r="AK62" s="24"/>
      <c r="AL62" s="24"/>
      <c r="AM62" s="24"/>
    </row>
    <row r="63" spans="1:39" ht="84" customHeight="1" x14ac:dyDescent="0.3">
      <c r="A63" s="116">
        <v>1</v>
      </c>
      <c r="B63" s="210">
        <v>59</v>
      </c>
      <c r="C63" s="220">
        <v>46083</v>
      </c>
      <c r="D63" s="221" t="s">
        <v>453</v>
      </c>
      <c r="E63" s="221" t="s">
        <v>365</v>
      </c>
      <c r="F63" s="221" t="s">
        <v>733</v>
      </c>
      <c r="G63" s="221" t="s">
        <v>110</v>
      </c>
      <c r="H63" s="221" t="s">
        <v>361</v>
      </c>
      <c r="I63" s="230" t="s">
        <v>755</v>
      </c>
      <c r="J63" s="221" t="s">
        <v>366</v>
      </c>
      <c r="K63" s="221" t="s">
        <v>357</v>
      </c>
      <c r="L63" s="221" t="s">
        <v>479</v>
      </c>
      <c r="M63" s="221" t="s">
        <v>311</v>
      </c>
      <c r="N63" s="221" t="s">
        <v>384</v>
      </c>
      <c r="O63" s="231"/>
      <c r="P63" s="231"/>
      <c r="Q63" s="221" t="s">
        <v>358</v>
      </c>
      <c r="R63" s="221"/>
      <c r="S63" s="221" t="s">
        <v>358</v>
      </c>
      <c r="T63" s="221" t="s">
        <v>274</v>
      </c>
      <c r="U63" s="227" t="s">
        <v>756</v>
      </c>
      <c r="V63" s="228" t="s">
        <v>757</v>
      </c>
      <c r="W63" s="227" t="s">
        <v>638</v>
      </c>
      <c r="X63" s="229" t="s">
        <v>352</v>
      </c>
      <c r="Y63" s="224" t="s">
        <v>359</v>
      </c>
      <c r="Z63" s="24"/>
      <c r="AA63" s="24"/>
      <c r="AB63" s="24"/>
      <c r="AC63" s="24"/>
      <c r="AD63" s="24"/>
      <c r="AE63" s="24"/>
      <c r="AF63" s="24"/>
      <c r="AG63" s="24"/>
      <c r="AH63" s="24"/>
      <c r="AI63" s="24"/>
      <c r="AJ63" s="24"/>
      <c r="AK63" s="24"/>
      <c r="AL63" s="24"/>
      <c r="AM63" s="24"/>
    </row>
    <row r="64" spans="1:39" ht="84" customHeight="1" x14ac:dyDescent="0.3">
      <c r="A64" s="116">
        <v>1</v>
      </c>
      <c r="B64" s="210">
        <v>60</v>
      </c>
      <c r="C64" s="220">
        <v>46083</v>
      </c>
      <c r="D64" s="221" t="s">
        <v>453</v>
      </c>
      <c r="E64" s="221" t="s">
        <v>267</v>
      </c>
      <c r="F64" s="221" t="s">
        <v>469</v>
      </c>
      <c r="G64" s="221" t="s">
        <v>469</v>
      </c>
      <c r="H64" s="221" t="s">
        <v>287</v>
      </c>
      <c r="I64" s="230" t="s">
        <v>758</v>
      </c>
      <c r="J64" s="221" t="s">
        <v>366</v>
      </c>
      <c r="K64" s="221" t="s">
        <v>357</v>
      </c>
      <c r="L64" s="221" t="s">
        <v>479</v>
      </c>
      <c r="M64" s="221" t="s">
        <v>311</v>
      </c>
      <c r="N64" s="221" t="s">
        <v>504</v>
      </c>
      <c r="O64" s="231">
        <v>46094</v>
      </c>
      <c r="P64" s="231">
        <v>46094</v>
      </c>
      <c r="Q64" s="221" t="s">
        <v>620</v>
      </c>
      <c r="R64" s="221"/>
      <c r="S64" s="221" t="s">
        <v>358</v>
      </c>
      <c r="T64" s="221" t="s">
        <v>274</v>
      </c>
      <c r="U64" s="227" t="s">
        <v>759</v>
      </c>
      <c r="V64" s="228" t="s">
        <v>760</v>
      </c>
      <c r="W64" s="227" t="s">
        <v>761</v>
      </c>
      <c r="X64" s="229" t="s">
        <v>352</v>
      </c>
      <c r="Y64" s="224" t="s">
        <v>359</v>
      </c>
      <c r="Z64" s="24"/>
      <c r="AA64" s="24"/>
      <c r="AB64" s="24"/>
      <c r="AC64" s="24"/>
      <c r="AD64" s="24"/>
      <c r="AE64" s="24"/>
      <c r="AF64" s="24"/>
      <c r="AG64" s="24"/>
      <c r="AH64" s="24"/>
      <c r="AI64" s="24"/>
      <c r="AJ64" s="24"/>
      <c r="AK64" s="24"/>
      <c r="AL64" s="24"/>
      <c r="AM64" s="24"/>
    </row>
    <row r="65" spans="1:39" ht="84" customHeight="1" x14ac:dyDescent="0.3">
      <c r="A65" s="116">
        <v>1</v>
      </c>
      <c r="B65" s="210">
        <v>61</v>
      </c>
      <c r="C65" s="220">
        <v>46083</v>
      </c>
      <c r="D65" s="221" t="s">
        <v>453</v>
      </c>
      <c r="E65" s="221" t="s">
        <v>267</v>
      </c>
      <c r="F65" s="221" t="s">
        <v>469</v>
      </c>
      <c r="G65" s="221" t="s">
        <v>469</v>
      </c>
      <c r="H65" s="221" t="s">
        <v>372</v>
      </c>
      <c r="I65" s="230" t="s">
        <v>762</v>
      </c>
      <c r="J65" s="221" t="s">
        <v>368</v>
      </c>
      <c r="K65" s="221" t="s">
        <v>357</v>
      </c>
      <c r="L65" s="221" t="s">
        <v>479</v>
      </c>
      <c r="M65" s="221" t="s">
        <v>311</v>
      </c>
      <c r="N65" s="221" t="s">
        <v>373</v>
      </c>
      <c r="O65" s="231">
        <v>46094</v>
      </c>
      <c r="P65" s="231">
        <v>46094</v>
      </c>
      <c r="Q65" s="221" t="s">
        <v>620</v>
      </c>
      <c r="R65" s="221"/>
      <c r="S65" s="221" t="s">
        <v>358</v>
      </c>
      <c r="T65" s="221" t="s">
        <v>274</v>
      </c>
      <c r="U65" s="227" t="s">
        <v>759</v>
      </c>
      <c r="V65" s="228" t="s">
        <v>760</v>
      </c>
      <c r="W65" s="227" t="s">
        <v>761</v>
      </c>
      <c r="X65" s="229" t="s">
        <v>352</v>
      </c>
      <c r="Y65" s="224" t="s">
        <v>359</v>
      </c>
      <c r="Z65" s="24"/>
      <c r="AA65" s="24"/>
      <c r="AB65" s="24"/>
      <c r="AC65" s="24"/>
      <c r="AD65" s="24"/>
      <c r="AE65" s="24"/>
      <c r="AF65" s="24"/>
      <c r="AG65" s="24"/>
      <c r="AH65" s="24"/>
      <c r="AI65" s="24"/>
      <c r="AJ65" s="24"/>
      <c r="AK65" s="24"/>
      <c r="AL65" s="24"/>
      <c r="AM65" s="24"/>
    </row>
    <row r="66" spans="1:39" ht="84" customHeight="1" x14ac:dyDescent="0.3">
      <c r="A66" s="116">
        <v>1</v>
      </c>
      <c r="B66" s="210">
        <v>62</v>
      </c>
      <c r="C66" s="220">
        <v>46083</v>
      </c>
      <c r="D66" s="221" t="s">
        <v>453</v>
      </c>
      <c r="E66" s="221" t="s">
        <v>365</v>
      </c>
      <c r="F66" s="221" t="s">
        <v>80</v>
      </c>
      <c r="G66" s="221" t="s">
        <v>80</v>
      </c>
      <c r="H66" s="221" t="s">
        <v>287</v>
      </c>
      <c r="I66" s="230" t="s">
        <v>763</v>
      </c>
      <c r="J66" s="221" t="s">
        <v>366</v>
      </c>
      <c r="K66" s="221" t="s">
        <v>357</v>
      </c>
      <c r="L66" s="221" t="s">
        <v>479</v>
      </c>
      <c r="M66" s="221" t="s">
        <v>311</v>
      </c>
      <c r="N66" s="221" t="s">
        <v>384</v>
      </c>
      <c r="O66" s="231"/>
      <c r="P66" s="231"/>
      <c r="Q66" s="221" t="s">
        <v>358</v>
      </c>
      <c r="R66" s="221"/>
      <c r="S66" s="221" t="s">
        <v>358</v>
      </c>
      <c r="T66" s="221" t="s">
        <v>274</v>
      </c>
      <c r="U66" s="227" t="s">
        <v>511</v>
      </c>
      <c r="V66" s="228" t="s">
        <v>764</v>
      </c>
      <c r="W66" s="227" t="s">
        <v>765</v>
      </c>
      <c r="X66" s="229" t="s">
        <v>352</v>
      </c>
      <c r="Y66" s="224" t="s">
        <v>359</v>
      </c>
      <c r="Z66" s="24"/>
      <c r="AA66" s="24"/>
      <c r="AB66" s="24"/>
      <c r="AC66" s="24"/>
      <c r="AD66" s="24"/>
      <c r="AE66" s="24"/>
      <c r="AF66" s="24"/>
      <c r="AG66" s="24"/>
      <c r="AH66" s="24"/>
      <c r="AI66" s="24"/>
      <c r="AJ66" s="24"/>
      <c r="AK66" s="24"/>
      <c r="AL66" s="24"/>
      <c r="AM66" s="24"/>
    </row>
    <row r="67" spans="1:39" ht="84" customHeight="1" x14ac:dyDescent="0.3">
      <c r="A67" s="116">
        <v>1</v>
      </c>
      <c r="B67" s="210">
        <v>63</v>
      </c>
      <c r="C67" s="220">
        <v>46085</v>
      </c>
      <c r="D67" s="221" t="s">
        <v>453</v>
      </c>
      <c r="E67" s="221" t="s">
        <v>354</v>
      </c>
      <c r="F67" s="221" t="s">
        <v>45</v>
      </c>
      <c r="G67" s="221" t="s">
        <v>64</v>
      </c>
      <c r="H67" s="221" t="s">
        <v>372</v>
      </c>
      <c r="I67" s="230" t="s">
        <v>766</v>
      </c>
      <c r="J67" s="221" t="s">
        <v>368</v>
      </c>
      <c r="K67" s="221" t="s">
        <v>357</v>
      </c>
      <c r="L67" s="221" t="s">
        <v>479</v>
      </c>
      <c r="M67" s="221" t="s">
        <v>311</v>
      </c>
      <c r="N67" s="221" t="s">
        <v>385</v>
      </c>
      <c r="O67" s="231"/>
      <c r="P67" s="231"/>
      <c r="Q67" s="221" t="s">
        <v>358</v>
      </c>
      <c r="R67" s="221"/>
      <c r="S67" s="221" t="s">
        <v>358</v>
      </c>
      <c r="T67" s="221" t="s">
        <v>274</v>
      </c>
      <c r="U67" s="227" t="s">
        <v>767</v>
      </c>
      <c r="V67" s="228" t="s">
        <v>696</v>
      </c>
      <c r="W67" s="227" t="s">
        <v>741</v>
      </c>
      <c r="X67" s="229" t="s">
        <v>352</v>
      </c>
      <c r="Y67" s="224" t="s">
        <v>359</v>
      </c>
      <c r="Z67" s="24"/>
      <c r="AA67" s="24"/>
      <c r="AB67" s="24"/>
      <c r="AC67" s="24"/>
      <c r="AD67" s="24"/>
      <c r="AE67" s="24"/>
      <c r="AF67" s="24"/>
      <c r="AG67" s="24"/>
      <c r="AH67" s="24"/>
      <c r="AI67" s="24"/>
      <c r="AJ67" s="24"/>
      <c r="AK67" s="24"/>
      <c r="AL67" s="24"/>
      <c r="AM67" s="24"/>
    </row>
    <row r="68" spans="1:39" ht="84" customHeight="1" x14ac:dyDescent="0.3">
      <c r="A68" s="116">
        <v>1</v>
      </c>
      <c r="B68" s="210">
        <v>64</v>
      </c>
      <c r="C68" s="220">
        <v>46085</v>
      </c>
      <c r="D68" s="221" t="s">
        <v>453</v>
      </c>
      <c r="E68" s="221" t="s">
        <v>267</v>
      </c>
      <c r="F68" s="221" t="s">
        <v>536</v>
      </c>
      <c r="G68" s="221" t="s">
        <v>149</v>
      </c>
      <c r="H68" s="221" t="s">
        <v>380</v>
      </c>
      <c r="I68" s="230" t="s">
        <v>768</v>
      </c>
      <c r="J68" s="221" t="s">
        <v>362</v>
      </c>
      <c r="K68" s="221" t="s">
        <v>357</v>
      </c>
      <c r="L68" s="221" t="s">
        <v>479</v>
      </c>
      <c r="M68" s="221" t="s">
        <v>311</v>
      </c>
      <c r="N68" s="221" t="s">
        <v>504</v>
      </c>
      <c r="O68" s="231"/>
      <c r="P68" s="231"/>
      <c r="Q68" s="221" t="s">
        <v>358</v>
      </c>
      <c r="R68" s="221"/>
      <c r="S68" s="221" t="s">
        <v>358</v>
      </c>
      <c r="T68" s="221" t="s">
        <v>274</v>
      </c>
      <c r="U68" s="227" t="s">
        <v>666</v>
      </c>
      <c r="V68" s="228" t="s">
        <v>769</v>
      </c>
      <c r="W68" s="227" t="s">
        <v>668</v>
      </c>
      <c r="X68" s="229" t="s">
        <v>352</v>
      </c>
      <c r="Y68" s="224" t="s">
        <v>359</v>
      </c>
      <c r="Z68" s="24"/>
      <c r="AA68" s="24"/>
      <c r="AB68" s="24"/>
      <c r="AC68" s="24"/>
      <c r="AD68" s="24"/>
      <c r="AE68" s="24"/>
      <c r="AF68" s="24"/>
      <c r="AG68" s="24"/>
      <c r="AH68" s="24"/>
      <c r="AI68" s="24"/>
      <c r="AJ68" s="24"/>
      <c r="AK68" s="24"/>
      <c r="AL68" s="24"/>
      <c r="AM68" s="24"/>
    </row>
    <row r="69" spans="1:39" ht="84" customHeight="1" x14ac:dyDescent="0.3">
      <c r="A69" s="116">
        <v>1</v>
      </c>
      <c r="B69" s="210">
        <v>65</v>
      </c>
      <c r="C69" s="220">
        <v>46085</v>
      </c>
      <c r="D69" s="221" t="s">
        <v>453</v>
      </c>
      <c r="E69" s="221" t="s">
        <v>267</v>
      </c>
      <c r="F69" s="221" t="s">
        <v>469</v>
      </c>
      <c r="G69" s="221" t="s">
        <v>469</v>
      </c>
      <c r="H69" s="221" t="s">
        <v>380</v>
      </c>
      <c r="I69" s="230" t="s">
        <v>771</v>
      </c>
      <c r="J69" s="221" t="s">
        <v>369</v>
      </c>
      <c r="K69" s="221" t="s">
        <v>357</v>
      </c>
      <c r="L69" s="221" t="s">
        <v>479</v>
      </c>
      <c r="M69" s="221" t="s">
        <v>311</v>
      </c>
      <c r="N69" s="221" t="s">
        <v>401</v>
      </c>
      <c r="O69" s="231"/>
      <c r="P69" s="231"/>
      <c r="Q69" s="221" t="s">
        <v>620</v>
      </c>
      <c r="R69" s="221"/>
      <c r="S69" s="221" t="s">
        <v>358</v>
      </c>
      <c r="T69" s="221" t="s">
        <v>274</v>
      </c>
      <c r="U69" s="227" t="s">
        <v>770</v>
      </c>
      <c r="V69" s="228" t="s">
        <v>603</v>
      </c>
      <c r="W69" s="227" t="s">
        <v>604</v>
      </c>
      <c r="X69" s="229" t="s">
        <v>352</v>
      </c>
      <c r="Y69" s="224" t="s">
        <v>359</v>
      </c>
      <c r="Z69" s="24"/>
      <c r="AA69" s="24"/>
      <c r="AB69" s="24"/>
      <c r="AC69" s="24"/>
      <c r="AD69" s="24"/>
      <c r="AE69" s="24"/>
      <c r="AF69" s="24"/>
      <c r="AG69" s="24"/>
      <c r="AH69" s="24"/>
      <c r="AI69" s="24"/>
      <c r="AJ69" s="24"/>
      <c r="AK69" s="24"/>
      <c r="AL69" s="24"/>
      <c r="AM69" s="24"/>
    </row>
    <row r="70" spans="1:39" ht="84" customHeight="1" x14ac:dyDescent="0.3">
      <c r="A70" s="116">
        <v>1</v>
      </c>
      <c r="B70" s="210">
        <v>66</v>
      </c>
      <c r="C70" s="220">
        <v>46086</v>
      </c>
      <c r="D70" s="221" t="s">
        <v>453</v>
      </c>
      <c r="E70" s="221" t="s">
        <v>365</v>
      </c>
      <c r="F70" s="221" t="s">
        <v>459</v>
      </c>
      <c r="G70" s="221" t="s">
        <v>80</v>
      </c>
      <c r="H70" s="221" t="s">
        <v>361</v>
      </c>
      <c r="I70" s="230" t="s">
        <v>772</v>
      </c>
      <c r="J70" s="221" t="s">
        <v>366</v>
      </c>
      <c r="K70" s="221" t="s">
        <v>357</v>
      </c>
      <c r="L70" s="221" t="s">
        <v>479</v>
      </c>
      <c r="M70" s="221" t="s">
        <v>311</v>
      </c>
      <c r="N70" s="221" t="s">
        <v>384</v>
      </c>
      <c r="O70" s="231"/>
      <c r="P70" s="231"/>
      <c r="Q70" s="221" t="s">
        <v>358</v>
      </c>
      <c r="R70" s="221"/>
      <c r="S70" s="221" t="s">
        <v>358</v>
      </c>
      <c r="T70" s="221" t="s">
        <v>274</v>
      </c>
      <c r="U70" s="227" t="s">
        <v>511</v>
      </c>
      <c r="V70" s="228" t="s">
        <v>773</v>
      </c>
      <c r="W70" s="227" t="s">
        <v>765</v>
      </c>
      <c r="X70" s="229" t="s">
        <v>352</v>
      </c>
      <c r="Y70" s="224" t="s">
        <v>359</v>
      </c>
      <c r="Z70" s="24"/>
      <c r="AA70" s="24"/>
      <c r="AB70" s="24"/>
      <c r="AC70" s="24"/>
      <c r="AD70" s="24"/>
      <c r="AE70" s="24"/>
      <c r="AF70" s="24"/>
      <c r="AG70" s="24"/>
      <c r="AH70" s="24"/>
      <c r="AI70" s="24"/>
      <c r="AJ70" s="24"/>
      <c r="AK70" s="24"/>
      <c r="AL70" s="24"/>
      <c r="AM70" s="24"/>
    </row>
    <row r="71" spans="1:39" ht="84" customHeight="1" x14ac:dyDescent="0.3">
      <c r="A71" s="116">
        <v>1</v>
      </c>
      <c r="B71" s="210">
        <v>67</v>
      </c>
      <c r="C71" s="220">
        <v>46086</v>
      </c>
      <c r="D71" s="221" t="s">
        <v>453</v>
      </c>
      <c r="E71" s="221" t="s">
        <v>267</v>
      </c>
      <c r="F71" s="221" t="s">
        <v>469</v>
      </c>
      <c r="G71" s="221" t="s">
        <v>469</v>
      </c>
      <c r="H71" s="221" t="s">
        <v>380</v>
      </c>
      <c r="I71" s="230" t="s">
        <v>774</v>
      </c>
      <c r="J71" s="221" t="s">
        <v>362</v>
      </c>
      <c r="K71" s="221" t="s">
        <v>357</v>
      </c>
      <c r="L71" s="221" t="s">
        <v>479</v>
      </c>
      <c r="M71" s="221" t="s">
        <v>311</v>
      </c>
      <c r="N71" s="221" t="s">
        <v>460</v>
      </c>
      <c r="O71" s="231"/>
      <c r="P71" s="231"/>
      <c r="Q71" s="221" t="s">
        <v>358</v>
      </c>
      <c r="R71" s="221"/>
      <c r="S71" s="221" t="s">
        <v>358</v>
      </c>
      <c r="T71" s="221" t="s">
        <v>274</v>
      </c>
      <c r="U71" s="227" t="s">
        <v>640</v>
      </c>
      <c r="V71" s="228" t="s">
        <v>482</v>
      </c>
      <c r="W71" s="227" t="s">
        <v>641</v>
      </c>
      <c r="X71" s="229" t="s">
        <v>352</v>
      </c>
      <c r="Y71" s="224" t="s">
        <v>359</v>
      </c>
      <c r="Z71" s="24"/>
      <c r="AA71" s="24"/>
      <c r="AB71" s="24"/>
      <c r="AC71" s="24"/>
      <c r="AD71" s="24"/>
      <c r="AE71" s="24"/>
      <c r="AF71" s="24"/>
      <c r="AG71" s="24"/>
      <c r="AH71" s="24"/>
      <c r="AI71" s="24"/>
      <c r="AJ71" s="24"/>
      <c r="AK71" s="24"/>
      <c r="AL71" s="24"/>
      <c r="AM71" s="24"/>
    </row>
    <row r="72" spans="1:39" ht="84" customHeight="1" x14ac:dyDescent="0.3">
      <c r="A72" s="116">
        <v>1</v>
      </c>
      <c r="B72" s="210">
        <v>68</v>
      </c>
      <c r="C72" s="220">
        <v>46086</v>
      </c>
      <c r="D72" s="221" t="s">
        <v>453</v>
      </c>
      <c r="E72" s="221" t="s">
        <v>267</v>
      </c>
      <c r="F72" s="221" t="s">
        <v>537</v>
      </c>
      <c r="G72" s="221" t="s">
        <v>142</v>
      </c>
      <c r="H72" s="221" t="s">
        <v>380</v>
      </c>
      <c r="I72" s="230" t="s">
        <v>776</v>
      </c>
      <c r="J72" s="221" t="s">
        <v>362</v>
      </c>
      <c r="K72" s="221" t="s">
        <v>357</v>
      </c>
      <c r="L72" s="221" t="s">
        <v>479</v>
      </c>
      <c r="M72" s="221" t="s">
        <v>311</v>
      </c>
      <c r="N72" s="221" t="s">
        <v>460</v>
      </c>
      <c r="O72" s="231"/>
      <c r="P72" s="231"/>
      <c r="Q72" s="221" t="s">
        <v>358</v>
      </c>
      <c r="R72" s="221"/>
      <c r="S72" s="221" t="s">
        <v>358</v>
      </c>
      <c r="T72" s="221" t="s">
        <v>274</v>
      </c>
      <c r="U72" s="227" t="s">
        <v>778</v>
      </c>
      <c r="V72" s="228" t="s">
        <v>487</v>
      </c>
      <c r="W72" s="227" t="s">
        <v>777</v>
      </c>
      <c r="X72" s="229" t="s">
        <v>352</v>
      </c>
      <c r="Y72" s="224" t="s">
        <v>359</v>
      </c>
      <c r="Z72" s="24"/>
      <c r="AA72" s="24"/>
      <c r="AB72" s="24"/>
      <c r="AC72" s="24"/>
      <c r="AD72" s="24"/>
      <c r="AE72" s="24"/>
      <c r="AF72" s="24"/>
      <c r="AG72" s="24"/>
      <c r="AH72" s="24"/>
      <c r="AI72" s="24"/>
      <c r="AJ72" s="24"/>
      <c r="AK72" s="24"/>
      <c r="AL72" s="24"/>
      <c r="AM72" s="24"/>
    </row>
    <row r="73" spans="1:39" ht="84" customHeight="1" x14ac:dyDescent="0.3">
      <c r="A73" s="116">
        <v>1</v>
      </c>
      <c r="B73" s="210">
        <v>69</v>
      </c>
      <c r="C73" s="220">
        <v>46087</v>
      </c>
      <c r="D73" s="221" t="s">
        <v>453</v>
      </c>
      <c r="E73" s="221" t="s">
        <v>382</v>
      </c>
      <c r="F73" s="221" t="s">
        <v>781</v>
      </c>
      <c r="G73" s="221" t="s">
        <v>781</v>
      </c>
      <c r="H73" s="221" t="s">
        <v>355</v>
      </c>
      <c r="I73" s="230" t="s">
        <v>780</v>
      </c>
      <c r="J73" s="221" t="s">
        <v>366</v>
      </c>
      <c r="K73" s="221" t="s">
        <v>357</v>
      </c>
      <c r="L73" s="221" t="s">
        <v>479</v>
      </c>
      <c r="M73" s="221" t="s">
        <v>311</v>
      </c>
      <c r="N73" s="221" t="s">
        <v>396</v>
      </c>
      <c r="O73" s="231"/>
      <c r="P73" s="231"/>
      <c r="Q73" s="221" t="s">
        <v>358</v>
      </c>
      <c r="R73" s="221"/>
      <c r="S73" s="221" t="s">
        <v>358</v>
      </c>
      <c r="T73" s="221" t="s">
        <v>274</v>
      </c>
      <c r="U73" s="227" t="s">
        <v>783</v>
      </c>
      <c r="V73" s="228" t="s">
        <v>487</v>
      </c>
      <c r="W73" s="227" t="s">
        <v>782</v>
      </c>
      <c r="X73" s="229" t="s">
        <v>352</v>
      </c>
      <c r="Y73" s="224" t="s">
        <v>359</v>
      </c>
      <c r="Z73" s="24"/>
      <c r="AA73" s="24"/>
      <c r="AB73" s="24"/>
      <c r="AC73" s="24"/>
      <c r="AD73" s="24"/>
      <c r="AE73" s="24"/>
      <c r="AF73" s="24"/>
      <c r="AG73" s="24"/>
      <c r="AH73" s="24"/>
      <c r="AI73" s="24"/>
      <c r="AJ73" s="24"/>
      <c r="AK73" s="24"/>
      <c r="AL73" s="24"/>
      <c r="AM73" s="24"/>
    </row>
    <row r="74" spans="1:39" ht="84" customHeight="1" x14ac:dyDescent="0.3">
      <c r="A74" s="116">
        <v>1</v>
      </c>
      <c r="B74" s="210">
        <v>70</v>
      </c>
      <c r="C74" s="220">
        <v>46087</v>
      </c>
      <c r="D74" s="221" t="s">
        <v>453</v>
      </c>
      <c r="E74" s="221" t="s">
        <v>267</v>
      </c>
      <c r="F74" s="221" t="s">
        <v>75</v>
      </c>
      <c r="G74" s="221" t="s">
        <v>123</v>
      </c>
      <c r="H74" s="221" t="s">
        <v>372</v>
      </c>
      <c r="I74" s="230" t="s">
        <v>784</v>
      </c>
      <c r="J74" s="221" t="s">
        <v>366</v>
      </c>
      <c r="K74" s="221" t="s">
        <v>357</v>
      </c>
      <c r="L74" s="221" t="s">
        <v>479</v>
      </c>
      <c r="M74" s="221" t="s">
        <v>311</v>
      </c>
      <c r="N74" s="221" t="s">
        <v>373</v>
      </c>
      <c r="O74" s="231"/>
      <c r="P74" s="231"/>
      <c r="Q74" s="221" t="s">
        <v>358</v>
      </c>
      <c r="R74" s="221"/>
      <c r="S74" s="221" t="s">
        <v>358</v>
      </c>
      <c r="T74" s="221" t="s">
        <v>274</v>
      </c>
      <c r="U74" s="227" t="s">
        <v>785</v>
      </c>
      <c r="V74" s="228">
        <v>8617777</v>
      </c>
      <c r="W74" s="227" t="s">
        <v>786</v>
      </c>
      <c r="X74" s="229" t="s">
        <v>352</v>
      </c>
      <c r="Y74" s="224" t="s">
        <v>359</v>
      </c>
      <c r="Z74" s="24"/>
      <c r="AA74" s="24"/>
      <c r="AB74" s="24"/>
      <c r="AC74" s="24"/>
      <c r="AD74" s="24"/>
      <c r="AE74" s="24"/>
      <c r="AF74" s="24"/>
      <c r="AG74" s="24"/>
      <c r="AH74" s="24"/>
      <c r="AI74" s="24"/>
      <c r="AJ74" s="24"/>
      <c r="AK74" s="24"/>
      <c r="AL74" s="24"/>
      <c r="AM74" s="24"/>
    </row>
    <row r="75" spans="1:39" ht="132" customHeight="1" x14ac:dyDescent="0.3">
      <c r="A75" s="116">
        <v>1</v>
      </c>
      <c r="B75" s="210">
        <v>71</v>
      </c>
      <c r="C75" s="220">
        <v>46090</v>
      </c>
      <c r="D75" s="221" t="s">
        <v>453</v>
      </c>
      <c r="E75" s="221" t="s">
        <v>267</v>
      </c>
      <c r="F75" s="221" t="s">
        <v>535</v>
      </c>
      <c r="G75" s="221" t="s">
        <v>164</v>
      </c>
      <c r="H75" s="221" t="s">
        <v>287</v>
      </c>
      <c r="I75" s="230" t="s">
        <v>788</v>
      </c>
      <c r="J75" s="221" t="s">
        <v>362</v>
      </c>
      <c r="K75" s="221" t="s">
        <v>357</v>
      </c>
      <c r="L75" s="221" t="s">
        <v>479</v>
      </c>
      <c r="M75" s="221" t="s">
        <v>311</v>
      </c>
      <c r="N75" s="221" t="s">
        <v>503</v>
      </c>
      <c r="O75" s="231"/>
      <c r="P75" s="231"/>
      <c r="Q75" s="221" t="s">
        <v>358</v>
      </c>
      <c r="R75" s="221"/>
      <c r="S75" s="221" t="s">
        <v>358</v>
      </c>
      <c r="T75" s="221" t="s">
        <v>274</v>
      </c>
      <c r="U75" s="227" t="s">
        <v>787</v>
      </c>
      <c r="V75" s="228" t="s">
        <v>612</v>
      </c>
      <c r="W75" s="227" t="s">
        <v>495</v>
      </c>
      <c r="X75" s="229" t="s">
        <v>352</v>
      </c>
      <c r="Y75" s="224" t="s">
        <v>359</v>
      </c>
      <c r="Z75" s="24"/>
      <c r="AA75" s="24"/>
      <c r="AB75" s="24"/>
      <c r="AC75" s="24"/>
      <c r="AD75" s="24"/>
      <c r="AE75" s="24"/>
      <c r="AF75" s="24"/>
      <c r="AG75" s="24"/>
      <c r="AH75" s="24"/>
      <c r="AI75" s="24"/>
      <c r="AJ75" s="24"/>
      <c r="AK75" s="24"/>
      <c r="AL75" s="24"/>
      <c r="AM75" s="24"/>
    </row>
    <row r="76" spans="1:39" ht="155.25" customHeight="1" x14ac:dyDescent="0.3">
      <c r="A76" s="116">
        <v>1</v>
      </c>
      <c r="B76" s="210">
        <v>72</v>
      </c>
      <c r="C76" s="220">
        <v>46090</v>
      </c>
      <c r="D76" s="221" t="s">
        <v>453</v>
      </c>
      <c r="E76" s="221" t="s">
        <v>267</v>
      </c>
      <c r="F76" s="221" t="s">
        <v>469</v>
      </c>
      <c r="G76" s="221" t="s">
        <v>469</v>
      </c>
      <c r="H76" s="221" t="s">
        <v>355</v>
      </c>
      <c r="I76" s="230" t="s">
        <v>792</v>
      </c>
      <c r="J76" s="221" t="s">
        <v>362</v>
      </c>
      <c r="K76" s="221" t="s">
        <v>357</v>
      </c>
      <c r="L76" s="221" t="s">
        <v>479</v>
      </c>
      <c r="M76" s="221" t="s">
        <v>311</v>
      </c>
      <c r="N76" s="221" t="s">
        <v>460</v>
      </c>
      <c r="O76" s="231"/>
      <c r="P76" s="231"/>
      <c r="Q76" s="221" t="s">
        <v>358</v>
      </c>
      <c r="R76" s="221"/>
      <c r="S76" s="221" t="s">
        <v>358</v>
      </c>
      <c r="T76" s="221" t="s">
        <v>274</v>
      </c>
      <c r="U76" s="227" t="s">
        <v>789</v>
      </c>
      <c r="V76" s="228" t="s">
        <v>790</v>
      </c>
      <c r="W76" s="227" t="s">
        <v>791</v>
      </c>
      <c r="X76" s="229" t="s">
        <v>352</v>
      </c>
      <c r="Y76" s="224" t="s">
        <v>359</v>
      </c>
      <c r="Z76" s="24"/>
      <c r="AA76" s="24"/>
      <c r="AB76" s="24"/>
      <c r="AC76" s="24"/>
      <c r="AD76" s="24"/>
      <c r="AE76" s="24"/>
      <c r="AF76" s="24"/>
      <c r="AG76" s="24"/>
      <c r="AH76" s="24"/>
      <c r="AI76" s="24"/>
      <c r="AJ76" s="24"/>
      <c r="AK76" s="24"/>
      <c r="AL76" s="24"/>
      <c r="AM76" s="24"/>
    </row>
    <row r="77" spans="1:39" ht="84" customHeight="1" x14ac:dyDescent="0.3">
      <c r="A77" s="116">
        <v>1</v>
      </c>
      <c r="B77" s="210">
        <v>73</v>
      </c>
      <c r="C77" s="220">
        <v>46090</v>
      </c>
      <c r="D77" s="221" t="s">
        <v>453</v>
      </c>
      <c r="E77" s="221" t="s">
        <v>365</v>
      </c>
      <c r="F77" s="221" t="s">
        <v>793</v>
      </c>
      <c r="G77" s="221" t="s">
        <v>793</v>
      </c>
      <c r="H77" s="221" t="s">
        <v>355</v>
      </c>
      <c r="I77" s="230" t="s">
        <v>794</v>
      </c>
      <c r="J77" s="221" t="s">
        <v>362</v>
      </c>
      <c r="K77" s="221" t="s">
        <v>357</v>
      </c>
      <c r="L77" s="221" t="s">
        <v>479</v>
      </c>
      <c r="M77" s="221" t="s">
        <v>311</v>
      </c>
      <c r="N77" s="221" t="s">
        <v>384</v>
      </c>
      <c r="O77" s="231"/>
      <c r="P77" s="231"/>
      <c r="Q77" s="221" t="s">
        <v>358</v>
      </c>
      <c r="R77" s="221"/>
      <c r="S77" s="221" t="s">
        <v>358</v>
      </c>
      <c r="T77" s="221" t="s">
        <v>274</v>
      </c>
      <c r="U77" s="227" t="s">
        <v>795</v>
      </c>
      <c r="V77" s="228" t="s">
        <v>796</v>
      </c>
      <c r="W77" s="227" t="s">
        <v>797</v>
      </c>
      <c r="X77" s="229" t="s">
        <v>352</v>
      </c>
      <c r="Y77" s="224" t="s">
        <v>359</v>
      </c>
      <c r="Z77" s="24"/>
      <c r="AA77" s="24"/>
      <c r="AB77" s="24"/>
      <c r="AC77" s="24"/>
      <c r="AD77" s="24"/>
      <c r="AE77" s="24"/>
      <c r="AF77" s="24"/>
      <c r="AG77" s="24"/>
      <c r="AH77" s="24"/>
      <c r="AI77" s="24"/>
      <c r="AJ77" s="24"/>
      <c r="AK77" s="24"/>
      <c r="AL77" s="24"/>
      <c r="AM77" s="24"/>
    </row>
    <row r="78" spans="1:39" ht="84" customHeight="1" x14ac:dyDescent="0.3">
      <c r="A78" s="116">
        <v>1</v>
      </c>
      <c r="B78" s="210">
        <v>74</v>
      </c>
      <c r="C78" s="220">
        <v>46091</v>
      </c>
      <c r="D78" s="221" t="s">
        <v>453</v>
      </c>
      <c r="E78" s="221" t="s">
        <v>365</v>
      </c>
      <c r="F78" s="221" t="s">
        <v>32</v>
      </c>
      <c r="G78" s="221" t="s">
        <v>799</v>
      </c>
      <c r="H78" s="221" t="s">
        <v>287</v>
      </c>
      <c r="I78" s="230" t="s">
        <v>798</v>
      </c>
      <c r="J78" s="221" t="s">
        <v>368</v>
      </c>
      <c r="K78" s="221" t="s">
        <v>357</v>
      </c>
      <c r="L78" s="221" t="s">
        <v>479</v>
      </c>
      <c r="M78" s="221" t="s">
        <v>311</v>
      </c>
      <c r="N78" s="221" t="s">
        <v>384</v>
      </c>
      <c r="O78" s="231"/>
      <c r="P78" s="231"/>
      <c r="Q78" s="221" t="s">
        <v>358</v>
      </c>
      <c r="R78" s="221"/>
      <c r="S78" s="221" t="s">
        <v>358</v>
      </c>
      <c r="T78" s="221" t="s">
        <v>274</v>
      </c>
      <c r="U78" s="227" t="s">
        <v>800</v>
      </c>
      <c r="V78" s="228" t="s">
        <v>487</v>
      </c>
      <c r="W78" s="227" t="s">
        <v>801</v>
      </c>
      <c r="X78" s="229" t="s">
        <v>352</v>
      </c>
      <c r="Y78" s="224" t="s">
        <v>359</v>
      </c>
      <c r="Z78" s="24"/>
      <c r="AA78" s="24"/>
      <c r="AB78" s="24"/>
      <c r="AC78" s="24"/>
      <c r="AD78" s="24"/>
      <c r="AE78" s="24"/>
      <c r="AF78" s="24"/>
      <c r="AG78" s="24"/>
      <c r="AH78" s="24"/>
      <c r="AI78" s="24"/>
      <c r="AJ78" s="24"/>
      <c r="AK78" s="24"/>
      <c r="AL78" s="24"/>
      <c r="AM78" s="24"/>
    </row>
    <row r="79" spans="1:39" ht="84" customHeight="1" x14ac:dyDescent="0.3">
      <c r="A79" s="116">
        <v>1</v>
      </c>
      <c r="B79" s="210">
        <v>75</v>
      </c>
      <c r="C79" s="220">
        <v>46091</v>
      </c>
      <c r="D79" s="221" t="s">
        <v>453</v>
      </c>
      <c r="E79" s="221" t="s">
        <v>267</v>
      </c>
      <c r="F79" s="221" t="s">
        <v>469</v>
      </c>
      <c r="G79" s="221" t="s">
        <v>469</v>
      </c>
      <c r="H79" s="221" t="s">
        <v>380</v>
      </c>
      <c r="I79" s="230" t="s">
        <v>802</v>
      </c>
      <c r="J79" s="221" t="s">
        <v>369</v>
      </c>
      <c r="K79" s="221" t="s">
        <v>357</v>
      </c>
      <c r="L79" s="221" t="s">
        <v>479</v>
      </c>
      <c r="M79" s="221" t="s">
        <v>311</v>
      </c>
      <c r="N79" s="221" t="s">
        <v>401</v>
      </c>
      <c r="O79" s="231"/>
      <c r="P79" s="231"/>
      <c r="Q79" s="221" t="s">
        <v>358</v>
      </c>
      <c r="R79" s="221"/>
      <c r="S79" s="221" t="s">
        <v>358</v>
      </c>
      <c r="T79" s="221" t="s">
        <v>274</v>
      </c>
      <c r="U79" s="227" t="s">
        <v>803</v>
      </c>
      <c r="V79" s="228" t="s">
        <v>603</v>
      </c>
      <c r="W79" s="227" t="s">
        <v>604</v>
      </c>
      <c r="X79" s="229" t="s">
        <v>352</v>
      </c>
      <c r="Y79" s="224" t="s">
        <v>359</v>
      </c>
      <c r="Z79" s="24"/>
      <c r="AA79" s="24"/>
      <c r="AB79" s="24"/>
      <c r="AC79" s="24"/>
      <c r="AD79" s="24"/>
      <c r="AE79" s="24"/>
      <c r="AF79" s="24"/>
      <c r="AG79" s="24"/>
      <c r="AH79" s="24"/>
      <c r="AI79" s="24"/>
      <c r="AJ79" s="24"/>
      <c r="AK79" s="24"/>
      <c r="AL79" s="24"/>
      <c r="AM79" s="24"/>
    </row>
    <row r="80" spans="1:39" ht="84" customHeight="1" x14ac:dyDescent="0.3">
      <c r="A80" s="116">
        <v>1</v>
      </c>
      <c r="B80" s="210">
        <v>76</v>
      </c>
      <c r="C80" s="220">
        <v>46093</v>
      </c>
      <c r="D80" s="221" t="s">
        <v>453</v>
      </c>
      <c r="E80" s="221" t="s">
        <v>267</v>
      </c>
      <c r="F80" s="221" t="s">
        <v>75</v>
      </c>
      <c r="G80" s="221" t="s">
        <v>123</v>
      </c>
      <c r="H80" s="221" t="s">
        <v>372</v>
      </c>
      <c r="I80" s="230" t="s">
        <v>804</v>
      </c>
      <c r="J80" s="221" t="s">
        <v>381</v>
      </c>
      <c r="K80" s="221" t="s">
        <v>357</v>
      </c>
      <c r="L80" s="221" t="s">
        <v>479</v>
      </c>
      <c r="M80" s="221" t="s">
        <v>311</v>
      </c>
      <c r="N80" s="221" t="s">
        <v>373</v>
      </c>
      <c r="O80" s="231"/>
      <c r="P80" s="231"/>
      <c r="Q80" s="221" t="s">
        <v>358</v>
      </c>
      <c r="R80" s="221"/>
      <c r="S80" s="221" t="s">
        <v>358</v>
      </c>
      <c r="T80" s="221" t="s">
        <v>274</v>
      </c>
      <c r="U80" s="227" t="s">
        <v>805</v>
      </c>
      <c r="V80" s="228">
        <v>8617777</v>
      </c>
      <c r="W80" s="227" t="s">
        <v>596</v>
      </c>
      <c r="X80" s="229" t="s">
        <v>352</v>
      </c>
      <c r="Y80" s="224" t="s">
        <v>359</v>
      </c>
      <c r="Z80" s="24"/>
      <c r="AA80" s="24"/>
      <c r="AB80" s="24"/>
      <c r="AC80" s="24"/>
      <c r="AD80" s="24"/>
      <c r="AE80" s="24"/>
      <c r="AF80" s="24"/>
      <c r="AG80" s="24"/>
      <c r="AH80" s="24"/>
      <c r="AI80" s="24"/>
      <c r="AJ80" s="24"/>
      <c r="AK80" s="24"/>
      <c r="AL80" s="24"/>
      <c r="AM80" s="24"/>
    </row>
    <row r="81" spans="1:39" ht="84" customHeight="1" x14ac:dyDescent="0.3">
      <c r="A81" s="116">
        <v>1</v>
      </c>
      <c r="B81" s="210">
        <v>77</v>
      </c>
      <c r="C81" s="220">
        <v>46093</v>
      </c>
      <c r="D81" s="221" t="s">
        <v>453</v>
      </c>
      <c r="E81" s="221" t="s">
        <v>365</v>
      </c>
      <c r="F81" s="221" t="s">
        <v>32</v>
      </c>
      <c r="G81" s="221" t="s">
        <v>799</v>
      </c>
      <c r="H81" s="221" t="s">
        <v>287</v>
      </c>
      <c r="I81" s="230" t="s">
        <v>806</v>
      </c>
      <c r="J81" s="221" t="s">
        <v>381</v>
      </c>
      <c r="K81" s="221" t="s">
        <v>357</v>
      </c>
      <c r="L81" s="221" t="s">
        <v>479</v>
      </c>
      <c r="M81" s="221" t="s">
        <v>311</v>
      </c>
      <c r="N81" s="221" t="s">
        <v>384</v>
      </c>
      <c r="O81" s="231"/>
      <c r="P81" s="231"/>
      <c r="Q81" s="221" t="s">
        <v>358</v>
      </c>
      <c r="R81" s="221"/>
      <c r="S81" s="221" t="s">
        <v>358</v>
      </c>
      <c r="T81" s="221" t="s">
        <v>274</v>
      </c>
      <c r="U81" s="227" t="s">
        <v>807</v>
      </c>
      <c r="V81" s="228" t="s">
        <v>487</v>
      </c>
      <c r="W81" s="227" t="s">
        <v>808</v>
      </c>
      <c r="X81" s="229" t="s">
        <v>352</v>
      </c>
      <c r="Y81" s="224" t="s">
        <v>359</v>
      </c>
      <c r="Z81" s="24"/>
      <c r="AA81" s="24"/>
      <c r="AB81" s="24"/>
      <c r="AC81" s="24"/>
      <c r="AD81" s="24"/>
      <c r="AE81" s="24"/>
      <c r="AF81" s="24"/>
      <c r="AG81" s="24"/>
      <c r="AH81" s="24"/>
      <c r="AI81" s="24"/>
      <c r="AJ81" s="24"/>
      <c r="AK81" s="24"/>
      <c r="AL81" s="24"/>
      <c r="AM81" s="24"/>
    </row>
    <row r="82" spans="1:39" ht="84" customHeight="1" x14ac:dyDescent="0.3">
      <c r="A82" s="116">
        <v>1</v>
      </c>
      <c r="B82" s="210">
        <v>78</v>
      </c>
      <c r="C82" s="220">
        <v>46094</v>
      </c>
      <c r="D82" s="221" t="s">
        <v>453</v>
      </c>
      <c r="E82" s="221" t="s">
        <v>267</v>
      </c>
      <c r="F82" s="221" t="s">
        <v>469</v>
      </c>
      <c r="G82" s="221" t="s">
        <v>469</v>
      </c>
      <c r="H82" s="221" t="s">
        <v>287</v>
      </c>
      <c r="I82" s="230" t="s">
        <v>809</v>
      </c>
      <c r="J82" s="221" t="s">
        <v>362</v>
      </c>
      <c r="K82" s="221" t="s">
        <v>357</v>
      </c>
      <c r="L82" s="221" t="s">
        <v>479</v>
      </c>
      <c r="M82" s="221" t="s">
        <v>311</v>
      </c>
      <c r="N82" s="221" t="s">
        <v>504</v>
      </c>
      <c r="O82" s="231"/>
      <c r="P82" s="231"/>
      <c r="Q82" s="221" t="s">
        <v>358</v>
      </c>
      <c r="R82" s="221"/>
      <c r="S82" s="221" t="s">
        <v>358</v>
      </c>
      <c r="T82" s="221" t="s">
        <v>274</v>
      </c>
      <c r="U82" s="227" t="s">
        <v>640</v>
      </c>
      <c r="V82" s="228" t="s">
        <v>482</v>
      </c>
      <c r="W82" s="227" t="s">
        <v>641</v>
      </c>
      <c r="X82" s="229" t="s">
        <v>352</v>
      </c>
      <c r="Y82" s="224" t="s">
        <v>359</v>
      </c>
      <c r="Z82" s="24"/>
      <c r="AA82" s="24"/>
      <c r="AB82" s="24"/>
      <c r="AC82" s="24"/>
      <c r="AD82" s="24"/>
      <c r="AE82" s="24"/>
      <c r="AF82" s="24"/>
      <c r="AG82" s="24"/>
      <c r="AH82" s="24"/>
      <c r="AI82" s="24"/>
      <c r="AJ82" s="24"/>
      <c r="AK82" s="24"/>
      <c r="AL82" s="24"/>
      <c r="AM82" s="24"/>
    </row>
    <row r="83" spans="1:39" ht="84" customHeight="1" x14ac:dyDescent="0.3">
      <c r="A83" s="116">
        <v>1</v>
      </c>
      <c r="B83" s="210">
        <v>79</v>
      </c>
      <c r="C83" s="220">
        <v>46094</v>
      </c>
      <c r="D83" s="221" t="s">
        <v>453</v>
      </c>
      <c r="E83" s="221" t="s">
        <v>354</v>
      </c>
      <c r="F83" s="221" t="s">
        <v>562</v>
      </c>
      <c r="G83" s="221" t="s">
        <v>497</v>
      </c>
      <c r="H83" s="221" t="s">
        <v>376</v>
      </c>
      <c r="I83" s="230" t="s">
        <v>810</v>
      </c>
      <c r="J83" s="221" t="s">
        <v>368</v>
      </c>
      <c r="K83" s="221" t="s">
        <v>357</v>
      </c>
      <c r="L83" s="221" t="s">
        <v>479</v>
      </c>
      <c r="M83" s="221" t="s">
        <v>311</v>
      </c>
      <c r="N83" s="221" t="s">
        <v>385</v>
      </c>
      <c r="O83" s="231"/>
      <c r="P83" s="231"/>
      <c r="Q83" s="221" t="s">
        <v>358</v>
      </c>
      <c r="R83" s="221"/>
      <c r="S83" s="221" t="s">
        <v>358</v>
      </c>
      <c r="T83" s="221" t="s">
        <v>274</v>
      </c>
      <c r="U83" s="227">
        <v>0</v>
      </c>
      <c r="V83" s="228">
        <v>0</v>
      </c>
      <c r="W83" s="227">
        <v>0</v>
      </c>
      <c r="X83" s="229" t="s">
        <v>352</v>
      </c>
      <c r="Y83" s="224" t="s">
        <v>359</v>
      </c>
      <c r="Z83" s="24"/>
      <c r="AA83" s="24"/>
      <c r="AB83" s="24"/>
      <c r="AC83" s="24"/>
      <c r="AD83" s="24"/>
      <c r="AE83" s="24"/>
      <c r="AF83" s="24"/>
      <c r="AG83" s="24"/>
      <c r="AH83" s="24"/>
      <c r="AI83" s="24"/>
      <c r="AJ83" s="24"/>
      <c r="AK83" s="24"/>
      <c r="AL83" s="24"/>
      <c r="AM83" s="24"/>
    </row>
    <row r="84" spans="1:39" ht="84" customHeight="1" x14ac:dyDescent="0.3">
      <c r="A84" s="116">
        <v>1</v>
      </c>
      <c r="B84" s="210">
        <v>80</v>
      </c>
      <c r="C84" s="220">
        <v>46094</v>
      </c>
      <c r="D84" s="221" t="s">
        <v>453</v>
      </c>
      <c r="E84" s="221" t="s">
        <v>267</v>
      </c>
      <c r="F84" s="221" t="s">
        <v>469</v>
      </c>
      <c r="G84" s="221" t="s">
        <v>469</v>
      </c>
      <c r="H84" s="221" t="s">
        <v>287</v>
      </c>
      <c r="I84" s="230" t="s">
        <v>811</v>
      </c>
      <c r="J84" s="221" t="s">
        <v>362</v>
      </c>
      <c r="K84" s="221" t="s">
        <v>357</v>
      </c>
      <c r="L84" s="221" t="s">
        <v>479</v>
      </c>
      <c r="M84" s="221" t="s">
        <v>311</v>
      </c>
      <c r="N84" s="221" t="s">
        <v>504</v>
      </c>
      <c r="O84" s="231"/>
      <c r="P84" s="231"/>
      <c r="Q84" s="221" t="s">
        <v>358</v>
      </c>
      <c r="R84" s="221"/>
      <c r="S84" s="221" t="s">
        <v>358</v>
      </c>
      <c r="T84" s="221" t="s">
        <v>274</v>
      </c>
      <c r="U84" s="227" t="s">
        <v>812</v>
      </c>
      <c r="V84" s="228" t="s">
        <v>482</v>
      </c>
      <c r="W84" s="227" t="s">
        <v>641</v>
      </c>
      <c r="X84" s="229" t="s">
        <v>352</v>
      </c>
      <c r="Y84" s="224" t="s">
        <v>359</v>
      </c>
      <c r="Z84" s="24"/>
      <c r="AA84" s="24"/>
      <c r="AB84" s="24"/>
      <c r="AC84" s="24"/>
      <c r="AD84" s="24"/>
      <c r="AE84" s="24"/>
      <c r="AF84" s="24"/>
      <c r="AG84" s="24"/>
      <c r="AH84" s="24"/>
      <c r="AI84" s="24"/>
      <c r="AJ84" s="24"/>
      <c r="AK84" s="24"/>
      <c r="AL84" s="24"/>
      <c r="AM84" s="24"/>
    </row>
    <row r="85" spans="1:39" ht="84" customHeight="1" x14ac:dyDescent="0.3">
      <c r="A85" s="116">
        <v>1</v>
      </c>
      <c r="B85" s="210">
        <v>81</v>
      </c>
      <c r="C85" s="220">
        <v>46097</v>
      </c>
      <c r="D85" s="221" t="s">
        <v>453</v>
      </c>
      <c r="E85" s="221" t="s">
        <v>365</v>
      </c>
      <c r="F85" s="221" t="s">
        <v>32</v>
      </c>
      <c r="G85" s="221" t="s">
        <v>813</v>
      </c>
      <c r="H85" s="221" t="s">
        <v>287</v>
      </c>
      <c r="I85" s="230" t="s">
        <v>814</v>
      </c>
      <c r="J85" s="221" t="s">
        <v>362</v>
      </c>
      <c r="K85" s="221" t="s">
        <v>357</v>
      </c>
      <c r="L85" s="221" t="s">
        <v>479</v>
      </c>
      <c r="M85" s="221" t="s">
        <v>311</v>
      </c>
      <c r="N85" s="221" t="s">
        <v>384</v>
      </c>
      <c r="O85" s="231"/>
      <c r="P85" s="231"/>
      <c r="Q85" s="221" t="s">
        <v>358</v>
      </c>
      <c r="R85" s="221"/>
      <c r="S85" s="221" t="s">
        <v>358</v>
      </c>
      <c r="T85" s="221" t="s">
        <v>274</v>
      </c>
      <c r="U85" s="227" t="s">
        <v>815</v>
      </c>
      <c r="V85" s="228" t="s">
        <v>487</v>
      </c>
      <c r="W85" s="227" t="s">
        <v>816</v>
      </c>
      <c r="X85" s="229" t="s">
        <v>352</v>
      </c>
      <c r="Y85" s="224" t="s">
        <v>359</v>
      </c>
      <c r="Z85" s="24"/>
      <c r="AA85" s="24"/>
      <c r="AB85" s="24"/>
      <c r="AC85" s="24"/>
      <c r="AD85" s="24"/>
      <c r="AE85" s="24"/>
      <c r="AF85" s="24"/>
      <c r="AG85" s="24"/>
      <c r="AH85" s="24"/>
      <c r="AI85" s="24"/>
      <c r="AJ85" s="24"/>
      <c r="AK85" s="24"/>
      <c r="AL85" s="24"/>
      <c r="AM85" s="24"/>
    </row>
    <row r="86" spans="1:39" ht="84" customHeight="1" x14ac:dyDescent="0.3">
      <c r="A86" s="116">
        <v>1</v>
      </c>
      <c r="B86" s="210">
        <v>82</v>
      </c>
      <c r="C86" s="220">
        <v>46097</v>
      </c>
      <c r="D86" s="221" t="s">
        <v>453</v>
      </c>
      <c r="E86" s="221" t="s">
        <v>365</v>
      </c>
      <c r="F86" s="221" t="s">
        <v>32</v>
      </c>
      <c r="G86" s="221" t="s">
        <v>813</v>
      </c>
      <c r="H86" s="221" t="s">
        <v>287</v>
      </c>
      <c r="I86" s="230" t="s">
        <v>817</v>
      </c>
      <c r="J86" s="221" t="s">
        <v>286</v>
      </c>
      <c r="K86" s="221" t="s">
        <v>357</v>
      </c>
      <c r="L86" s="221" t="s">
        <v>479</v>
      </c>
      <c r="M86" s="221" t="s">
        <v>311</v>
      </c>
      <c r="N86" s="221" t="s">
        <v>384</v>
      </c>
      <c r="O86" s="231"/>
      <c r="P86" s="231"/>
      <c r="Q86" s="221" t="s">
        <v>358</v>
      </c>
      <c r="R86" s="221"/>
      <c r="S86" s="221" t="s">
        <v>358</v>
      </c>
      <c r="T86" s="221" t="s">
        <v>274</v>
      </c>
      <c r="U86" s="227" t="s">
        <v>815</v>
      </c>
      <c r="V86" s="228" t="s">
        <v>487</v>
      </c>
      <c r="W86" s="227" t="s">
        <v>816</v>
      </c>
      <c r="X86" s="229" t="s">
        <v>352</v>
      </c>
      <c r="Y86" s="224" t="s">
        <v>359</v>
      </c>
      <c r="Z86" s="24"/>
      <c r="AA86" s="24"/>
      <c r="AB86" s="24"/>
      <c r="AC86" s="24"/>
      <c r="AD86" s="24"/>
      <c r="AE86" s="24"/>
      <c r="AF86" s="24"/>
      <c r="AG86" s="24"/>
      <c r="AH86" s="24"/>
      <c r="AI86" s="24"/>
      <c r="AJ86" s="24"/>
      <c r="AK86" s="24"/>
      <c r="AL86" s="24"/>
      <c r="AM86" s="24"/>
    </row>
    <row r="87" spans="1:39" ht="84" customHeight="1" x14ac:dyDescent="0.3">
      <c r="A87" s="116">
        <v>1</v>
      </c>
      <c r="B87" s="210">
        <v>83</v>
      </c>
      <c r="C87" s="220">
        <v>46097</v>
      </c>
      <c r="D87" s="221" t="s">
        <v>453</v>
      </c>
      <c r="E87" s="221" t="s">
        <v>267</v>
      </c>
      <c r="F87" s="221" t="s">
        <v>469</v>
      </c>
      <c r="G87" s="221" t="s">
        <v>469</v>
      </c>
      <c r="H87" s="221" t="s">
        <v>287</v>
      </c>
      <c r="I87" s="230" t="s">
        <v>818</v>
      </c>
      <c r="J87" s="221" t="s">
        <v>362</v>
      </c>
      <c r="K87" s="221" t="s">
        <v>357</v>
      </c>
      <c r="L87" s="221" t="s">
        <v>479</v>
      </c>
      <c r="M87" s="221" t="s">
        <v>311</v>
      </c>
      <c r="N87" s="221" t="s">
        <v>504</v>
      </c>
      <c r="O87" s="231"/>
      <c r="P87" s="231"/>
      <c r="Q87" s="221" t="s">
        <v>358</v>
      </c>
      <c r="R87" s="221"/>
      <c r="S87" s="221" t="s">
        <v>358</v>
      </c>
      <c r="T87" s="221" t="s">
        <v>274</v>
      </c>
      <c r="U87" s="227" t="s">
        <v>819</v>
      </c>
      <c r="V87" s="228" t="s">
        <v>790</v>
      </c>
      <c r="W87" s="227" t="s">
        <v>641</v>
      </c>
      <c r="X87" s="229" t="s">
        <v>352</v>
      </c>
      <c r="Y87" s="224" t="s">
        <v>359</v>
      </c>
      <c r="Z87" s="24"/>
      <c r="AA87" s="24"/>
      <c r="AB87" s="24"/>
      <c r="AC87" s="24"/>
      <c r="AD87" s="24"/>
      <c r="AE87" s="24"/>
      <c r="AF87" s="24"/>
      <c r="AG87" s="24"/>
      <c r="AH87" s="24"/>
      <c r="AI87" s="24"/>
      <c r="AJ87" s="24"/>
      <c r="AK87" s="24"/>
      <c r="AL87" s="24"/>
      <c r="AM87" s="24"/>
    </row>
    <row r="88" spans="1:39" ht="84" customHeight="1" x14ac:dyDescent="0.3">
      <c r="A88" s="116">
        <v>1</v>
      </c>
      <c r="B88" s="210">
        <v>84</v>
      </c>
      <c r="C88" s="220">
        <v>46097</v>
      </c>
      <c r="D88" s="221" t="s">
        <v>453</v>
      </c>
      <c r="E88" s="221" t="s">
        <v>389</v>
      </c>
      <c r="F88" s="221" t="s">
        <v>150</v>
      </c>
      <c r="G88" s="221" t="s">
        <v>203</v>
      </c>
      <c r="H88" s="221" t="s">
        <v>287</v>
      </c>
      <c r="I88" s="230" t="s">
        <v>820</v>
      </c>
      <c r="J88" s="221" t="s">
        <v>286</v>
      </c>
      <c r="K88" s="221" t="s">
        <v>357</v>
      </c>
      <c r="L88" s="221" t="s">
        <v>479</v>
      </c>
      <c r="M88" s="221" t="s">
        <v>311</v>
      </c>
      <c r="N88" s="221" t="s">
        <v>417</v>
      </c>
      <c r="O88" s="231">
        <v>46113</v>
      </c>
      <c r="P88" s="231">
        <v>46113</v>
      </c>
      <c r="Q88" s="221" t="s">
        <v>620</v>
      </c>
      <c r="R88" s="221"/>
      <c r="S88" s="221" t="s">
        <v>358</v>
      </c>
      <c r="T88" s="221" t="s">
        <v>274</v>
      </c>
      <c r="U88" s="227" t="s">
        <v>743</v>
      </c>
      <c r="V88" s="228" t="s">
        <v>744</v>
      </c>
      <c r="W88" s="227" t="s">
        <v>689</v>
      </c>
      <c r="X88" s="229" t="s">
        <v>352</v>
      </c>
      <c r="Y88" s="224" t="s">
        <v>359</v>
      </c>
      <c r="Z88" s="24"/>
      <c r="AA88" s="24"/>
      <c r="AB88" s="24"/>
      <c r="AC88" s="24"/>
      <c r="AD88" s="24"/>
      <c r="AE88" s="24"/>
      <c r="AF88" s="24"/>
      <c r="AG88" s="24"/>
      <c r="AH88" s="24"/>
      <c r="AI88" s="24"/>
      <c r="AJ88" s="24"/>
      <c r="AK88" s="24"/>
      <c r="AL88" s="24"/>
      <c r="AM88" s="24"/>
    </row>
    <row r="89" spans="1:39" ht="84" customHeight="1" x14ac:dyDescent="0.3">
      <c r="A89" s="116">
        <v>1</v>
      </c>
      <c r="B89" s="210">
        <v>85</v>
      </c>
      <c r="C89" s="220">
        <v>46097</v>
      </c>
      <c r="D89" s="221" t="s">
        <v>453</v>
      </c>
      <c r="E89" s="221" t="s">
        <v>267</v>
      </c>
      <c r="F89" s="221" t="s">
        <v>536</v>
      </c>
      <c r="G89" s="221" t="s">
        <v>149</v>
      </c>
      <c r="H89" s="221" t="s">
        <v>287</v>
      </c>
      <c r="I89" s="230" t="s">
        <v>821</v>
      </c>
      <c r="J89" s="221" t="s">
        <v>286</v>
      </c>
      <c r="K89" s="221" t="s">
        <v>357</v>
      </c>
      <c r="L89" s="221" t="s">
        <v>479</v>
      </c>
      <c r="M89" s="221" t="s">
        <v>311</v>
      </c>
      <c r="N89" s="221" t="s">
        <v>417</v>
      </c>
      <c r="O89" s="231"/>
      <c r="P89" s="231"/>
      <c r="Q89" s="221" t="s">
        <v>358</v>
      </c>
      <c r="R89" s="221"/>
      <c r="S89" s="221" t="s">
        <v>358</v>
      </c>
      <c r="T89" s="221" t="s">
        <v>274</v>
      </c>
      <c r="U89" s="227" t="s">
        <v>666</v>
      </c>
      <c r="V89" s="228" t="s">
        <v>667</v>
      </c>
      <c r="W89" s="227" t="s">
        <v>668</v>
      </c>
      <c r="X89" s="229" t="s">
        <v>352</v>
      </c>
      <c r="Y89" s="224" t="s">
        <v>359</v>
      </c>
      <c r="Z89" s="24"/>
      <c r="AA89" s="24"/>
      <c r="AB89" s="24"/>
      <c r="AC89" s="24"/>
      <c r="AD89" s="24"/>
      <c r="AE89" s="24"/>
      <c r="AF89" s="24"/>
      <c r="AG89" s="24"/>
      <c r="AH89" s="24"/>
      <c r="AI89" s="24"/>
      <c r="AJ89" s="24"/>
      <c r="AK89" s="24"/>
      <c r="AL89" s="24"/>
      <c r="AM89" s="24"/>
    </row>
    <row r="90" spans="1:39" ht="84" customHeight="1" x14ac:dyDescent="0.3">
      <c r="A90" s="116">
        <v>1</v>
      </c>
      <c r="B90" s="210">
        <v>86</v>
      </c>
      <c r="C90" s="220">
        <v>46097</v>
      </c>
      <c r="D90" s="221" t="s">
        <v>453</v>
      </c>
      <c r="E90" s="221" t="s">
        <v>267</v>
      </c>
      <c r="F90" s="221" t="s">
        <v>469</v>
      </c>
      <c r="G90" s="221" t="s">
        <v>469</v>
      </c>
      <c r="H90" s="221" t="s">
        <v>287</v>
      </c>
      <c r="I90" s="230" t="s">
        <v>822</v>
      </c>
      <c r="J90" s="221" t="s">
        <v>362</v>
      </c>
      <c r="K90" s="221" t="s">
        <v>357</v>
      </c>
      <c r="L90" s="221" t="s">
        <v>479</v>
      </c>
      <c r="M90" s="221" t="s">
        <v>311</v>
      </c>
      <c r="N90" s="221" t="s">
        <v>504</v>
      </c>
      <c r="O90" s="231"/>
      <c r="P90" s="231"/>
      <c r="Q90" s="221" t="s">
        <v>358</v>
      </c>
      <c r="R90" s="221"/>
      <c r="S90" s="221" t="s">
        <v>358</v>
      </c>
      <c r="T90" s="221" t="s">
        <v>274</v>
      </c>
      <c r="U90" s="227" t="s">
        <v>640</v>
      </c>
      <c r="V90" s="228" t="s">
        <v>482</v>
      </c>
      <c r="W90" s="227" t="s">
        <v>823</v>
      </c>
      <c r="X90" s="229" t="s">
        <v>352</v>
      </c>
      <c r="Y90" s="224" t="s">
        <v>359</v>
      </c>
      <c r="Z90" s="24"/>
      <c r="AA90" s="24"/>
      <c r="AB90" s="24"/>
      <c r="AC90" s="24"/>
      <c r="AD90" s="24"/>
      <c r="AE90" s="24"/>
      <c r="AF90" s="24"/>
      <c r="AG90" s="24"/>
      <c r="AH90" s="24"/>
      <c r="AI90" s="24"/>
      <c r="AJ90" s="24"/>
      <c r="AK90" s="24"/>
      <c r="AL90" s="24"/>
      <c r="AM90" s="24"/>
    </row>
    <row r="91" spans="1:39" ht="84" customHeight="1" x14ac:dyDescent="0.3">
      <c r="A91" s="116">
        <v>1</v>
      </c>
      <c r="B91" s="210">
        <v>87</v>
      </c>
      <c r="C91" s="220">
        <v>46097</v>
      </c>
      <c r="D91" s="221" t="s">
        <v>453</v>
      </c>
      <c r="E91" s="221" t="s">
        <v>267</v>
      </c>
      <c r="F91" s="221" t="s">
        <v>534</v>
      </c>
      <c r="G91" s="221" t="s">
        <v>534</v>
      </c>
      <c r="H91" s="221" t="s">
        <v>372</v>
      </c>
      <c r="I91" s="230" t="s">
        <v>824</v>
      </c>
      <c r="J91" s="221" t="s">
        <v>366</v>
      </c>
      <c r="K91" s="221" t="s">
        <v>357</v>
      </c>
      <c r="L91" s="221" t="s">
        <v>479</v>
      </c>
      <c r="M91" s="221" t="s">
        <v>311</v>
      </c>
      <c r="N91" s="221" t="s">
        <v>373</v>
      </c>
      <c r="O91" s="231"/>
      <c r="P91" s="231"/>
      <c r="Q91" s="221" t="s">
        <v>358</v>
      </c>
      <c r="R91" s="221"/>
      <c r="S91" s="221" t="s">
        <v>358</v>
      </c>
      <c r="T91" s="221" t="s">
        <v>274</v>
      </c>
      <c r="U91" s="227" t="s">
        <v>825</v>
      </c>
      <c r="V91" s="228">
        <v>3185578038</v>
      </c>
      <c r="W91" s="227" t="s">
        <v>826</v>
      </c>
      <c r="X91" s="229" t="s">
        <v>352</v>
      </c>
      <c r="Y91" s="224" t="s">
        <v>359</v>
      </c>
      <c r="Z91" s="24"/>
      <c r="AA91" s="24"/>
      <c r="AB91" s="24"/>
      <c r="AC91" s="24"/>
      <c r="AD91" s="24"/>
      <c r="AE91" s="24"/>
      <c r="AF91" s="24"/>
      <c r="AG91" s="24"/>
      <c r="AH91" s="24"/>
      <c r="AI91" s="24"/>
      <c r="AJ91" s="24"/>
      <c r="AK91" s="24"/>
      <c r="AL91" s="24"/>
      <c r="AM91" s="24"/>
    </row>
    <row r="92" spans="1:39" ht="84" customHeight="1" x14ac:dyDescent="0.3">
      <c r="A92" s="116">
        <v>1</v>
      </c>
      <c r="B92" s="210">
        <v>88</v>
      </c>
      <c r="C92" s="220">
        <v>46099</v>
      </c>
      <c r="D92" s="221" t="s">
        <v>453</v>
      </c>
      <c r="E92" s="221" t="s">
        <v>267</v>
      </c>
      <c r="F92" s="221" t="s">
        <v>469</v>
      </c>
      <c r="G92" s="221" t="s">
        <v>469</v>
      </c>
      <c r="H92" s="221" t="s">
        <v>376</v>
      </c>
      <c r="I92" s="230" t="s">
        <v>827</v>
      </c>
      <c r="J92" s="221" t="s">
        <v>362</v>
      </c>
      <c r="K92" s="221" t="s">
        <v>357</v>
      </c>
      <c r="L92" s="221" t="s">
        <v>479</v>
      </c>
      <c r="M92" s="221" t="s">
        <v>311</v>
      </c>
      <c r="N92" s="221" t="s">
        <v>504</v>
      </c>
      <c r="O92" s="231"/>
      <c r="P92" s="231"/>
      <c r="Q92" s="221" t="s">
        <v>358</v>
      </c>
      <c r="R92" s="221"/>
      <c r="S92" s="221" t="s">
        <v>358</v>
      </c>
      <c r="T92" s="221" t="s">
        <v>274</v>
      </c>
      <c r="U92" s="227" t="s">
        <v>812</v>
      </c>
      <c r="V92" s="228" t="s">
        <v>482</v>
      </c>
      <c r="W92" s="227" t="s">
        <v>641</v>
      </c>
      <c r="X92" s="229" t="s">
        <v>352</v>
      </c>
      <c r="Y92" s="224" t="s">
        <v>359</v>
      </c>
      <c r="Z92" s="24"/>
      <c r="AA92" s="24"/>
      <c r="AB92" s="24"/>
      <c r="AC92" s="24"/>
      <c r="AD92" s="24"/>
      <c r="AE92" s="24"/>
      <c r="AF92" s="24"/>
      <c r="AG92" s="24"/>
      <c r="AH92" s="24"/>
      <c r="AI92" s="24"/>
      <c r="AJ92" s="24"/>
      <c r="AK92" s="24"/>
      <c r="AL92" s="24"/>
      <c r="AM92" s="24"/>
    </row>
    <row r="93" spans="1:39" ht="84" customHeight="1" x14ac:dyDescent="0.3">
      <c r="A93" s="116">
        <v>1</v>
      </c>
      <c r="B93" s="210">
        <v>89</v>
      </c>
      <c r="C93" s="220">
        <v>46099</v>
      </c>
      <c r="D93" s="221" t="s">
        <v>453</v>
      </c>
      <c r="E93" s="221" t="s">
        <v>267</v>
      </c>
      <c r="F93" s="221" t="s">
        <v>534</v>
      </c>
      <c r="G93" s="221" t="s">
        <v>534</v>
      </c>
      <c r="H93" s="221" t="s">
        <v>372</v>
      </c>
      <c r="I93" s="230" t="s">
        <v>829</v>
      </c>
      <c r="J93" s="221" t="s">
        <v>366</v>
      </c>
      <c r="K93" s="221" t="s">
        <v>357</v>
      </c>
      <c r="L93" s="221" t="s">
        <v>479</v>
      </c>
      <c r="M93" s="221" t="s">
        <v>311</v>
      </c>
      <c r="N93" s="221" t="s">
        <v>373</v>
      </c>
      <c r="O93" s="231"/>
      <c r="P93" s="231"/>
      <c r="Q93" s="221" t="s">
        <v>358</v>
      </c>
      <c r="R93" s="221"/>
      <c r="S93" s="221" t="s">
        <v>358</v>
      </c>
      <c r="T93" s="221" t="s">
        <v>274</v>
      </c>
      <c r="U93" s="227" t="s">
        <v>828</v>
      </c>
      <c r="V93" s="228">
        <v>3168785821</v>
      </c>
      <c r="W93" s="227" t="s">
        <v>592</v>
      </c>
      <c r="X93" s="229" t="s">
        <v>352</v>
      </c>
      <c r="Y93" s="224" t="s">
        <v>359</v>
      </c>
      <c r="Z93" s="24"/>
      <c r="AA93" s="24"/>
      <c r="AB93" s="24"/>
      <c r="AC93" s="24"/>
      <c r="AD93" s="24"/>
      <c r="AE93" s="24"/>
      <c r="AF93" s="24"/>
      <c r="AG93" s="24"/>
      <c r="AH93" s="24"/>
      <c r="AI93" s="24"/>
      <c r="AJ93" s="24"/>
      <c r="AK93" s="24"/>
      <c r="AL93" s="24"/>
      <c r="AM93" s="24"/>
    </row>
    <row r="94" spans="1:39" ht="84" customHeight="1" x14ac:dyDescent="0.3">
      <c r="A94" s="116">
        <v>1</v>
      </c>
      <c r="B94" s="210">
        <v>90</v>
      </c>
      <c r="C94" s="220">
        <v>46099</v>
      </c>
      <c r="D94" s="221" t="s">
        <v>453</v>
      </c>
      <c r="E94" s="221" t="s">
        <v>267</v>
      </c>
      <c r="F94" s="221" t="s">
        <v>32</v>
      </c>
      <c r="G94" s="221" t="s">
        <v>813</v>
      </c>
      <c r="H94" s="221" t="s">
        <v>376</v>
      </c>
      <c r="I94" s="230" t="s">
        <v>830</v>
      </c>
      <c r="J94" s="221" t="s">
        <v>366</v>
      </c>
      <c r="K94" s="221" t="s">
        <v>357</v>
      </c>
      <c r="L94" s="221" t="s">
        <v>479</v>
      </c>
      <c r="M94" s="221" t="s">
        <v>311</v>
      </c>
      <c r="N94" s="221" t="s">
        <v>504</v>
      </c>
      <c r="O94" s="231"/>
      <c r="P94" s="231"/>
      <c r="Q94" s="221" t="s">
        <v>358</v>
      </c>
      <c r="R94" s="221"/>
      <c r="S94" s="221" t="s">
        <v>358</v>
      </c>
      <c r="T94" s="221" t="s">
        <v>274</v>
      </c>
      <c r="U94" s="227" t="s">
        <v>831</v>
      </c>
      <c r="V94" s="228" t="s">
        <v>487</v>
      </c>
      <c r="W94" s="227" t="s">
        <v>816</v>
      </c>
      <c r="X94" s="229" t="s">
        <v>352</v>
      </c>
      <c r="Y94" s="224" t="s">
        <v>359</v>
      </c>
      <c r="Z94" s="24"/>
      <c r="AA94" s="24"/>
      <c r="AB94" s="24"/>
      <c r="AC94" s="24"/>
      <c r="AD94" s="24"/>
      <c r="AE94" s="24"/>
      <c r="AF94" s="24"/>
      <c r="AG94" s="24"/>
      <c r="AH94" s="24"/>
      <c r="AI94" s="24"/>
      <c r="AJ94" s="24"/>
      <c r="AK94" s="24"/>
      <c r="AL94" s="24"/>
      <c r="AM94" s="24"/>
    </row>
    <row r="95" spans="1:39" ht="117.75" customHeight="1" thickBot="1" x14ac:dyDescent="0.35">
      <c r="A95" s="116">
        <v>1</v>
      </c>
      <c r="B95" s="210">
        <v>91</v>
      </c>
      <c r="C95" s="220">
        <v>46099</v>
      </c>
      <c r="D95" s="221" t="s">
        <v>453</v>
      </c>
      <c r="E95" s="221" t="s">
        <v>267</v>
      </c>
      <c r="F95" s="221" t="s">
        <v>469</v>
      </c>
      <c r="G95" s="221" t="s">
        <v>469</v>
      </c>
      <c r="H95" s="221" t="s">
        <v>355</v>
      </c>
      <c r="I95" s="230" t="s">
        <v>832</v>
      </c>
      <c r="J95" s="82" t="s">
        <v>377</v>
      </c>
      <c r="K95" s="221" t="s">
        <v>357</v>
      </c>
      <c r="L95" s="221" t="s">
        <v>479</v>
      </c>
      <c r="M95" s="221" t="s">
        <v>311</v>
      </c>
      <c r="N95" s="221" t="s">
        <v>504</v>
      </c>
      <c r="O95" s="231"/>
      <c r="P95" s="231"/>
      <c r="Q95" s="221" t="s">
        <v>358</v>
      </c>
      <c r="R95" s="221"/>
      <c r="S95" s="221" t="s">
        <v>358</v>
      </c>
      <c r="T95" s="221" t="s">
        <v>274</v>
      </c>
      <c r="U95" s="227" t="s">
        <v>819</v>
      </c>
      <c r="V95" s="228" t="s">
        <v>482</v>
      </c>
      <c r="W95" s="227" t="s">
        <v>641</v>
      </c>
      <c r="X95" s="229" t="s">
        <v>352</v>
      </c>
      <c r="Y95" s="224" t="s">
        <v>359</v>
      </c>
      <c r="Z95" s="24"/>
      <c r="AA95" s="24"/>
      <c r="AB95" s="24"/>
      <c r="AC95" s="24"/>
      <c r="AD95" s="24"/>
      <c r="AE95" s="24"/>
      <c r="AF95" s="24"/>
      <c r="AG95" s="24"/>
      <c r="AH95" s="24"/>
      <c r="AI95" s="24"/>
      <c r="AJ95" s="24"/>
      <c r="AK95" s="24"/>
      <c r="AL95" s="24"/>
      <c r="AM95" s="24"/>
    </row>
    <row r="96" spans="1:39" ht="84" customHeight="1" x14ac:dyDescent="0.3">
      <c r="A96" s="116">
        <v>1</v>
      </c>
      <c r="B96" s="210">
        <v>92</v>
      </c>
      <c r="C96" s="220">
        <v>46099</v>
      </c>
      <c r="D96" s="221" t="s">
        <v>453</v>
      </c>
      <c r="E96" s="221" t="s">
        <v>267</v>
      </c>
      <c r="F96" s="221" t="s">
        <v>469</v>
      </c>
      <c r="G96" s="221" t="s">
        <v>469</v>
      </c>
      <c r="H96" s="221" t="s">
        <v>355</v>
      </c>
      <c r="I96" s="230" t="s">
        <v>833</v>
      </c>
      <c r="J96" s="221" t="s">
        <v>362</v>
      </c>
      <c r="K96" s="221" t="s">
        <v>357</v>
      </c>
      <c r="L96" s="221" t="s">
        <v>479</v>
      </c>
      <c r="M96" s="221" t="s">
        <v>311</v>
      </c>
      <c r="N96" s="221" t="s">
        <v>504</v>
      </c>
      <c r="O96" s="231"/>
      <c r="P96" s="231"/>
      <c r="Q96" s="221" t="s">
        <v>358</v>
      </c>
      <c r="R96" s="221"/>
      <c r="S96" s="221" t="s">
        <v>358</v>
      </c>
      <c r="T96" s="221" t="s">
        <v>274</v>
      </c>
      <c r="U96" s="227" t="s">
        <v>819</v>
      </c>
      <c r="V96" s="228" t="s">
        <v>482</v>
      </c>
      <c r="W96" s="227" t="s">
        <v>641</v>
      </c>
      <c r="X96" s="229" t="s">
        <v>352</v>
      </c>
      <c r="Y96" s="224" t="s">
        <v>359</v>
      </c>
      <c r="Z96" s="24"/>
      <c r="AA96" s="24"/>
      <c r="AB96" s="24"/>
      <c r="AC96" s="24"/>
      <c r="AD96" s="24"/>
      <c r="AE96" s="24"/>
      <c r="AF96" s="24"/>
      <c r="AG96" s="24"/>
      <c r="AH96" s="24"/>
      <c r="AI96" s="24"/>
      <c r="AJ96" s="24"/>
      <c r="AK96" s="24"/>
      <c r="AL96" s="24"/>
      <c r="AM96" s="24"/>
    </row>
    <row r="97" spans="1:39" ht="84" customHeight="1" thickBot="1" x14ac:dyDescent="0.35">
      <c r="A97" s="116">
        <v>1</v>
      </c>
      <c r="B97" s="210">
        <v>93</v>
      </c>
      <c r="C97" s="220">
        <v>46099</v>
      </c>
      <c r="D97" s="221" t="s">
        <v>453</v>
      </c>
      <c r="E97" s="221" t="s">
        <v>267</v>
      </c>
      <c r="F97" s="221" t="s">
        <v>469</v>
      </c>
      <c r="G97" s="221" t="s">
        <v>469</v>
      </c>
      <c r="H97" s="221" t="s">
        <v>355</v>
      </c>
      <c r="I97" s="230" t="s">
        <v>837</v>
      </c>
      <c r="J97" s="82" t="s">
        <v>377</v>
      </c>
      <c r="K97" s="221" t="s">
        <v>357</v>
      </c>
      <c r="L97" s="221" t="s">
        <v>479</v>
      </c>
      <c r="M97" s="221" t="s">
        <v>311</v>
      </c>
      <c r="N97" s="221" t="s">
        <v>504</v>
      </c>
      <c r="O97" s="231"/>
      <c r="P97" s="231"/>
      <c r="Q97" s="221" t="s">
        <v>358</v>
      </c>
      <c r="R97" s="221"/>
      <c r="S97" s="221" t="s">
        <v>358</v>
      </c>
      <c r="T97" s="221" t="s">
        <v>274</v>
      </c>
      <c r="U97" s="227" t="s">
        <v>819</v>
      </c>
      <c r="V97" s="228" t="s">
        <v>482</v>
      </c>
      <c r="W97" s="227" t="s">
        <v>641</v>
      </c>
      <c r="X97" s="229" t="s">
        <v>352</v>
      </c>
      <c r="Y97" s="224" t="s">
        <v>359</v>
      </c>
      <c r="Z97" s="24"/>
      <c r="AA97" s="24"/>
      <c r="AB97" s="24"/>
      <c r="AC97" s="24"/>
      <c r="AD97" s="24"/>
      <c r="AE97" s="24"/>
      <c r="AF97" s="24"/>
      <c r="AG97" s="24"/>
      <c r="AH97" s="24"/>
      <c r="AI97" s="24"/>
      <c r="AJ97" s="24"/>
      <c r="AK97" s="24"/>
      <c r="AL97" s="24"/>
      <c r="AM97" s="24"/>
    </row>
    <row r="98" spans="1:39" ht="84" customHeight="1" x14ac:dyDescent="0.3">
      <c r="A98" s="116">
        <v>1</v>
      </c>
      <c r="B98" s="210">
        <v>94</v>
      </c>
      <c r="C98" s="220">
        <v>46099</v>
      </c>
      <c r="D98" s="221" t="s">
        <v>453</v>
      </c>
      <c r="E98" s="221" t="s">
        <v>267</v>
      </c>
      <c r="F98" s="221" t="s">
        <v>839</v>
      </c>
      <c r="G98" s="221" t="s">
        <v>838</v>
      </c>
      <c r="H98" s="221" t="s">
        <v>355</v>
      </c>
      <c r="I98" s="230" t="s">
        <v>834</v>
      </c>
      <c r="J98" s="221" t="s">
        <v>366</v>
      </c>
      <c r="K98" s="221" t="s">
        <v>357</v>
      </c>
      <c r="L98" s="221" t="s">
        <v>479</v>
      </c>
      <c r="M98" s="221" t="s">
        <v>311</v>
      </c>
      <c r="N98" s="221" t="s">
        <v>504</v>
      </c>
      <c r="O98" s="231"/>
      <c r="P98" s="231"/>
      <c r="Q98" s="221" t="s">
        <v>358</v>
      </c>
      <c r="R98" s="221"/>
      <c r="S98" s="221" t="s">
        <v>358</v>
      </c>
      <c r="T98" s="221" t="s">
        <v>274</v>
      </c>
      <c r="U98" s="227" t="s">
        <v>835</v>
      </c>
      <c r="V98" s="228" t="s">
        <v>487</v>
      </c>
      <c r="W98" s="227" t="s">
        <v>836</v>
      </c>
      <c r="X98" s="229" t="s">
        <v>352</v>
      </c>
      <c r="Y98" s="224" t="s">
        <v>359</v>
      </c>
      <c r="Z98" s="24"/>
      <c r="AA98" s="24"/>
      <c r="AB98" s="24"/>
      <c r="AC98" s="24"/>
      <c r="AD98" s="24"/>
      <c r="AE98" s="24"/>
      <c r="AF98" s="24"/>
      <c r="AG98" s="24"/>
      <c r="AH98" s="24"/>
      <c r="AI98" s="24"/>
      <c r="AJ98" s="24"/>
      <c r="AK98" s="24"/>
      <c r="AL98" s="24"/>
      <c r="AM98" s="24"/>
    </row>
    <row r="99" spans="1:39" ht="84" customHeight="1" x14ac:dyDescent="0.3">
      <c r="A99" s="116">
        <v>1</v>
      </c>
      <c r="B99" s="210">
        <v>95</v>
      </c>
      <c r="C99" s="220">
        <v>46100</v>
      </c>
      <c r="D99" s="221" t="s">
        <v>453</v>
      </c>
      <c r="E99" s="221" t="s">
        <v>365</v>
      </c>
      <c r="F99" s="221" t="s">
        <v>32</v>
      </c>
      <c r="G99" s="221" t="s">
        <v>813</v>
      </c>
      <c r="H99" s="221" t="s">
        <v>355</v>
      </c>
      <c r="I99" s="230" t="s">
        <v>840</v>
      </c>
      <c r="J99" s="221" t="s">
        <v>362</v>
      </c>
      <c r="K99" s="221" t="s">
        <v>357</v>
      </c>
      <c r="L99" s="221" t="s">
        <v>479</v>
      </c>
      <c r="M99" s="221" t="s">
        <v>311</v>
      </c>
      <c r="N99" s="221" t="s">
        <v>384</v>
      </c>
      <c r="O99" s="231"/>
      <c r="P99" s="231"/>
      <c r="Q99" s="221" t="s">
        <v>358</v>
      </c>
      <c r="R99" s="221"/>
      <c r="S99" s="221" t="s">
        <v>358</v>
      </c>
      <c r="T99" s="221" t="s">
        <v>274</v>
      </c>
      <c r="U99" s="227" t="s">
        <v>842</v>
      </c>
      <c r="V99" s="228" t="s">
        <v>487</v>
      </c>
      <c r="W99" s="227" t="s">
        <v>841</v>
      </c>
      <c r="X99" s="229" t="s">
        <v>352</v>
      </c>
      <c r="Y99" s="224" t="s">
        <v>359</v>
      </c>
      <c r="Z99" s="24"/>
      <c r="AA99" s="24"/>
      <c r="AB99" s="24"/>
      <c r="AC99" s="24"/>
      <c r="AD99" s="24"/>
      <c r="AE99" s="24"/>
      <c r="AF99" s="24"/>
      <c r="AG99" s="24"/>
      <c r="AH99" s="24"/>
      <c r="AI99" s="24"/>
      <c r="AJ99" s="24"/>
      <c r="AK99" s="24"/>
      <c r="AL99" s="24"/>
      <c r="AM99" s="24"/>
    </row>
    <row r="100" spans="1:39" ht="84" customHeight="1" x14ac:dyDescent="0.3">
      <c r="A100" s="116">
        <v>1</v>
      </c>
      <c r="B100" s="210">
        <v>96</v>
      </c>
      <c r="C100" s="220">
        <v>46100</v>
      </c>
      <c r="D100" s="221" t="s">
        <v>453</v>
      </c>
      <c r="E100" s="221" t="s">
        <v>360</v>
      </c>
      <c r="F100" s="221" t="s">
        <v>466</v>
      </c>
      <c r="G100" s="221" t="s">
        <v>465</v>
      </c>
      <c r="H100" s="221" t="s">
        <v>287</v>
      </c>
      <c r="I100" s="230" t="s">
        <v>844</v>
      </c>
      <c r="J100" s="221" t="s">
        <v>366</v>
      </c>
      <c r="K100" s="221" t="s">
        <v>357</v>
      </c>
      <c r="L100" s="221" t="s">
        <v>479</v>
      </c>
      <c r="M100" s="221" t="s">
        <v>311</v>
      </c>
      <c r="N100" s="221" t="s">
        <v>363</v>
      </c>
      <c r="O100" s="231"/>
      <c r="P100" s="231"/>
      <c r="Q100" s="221" t="s">
        <v>358</v>
      </c>
      <c r="R100" s="221"/>
      <c r="S100" s="221" t="s">
        <v>358</v>
      </c>
      <c r="T100" s="221" t="s">
        <v>274</v>
      </c>
      <c r="U100" s="227" t="s">
        <v>843</v>
      </c>
      <c r="V100" s="228" t="s">
        <v>487</v>
      </c>
      <c r="W100" s="227" t="s">
        <v>675</v>
      </c>
      <c r="X100" s="229" t="s">
        <v>352</v>
      </c>
      <c r="Y100" s="224" t="s">
        <v>359</v>
      </c>
      <c r="Z100" s="24"/>
      <c r="AA100" s="24"/>
      <c r="AB100" s="24"/>
      <c r="AC100" s="24"/>
      <c r="AD100" s="24"/>
      <c r="AE100" s="24"/>
      <c r="AF100" s="24"/>
      <c r="AG100" s="24"/>
      <c r="AH100" s="24"/>
      <c r="AI100" s="24"/>
      <c r="AJ100" s="24"/>
      <c r="AK100" s="24"/>
      <c r="AL100" s="24"/>
      <c r="AM100" s="24"/>
    </row>
    <row r="101" spans="1:39" ht="169.5" customHeight="1" x14ac:dyDescent="0.3">
      <c r="A101" s="116">
        <v>1</v>
      </c>
      <c r="B101" s="210">
        <v>97</v>
      </c>
      <c r="C101" s="220">
        <v>46100</v>
      </c>
      <c r="D101" s="221" t="s">
        <v>453</v>
      </c>
      <c r="E101" s="221" t="s">
        <v>267</v>
      </c>
      <c r="F101" s="221" t="s">
        <v>536</v>
      </c>
      <c r="G101" s="221" t="s">
        <v>149</v>
      </c>
      <c r="H101" s="221" t="s">
        <v>287</v>
      </c>
      <c r="I101" s="230" t="s">
        <v>846</v>
      </c>
      <c r="J101" s="221" t="s">
        <v>366</v>
      </c>
      <c r="K101" s="221" t="s">
        <v>357</v>
      </c>
      <c r="L101" s="221" t="s">
        <v>479</v>
      </c>
      <c r="M101" s="221" t="s">
        <v>311</v>
      </c>
      <c r="N101" s="221" t="s">
        <v>504</v>
      </c>
      <c r="O101" s="231">
        <v>46111</v>
      </c>
      <c r="P101" s="231">
        <v>46111</v>
      </c>
      <c r="Q101" s="221" t="s">
        <v>620</v>
      </c>
      <c r="R101" s="221"/>
      <c r="S101" s="221" t="s">
        <v>358</v>
      </c>
      <c r="T101" s="221" t="s">
        <v>274</v>
      </c>
      <c r="U101" s="227" t="s">
        <v>845</v>
      </c>
      <c r="V101" s="228" t="s">
        <v>667</v>
      </c>
      <c r="W101" s="227" t="s">
        <v>668</v>
      </c>
      <c r="X101" s="229" t="s">
        <v>352</v>
      </c>
      <c r="Y101" s="224" t="s">
        <v>359</v>
      </c>
      <c r="Z101" s="24"/>
      <c r="AA101" s="24"/>
      <c r="AB101" s="24"/>
      <c r="AC101" s="24"/>
      <c r="AD101" s="24"/>
      <c r="AE101" s="24"/>
      <c r="AF101" s="24"/>
      <c r="AG101" s="24"/>
      <c r="AH101" s="24"/>
      <c r="AI101" s="24"/>
      <c r="AJ101" s="24"/>
      <c r="AK101" s="24"/>
      <c r="AL101" s="24"/>
      <c r="AM101" s="24"/>
    </row>
    <row r="102" spans="1:39" ht="84" customHeight="1" x14ac:dyDescent="0.3">
      <c r="A102" s="116">
        <v>1</v>
      </c>
      <c r="B102" s="210">
        <v>98</v>
      </c>
      <c r="C102" s="220">
        <v>46100</v>
      </c>
      <c r="D102" s="221" t="s">
        <v>453</v>
      </c>
      <c r="E102" s="221" t="s">
        <v>365</v>
      </c>
      <c r="F102" s="221" t="s">
        <v>32</v>
      </c>
      <c r="G102" s="221" t="s">
        <v>32</v>
      </c>
      <c r="H102" s="221" t="s">
        <v>287</v>
      </c>
      <c r="I102" s="230" t="s">
        <v>849</v>
      </c>
      <c r="J102" s="221" t="s">
        <v>366</v>
      </c>
      <c r="K102" s="221" t="s">
        <v>357</v>
      </c>
      <c r="L102" s="221" t="s">
        <v>479</v>
      </c>
      <c r="M102" s="221" t="s">
        <v>311</v>
      </c>
      <c r="N102" s="221" t="s">
        <v>384</v>
      </c>
      <c r="O102" s="231"/>
      <c r="P102" s="231"/>
      <c r="Q102" s="221" t="s">
        <v>358</v>
      </c>
      <c r="R102" s="221"/>
      <c r="S102" s="221" t="s">
        <v>358</v>
      </c>
      <c r="T102" s="221" t="s">
        <v>274</v>
      </c>
      <c r="U102" s="227" t="s">
        <v>848</v>
      </c>
      <c r="V102" s="228" t="s">
        <v>487</v>
      </c>
      <c r="W102" s="227" t="s">
        <v>847</v>
      </c>
      <c r="X102" s="229" t="s">
        <v>352</v>
      </c>
      <c r="Y102" s="224" t="s">
        <v>359</v>
      </c>
      <c r="Z102" s="24"/>
      <c r="AA102" s="24"/>
      <c r="AB102" s="24"/>
      <c r="AC102" s="24"/>
      <c r="AD102" s="24"/>
      <c r="AE102" s="24"/>
      <c r="AF102" s="24"/>
      <c r="AG102" s="24"/>
      <c r="AH102" s="24"/>
      <c r="AI102" s="24"/>
      <c r="AJ102" s="24"/>
      <c r="AK102" s="24"/>
      <c r="AL102" s="24"/>
      <c r="AM102" s="24"/>
    </row>
    <row r="103" spans="1:39" ht="84" customHeight="1" x14ac:dyDescent="0.3">
      <c r="A103" s="116">
        <v>1</v>
      </c>
      <c r="B103" s="210">
        <v>99</v>
      </c>
      <c r="C103" s="220">
        <v>46100</v>
      </c>
      <c r="D103" s="221" t="s">
        <v>453</v>
      </c>
      <c r="E103" s="221" t="s">
        <v>267</v>
      </c>
      <c r="F103" s="221" t="s">
        <v>839</v>
      </c>
      <c r="G103" s="221" t="s">
        <v>838</v>
      </c>
      <c r="H103" s="221" t="s">
        <v>287</v>
      </c>
      <c r="I103" s="230" t="s">
        <v>850</v>
      </c>
      <c r="J103" s="221" t="s">
        <v>366</v>
      </c>
      <c r="K103" s="221" t="s">
        <v>357</v>
      </c>
      <c r="L103" s="221" t="s">
        <v>479</v>
      </c>
      <c r="M103" s="221" t="s">
        <v>311</v>
      </c>
      <c r="N103" s="221" t="s">
        <v>504</v>
      </c>
      <c r="O103" s="231"/>
      <c r="P103" s="231"/>
      <c r="Q103" s="221" t="s">
        <v>358</v>
      </c>
      <c r="R103" s="221"/>
      <c r="S103" s="221" t="s">
        <v>358</v>
      </c>
      <c r="T103" s="221" t="s">
        <v>274</v>
      </c>
      <c r="U103" s="227" t="s">
        <v>851</v>
      </c>
      <c r="V103" s="228" t="s">
        <v>487</v>
      </c>
      <c r="W103" s="227" t="s">
        <v>836</v>
      </c>
      <c r="X103" s="229" t="s">
        <v>352</v>
      </c>
      <c r="Y103" s="224" t="s">
        <v>359</v>
      </c>
      <c r="Z103" s="24"/>
      <c r="AA103" s="24"/>
      <c r="AB103" s="24"/>
      <c r="AC103" s="24"/>
      <c r="AD103" s="24"/>
      <c r="AE103" s="24"/>
      <c r="AF103" s="24"/>
      <c r="AG103" s="24"/>
      <c r="AH103" s="24"/>
      <c r="AI103" s="24"/>
      <c r="AJ103" s="24"/>
      <c r="AK103" s="24"/>
      <c r="AL103" s="24"/>
      <c r="AM103" s="24"/>
    </row>
    <row r="104" spans="1:39" ht="84" customHeight="1" x14ac:dyDescent="0.3">
      <c r="A104" s="116">
        <v>1</v>
      </c>
      <c r="B104" s="210">
        <v>100</v>
      </c>
      <c r="C104" s="220">
        <v>46104</v>
      </c>
      <c r="D104" s="221" t="s">
        <v>453</v>
      </c>
      <c r="E104" s="221" t="s">
        <v>267</v>
      </c>
      <c r="F104" s="221" t="s">
        <v>490</v>
      </c>
      <c r="G104" s="221" t="s">
        <v>490</v>
      </c>
      <c r="H104" s="221" t="s">
        <v>372</v>
      </c>
      <c r="I104" s="230" t="s">
        <v>854</v>
      </c>
      <c r="J104" s="221" t="s">
        <v>362</v>
      </c>
      <c r="K104" s="221" t="s">
        <v>357</v>
      </c>
      <c r="L104" s="221" t="s">
        <v>479</v>
      </c>
      <c r="M104" s="221" t="s">
        <v>311</v>
      </c>
      <c r="N104" s="221" t="s">
        <v>373</v>
      </c>
      <c r="O104" s="231"/>
      <c r="P104" s="231"/>
      <c r="Q104" s="221" t="s">
        <v>358</v>
      </c>
      <c r="R104" s="221"/>
      <c r="S104" s="221" t="s">
        <v>358</v>
      </c>
      <c r="T104" s="221" t="s">
        <v>274</v>
      </c>
      <c r="U104" s="227" t="s">
        <v>855</v>
      </c>
      <c r="V104" s="228" t="s">
        <v>856</v>
      </c>
      <c r="W104" s="227" t="s">
        <v>857</v>
      </c>
      <c r="X104" s="229" t="s">
        <v>352</v>
      </c>
      <c r="Y104" s="224" t="s">
        <v>359</v>
      </c>
      <c r="Z104" s="24"/>
      <c r="AA104" s="24"/>
      <c r="AB104" s="24"/>
      <c r="AC104" s="24"/>
      <c r="AD104" s="24"/>
      <c r="AE104" s="24"/>
      <c r="AF104" s="24"/>
      <c r="AG104" s="24"/>
      <c r="AH104" s="24"/>
      <c r="AI104" s="24"/>
      <c r="AJ104" s="24"/>
      <c r="AK104" s="24"/>
      <c r="AL104" s="24"/>
      <c r="AM104" s="24"/>
    </row>
    <row r="105" spans="1:39" ht="84" customHeight="1" x14ac:dyDescent="0.3">
      <c r="A105" s="116">
        <v>1</v>
      </c>
      <c r="B105" s="210">
        <v>101</v>
      </c>
      <c r="C105" s="220">
        <v>46101</v>
      </c>
      <c r="D105" s="221" t="s">
        <v>453</v>
      </c>
      <c r="E105" s="221" t="s">
        <v>267</v>
      </c>
      <c r="F105" s="221" t="s">
        <v>469</v>
      </c>
      <c r="G105" s="221" t="s">
        <v>469</v>
      </c>
      <c r="H105" s="221" t="s">
        <v>380</v>
      </c>
      <c r="I105" s="230" t="s">
        <v>858</v>
      </c>
      <c r="J105" s="221" t="s">
        <v>362</v>
      </c>
      <c r="K105" s="221" t="s">
        <v>357</v>
      </c>
      <c r="L105" s="221" t="s">
        <v>479</v>
      </c>
      <c r="M105" s="221" t="s">
        <v>311</v>
      </c>
      <c r="N105" s="221" t="s">
        <v>504</v>
      </c>
      <c r="O105" s="231"/>
      <c r="P105" s="231"/>
      <c r="Q105" s="221" t="s">
        <v>358</v>
      </c>
      <c r="R105" s="221"/>
      <c r="S105" s="221" t="s">
        <v>358</v>
      </c>
      <c r="T105" s="221" t="s">
        <v>274</v>
      </c>
      <c r="U105" s="227" t="s">
        <v>819</v>
      </c>
      <c r="V105" s="228" t="s">
        <v>482</v>
      </c>
      <c r="W105" s="227" t="s">
        <v>641</v>
      </c>
      <c r="X105" s="229" t="s">
        <v>352</v>
      </c>
      <c r="Y105" s="224" t="s">
        <v>359</v>
      </c>
      <c r="Z105" s="24"/>
      <c r="AA105" s="24"/>
      <c r="AB105" s="24"/>
      <c r="AC105" s="24"/>
      <c r="AD105" s="24"/>
      <c r="AE105" s="24"/>
      <c r="AF105" s="24"/>
      <c r="AG105" s="24"/>
      <c r="AH105" s="24"/>
      <c r="AI105" s="24"/>
      <c r="AJ105" s="24"/>
      <c r="AK105" s="24"/>
      <c r="AL105" s="24"/>
      <c r="AM105" s="24"/>
    </row>
    <row r="106" spans="1:39" ht="84" customHeight="1" x14ac:dyDescent="0.3">
      <c r="A106" s="116">
        <v>1</v>
      </c>
      <c r="B106" s="210">
        <v>102</v>
      </c>
      <c r="C106" s="220">
        <v>46105</v>
      </c>
      <c r="D106" s="221" t="s">
        <v>453</v>
      </c>
      <c r="E106" s="221" t="s">
        <v>267</v>
      </c>
      <c r="F106" s="221" t="s">
        <v>863</v>
      </c>
      <c r="G106" s="221" t="s">
        <v>863</v>
      </c>
      <c r="H106" s="221" t="s">
        <v>372</v>
      </c>
      <c r="I106" s="230" t="s">
        <v>859</v>
      </c>
      <c r="J106" s="221" t="s">
        <v>362</v>
      </c>
      <c r="K106" s="221" t="s">
        <v>357</v>
      </c>
      <c r="L106" s="221" t="s">
        <v>479</v>
      </c>
      <c r="M106" s="221" t="s">
        <v>311</v>
      </c>
      <c r="N106" s="221" t="s">
        <v>373</v>
      </c>
      <c r="O106" s="231"/>
      <c r="P106" s="231"/>
      <c r="Q106" s="221" t="s">
        <v>358</v>
      </c>
      <c r="R106" s="221"/>
      <c r="S106" s="221" t="s">
        <v>358</v>
      </c>
      <c r="T106" s="221" t="s">
        <v>274</v>
      </c>
      <c r="U106" s="227" t="s">
        <v>860</v>
      </c>
      <c r="V106" s="228" t="s">
        <v>861</v>
      </c>
      <c r="W106" s="227" t="s">
        <v>862</v>
      </c>
      <c r="X106" s="229" t="s">
        <v>352</v>
      </c>
      <c r="Y106" s="224" t="s">
        <v>359</v>
      </c>
      <c r="Z106" s="24"/>
      <c r="AA106" s="24"/>
      <c r="AB106" s="24"/>
      <c r="AC106" s="24"/>
      <c r="AD106" s="24"/>
      <c r="AE106" s="24"/>
      <c r="AF106" s="24"/>
      <c r="AG106" s="24"/>
      <c r="AH106" s="24"/>
      <c r="AI106" s="24"/>
      <c r="AJ106" s="24"/>
      <c r="AK106" s="24"/>
      <c r="AL106" s="24"/>
      <c r="AM106" s="24"/>
    </row>
    <row r="107" spans="1:39" ht="84" customHeight="1" x14ac:dyDescent="0.3">
      <c r="A107" s="116">
        <v>1</v>
      </c>
      <c r="B107" s="210">
        <v>103</v>
      </c>
      <c r="C107" s="220">
        <v>46105</v>
      </c>
      <c r="D107" s="221" t="s">
        <v>453</v>
      </c>
      <c r="E107" s="221" t="s">
        <v>267</v>
      </c>
      <c r="F107" s="221" t="s">
        <v>75</v>
      </c>
      <c r="G107" s="221" t="s">
        <v>123</v>
      </c>
      <c r="H107" s="221" t="s">
        <v>287</v>
      </c>
      <c r="I107" s="230" t="s">
        <v>864</v>
      </c>
      <c r="J107" s="221" t="s">
        <v>366</v>
      </c>
      <c r="K107" s="221" t="s">
        <v>357</v>
      </c>
      <c r="L107" s="221" t="s">
        <v>479</v>
      </c>
      <c r="M107" s="221" t="s">
        <v>311</v>
      </c>
      <c r="N107" s="221" t="s">
        <v>504</v>
      </c>
      <c r="O107" s="231"/>
      <c r="P107" s="231"/>
      <c r="Q107" s="221" t="s">
        <v>358</v>
      </c>
      <c r="R107" s="221"/>
      <c r="S107" s="221" t="s">
        <v>358</v>
      </c>
      <c r="T107" s="221" t="s">
        <v>274</v>
      </c>
      <c r="U107" s="227" t="s">
        <v>865</v>
      </c>
      <c r="V107" s="228">
        <v>8617777</v>
      </c>
      <c r="W107" s="227" t="s">
        <v>749</v>
      </c>
      <c r="X107" s="229" t="s">
        <v>352</v>
      </c>
      <c r="Y107" s="224" t="s">
        <v>359</v>
      </c>
      <c r="Z107" s="24"/>
      <c r="AA107" s="24"/>
      <c r="AB107" s="24"/>
      <c r="AC107" s="24"/>
      <c r="AD107" s="24"/>
      <c r="AE107" s="24"/>
      <c r="AF107" s="24"/>
      <c r="AG107" s="24"/>
      <c r="AH107" s="24"/>
      <c r="AI107" s="24"/>
      <c r="AJ107" s="24"/>
      <c r="AK107" s="24"/>
      <c r="AL107" s="24"/>
      <c r="AM107" s="24"/>
    </row>
    <row r="108" spans="1:39" ht="122.25" customHeight="1" x14ac:dyDescent="0.3">
      <c r="A108" s="116">
        <v>1</v>
      </c>
      <c r="B108" s="210">
        <v>104</v>
      </c>
      <c r="C108" s="220">
        <v>46105</v>
      </c>
      <c r="D108" s="221" t="s">
        <v>453</v>
      </c>
      <c r="E108" s="221" t="s">
        <v>267</v>
      </c>
      <c r="F108" s="221" t="s">
        <v>469</v>
      </c>
      <c r="G108" s="221" t="s">
        <v>469</v>
      </c>
      <c r="H108" s="221" t="s">
        <v>355</v>
      </c>
      <c r="I108" s="230" t="s">
        <v>868</v>
      </c>
      <c r="J108" s="221" t="s">
        <v>366</v>
      </c>
      <c r="K108" s="221" t="s">
        <v>357</v>
      </c>
      <c r="L108" s="221" t="s">
        <v>479</v>
      </c>
      <c r="M108" s="221" t="s">
        <v>311</v>
      </c>
      <c r="N108" s="221" t="s">
        <v>504</v>
      </c>
      <c r="O108" s="231"/>
      <c r="P108" s="231"/>
      <c r="Q108" s="221" t="s">
        <v>358</v>
      </c>
      <c r="R108" s="221"/>
      <c r="S108" s="221" t="s">
        <v>358</v>
      </c>
      <c r="T108" s="221" t="s">
        <v>274</v>
      </c>
      <c r="U108" s="227" t="s">
        <v>867</v>
      </c>
      <c r="V108" s="228" t="s">
        <v>482</v>
      </c>
      <c r="W108" s="227" t="s">
        <v>866</v>
      </c>
      <c r="X108" s="229" t="s">
        <v>352</v>
      </c>
      <c r="Y108" s="224" t="s">
        <v>359</v>
      </c>
      <c r="Z108" s="24"/>
      <c r="AA108" s="24"/>
      <c r="AB108" s="24"/>
      <c r="AC108" s="24"/>
      <c r="AD108" s="24"/>
      <c r="AE108" s="24"/>
      <c r="AF108" s="24"/>
      <c r="AG108" s="24"/>
      <c r="AH108" s="24"/>
      <c r="AI108" s="24"/>
      <c r="AJ108" s="24"/>
      <c r="AK108" s="24"/>
      <c r="AL108" s="24"/>
      <c r="AM108" s="24"/>
    </row>
    <row r="109" spans="1:39" ht="133.5" customHeight="1" x14ac:dyDescent="0.3">
      <c r="A109" s="116">
        <v>1</v>
      </c>
      <c r="B109" s="210">
        <v>105</v>
      </c>
      <c r="C109" s="220">
        <v>46105</v>
      </c>
      <c r="D109" s="221" t="s">
        <v>453</v>
      </c>
      <c r="E109" s="221" t="s">
        <v>267</v>
      </c>
      <c r="F109" s="221" t="s">
        <v>469</v>
      </c>
      <c r="G109" s="221" t="s">
        <v>469</v>
      </c>
      <c r="H109" s="221" t="s">
        <v>355</v>
      </c>
      <c r="I109" s="230" t="s">
        <v>869</v>
      </c>
      <c r="J109" s="221" t="s">
        <v>366</v>
      </c>
      <c r="K109" s="221" t="s">
        <v>357</v>
      </c>
      <c r="L109" s="221" t="s">
        <v>479</v>
      </c>
      <c r="M109" s="221" t="s">
        <v>311</v>
      </c>
      <c r="N109" s="221" t="s">
        <v>504</v>
      </c>
      <c r="O109" s="231"/>
      <c r="P109" s="231"/>
      <c r="Q109" s="221" t="s">
        <v>358</v>
      </c>
      <c r="R109" s="221"/>
      <c r="S109" s="221" t="s">
        <v>358</v>
      </c>
      <c r="T109" s="221" t="s">
        <v>274</v>
      </c>
      <c r="U109" s="227" t="s">
        <v>867</v>
      </c>
      <c r="V109" s="228" t="s">
        <v>482</v>
      </c>
      <c r="W109" s="227" t="s">
        <v>866</v>
      </c>
      <c r="X109" s="229" t="s">
        <v>352</v>
      </c>
      <c r="Y109" s="224" t="s">
        <v>359</v>
      </c>
      <c r="Z109" s="24"/>
      <c r="AA109" s="24"/>
      <c r="AB109" s="24"/>
      <c r="AC109" s="24"/>
      <c r="AD109" s="24"/>
      <c r="AE109" s="24"/>
      <c r="AF109" s="24"/>
      <c r="AG109" s="24"/>
      <c r="AH109" s="24"/>
      <c r="AI109" s="24"/>
      <c r="AJ109" s="24"/>
      <c r="AK109" s="24"/>
      <c r="AL109" s="24"/>
      <c r="AM109" s="24"/>
    </row>
    <row r="110" spans="1:39" ht="84" customHeight="1" x14ac:dyDescent="0.3">
      <c r="A110" s="116">
        <v>1</v>
      </c>
      <c r="B110" s="210">
        <v>106</v>
      </c>
      <c r="C110" s="220">
        <v>46105</v>
      </c>
      <c r="D110" s="221" t="s">
        <v>453</v>
      </c>
      <c r="E110" s="221" t="s">
        <v>267</v>
      </c>
      <c r="F110" s="221" t="s">
        <v>469</v>
      </c>
      <c r="G110" s="221" t="s">
        <v>469</v>
      </c>
      <c r="H110" s="221" t="s">
        <v>355</v>
      </c>
      <c r="I110" s="230" t="s">
        <v>870</v>
      </c>
      <c r="J110" s="221" t="s">
        <v>362</v>
      </c>
      <c r="K110" s="221" t="s">
        <v>357</v>
      </c>
      <c r="L110" s="221" t="s">
        <v>479</v>
      </c>
      <c r="M110" s="221" t="s">
        <v>311</v>
      </c>
      <c r="N110" s="221" t="s">
        <v>504</v>
      </c>
      <c r="O110" s="231"/>
      <c r="P110" s="231"/>
      <c r="Q110" s="221" t="s">
        <v>358</v>
      </c>
      <c r="R110" s="221"/>
      <c r="S110" s="221" t="s">
        <v>358</v>
      </c>
      <c r="T110" s="221" t="s">
        <v>274</v>
      </c>
      <c r="U110" s="227" t="s">
        <v>867</v>
      </c>
      <c r="V110" s="228" t="s">
        <v>482</v>
      </c>
      <c r="W110" s="227" t="s">
        <v>866</v>
      </c>
      <c r="X110" s="229" t="s">
        <v>352</v>
      </c>
      <c r="Y110" s="224" t="s">
        <v>359</v>
      </c>
      <c r="Z110" s="24"/>
      <c r="AA110" s="24"/>
      <c r="AB110" s="24"/>
      <c r="AC110" s="24"/>
      <c r="AD110" s="24"/>
      <c r="AE110" s="24"/>
      <c r="AF110" s="24"/>
      <c r="AG110" s="24"/>
      <c r="AH110" s="24"/>
      <c r="AI110" s="24"/>
      <c r="AJ110" s="24"/>
      <c r="AK110" s="24"/>
      <c r="AL110" s="24"/>
      <c r="AM110" s="24"/>
    </row>
    <row r="111" spans="1:39" ht="108" customHeight="1" x14ac:dyDescent="0.3">
      <c r="A111" s="116">
        <v>1</v>
      </c>
      <c r="B111" s="210">
        <v>107</v>
      </c>
      <c r="C111" s="220">
        <v>46106</v>
      </c>
      <c r="D111" s="221" t="s">
        <v>453</v>
      </c>
      <c r="E111" s="221" t="s">
        <v>267</v>
      </c>
      <c r="F111" s="221" t="s">
        <v>469</v>
      </c>
      <c r="G111" s="221" t="s">
        <v>469</v>
      </c>
      <c r="H111" s="221" t="s">
        <v>380</v>
      </c>
      <c r="I111" s="230" t="s">
        <v>877</v>
      </c>
      <c r="J111" s="221" t="s">
        <v>362</v>
      </c>
      <c r="K111" s="221" t="s">
        <v>357</v>
      </c>
      <c r="L111" s="221" t="s">
        <v>479</v>
      </c>
      <c r="M111" s="221" t="s">
        <v>311</v>
      </c>
      <c r="N111" s="221" t="s">
        <v>504</v>
      </c>
      <c r="O111" s="231"/>
      <c r="P111" s="231"/>
      <c r="Q111" s="221" t="s">
        <v>358</v>
      </c>
      <c r="R111" s="221"/>
      <c r="S111" s="221" t="s">
        <v>358</v>
      </c>
      <c r="T111" s="221" t="s">
        <v>274</v>
      </c>
      <c r="U111" s="227" t="s">
        <v>640</v>
      </c>
      <c r="V111" s="228" t="s">
        <v>482</v>
      </c>
      <c r="W111" s="227" t="s">
        <v>641</v>
      </c>
      <c r="X111" s="229" t="s">
        <v>352</v>
      </c>
      <c r="Y111" s="224" t="s">
        <v>359</v>
      </c>
      <c r="Z111" s="24"/>
      <c r="AA111" s="24"/>
      <c r="AB111" s="24"/>
      <c r="AC111" s="24"/>
      <c r="AD111" s="24"/>
      <c r="AE111" s="24"/>
      <c r="AF111" s="24"/>
      <c r="AG111" s="24"/>
      <c r="AH111" s="24"/>
      <c r="AI111" s="24"/>
      <c r="AJ111" s="24"/>
      <c r="AK111" s="24"/>
      <c r="AL111" s="24"/>
      <c r="AM111" s="24"/>
    </row>
    <row r="112" spans="1:39" ht="84" customHeight="1" x14ac:dyDescent="0.3">
      <c r="A112" s="116">
        <v>1</v>
      </c>
      <c r="B112" s="210">
        <v>108</v>
      </c>
      <c r="C112" s="220">
        <v>46106</v>
      </c>
      <c r="D112" s="221" t="s">
        <v>453</v>
      </c>
      <c r="E112" s="221" t="s">
        <v>267</v>
      </c>
      <c r="F112" s="221" t="s">
        <v>23</v>
      </c>
      <c r="G112" s="221" t="s">
        <v>23</v>
      </c>
      <c r="H112" s="221" t="s">
        <v>372</v>
      </c>
      <c r="I112" s="230" t="s">
        <v>871</v>
      </c>
      <c r="J112" s="221" t="s">
        <v>369</v>
      </c>
      <c r="K112" s="221" t="s">
        <v>357</v>
      </c>
      <c r="L112" s="221" t="s">
        <v>479</v>
      </c>
      <c r="M112" s="221" t="s">
        <v>311</v>
      </c>
      <c r="N112" s="221" t="s">
        <v>373</v>
      </c>
      <c r="O112" s="231"/>
      <c r="P112" s="231"/>
      <c r="Q112" s="221" t="s">
        <v>358</v>
      </c>
      <c r="R112" s="221"/>
      <c r="S112" s="221" t="s">
        <v>358</v>
      </c>
      <c r="T112" s="221" t="s">
        <v>274</v>
      </c>
      <c r="U112" s="227" t="s">
        <v>867</v>
      </c>
      <c r="V112" s="228" t="s">
        <v>855</v>
      </c>
      <c r="W112" s="227" t="s">
        <v>872</v>
      </c>
      <c r="X112" s="229" t="s">
        <v>352</v>
      </c>
      <c r="Y112" s="224" t="s">
        <v>359</v>
      </c>
      <c r="Z112" s="24"/>
      <c r="AA112" s="24"/>
      <c r="AB112" s="24"/>
      <c r="AC112" s="24"/>
      <c r="AD112" s="24"/>
      <c r="AE112" s="24"/>
      <c r="AF112" s="24"/>
      <c r="AG112" s="24"/>
      <c r="AH112" s="24"/>
      <c r="AI112" s="24"/>
      <c r="AJ112" s="24"/>
      <c r="AK112" s="24"/>
      <c r="AL112" s="24"/>
      <c r="AM112" s="24"/>
    </row>
    <row r="113" spans="1:39" ht="84" customHeight="1" x14ac:dyDescent="0.3">
      <c r="A113" s="116">
        <v>1</v>
      </c>
      <c r="B113" s="210">
        <v>109</v>
      </c>
      <c r="C113" s="220">
        <v>46106</v>
      </c>
      <c r="D113" s="221" t="s">
        <v>453</v>
      </c>
      <c r="E113" s="221" t="s">
        <v>365</v>
      </c>
      <c r="F113" s="221" t="s">
        <v>733</v>
      </c>
      <c r="G113" s="221" t="s">
        <v>110</v>
      </c>
      <c r="H113" s="221" t="s">
        <v>380</v>
      </c>
      <c r="I113" s="230" t="s">
        <v>878</v>
      </c>
      <c r="J113" s="221" t="s">
        <v>362</v>
      </c>
      <c r="K113" s="221" t="s">
        <v>357</v>
      </c>
      <c r="L113" s="221" t="s">
        <v>479</v>
      </c>
      <c r="M113" s="221" t="s">
        <v>311</v>
      </c>
      <c r="N113" s="221" t="s">
        <v>504</v>
      </c>
      <c r="O113" s="231"/>
      <c r="P113" s="231"/>
      <c r="Q113" s="221" t="s">
        <v>358</v>
      </c>
      <c r="R113" s="221"/>
      <c r="S113" s="221" t="s">
        <v>358</v>
      </c>
      <c r="T113" s="221" t="s">
        <v>274</v>
      </c>
      <c r="U113" s="227" t="s">
        <v>879</v>
      </c>
      <c r="V113" s="228" t="s">
        <v>487</v>
      </c>
      <c r="W113" s="227" t="s">
        <v>638</v>
      </c>
      <c r="X113" s="229" t="s">
        <v>352</v>
      </c>
      <c r="Y113" s="224" t="s">
        <v>359</v>
      </c>
      <c r="Z113" s="24"/>
      <c r="AA113" s="24"/>
      <c r="AB113" s="24"/>
      <c r="AC113" s="24"/>
      <c r="AD113" s="24"/>
      <c r="AE113" s="24"/>
      <c r="AF113" s="24"/>
      <c r="AG113" s="24"/>
      <c r="AH113" s="24"/>
      <c r="AI113" s="24"/>
      <c r="AJ113" s="24"/>
      <c r="AK113" s="24"/>
      <c r="AL113" s="24"/>
      <c r="AM113" s="24"/>
    </row>
    <row r="114" spans="1:39" ht="84" customHeight="1" x14ac:dyDescent="0.3">
      <c r="A114" s="116">
        <v>1</v>
      </c>
      <c r="B114" s="210">
        <v>110</v>
      </c>
      <c r="C114" s="220">
        <v>46106</v>
      </c>
      <c r="D114" s="221" t="s">
        <v>453</v>
      </c>
      <c r="E114" s="221" t="s">
        <v>267</v>
      </c>
      <c r="F114" s="221" t="s">
        <v>876</v>
      </c>
      <c r="G114" s="221" t="s">
        <v>876</v>
      </c>
      <c r="H114" s="221" t="s">
        <v>380</v>
      </c>
      <c r="I114" s="230" t="s">
        <v>873</v>
      </c>
      <c r="J114" s="221" t="s">
        <v>369</v>
      </c>
      <c r="K114" s="221" t="s">
        <v>357</v>
      </c>
      <c r="L114" s="221" t="s">
        <v>479</v>
      </c>
      <c r="M114" s="221" t="s">
        <v>311</v>
      </c>
      <c r="N114" s="221" t="s">
        <v>504</v>
      </c>
      <c r="O114" s="231"/>
      <c r="P114" s="231"/>
      <c r="Q114" s="221" t="s">
        <v>358</v>
      </c>
      <c r="R114" s="221"/>
      <c r="S114" s="221" t="s">
        <v>358</v>
      </c>
      <c r="T114" s="221" t="s">
        <v>274</v>
      </c>
      <c r="U114" s="227" t="s">
        <v>874</v>
      </c>
      <c r="V114" s="228" t="s">
        <v>487</v>
      </c>
      <c r="W114" s="227" t="s">
        <v>875</v>
      </c>
      <c r="X114" s="229" t="s">
        <v>352</v>
      </c>
      <c r="Y114" s="224" t="s">
        <v>359</v>
      </c>
      <c r="Z114" s="24"/>
      <c r="AA114" s="24"/>
      <c r="AB114" s="24"/>
      <c r="AC114" s="24"/>
      <c r="AD114" s="24"/>
      <c r="AE114" s="24"/>
      <c r="AF114" s="24"/>
      <c r="AG114" s="24"/>
      <c r="AH114" s="24"/>
      <c r="AI114" s="24"/>
      <c r="AJ114" s="24"/>
      <c r="AK114" s="24"/>
      <c r="AL114" s="24"/>
      <c r="AM114" s="24"/>
    </row>
    <row r="115" spans="1:39" ht="84" customHeight="1" x14ac:dyDescent="0.3">
      <c r="A115" s="116">
        <v>1</v>
      </c>
      <c r="B115" s="210">
        <v>111</v>
      </c>
      <c r="C115" s="220">
        <v>46107</v>
      </c>
      <c r="D115" s="221" t="s">
        <v>453</v>
      </c>
      <c r="E115" s="221" t="s">
        <v>267</v>
      </c>
      <c r="F115" s="221" t="s">
        <v>469</v>
      </c>
      <c r="G115" s="221" t="s">
        <v>469</v>
      </c>
      <c r="H115" s="221" t="s">
        <v>372</v>
      </c>
      <c r="I115" s="230" t="s">
        <v>880</v>
      </c>
      <c r="J115" s="221" t="s">
        <v>368</v>
      </c>
      <c r="K115" s="221" t="s">
        <v>359</v>
      </c>
      <c r="L115" s="221" t="s">
        <v>479</v>
      </c>
      <c r="M115" s="221" t="s">
        <v>311</v>
      </c>
      <c r="N115" s="221" t="s">
        <v>504</v>
      </c>
      <c r="O115" s="231"/>
      <c r="P115" s="231"/>
      <c r="Q115" s="221" t="s">
        <v>358</v>
      </c>
      <c r="R115" s="221"/>
      <c r="S115" s="221" t="s">
        <v>358</v>
      </c>
      <c r="T115" s="221" t="s">
        <v>274</v>
      </c>
      <c r="U115" s="227" t="s">
        <v>881</v>
      </c>
      <c r="V115" s="228">
        <v>5946161</v>
      </c>
      <c r="W115" s="227" t="s">
        <v>882</v>
      </c>
      <c r="X115" s="229" t="s">
        <v>352</v>
      </c>
      <c r="Y115" s="224" t="s">
        <v>359</v>
      </c>
      <c r="Z115" s="24"/>
      <c r="AA115" s="24"/>
      <c r="AB115" s="24"/>
      <c r="AC115" s="24"/>
      <c r="AD115" s="24"/>
      <c r="AE115" s="24"/>
      <c r="AF115" s="24"/>
      <c r="AG115" s="24"/>
      <c r="AH115" s="24"/>
      <c r="AI115" s="24"/>
      <c r="AJ115" s="24"/>
      <c r="AK115" s="24"/>
      <c r="AL115" s="24"/>
      <c r="AM115" s="24"/>
    </row>
    <row r="116" spans="1:39" ht="84" customHeight="1" x14ac:dyDescent="0.3">
      <c r="A116" s="116">
        <v>1</v>
      </c>
      <c r="B116" s="210">
        <v>112</v>
      </c>
      <c r="C116" s="220">
        <v>46107</v>
      </c>
      <c r="D116" s="221" t="s">
        <v>453</v>
      </c>
      <c r="E116" s="221" t="s">
        <v>267</v>
      </c>
      <c r="F116" s="221" t="s">
        <v>543</v>
      </c>
      <c r="G116" s="221" t="s">
        <v>52</v>
      </c>
      <c r="H116" s="221" t="s">
        <v>355</v>
      </c>
      <c r="I116" s="230" t="s">
        <v>883</v>
      </c>
      <c r="J116" s="221" t="s">
        <v>368</v>
      </c>
      <c r="K116" s="221" t="s">
        <v>357</v>
      </c>
      <c r="L116" s="221" t="s">
        <v>479</v>
      </c>
      <c r="M116" s="221" t="s">
        <v>311</v>
      </c>
      <c r="N116" s="221" t="s">
        <v>504</v>
      </c>
      <c r="O116" s="231"/>
      <c r="P116" s="231"/>
      <c r="Q116" s="221" t="s">
        <v>358</v>
      </c>
      <c r="R116" s="221"/>
      <c r="S116" s="221" t="s">
        <v>358</v>
      </c>
      <c r="T116" s="221" t="s">
        <v>274</v>
      </c>
      <c r="U116" s="227" t="s">
        <v>884</v>
      </c>
      <c r="V116" s="228" t="s">
        <v>487</v>
      </c>
      <c r="W116" s="227" t="s">
        <v>885</v>
      </c>
      <c r="X116" s="229" t="s">
        <v>352</v>
      </c>
      <c r="Y116" s="224" t="s">
        <v>359</v>
      </c>
      <c r="Z116" s="24"/>
      <c r="AA116" s="24"/>
      <c r="AB116" s="24"/>
      <c r="AC116" s="24"/>
      <c r="AD116" s="24"/>
      <c r="AE116" s="24"/>
      <c r="AF116" s="24"/>
      <c r="AG116" s="24"/>
      <c r="AH116" s="24"/>
      <c r="AI116" s="24"/>
      <c r="AJ116" s="24"/>
      <c r="AK116" s="24"/>
      <c r="AL116" s="24"/>
      <c r="AM116" s="24"/>
    </row>
    <row r="117" spans="1:39" ht="84" customHeight="1" x14ac:dyDescent="0.3">
      <c r="A117" s="116">
        <v>1</v>
      </c>
      <c r="B117" s="210">
        <v>113</v>
      </c>
      <c r="C117" s="220">
        <v>46107</v>
      </c>
      <c r="D117" s="221" t="s">
        <v>453</v>
      </c>
      <c r="E117" s="221" t="s">
        <v>267</v>
      </c>
      <c r="F117" s="221" t="s">
        <v>733</v>
      </c>
      <c r="G117" s="221" t="s">
        <v>110</v>
      </c>
      <c r="H117" s="221" t="s">
        <v>380</v>
      </c>
      <c r="I117" s="230" t="s">
        <v>886</v>
      </c>
      <c r="J117" s="221" t="s">
        <v>366</v>
      </c>
      <c r="K117" s="221" t="s">
        <v>357</v>
      </c>
      <c r="L117" s="221" t="s">
        <v>479</v>
      </c>
      <c r="M117" s="221" t="s">
        <v>311</v>
      </c>
      <c r="N117" s="221" t="s">
        <v>504</v>
      </c>
      <c r="O117" s="231"/>
      <c r="P117" s="231"/>
      <c r="Q117" s="221" t="s">
        <v>358</v>
      </c>
      <c r="R117" s="221"/>
      <c r="S117" s="221" t="s">
        <v>358</v>
      </c>
      <c r="T117" s="221" t="s">
        <v>274</v>
      </c>
      <c r="U117" s="227" t="s">
        <v>887</v>
      </c>
      <c r="V117" s="228" t="s">
        <v>487</v>
      </c>
      <c r="W117" s="227" t="s">
        <v>687</v>
      </c>
      <c r="X117" s="229" t="s">
        <v>352</v>
      </c>
      <c r="Y117" s="224" t="s">
        <v>359</v>
      </c>
      <c r="Z117" s="24"/>
      <c r="AA117" s="24"/>
      <c r="AB117" s="24"/>
      <c r="AC117" s="24"/>
      <c r="AD117" s="24"/>
      <c r="AE117" s="24"/>
      <c r="AF117" s="24"/>
      <c r="AG117" s="24"/>
      <c r="AH117" s="24"/>
      <c r="AI117" s="24"/>
      <c r="AJ117" s="24"/>
      <c r="AK117" s="24"/>
      <c r="AL117" s="24"/>
      <c r="AM117" s="24"/>
    </row>
    <row r="118" spans="1:39" ht="84" customHeight="1" x14ac:dyDescent="0.3">
      <c r="A118" s="116">
        <v>1</v>
      </c>
      <c r="B118" s="210">
        <v>114</v>
      </c>
      <c r="C118" s="220">
        <v>46107</v>
      </c>
      <c r="D118" s="221" t="s">
        <v>453</v>
      </c>
      <c r="E118" s="221" t="s">
        <v>267</v>
      </c>
      <c r="F118" s="221" t="s">
        <v>143</v>
      </c>
      <c r="G118" s="221" t="s">
        <v>201</v>
      </c>
      <c r="H118" s="221" t="s">
        <v>355</v>
      </c>
      <c r="I118" s="230" t="s">
        <v>891</v>
      </c>
      <c r="J118" s="221" t="s">
        <v>362</v>
      </c>
      <c r="K118" s="221" t="s">
        <v>357</v>
      </c>
      <c r="L118" s="221" t="s">
        <v>479</v>
      </c>
      <c r="M118" s="221" t="s">
        <v>311</v>
      </c>
      <c r="N118" s="221" t="s">
        <v>504</v>
      </c>
      <c r="O118" s="231"/>
      <c r="P118" s="231"/>
      <c r="Q118" s="221" t="s">
        <v>358</v>
      </c>
      <c r="R118" s="221"/>
      <c r="S118" s="221" t="s">
        <v>358</v>
      </c>
      <c r="T118" s="221" t="s">
        <v>274</v>
      </c>
      <c r="U118" s="227" t="s">
        <v>888</v>
      </c>
      <c r="V118" s="228" t="s">
        <v>889</v>
      </c>
      <c r="W118" s="227" t="s">
        <v>890</v>
      </c>
      <c r="X118" s="229" t="s">
        <v>352</v>
      </c>
      <c r="Y118" s="224" t="s">
        <v>359</v>
      </c>
      <c r="Z118" s="24"/>
      <c r="AA118" s="24"/>
      <c r="AB118" s="24"/>
      <c r="AC118" s="24"/>
      <c r="AD118" s="24"/>
      <c r="AE118" s="24"/>
      <c r="AF118" s="24"/>
      <c r="AG118" s="24"/>
      <c r="AH118" s="24"/>
      <c r="AI118" s="24"/>
      <c r="AJ118" s="24"/>
      <c r="AK118" s="24"/>
      <c r="AL118" s="24"/>
      <c r="AM118" s="24"/>
    </row>
    <row r="119" spans="1:39" ht="84" customHeight="1" x14ac:dyDescent="0.3">
      <c r="A119" s="116">
        <v>1</v>
      </c>
      <c r="B119" s="210">
        <v>115</v>
      </c>
      <c r="C119" s="220">
        <v>46111</v>
      </c>
      <c r="D119" s="221" t="s">
        <v>453</v>
      </c>
      <c r="E119" s="221" t="s">
        <v>365</v>
      </c>
      <c r="F119" s="221" t="s">
        <v>733</v>
      </c>
      <c r="G119" s="221" t="s">
        <v>110</v>
      </c>
      <c r="H119" s="221" t="s">
        <v>355</v>
      </c>
      <c r="I119" s="230" t="s">
        <v>892</v>
      </c>
      <c r="J119" s="221" t="s">
        <v>366</v>
      </c>
      <c r="K119" s="221" t="s">
        <v>357</v>
      </c>
      <c r="L119" s="221" t="s">
        <v>479</v>
      </c>
      <c r="M119" s="221" t="s">
        <v>311</v>
      </c>
      <c r="N119" s="221" t="s">
        <v>504</v>
      </c>
      <c r="O119" s="231"/>
      <c r="P119" s="231"/>
      <c r="Q119" s="221" t="s">
        <v>358</v>
      </c>
      <c r="R119" s="221"/>
      <c r="S119" s="221" t="s">
        <v>358</v>
      </c>
      <c r="T119" s="221" t="s">
        <v>274</v>
      </c>
      <c r="U119" s="227" t="s">
        <v>893</v>
      </c>
      <c r="V119" s="228" t="s">
        <v>894</v>
      </c>
      <c r="W119" s="227" t="s">
        <v>895</v>
      </c>
      <c r="X119" s="229" t="s">
        <v>352</v>
      </c>
      <c r="Y119" s="224" t="s">
        <v>359</v>
      </c>
      <c r="Z119" s="24"/>
      <c r="AA119" s="24"/>
      <c r="AB119" s="24"/>
      <c r="AC119" s="24"/>
      <c r="AD119" s="24"/>
      <c r="AE119" s="24"/>
      <c r="AF119" s="24"/>
      <c r="AG119" s="24"/>
      <c r="AH119" s="24"/>
      <c r="AI119" s="24"/>
      <c r="AJ119" s="24"/>
      <c r="AK119" s="24"/>
      <c r="AL119" s="24"/>
      <c r="AM119" s="24"/>
    </row>
    <row r="120" spans="1:39" ht="84" customHeight="1" x14ac:dyDescent="0.3">
      <c r="A120" s="116">
        <v>1</v>
      </c>
      <c r="B120" s="210">
        <v>116</v>
      </c>
      <c r="C120" s="220">
        <v>46111</v>
      </c>
      <c r="D120" s="221" t="s">
        <v>453</v>
      </c>
      <c r="E120" s="221" t="s">
        <v>365</v>
      </c>
      <c r="F120" s="221" t="s">
        <v>733</v>
      </c>
      <c r="G120" s="221" t="s">
        <v>110</v>
      </c>
      <c r="H120" s="221" t="s">
        <v>355</v>
      </c>
      <c r="I120" s="230" t="s">
        <v>896</v>
      </c>
      <c r="J120" s="221" t="s">
        <v>366</v>
      </c>
      <c r="K120" s="221" t="s">
        <v>357</v>
      </c>
      <c r="L120" s="221" t="s">
        <v>479</v>
      </c>
      <c r="M120" s="221" t="s">
        <v>311</v>
      </c>
      <c r="N120" s="221" t="s">
        <v>384</v>
      </c>
      <c r="O120" s="231"/>
      <c r="P120" s="231"/>
      <c r="Q120" s="221" t="s">
        <v>358</v>
      </c>
      <c r="R120" s="221"/>
      <c r="S120" s="221" t="s">
        <v>358</v>
      </c>
      <c r="T120" s="221" t="s">
        <v>274</v>
      </c>
      <c r="U120" s="227" t="s">
        <v>893</v>
      </c>
      <c r="V120" s="228" t="s">
        <v>894</v>
      </c>
      <c r="W120" s="227" t="s">
        <v>895</v>
      </c>
      <c r="X120" s="229" t="s">
        <v>352</v>
      </c>
      <c r="Y120" s="224" t="s">
        <v>359</v>
      </c>
      <c r="Z120" s="24"/>
      <c r="AA120" s="24"/>
      <c r="AB120" s="24"/>
      <c r="AC120" s="24"/>
      <c r="AD120" s="24"/>
      <c r="AE120" s="24"/>
      <c r="AF120" s="24"/>
      <c r="AG120" s="24"/>
      <c r="AH120" s="24"/>
      <c r="AI120" s="24"/>
      <c r="AJ120" s="24"/>
      <c r="AK120" s="24"/>
      <c r="AL120" s="24"/>
      <c r="AM120" s="24"/>
    </row>
    <row r="121" spans="1:39" ht="84" customHeight="1" x14ac:dyDescent="0.3">
      <c r="A121" s="116">
        <v>1</v>
      </c>
      <c r="B121" s="210">
        <v>117</v>
      </c>
      <c r="C121" s="220">
        <v>46111</v>
      </c>
      <c r="D121" s="221" t="s">
        <v>453</v>
      </c>
      <c r="E121" s="221" t="s">
        <v>267</v>
      </c>
      <c r="F121" s="221" t="s">
        <v>535</v>
      </c>
      <c r="G121" s="221" t="s">
        <v>164</v>
      </c>
      <c r="H121" s="221" t="s">
        <v>355</v>
      </c>
      <c r="I121" s="292" t="s">
        <v>898</v>
      </c>
      <c r="J121" s="221" t="s">
        <v>366</v>
      </c>
      <c r="K121" s="221" t="s">
        <v>357</v>
      </c>
      <c r="L121" s="221" t="s">
        <v>479</v>
      </c>
      <c r="M121" s="221" t="s">
        <v>311</v>
      </c>
      <c r="N121" s="221" t="s">
        <v>900</v>
      </c>
      <c r="O121" s="231"/>
      <c r="P121" s="231"/>
      <c r="Q121" s="221" t="s">
        <v>358</v>
      </c>
      <c r="R121" s="221"/>
      <c r="S121" s="221" t="s">
        <v>358</v>
      </c>
      <c r="T121" s="221" t="s">
        <v>274</v>
      </c>
      <c r="U121" s="223" t="s">
        <v>901</v>
      </c>
      <c r="V121" s="293" t="s">
        <v>612</v>
      </c>
      <c r="W121" s="227" t="s">
        <v>495</v>
      </c>
      <c r="X121" s="229" t="s">
        <v>352</v>
      </c>
      <c r="Y121" s="224" t="s">
        <v>359</v>
      </c>
      <c r="Z121" s="24"/>
      <c r="AA121" s="24"/>
      <c r="AB121" s="24"/>
      <c r="AC121" s="24"/>
      <c r="AD121" s="24"/>
      <c r="AE121" s="24"/>
      <c r="AF121" s="24"/>
      <c r="AG121" s="24"/>
      <c r="AH121" s="24"/>
      <c r="AI121" s="24"/>
      <c r="AJ121" s="24"/>
      <c r="AK121" s="24"/>
      <c r="AL121" s="24"/>
      <c r="AM121" s="24"/>
    </row>
    <row r="122" spans="1:39" ht="84" customHeight="1" x14ac:dyDescent="0.3">
      <c r="A122" s="116">
        <v>1</v>
      </c>
      <c r="B122" s="210">
        <v>118</v>
      </c>
      <c r="C122" s="220">
        <v>46111</v>
      </c>
      <c r="D122" s="221" t="s">
        <v>453</v>
      </c>
      <c r="E122" s="221" t="s">
        <v>371</v>
      </c>
      <c r="F122" s="221" t="s">
        <v>23</v>
      </c>
      <c r="G122" s="221" t="s">
        <v>23</v>
      </c>
      <c r="H122" s="221" t="s">
        <v>372</v>
      </c>
      <c r="I122" s="230" t="s">
        <v>897</v>
      </c>
      <c r="J122" s="221" t="s">
        <v>368</v>
      </c>
      <c r="K122" s="221" t="s">
        <v>357</v>
      </c>
      <c r="L122" s="221" t="s">
        <v>479</v>
      </c>
      <c r="M122" s="221" t="s">
        <v>311</v>
      </c>
      <c r="N122" s="221" t="s">
        <v>373</v>
      </c>
      <c r="O122" s="231"/>
      <c r="P122" s="231"/>
      <c r="Q122" s="221" t="s">
        <v>358</v>
      </c>
      <c r="R122" s="221"/>
      <c r="S122" s="221" t="s">
        <v>358</v>
      </c>
      <c r="T122" s="221" t="s">
        <v>274</v>
      </c>
      <c r="U122" s="227" t="s">
        <v>855</v>
      </c>
      <c r="V122" s="228" t="s">
        <v>872</v>
      </c>
      <c r="W122" s="227" t="s">
        <v>899</v>
      </c>
      <c r="X122" s="229" t="s">
        <v>352</v>
      </c>
      <c r="Y122" s="224" t="s">
        <v>359</v>
      </c>
      <c r="Z122" s="24"/>
      <c r="AA122" s="24"/>
      <c r="AB122" s="24"/>
      <c r="AC122" s="24"/>
      <c r="AD122" s="24"/>
      <c r="AE122" s="24"/>
      <c r="AF122" s="24"/>
      <c r="AG122" s="24"/>
      <c r="AH122" s="24"/>
      <c r="AI122" s="24"/>
      <c r="AJ122" s="24"/>
      <c r="AK122" s="24"/>
      <c r="AL122" s="24"/>
      <c r="AM122" s="24"/>
    </row>
    <row r="123" spans="1:39" ht="84" customHeight="1" x14ac:dyDescent="0.3">
      <c r="A123" s="116">
        <v>1</v>
      </c>
      <c r="B123" s="210">
        <v>119</v>
      </c>
      <c r="C123" s="220">
        <v>46111</v>
      </c>
      <c r="D123" s="221" t="s">
        <v>453</v>
      </c>
      <c r="E123" s="221" t="s">
        <v>365</v>
      </c>
      <c r="F123" s="221" t="s">
        <v>733</v>
      </c>
      <c r="G123" s="221" t="s">
        <v>110</v>
      </c>
      <c r="H123" s="221" t="s">
        <v>355</v>
      </c>
      <c r="I123" s="230" t="s">
        <v>902</v>
      </c>
      <c r="J123" s="221" t="s">
        <v>366</v>
      </c>
      <c r="K123" s="221" t="s">
        <v>357</v>
      </c>
      <c r="L123" s="221" t="s">
        <v>479</v>
      </c>
      <c r="M123" s="221" t="s">
        <v>311</v>
      </c>
      <c r="N123" s="221" t="s">
        <v>384</v>
      </c>
      <c r="O123" s="231"/>
      <c r="P123" s="231"/>
      <c r="Q123" s="221" t="s">
        <v>358</v>
      </c>
      <c r="R123" s="221"/>
      <c r="S123" s="221" t="s">
        <v>358</v>
      </c>
      <c r="T123" s="221" t="s">
        <v>274</v>
      </c>
      <c r="U123" s="227" t="s">
        <v>903</v>
      </c>
      <c r="V123" s="228" t="s">
        <v>904</v>
      </c>
      <c r="W123" s="227" t="s">
        <v>638</v>
      </c>
      <c r="X123" s="229" t="s">
        <v>352</v>
      </c>
      <c r="Y123" s="224" t="s">
        <v>359</v>
      </c>
      <c r="Z123" s="24"/>
      <c r="AA123" s="24"/>
      <c r="AB123" s="24"/>
      <c r="AC123" s="24"/>
      <c r="AD123" s="24"/>
      <c r="AE123" s="24"/>
      <c r="AF123" s="24"/>
      <c r="AG123" s="24"/>
      <c r="AH123" s="24"/>
      <c r="AI123" s="24"/>
      <c r="AJ123" s="24"/>
      <c r="AK123" s="24"/>
      <c r="AL123" s="24"/>
      <c r="AM123" s="24"/>
    </row>
    <row r="124" spans="1:39" ht="84" customHeight="1" x14ac:dyDescent="0.3">
      <c r="A124" s="116">
        <v>1</v>
      </c>
      <c r="B124" s="210">
        <v>120</v>
      </c>
      <c r="C124" s="220">
        <v>46112</v>
      </c>
      <c r="D124" s="221" t="s">
        <v>453</v>
      </c>
      <c r="E124" s="221" t="s">
        <v>365</v>
      </c>
      <c r="F124" s="221" t="s">
        <v>50</v>
      </c>
      <c r="G124" s="221" t="s">
        <v>50</v>
      </c>
      <c r="H124" s="221" t="s">
        <v>355</v>
      </c>
      <c r="I124" s="230" t="s">
        <v>905</v>
      </c>
      <c r="J124" s="221" t="s">
        <v>362</v>
      </c>
      <c r="K124" s="221" t="s">
        <v>357</v>
      </c>
      <c r="L124" s="221" t="s">
        <v>479</v>
      </c>
      <c r="M124" s="221" t="s">
        <v>311</v>
      </c>
      <c r="N124" s="221" t="s">
        <v>384</v>
      </c>
      <c r="O124" s="231"/>
      <c r="P124" s="231"/>
      <c r="Q124" s="221" t="s">
        <v>358</v>
      </c>
      <c r="R124" s="221"/>
      <c r="S124" s="221" t="s">
        <v>358</v>
      </c>
      <c r="T124" s="221" t="s">
        <v>274</v>
      </c>
      <c r="U124" s="227" t="s">
        <v>907</v>
      </c>
      <c r="V124" s="228" t="s">
        <v>906</v>
      </c>
      <c r="W124" s="227" t="s">
        <v>908</v>
      </c>
      <c r="X124" s="229" t="s">
        <v>352</v>
      </c>
      <c r="Y124" s="224" t="s">
        <v>359</v>
      </c>
      <c r="Z124" s="24"/>
      <c r="AA124" s="24"/>
      <c r="AB124" s="24"/>
      <c r="AC124" s="24"/>
      <c r="AD124" s="24"/>
      <c r="AE124" s="24"/>
      <c r="AF124" s="24"/>
      <c r="AG124" s="24"/>
      <c r="AH124" s="24"/>
      <c r="AI124" s="24"/>
      <c r="AJ124" s="24"/>
      <c r="AK124" s="24"/>
      <c r="AL124" s="24"/>
      <c r="AM124" s="24"/>
    </row>
    <row r="125" spans="1:39" ht="84" customHeight="1" x14ac:dyDescent="0.3">
      <c r="A125" s="116">
        <v>1</v>
      </c>
      <c r="B125" s="210">
        <v>121</v>
      </c>
      <c r="C125" s="220">
        <v>46112</v>
      </c>
      <c r="D125" s="221" t="s">
        <v>453</v>
      </c>
      <c r="E125" s="221" t="s">
        <v>354</v>
      </c>
      <c r="F125" s="221" t="s">
        <v>45</v>
      </c>
      <c r="G125" s="221" t="s">
        <v>66</v>
      </c>
      <c r="H125" s="221" t="s">
        <v>376</v>
      </c>
      <c r="I125" s="230" t="s">
        <v>909</v>
      </c>
      <c r="J125" s="221" t="s">
        <v>368</v>
      </c>
      <c r="K125" s="221" t="s">
        <v>357</v>
      </c>
      <c r="L125" s="221" t="s">
        <v>479</v>
      </c>
      <c r="M125" s="221" t="s">
        <v>311</v>
      </c>
      <c r="N125" s="221" t="s">
        <v>385</v>
      </c>
      <c r="O125" s="231"/>
      <c r="P125" s="231"/>
      <c r="Q125" s="221" t="s">
        <v>358</v>
      </c>
      <c r="R125" s="221"/>
      <c r="S125" s="221" t="s">
        <v>358</v>
      </c>
      <c r="T125" s="221" t="s">
        <v>274</v>
      </c>
      <c r="U125" s="227" t="s">
        <v>910</v>
      </c>
      <c r="V125" s="228" t="s">
        <v>911</v>
      </c>
      <c r="W125" s="227" t="s">
        <v>912</v>
      </c>
      <c r="X125" s="229" t="s">
        <v>352</v>
      </c>
      <c r="Y125" s="224" t="s">
        <v>359</v>
      </c>
      <c r="Z125" s="24"/>
      <c r="AA125" s="24"/>
      <c r="AB125" s="24"/>
      <c r="AC125" s="24"/>
      <c r="AD125" s="24"/>
      <c r="AE125" s="24"/>
      <c r="AF125" s="24"/>
      <c r="AG125" s="24"/>
      <c r="AH125" s="24"/>
      <c r="AI125" s="24"/>
      <c r="AJ125" s="24"/>
      <c r="AK125" s="24"/>
      <c r="AL125" s="24"/>
      <c r="AM125" s="24"/>
    </row>
    <row r="126" spans="1:39" ht="84" customHeight="1" x14ac:dyDescent="0.3">
      <c r="A126" s="116">
        <v>1</v>
      </c>
      <c r="B126" s="210">
        <v>122</v>
      </c>
      <c r="C126" s="220">
        <v>46112</v>
      </c>
      <c r="D126" s="221" t="s">
        <v>453</v>
      </c>
      <c r="E126" s="221" t="s">
        <v>375</v>
      </c>
      <c r="F126" s="221" t="s">
        <v>513</v>
      </c>
      <c r="G126" s="221" t="s">
        <v>514</v>
      </c>
      <c r="H126" s="221" t="s">
        <v>361</v>
      </c>
      <c r="I126" s="230" t="s">
        <v>916</v>
      </c>
      <c r="J126" s="221" t="s">
        <v>366</v>
      </c>
      <c r="K126" s="221" t="s">
        <v>357</v>
      </c>
      <c r="L126" s="221" t="s">
        <v>479</v>
      </c>
      <c r="M126" s="221" t="s">
        <v>311</v>
      </c>
      <c r="N126" s="221" t="s">
        <v>455</v>
      </c>
      <c r="O126" s="231"/>
      <c r="P126" s="231"/>
      <c r="Q126" s="221" t="s">
        <v>358</v>
      </c>
      <c r="R126" s="221"/>
      <c r="S126" s="221" t="s">
        <v>358</v>
      </c>
      <c r="T126" s="221" t="s">
        <v>274</v>
      </c>
      <c r="U126" s="227" t="s">
        <v>913</v>
      </c>
      <c r="V126" s="228">
        <v>3104606430</v>
      </c>
      <c r="W126" s="227" t="s">
        <v>914</v>
      </c>
      <c r="X126" s="229" t="s">
        <v>352</v>
      </c>
      <c r="Y126" s="224" t="s">
        <v>359</v>
      </c>
      <c r="Z126" s="24"/>
      <c r="AA126" s="24"/>
      <c r="AB126" s="24"/>
      <c r="AC126" s="24"/>
      <c r="AD126" s="24"/>
      <c r="AE126" s="24"/>
      <c r="AF126" s="24"/>
      <c r="AG126" s="24"/>
      <c r="AH126" s="24"/>
      <c r="AI126" s="24"/>
      <c r="AJ126" s="24"/>
      <c r="AK126" s="24"/>
      <c r="AL126" s="24"/>
      <c r="AM126" s="24"/>
    </row>
    <row r="127" spans="1:39" ht="84" customHeight="1" x14ac:dyDescent="0.3">
      <c r="A127" s="116">
        <v>1</v>
      </c>
      <c r="B127" s="210">
        <v>123</v>
      </c>
      <c r="C127" s="220">
        <v>46118</v>
      </c>
      <c r="D127" s="221" t="s">
        <v>453</v>
      </c>
      <c r="E127" s="221" t="s">
        <v>267</v>
      </c>
      <c r="F127" s="221" t="s">
        <v>469</v>
      </c>
      <c r="G127" s="221" t="s">
        <v>469</v>
      </c>
      <c r="H127" s="221" t="s">
        <v>361</v>
      </c>
      <c r="I127" s="230" t="s">
        <v>919</v>
      </c>
      <c r="J127" s="221" t="s">
        <v>915</v>
      </c>
      <c r="K127" s="221" t="s">
        <v>357</v>
      </c>
      <c r="L127" s="221" t="s">
        <v>479</v>
      </c>
      <c r="M127" s="221" t="s">
        <v>311</v>
      </c>
      <c r="N127" s="221" t="s">
        <v>504</v>
      </c>
      <c r="O127" s="231"/>
      <c r="P127" s="231"/>
      <c r="Q127" s="221" t="s">
        <v>358</v>
      </c>
      <c r="R127" s="221"/>
      <c r="S127" s="221" t="s">
        <v>358</v>
      </c>
      <c r="T127" s="221" t="s">
        <v>274</v>
      </c>
      <c r="U127" s="227" t="s">
        <v>918</v>
      </c>
      <c r="V127" s="228" t="s">
        <v>482</v>
      </c>
      <c r="W127" s="227" t="s">
        <v>641</v>
      </c>
      <c r="X127" s="229" t="s">
        <v>352</v>
      </c>
      <c r="Y127" s="224" t="s">
        <v>359</v>
      </c>
      <c r="Z127" s="24"/>
      <c r="AA127" s="24"/>
      <c r="AB127" s="24"/>
      <c r="AC127" s="24"/>
      <c r="AD127" s="24"/>
      <c r="AE127" s="24"/>
      <c r="AF127" s="24"/>
      <c r="AG127" s="24"/>
      <c r="AH127" s="24"/>
      <c r="AI127" s="24"/>
      <c r="AJ127" s="24"/>
      <c r="AK127" s="24"/>
      <c r="AL127" s="24"/>
      <c r="AM127" s="24"/>
    </row>
    <row r="128" spans="1:39" ht="84" customHeight="1" x14ac:dyDescent="0.3">
      <c r="A128" s="116">
        <v>1</v>
      </c>
      <c r="B128" s="210">
        <v>124</v>
      </c>
      <c r="C128" s="220">
        <v>46113</v>
      </c>
      <c r="D128" s="221" t="s">
        <v>453</v>
      </c>
      <c r="E128" s="221" t="s">
        <v>267</v>
      </c>
      <c r="F128" s="221" t="s">
        <v>32</v>
      </c>
      <c r="G128" s="221" t="s">
        <v>813</v>
      </c>
      <c r="H128" s="221" t="s">
        <v>380</v>
      </c>
      <c r="I128" s="230" t="s">
        <v>923</v>
      </c>
      <c r="J128" s="221" t="s">
        <v>915</v>
      </c>
      <c r="K128" s="221" t="s">
        <v>357</v>
      </c>
      <c r="L128" s="221" t="s">
        <v>479</v>
      </c>
      <c r="M128" s="221" t="s">
        <v>311</v>
      </c>
      <c r="N128" s="221" t="s">
        <v>384</v>
      </c>
      <c r="O128" s="231"/>
      <c r="P128" s="231"/>
      <c r="Q128" s="221" t="s">
        <v>358</v>
      </c>
      <c r="R128" s="221"/>
      <c r="S128" s="221" t="s">
        <v>358</v>
      </c>
      <c r="T128" s="221" t="s">
        <v>274</v>
      </c>
      <c r="U128" s="227" t="s">
        <v>920</v>
      </c>
      <c r="V128" s="228" t="s">
        <v>921</v>
      </c>
      <c r="W128" s="227" t="s">
        <v>922</v>
      </c>
      <c r="X128" s="229" t="s">
        <v>352</v>
      </c>
      <c r="Y128" s="224" t="s">
        <v>359</v>
      </c>
      <c r="Z128" s="24"/>
      <c r="AA128" s="24"/>
      <c r="AB128" s="24"/>
      <c r="AC128" s="24"/>
      <c r="AD128" s="24"/>
      <c r="AE128" s="24"/>
      <c r="AF128" s="24"/>
      <c r="AG128" s="24"/>
      <c r="AH128" s="24"/>
      <c r="AI128" s="24"/>
      <c r="AJ128" s="24"/>
      <c r="AK128" s="24"/>
      <c r="AL128" s="24"/>
      <c r="AM128" s="24"/>
    </row>
    <row r="129" spans="1:39" ht="84" customHeight="1" x14ac:dyDescent="0.3">
      <c r="A129" s="116">
        <v>1</v>
      </c>
      <c r="B129" s="210">
        <v>125</v>
      </c>
      <c r="C129" s="220">
        <v>46120</v>
      </c>
      <c r="D129" s="221" t="s">
        <v>453</v>
      </c>
      <c r="E129" s="221" t="s">
        <v>267</v>
      </c>
      <c r="F129" s="221" t="s">
        <v>925</v>
      </c>
      <c r="G129" s="221" t="s">
        <v>925</v>
      </c>
      <c r="H129" s="221" t="s">
        <v>287</v>
      </c>
      <c r="I129" s="230" t="s">
        <v>924</v>
      </c>
      <c r="J129" s="221" t="s">
        <v>915</v>
      </c>
      <c r="K129" s="221" t="s">
        <v>357</v>
      </c>
      <c r="L129" s="221" t="s">
        <v>479</v>
      </c>
      <c r="M129" s="221" t="s">
        <v>311</v>
      </c>
      <c r="N129" s="221" t="s">
        <v>504</v>
      </c>
      <c r="O129" s="231"/>
      <c r="P129" s="231"/>
      <c r="Q129" s="221" t="s">
        <v>358</v>
      </c>
      <c r="R129" s="221"/>
      <c r="S129" s="221" t="s">
        <v>358</v>
      </c>
      <c r="T129" s="221" t="s">
        <v>274</v>
      </c>
      <c r="U129" s="227" t="s">
        <v>860</v>
      </c>
      <c r="V129" s="228" t="s">
        <v>861</v>
      </c>
      <c r="W129" s="227" t="s">
        <v>862</v>
      </c>
      <c r="X129" s="229" t="s">
        <v>352</v>
      </c>
      <c r="Y129" s="224" t="s">
        <v>359</v>
      </c>
      <c r="Z129" s="24"/>
      <c r="AA129" s="24"/>
      <c r="AB129" s="24"/>
      <c r="AC129" s="24"/>
      <c r="AD129" s="24"/>
      <c r="AE129" s="24"/>
      <c r="AF129" s="24"/>
      <c r="AG129" s="24"/>
      <c r="AH129" s="24"/>
      <c r="AI129" s="24"/>
      <c r="AJ129" s="24"/>
      <c r="AK129" s="24"/>
      <c r="AL129" s="24"/>
      <c r="AM129" s="24"/>
    </row>
    <row r="130" spans="1:39" ht="84" customHeight="1" x14ac:dyDescent="0.3">
      <c r="A130" s="116">
        <v>1</v>
      </c>
      <c r="B130" s="210">
        <v>126</v>
      </c>
      <c r="C130" s="220">
        <v>46120</v>
      </c>
      <c r="D130" s="221" t="s">
        <v>453</v>
      </c>
      <c r="E130" s="221" t="s">
        <v>365</v>
      </c>
      <c r="F130" s="221" t="s">
        <v>527</v>
      </c>
      <c r="G130" s="221" t="s">
        <v>527</v>
      </c>
      <c r="H130" s="221" t="s">
        <v>287</v>
      </c>
      <c r="I130" s="230" t="s">
        <v>928</v>
      </c>
      <c r="J130" s="221" t="s">
        <v>915</v>
      </c>
      <c r="K130" s="221" t="s">
        <v>357</v>
      </c>
      <c r="L130" s="221" t="s">
        <v>479</v>
      </c>
      <c r="M130" s="221" t="s">
        <v>311</v>
      </c>
      <c r="N130" s="221" t="s">
        <v>384</v>
      </c>
      <c r="O130" s="231"/>
      <c r="P130" s="231"/>
      <c r="Q130" s="221" t="s">
        <v>358</v>
      </c>
      <c r="R130" s="221"/>
      <c r="S130" s="221" t="s">
        <v>358</v>
      </c>
      <c r="T130" s="221" t="s">
        <v>274</v>
      </c>
      <c r="U130" s="227" t="s">
        <v>926</v>
      </c>
      <c r="V130" s="228" t="e">
        <v>#REF!</v>
      </c>
      <c r="W130" s="227" t="s">
        <v>927</v>
      </c>
      <c r="X130" s="229" t="s">
        <v>352</v>
      </c>
      <c r="Y130" s="224" t="s">
        <v>359</v>
      </c>
      <c r="Z130" s="24"/>
      <c r="AA130" s="24"/>
      <c r="AB130" s="24"/>
      <c r="AC130" s="24"/>
      <c r="AD130" s="24"/>
      <c r="AE130" s="24"/>
      <c r="AF130" s="24"/>
      <c r="AG130" s="24"/>
      <c r="AH130" s="24"/>
      <c r="AI130" s="24"/>
      <c r="AJ130" s="24"/>
      <c r="AK130" s="24"/>
      <c r="AL130" s="24"/>
      <c r="AM130" s="24"/>
    </row>
    <row r="131" spans="1:39" ht="84" customHeight="1" x14ac:dyDescent="0.3">
      <c r="A131" s="116">
        <v>1</v>
      </c>
      <c r="B131" s="210">
        <v>127</v>
      </c>
      <c r="C131" s="220">
        <v>46101</v>
      </c>
      <c r="D131" s="221" t="s">
        <v>453</v>
      </c>
      <c r="E131" s="221" t="s">
        <v>267</v>
      </c>
      <c r="F131" s="221" t="s">
        <v>469</v>
      </c>
      <c r="G131" s="221" t="s">
        <v>469</v>
      </c>
      <c r="H131" s="221" t="s">
        <v>380</v>
      </c>
      <c r="I131" s="230" t="s">
        <v>929</v>
      </c>
      <c r="J131" s="221" t="s">
        <v>362</v>
      </c>
      <c r="K131" s="221" t="s">
        <v>357</v>
      </c>
      <c r="L131" s="221" t="s">
        <v>479</v>
      </c>
      <c r="M131" s="221" t="s">
        <v>311</v>
      </c>
      <c r="N131" s="221" t="s">
        <v>504</v>
      </c>
      <c r="O131" s="231"/>
      <c r="P131" s="231"/>
      <c r="Q131" s="221" t="s">
        <v>358</v>
      </c>
      <c r="R131" s="221"/>
      <c r="S131" s="221" t="s">
        <v>358</v>
      </c>
      <c r="T131" s="221" t="s">
        <v>274</v>
      </c>
      <c r="U131" s="227" t="s">
        <v>819</v>
      </c>
      <c r="V131" s="228" t="s">
        <v>482</v>
      </c>
      <c r="W131" s="227" t="s">
        <v>641</v>
      </c>
      <c r="X131" s="229" t="s">
        <v>352</v>
      </c>
      <c r="Y131" s="224" t="s">
        <v>359</v>
      </c>
      <c r="Z131" s="24"/>
      <c r="AA131" s="24"/>
      <c r="AB131" s="24"/>
      <c r="AC131" s="24"/>
      <c r="AD131" s="24"/>
      <c r="AE131" s="24"/>
      <c r="AF131" s="24"/>
      <c r="AG131" s="24"/>
      <c r="AH131" s="24"/>
      <c r="AI131" s="24"/>
      <c r="AJ131" s="24"/>
      <c r="AK131" s="24"/>
      <c r="AL131" s="24"/>
      <c r="AM131" s="24"/>
    </row>
    <row r="132" spans="1:39" ht="84" customHeight="1" x14ac:dyDescent="0.3">
      <c r="A132" s="116">
        <v>1</v>
      </c>
      <c r="B132" s="210">
        <v>128</v>
      </c>
      <c r="C132" s="220">
        <v>46120</v>
      </c>
      <c r="D132" s="221" t="s">
        <v>453</v>
      </c>
      <c r="E132" s="221" t="s">
        <v>354</v>
      </c>
      <c r="F132" s="221" t="s">
        <v>562</v>
      </c>
      <c r="G132" s="221" t="s">
        <v>497</v>
      </c>
      <c r="H132" s="221" t="s">
        <v>376</v>
      </c>
      <c r="I132" s="230" t="s">
        <v>931</v>
      </c>
      <c r="J132" s="221" t="s">
        <v>915</v>
      </c>
      <c r="K132" s="221" t="s">
        <v>357</v>
      </c>
      <c r="L132" s="221" t="s">
        <v>479</v>
      </c>
      <c r="M132" s="221" t="s">
        <v>311</v>
      </c>
      <c r="N132" s="221" t="s">
        <v>388</v>
      </c>
      <c r="O132" s="231"/>
      <c r="P132" s="231"/>
      <c r="Q132" s="221" t="s">
        <v>358</v>
      </c>
      <c r="R132" s="221"/>
      <c r="S132" s="221" t="s">
        <v>358</v>
      </c>
      <c r="T132" s="221" t="s">
        <v>274</v>
      </c>
      <c r="U132" s="227" t="s">
        <v>487</v>
      </c>
      <c r="V132" s="228" t="e">
        <v>#REF!</v>
      </c>
      <c r="W132" s="227" t="s">
        <v>932</v>
      </c>
      <c r="X132" s="229" t="s">
        <v>352</v>
      </c>
      <c r="Y132" s="224" t="s">
        <v>359</v>
      </c>
      <c r="Z132" s="24"/>
      <c r="AA132" s="24"/>
      <c r="AB132" s="24"/>
      <c r="AC132" s="24"/>
      <c r="AD132" s="24"/>
      <c r="AE132" s="24"/>
      <c r="AF132" s="24"/>
      <c r="AG132" s="24"/>
      <c r="AH132" s="24"/>
      <c r="AI132" s="24"/>
      <c r="AJ132" s="24"/>
      <c r="AK132" s="24"/>
      <c r="AL132" s="24"/>
      <c r="AM132" s="24"/>
    </row>
    <row r="133" spans="1:39" ht="84" customHeight="1" x14ac:dyDescent="0.3">
      <c r="A133" s="116">
        <v>1</v>
      </c>
      <c r="B133" s="210">
        <v>129</v>
      </c>
      <c r="C133" s="220">
        <v>46121</v>
      </c>
      <c r="D133" s="221" t="s">
        <v>453</v>
      </c>
      <c r="E133" s="221" t="s">
        <v>267</v>
      </c>
      <c r="F133" s="221" t="s">
        <v>536</v>
      </c>
      <c r="G133" s="221" t="s">
        <v>149</v>
      </c>
      <c r="H133" s="221" t="s">
        <v>287</v>
      </c>
      <c r="I133" s="230" t="s">
        <v>933</v>
      </c>
      <c r="J133" s="221" t="s">
        <v>915</v>
      </c>
      <c r="K133" s="221" t="s">
        <v>357</v>
      </c>
      <c r="L133" s="221" t="s">
        <v>479</v>
      </c>
      <c r="M133" s="221" t="s">
        <v>311</v>
      </c>
      <c r="N133" s="221" t="s">
        <v>504</v>
      </c>
      <c r="O133" s="231"/>
      <c r="P133" s="231"/>
      <c r="Q133" s="221" t="s">
        <v>358</v>
      </c>
      <c r="R133" s="221"/>
      <c r="S133" s="221" t="s">
        <v>358</v>
      </c>
      <c r="T133" s="221" t="s">
        <v>274</v>
      </c>
      <c r="U133" s="227" t="s">
        <v>487</v>
      </c>
      <c r="V133" s="228" t="e">
        <v>#REF!</v>
      </c>
      <c r="W133" s="227" t="s">
        <v>934</v>
      </c>
      <c r="X133" s="229" t="s">
        <v>352</v>
      </c>
      <c r="Y133" s="224" t="s">
        <v>359</v>
      </c>
      <c r="Z133" s="24"/>
      <c r="AA133" s="24"/>
      <c r="AB133" s="24"/>
      <c r="AC133" s="24"/>
      <c r="AD133" s="24"/>
      <c r="AE133" s="24"/>
      <c r="AF133" s="24"/>
      <c r="AG133" s="24"/>
      <c r="AH133" s="24"/>
      <c r="AI133" s="24"/>
      <c r="AJ133" s="24"/>
      <c r="AK133" s="24"/>
      <c r="AL133" s="24"/>
      <c r="AM133" s="24"/>
    </row>
    <row r="134" spans="1:39" ht="84" customHeight="1" x14ac:dyDescent="0.3">
      <c r="A134" s="116">
        <v>1</v>
      </c>
      <c r="B134" s="210">
        <v>130</v>
      </c>
      <c r="C134" s="220">
        <v>46122</v>
      </c>
      <c r="D134" s="221" t="s">
        <v>453</v>
      </c>
      <c r="E134" s="221" t="s">
        <v>375</v>
      </c>
      <c r="F134" s="221" t="s">
        <v>513</v>
      </c>
      <c r="G134" s="221" t="s">
        <v>514</v>
      </c>
      <c r="H134" s="221" t="s">
        <v>361</v>
      </c>
      <c r="I134" s="230" t="s">
        <v>936</v>
      </c>
      <c r="J134" s="221" t="s">
        <v>915</v>
      </c>
      <c r="K134" s="221" t="s">
        <v>357</v>
      </c>
      <c r="L134" s="221" t="s">
        <v>479</v>
      </c>
      <c r="M134" s="221" t="s">
        <v>311</v>
      </c>
      <c r="N134" s="221" t="s">
        <v>455</v>
      </c>
      <c r="O134" s="231"/>
      <c r="P134" s="231"/>
      <c r="Q134" s="221" t="s">
        <v>358</v>
      </c>
      <c r="R134" s="221"/>
      <c r="S134" s="221" t="s">
        <v>358</v>
      </c>
      <c r="T134" s="221" t="s">
        <v>274</v>
      </c>
      <c r="U134" s="227">
        <v>3104606430</v>
      </c>
      <c r="V134" s="228" t="e">
        <v>#REF!</v>
      </c>
      <c r="W134" s="227" t="s">
        <v>914</v>
      </c>
      <c r="X134" s="229" t="s">
        <v>352</v>
      </c>
      <c r="Y134" s="224" t="s">
        <v>359</v>
      </c>
      <c r="Z134" s="24"/>
      <c r="AA134" s="24"/>
      <c r="AB134" s="24"/>
      <c r="AC134" s="24"/>
      <c r="AD134" s="24"/>
      <c r="AE134" s="24"/>
      <c r="AF134" s="24"/>
      <c r="AG134" s="24"/>
      <c r="AH134" s="24"/>
      <c r="AI134" s="24"/>
      <c r="AJ134" s="24"/>
      <c r="AK134" s="24"/>
      <c r="AL134" s="24"/>
      <c r="AM134" s="24"/>
    </row>
    <row r="135" spans="1:39" ht="84" customHeight="1" x14ac:dyDescent="0.3">
      <c r="A135" s="116"/>
      <c r="B135" s="210"/>
      <c r="C135" s="220"/>
      <c r="D135" s="221"/>
      <c r="E135" s="221"/>
      <c r="F135" s="221"/>
      <c r="G135" s="221"/>
      <c r="H135" s="221"/>
      <c r="I135" s="230"/>
      <c r="J135" s="221"/>
      <c r="K135" s="221"/>
      <c r="L135" s="221"/>
      <c r="M135" s="221"/>
      <c r="N135" s="221"/>
      <c r="O135" s="231"/>
      <c r="P135" s="231"/>
      <c r="Q135" s="221"/>
      <c r="R135" s="221"/>
      <c r="S135" s="221"/>
      <c r="T135" s="221"/>
      <c r="U135" s="227"/>
      <c r="V135" s="228"/>
      <c r="W135" s="227"/>
      <c r="X135" s="229"/>
      <c r="Y135" s="224"/>
      <c r="Z135" s="24"/>
      <c r="AA135" s="24"/>
      <c r="AB135" s="24"/>
      <c r="AC135" s="24"/>
      <c r="AD135" s="24"/>
      <c r="AE135" s="24"/>
      <c r="AF135" s="24"/>
      <c r="AG135" s="24"/>
      <c r="AH135" s="24"/>
      <c r="AI135" s="24"/>
      <c r="AJ135" s="24"/>
      <c r="AK135" s="24"/>
      <c r="AL135" s="24"/>
      <c r="AM135" s="24"/>
    </row>
    <row r="136" spans="1:39" ht="88.5" customHeight="1" x14ac:dyDescent="0.3">
      <c r="A136" s="116"/>
      <c r="B136" s="116"/>
      <c r="C136" s="220"/>
      <c r="D136" s="221"/>
      <c r="E136" s="221"/>
      <c r="F136" s="221"/>
      <c r="G136" s="221"/>
      <c r="H136" s="221"/>
      <c r="I136" s="226"/>
      <c r="J136" s="226"/>
      <c r="K136" s="226"/>
      <c r="L136" s="226"/>
      <c r="M136" s="226"/>
      <c r="N136" s="226"/>
      <c r="O136" s="226"/>
      <c r="P136" s="226"/>
      <c r="Q136" s="226"/>
      <c r="R136" s="226"/>
      <c r="S136" s="226"/>
      <c r="T136" s="226"/>
      <c r="U136" s="223"/>
      <c r="V136" s="223"/>
      <c r="W136" s="223"/>
      <c r="X136" s="223"/>
      <c r="Y136" s="224"/>
      <c r="Z136" s="24"/>
      <c r="AA136" s="24"/>
      <c r="AB136" s="24"/>
      <c r="AC136" s="24"/>
      <c r="AD136" s="24"/>
      <c r="AE136" s="24"/>
      <c r="AF136" s="24"/>
      <c r="AG136" s="24"/>
      <c r="AH136" s="24"/>
      <c r="AI136" s="24"/>
      <c r="AJ136" s="24"/>
      <c r="AK136" s="24"/>
      <c r="AL136" s="24"/>
      <c r="AM136" s="24"/>
    </row>
    <row r="137" spans="1:39" ht="56.25" customHeight="1" x14ac:dyDescent="0.3">
      <c r="A137" s="394"/>
      <c r="B137" s="395"/>
      <c r="C137" s="395"/>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6"/>
      <c r="Z137" s="37"/>
      <c r="AA137" s="24"/>
      <c r="AB137" s="24"/>
      <c r="AC137" s="24"/>
      <c r="AD137" s="24"/>
      <c r="AE137" s="24"/>
      <c r="AF137" s="24"/>
      <c r="AG137" s="24"/>
      <c r="AH137" s="24"/>
      <c r="AI137" s="24"/>
      <c r="AJ137" s="24"/>
      <c r="AK137" s="24"/>
      <c r="AL137" s="24"/>
      <c r="AM137" s="24"/>
    </row>
    <row r="138" spans="1:39" ht="84" customHeight="1" x14ac:dyDescent="0.3">
      <c r="A138" s="46">
        <v>1</v>
      </c>
      <c r="B138" s="47">
        <f>'ATENCION '!L6</f>
        <v>130</v>
      </c>
      <c r="C138" s="48">
        <f>'ATENCION '!E6</f>
        <v>46122</v>
      </c>
      <c r="D138" s="195" t="s">
        <v>453</v>
      </c>
      <c r="E138" s="49" t="str">
        <f>'ATENCION '!G6</f>
        <v>LLANOS</v>
      </c>
      <c r="F138" s="42" t="str">
        <f>'ATENCION '!E17</f>
        <v>CLINICA PRIMAVERA LLANOS</v>
      </c>
      <c r="G138" s="42" t="str">
        <f>'ATENCION '!E19</f>
        <v xml:space="preserve">CLINICA PRIMAVERA LLANOS </v>
      </c>
      <c r="H138" s="45" t="str">
        <f>'ATENCION '!J36</f>
        <v>ONCOLOGÍA</v>
      </c>
      <c r="I138" s="50" t="str">
        <f>'ATENCION '!B42</f>
        <v>Buen día, quisiera por medio de este correo reportar atrasos en la entrega de medicamentos de quimioterapia de los pacientes agendados para el día 08/04/2026, los cuales fueron citados 8 am y confirmados de manera oportuna, sin embargo siendo las 11+15 am no han sido entregada la OP, lo cual genera atrasos en los tratamientos de los pacientes, adicionalmente todos han manifestado inconformidad por lo sucedido.</v>
      </c>
      <c r="J138" s="42" t="s">
        <v>915</v>
      </c>
      <c r="K138" s="42" t="s">
        <v>357</v>
      </c>
      <c r="L138" s="42" t="str">
        <f>[3]ANALISIS!B30</f>
        <v>MAYOR</v>
      </c>
      <c r="M138" s="42" t="str">
        <f>[4]ANALISIS!B22</f>
        <v>PRODUCCIÓN Y DIRECCIÓN TÉCNICA</v>
      </c>
      <c r="N138" s="42" t="str">
        <f>ANALISIS!B24</f>
        <v>TATIANA RICO</v>
      </c>
      <c r="O138" s="51"/>
      <c r="P138" s="51"/>
      <c r="Q138" s="42" t="s">
        <v>358</v>
      </c>
      <c r="R138" s="42"/>
      <c r="S138" s="42" t="s">
        <v>358</v>
      </c>
      <c r="T138" s="42" t="str">
        <f>'ATENCION '!F11</f>
        <v>SERVICIO AL CLIENTE</v>
      </c>
      <c r="U138" s="43">
        <f>'ATENCION '!E25</f>
        <v>3104606430</v>
      </c>
      <c r="V138" s="52" t="e">
        <f>'ATENCION '!#REF!</f>
        <v>#REF!</v>
      </c>
      <c r="W138" s="43" t="str">
        <f>'ATENCION '!E27</f>
        <v>QuimicoFCO@clinicaprimavera.com</v>
      </c>
      <c r="X138" s="53" t="s">
        <v>352</v>
      </c>
      <c r="Y138" s="54" t="s">
        <v>359</v>
      </c>
      <c r="Z138" s="24"/>
      <c r="AA138" s="24"/>
      <c r="AB138" s="24"/>
      <c r="AC138" s="24"/>
      <c r="AD138" s="24"/>
      <c r="AE138" s="24"/>
      <c r="AF138" s="24"/>
      <c r="AG138" s="24"/>
      <c r="AH138" s="24"/>
      <c r="AI138" s="24"/>
      <c r="AJ138" s="24"/>
      <c r="AK138" s="24"/>
      <c r="AL138" s="24"/>
      <c r="AM138" s="24"/>
    </row>
    <row r="139" spans="1:39" ht="56.25" customHeight="1" x14ac:dyDescent="0.3">
      <c r="A139" s="34"/>
      <c r="B139" s="34"/>
      <c r="C139" s="35"/>
      <c r="D139" s="41"/>
      <c r="E139" s="36"/>
      <c r="F139" s="36"/>
      <c r="G139" s="36"/>
      <c r="H139" s="36"/>
      <c r="I139" s="86"/>
      <c r="J139" s="36"/>
      <c r="K139" s="123"/>
      <c r="L139" s="123"/>
      <c r="M139" s="36"/>
      <c r="N139" s="36"/>
      <c r="O139" s="123"/>
      <c r="P139" s="123"/>
      <c r="Q139" s="123"/>
      <c r="R139" s="37"/>
      <c r="S139" s="37"/>
      <c r="T139" s="38"/>
      <c r="U139" s="88"/>
      <c r="V139" s="88"/>
      <c r="W139" s="88"/>
      <c r="X139" s="88"/>
      <c r="Y139" s="40"/>
      <c r="Z139" s="24"/>
      <c r="AA139" s="24"/>
      <c r="AB139" s="24"/>
      <c r="AC139" s="24"/>
      <c r="AD139" s="24"/>
      <c r="AE139" s="24"/>
      <c r="AF139" s="24"/>
      <c r="AG139" s="24"/>
      <c r="AH139" s="24"/>
      <c r="AI139" s="24"/>
      <c r="AJ139" s="24"/>
      <c r="AK139" s="24"/>
      <c r="AL139" s="24"/>
      <c r="AM139" s="24"/>
    </row>
    <row r="140" spans="1:39" ht="56.25" customHeight="1" x14ac:dyDescent="0.3">
      <c r="A140" s="34"/>
      <c r="B140" s="34"/>
      <c r="C140" s="35"/>
      <c r="D140" s="41"/>
      <c r="E140" s="36"/>
      <c r="F140" s="36"/>
      <c r="G140" s="36"/>
      <c r="H140" s="36"/>
      <c r="I140" s="86"/>
      <c r="J140" s="36"/>
      <c r="K140" s="123"/>
      <c r="L140" s="123"/>
      <c r="M140" s="36"/>
      <c r="N140" s="36"/>
      <c r="O140" s="35"/>
      <c r="P140" s="123"/>
      <c r="Q140" s="123"/>
      <c r="R140" s="37"/>
      <c r="S140" s="37"/>
      <c r="T140" s="38"/>
      <c r="U140" s="88"/>
      <c r="V140" s="88"/>
      <c r="W140" s="88"/>
      <c r="X140" s="88"/>
      <c r="Y140" s="40"/>
      <c r="Z140" s="24"/>
      <c r="AA140" s="24"/>
      <c r="AB140" s="24"/>
      <c r="AC140" s="24"/>
      <c r="AD140" s="24"/>
      <c r="AE140" s="24"/>
      <c r="AF140" s="24"/>
      <c r="AG140" s="24"/>
      <c r="AH140" s="24"/>
      <c r="AI140" s="24"/>
      <c r="AJ140" s="24"/>
      <c r="AK140" s="24"/>
      <c r="AL140" s="24"/>
      <c r="AM140" s="24"/>
    </row>
    <row r="141" spans="1:39" ht="56.25" customHeight="1" x14ac:dyDescent="0.3">
      <c r="A141" s="34"/>
      <c r="B141" s="34"/>
      <c r="C141" s="35"/>
      <c r="D141" s="41"/>
      <c r="E141" s="36"/>
      <c r="F141" s="36"/>
      <c r="G141" s="36"/>
      <c r="H141" s="36"/>
      <c r="I141" s="86"/>
      <c r="J141" s="36"/>
      <c r="K141" s="123"/>
      <c r="L141" s="123"/>
      <c r="M141" s="36"/>
      <c r="N141" s="36"/>
      <c r="O141" s="124"/>
      <c r="P141" s="124"/>
      <c r="Q141" s="123"/>
      <c r="R141" s="37"/>
      <c r="S141" s="37"/>
      <c r="T141" s="38"/>
      <c r="U141" s="88"/>
      <c r="V141" s="88"/>
      <c r="W141" s="88"/>
      <c r="X141" s="88"/>
      <c r="Y141" s="40"/>
      <c r="Z141" s="24"/>
      <c r="AA141" s="24"/>
      <c r="AB141" s="24"/>
      <c r="AC141" s="24"/>
      <c r="AD141" s="24"/>
      <c r="AE141" s="24"/>
      <c r="AF141" s="24"/>
      <c r="AG141" s="24"/>
      <c r="AH141" s="24"/>
      <c r="AI141" s="24"/>
      <c r="AJ141" s="24"/>
      <c r="AK141" s="24"/>
      <c r="AL141" s="24"/>
      <c r="AM141" s="24"/>
    </row>
    <row r="142" spans="1:39" ht="56.25" customHeight="1" x14ac:dyDescent="0.3">
      <c r="A142" s="34"/>
      <c r="B142" s="34"/>
      <c r="C142" s="35"/>
      <c r="D142" s="36"/>
      <c r="E142" s="36"/>
      <c r="F142" s="36"/>
      <c r="G142" s="36"/>
      <c r="H142" s="36"/>
      <c r="I142" s="86"/>
      <c r="J142" s="36"/>
      <c r="K142" s="123"/>
      <c r="L142" s="123"/>
      <c r="M142" s="36"/>
      <c r="N142" s="36"/>
      <c r="O142" s="123"/>
      <c r="P142" s="123"/>
      <c r="Q142" s="123"/>
      <c r="R142" s="37"/>
      <c r="S142" s="37"/>
      <c r="T142" s="38"/>
      <c r="U142" s="88"/>
      <c r="V142" s="88"/>
      <c r="W142" s="88"/>
      <c r="X142" s="88"/>
      <c r="Y142" s="40"/>
      <c r="Z142" s="24"/>
      <c r="AA142" s="24"/>
      <c r="AB142" s="24"/>
      <c r="AC142" s="24"/>
      <c r="AD142" s="24"/>
      <c r="AE142" s="24"/>
      <c r="AF142" s="24"/>
      <c r="AG142" s="24"/>
      <c r="AH142" s="24"/>
      <c r="AI142" s="24"/>
      <c r="AJ142" s="24"/>
      <c r="AK142" s="24"/>
      <c r="AL142" s="24"/>
      <c r="AM142" s="24"/>
    </row>
    <row r="143" spans="1:39" ht="56.25" customHeight="1" x14ac:dyDescent="0.3">
      <c r="A143" s="34"/>
      <c r="B143" s="34"/>
      <c r="C143" s="35"/>
      <c r="D143" s="36"/>
      <c r="E143" s="36"/>
      <c r="F143" s="36"/>
      <c r="G143" s="36"/>
      <c r="H143" s="36"/>
      <c r="I143" s="86"/>
      <c r="J143" s="36"/>
      <c r="K143" s="123"/>
      <c r="L143" s="123"/>
      <c r="M143" s="36"/>
      <c r="N143" s="36"/>
      <c r="O143" s="35"/>
      <c r="P143" s="124"/>
      <c r="Q143" s="123"/>
      <c r="R143" s="37"/>
      <c r="S143" s="37"/>
      <c r="T143" s="38"/>
      <c r="U143" s="88"/>
      <c r="V143" s="88"/>
      <c r="W143" s="88"/>
      <c r="X143" s="88"/>
      <c r="Y143" s="40"/>
      <c r="Z143" s="24"/>
      <c r="AA143" s="24"/>
      <c r="AB143" s="24"/>
      <c r="AC143" s="24"/>
      <c r="AD143" s="24"/>
      <c r="AE143" s="24"/>
      <c r="AF143" s="24"/>
      <c r="AG143" s="24"/>
      <c r="AH143" s="24"/>
      <c r="AI143" s="24"/>
      <c r="AJ143" s="24"/>
      <c r="AK143" s="24"/>
      <c r="AL143" s="24"/>
      <c r="AM143" s="24"/>
    </row>
    <row r="144" spans="1:39" ht="56.25" customHeight="1" x14ac:dyDescent="0.3">
      <c r="A144" s="34"/>
      <c r="B144" s="34"/>
      <c r="C144" s="35"/>
      <c r="D144" s="36"/>
      <c r="E144" s="36"/>
      <c r="F144" s="36"/>
      <c r="G144" s="36"/>
      <c r="H144" s="36"/>
      <c r="I144" s="86"/>
      <c r="J144" s="36"/>
      <c r="K144" s="123"/>
      <c r="L144" s="123"/>
      <c r="M144" s="36"/>
      <c r="N144" s="36"/>
      <c r="O144" s="35"/>
      <c r="P144" s="124"/>
      <c r="Q144" s="123"/>
      <c r="R144" s="37"/>
      <c r="S144" s="37"/>
      <c r="T144" s="38"/>
      <c r="U144" s="88"/>
      <c r="V144" s="88"/>
      <c r="W144" s="88"/>
      <c r="X144" s="88"/>
      <c r="Y144" s="40"/>
      <c r="Z144" s="24"/>
      <c r="AA144" s="24"/>
      <c r="AB144" s="24"/>
      <c r="AC144" s="24"/>
      <c r="AD144" s="24"/>
      <c r="AE144" s="24"/>
      <c r="AF144" s="24"/>
      <c r="AG144" s="24"/>
      <c r="AH144" s="24"/>
      <c r="AI144" s="24"/>
      <c r="AJ144" s="24"/>
      <c r="AK144" s="24"/>
      <c r="AL144" s="24"/>
      <c r="AM144" s="24"/>
    </row>
    <row r="145" spans="1:39" ht="56.25" customHeight="1" x14ac:dyDescent="0.3">
      <c r="A145" s="34"/>
      <c r="B145" s="34"/>
      <c r="C145" s="35"/>
      <c r="D145" s="36"/>
      <c r="E145" s="36"/>
      <c r="F145" s="36"/>
      <c r="G145" s="36"/>
      <c r="H145" s="36"/>
      <c r="I145" s="86"/>
      <c r="J145" s="36"/>
      <c r="K145" s="123"/>
      <c r="L145" s="123"/>
      <c r="M145" s="36"/>
      <c r="N145" s="36"/>
      <c r="O145" s="35"/>
      <c r="P145" s="124"/>
      <c r="Q145" s="123"/>
      <c r="R145" s="37"/>
      <c r="S145" s="37"/>
      <c r="T145" s="38"/>
      <c r="U145" s="88"/>
      <c r="V145" s="88"/>
      <c r="W145" s="88"/>
      <c r="X145" s="88"/>
      <c r="Y145" s="40"/>
      <c r="Z145" s="24"/>
      <c r="AA145" s="24"/>
      <c r="AB145" s="24"/>
      <c r="AC145" s="24"/>
      <c r="AD145" s="24"/>
      <c r="AE145" s="24"/>
      <c r="AF145" s="24"/>
      <c r="AG145" s="24"/>
      <c r="AH145" s="24"/>
      <c r="AI145" s="24"/>
      <c r="AJ145" s="24"/>
      <c r="AK145" s="24"/>
      <c r="AL145" s="24"/>
      <c r="AM145" s="24"/>
    </row>
    <row r="146" spans="1:39" ht="56.25" customHeight="1" x14ac:dyDescent="0.3">
      <c r="A146" s="34"/>
      <c r="B146" s="34"/>
      <c r="C146" s="35"/>
      <c r="D146" s="36"/>
      <c r="E146" s="36"/>
      <c r="F146" s="36"/>
      <c r="G146" s="36"/>
      <c r="H146" s="36"/>
      <c r="I146" s="86"/>
      <c r="J146" s="36"/>
      <c r="K146" s="123"/>
      <c r="L146" s="123"/>
      <c r="M146" s="36"/>
      <c r="N146" s="36"/>
      <c r="O146" s="35"/>
      <c r="P146" s="124"/>
      <c r="Q146" s="123"/>
      <c r="R146" s="37"/>
      <c r="S146" s="37"/>
      <c r="T146" s="38"/>
      <c r="U146" s="88"/>
      <c r="V146" s="88"/>
      <c r="W146" s="88"/>
      <c r="X146" s="88"/>
      <c r="Y146" s="40"/>
      <c r="Z146" s="24"/>
      <c r="AA146" s="24"/>
      <c r="AB146" s="24"/>
      <c r="AC146" s="24"/>
      <c r="AD146" s="24"/>
      <c r="AE146" s="24"/>
      <c r="AF146" s="24"/>
      <c r="AG146" s="24"/>
      <c r="AH146" s="24"/>
      <c r="AI146" s="24"/>
      <c r="AJ146" s="24"/>
      <c r="AK146" s="24"/>
      <c r="AL146" s="24"/>
      <c r="AM146" s="24"/>
    </row>
    <row r="147" spans="1:39" ht="56.25" customHeight="1" x14ac:dyDescent="0.3">
      <c r="A147" s="90"/>
      <c r="B147" s="91"/>
      <c r="C147" s="92"/>
      <c r="D147" s="41"/>
      <c r="E147" s="93"/>
      <c r="F147" s="93"/>
      <c r="G147" s="93"/>
      <c r="H147" s="93"/>
      <c r="I147" s="94"/>
      <c r="J147" s="93"/>
      <c r="K147" s="125"/>
      <c r="L147" s="125"/>
      <c r="M147" s="93"/>
      <c r="N147" s="93"/>
      <c r="O147" s="92"/>
      <c r="P147" s="126"/>
      <c r="Q147" s="125"/>
      <c r="R147" s="95"/>
      <c r="S147" s="95"/>
      <c r="T147" s="96"/>
      <c r="U147" s="110"/>
      <c r="V147" s="110"/>
      <c r="W147" s="110"/>
      <c r="X147" s="110"/>
      <c r="Y147" s="97"/>
      <c r="Z147" s="24"/>
      <c r="AA147" s="24"/>
      <c r="AB147" s="24"/>
      <c r="AC147" s="24"/>
      <c r="AD147" s="24"/>
      <c r="AE147" s="24"/>
      <c r="AF147" s="24"/>
      <c r="AG147" s="24"/>
      <c r="AH147" s="24"/>
      <c r="AI147" s="24"/>
      <c r="AJ147" s="24"/>
      <c r="AK147" s="24"/>
      <c r="AL147" s="24"/>
      <c r="AM147" s="24"/>
    </row>
    <row r="148" spans="1:39" ht="56.25" customHeight="1" x14ac:dyDescent="0.3">
      <c r="A148" s="34"/>
      <c r="B148" s="34"/>
      <c r="C148" s="35"/>
      <c r="D148" s="36"/>
      <c r="E148" s="36"/>
      <c r="F148" s="36"/>
      <c r="G148" s="36"/>
      <c r="H148" s="36"/>
      <c r="I148" s="86"/>
      <c r="J148" s="36"/>
      <c r="K148" s="123"/>
      <c r="L148" s="123"/>
      <c r="M148" s="36"/>
      <c r="N148" s="36"/>
      <c r="O148" s="35"/>
      <c r="P148" s="124"/>
      <c r="Q148" s="123"/>
      <c r="R148" s="37"/>
      <c r="S148" s="37"/>
      <c r="T148" s="38"/>
      <c r="U148" s="88"/>
      <c r="V148" s="88"/>
      <c r="W148" s="88"/>
      <c r="X148" s="88"/>
      <c r="Y148" s="40"/>
      <c r="Z148" s="24"/>
      <c r="AA148" s="24"/>
      <c r="AB148" s="24"/>
      <c r="AC148" s="24"/>
      <c r="AD148" s="24"/>
      <c r="AE148" s="24"/>
      <c r="AF148" s="24"/>
      <c r="AG148" s="24"/>
      <c r="AH148" s="24"/>
      <c r="AI148" s="24"/>
      <c r="AJ148" s="24"/>
      <c r="AK148" s="24"/>
      <c r="AL148" s="24"/>
      <c r="AM148" s="24"/>
    </row>
    <row r="149" spans="1:39" ht="56.25" customHeight="1" x14ac:dyDescent="0.3">
      <c r="A149" s="34"/>
      <c r="B149" s="34"/>
      <c r="C149" s="35"/>
      <c r="D149" s="36"/>
      <c r="E149" s="36"/>
      <c r="F149" s="36"/>
      <c r="G149" s="36"/>
      <c r="H149" s="36"/>
      <c r="I149" s="86"/>
      <c r="J149" s="36"/>
      <c r="K149" s="123"/>
      <c r="L149" s="123"/>
      <c r="M149" s="36"/>
      <c r="N149" s="36"/>
      <c r="O149" s="123"/>
      <c r="P149" s="124"/>
      <c r="Q149" s="123"/>
      <c r="R149" s="89"/>
      <c r="S149" s="37"/>
      <c r="T149" s="38"/>
      <c r="U149" s="88"/>
      <c r="V149" s="88"/>
      <c r="W149" s="88"/>
      <c r="X149" s="88"/>
      <c r="Y149" s="40"/>
      <c r="Z149" s="24"/>
      <c r="AA149" s="24"/>
      <c r="AB149" s="24"/>
      <c r="AC149" s="24"/>
      <c r="AD149" s="24"/>
      <c r="AE149" s="24"/>
      <c r="AF149" s="24"/>
      <c r="AG149" s="24"/>
      <c r="AH149" s="24"/>
      <c r="AI149" s="24"/>
      <c r="AJ149" s="24"/>
      <c r="AK149" s="24"/>
      <c r="AL149" s="24"/>
      <c r="AM149" s="24"/>
    </row>
    <row r="150" spans="1:39" ht="56.25" customHeight="1" x14ac:dyDescent="0.3">
      <c r="A150" s="34"/>
      <c r="B150" s="34"/>
      <c r="C150" s="35"/>
      <c r="D150" s="36"/>
      <c r="E150" s="36"/>
      <c r="F150" s="36"/>
      <c r="G150" s="36"/>
      <c r="H150" s="36"/>
      <c r="I150" s="86"/>
      <c r="J150" s="36"/>
      <c r="K150" s="123"/>
      <c r="L150" s="123"/>
      <c r="M150" s="36"/>
      <c r="N150" s="36"/>
      <c r="O150" s="35"/>
      <c r="P150" s="124"/>
      <c r="Q150" s="123"/>
      <c r="R150" s="37"/>
      <c r="S150" s="37"/>
      <c r="T150" s="38"/>
      <c r="U150" s="88"/>
      <c r="V150" s="88"/>
      <c r="W150" s="88"/>
      <c r="X150" s="88"/>
      <c r="Y150" s="40"/>
      <c r="Z150" s="24"/>
      <c r="AA150" s="24"/>
      <c r="AB150" s="24"/>
      <c r="AC150" s="24"/>
      <c r="AD150" s="24"/>
      <c r="AE150" s="24"/>
      <c r="AF150" s="24"/>
      <c r="AG150" s="24"/>
      <c r="AH150" s="24"/>
      <c r="AI150" s="24"/>
      <c r="AJ150" s="24"/>
      <c r="AK150" s="24"/>
      <c r="AL150" s="24"/>
      <c r="AM150" s="24"/>
    </row>
    <row r="151" spans="1:39" ht="56.25" customHeight="1" x14ac:dyDescent="0.3">
      <c r="A151" s="34"/>
      <c r="B151" s="34"/>
      <c r="C151" s="35"/>
      <c r="D151" s="36"/>
      <c r="E151" s="36"/>
      <c r="F151" s="36"/>
      <c r="G151" s="36"/>
      <c r="H151" s="36"/>
      <c r="I151" s="86"/>
      <c r="J151" s="36"/>
      <c r="K151" s="123"/>
      <c r="L151" s="123"/>
      <c r="M151" s="36"/>
      <c r="N151" s="36"/>
      <c r="O151" s="123"/>
      <c r="P151" s="124"/>
      <c r="Q151" s="123"/>
      <c r="R151" s="37"/>
      <c r="S151" s="37"/>
      <c r="T151" s="38"/>
      <c r="U151" s="88"/>
      <c r="V151" s="88"/>
      <c r="W151" s="88"/>
      <c r="X151" s="88"/>
      <c r="Y151" s="40"/>
      <c r="Z151" s="24"/>
      <c r="AA151" s="24"/>
      <c r="AB151" s="24"/>
      <c r="AC151" s="24"/>
      <c r="AD151" s="24"/>
      <c r="AE151" s="24"/>
      <c r="AF151" s="24"/>
      <c r="AG151" s="24"/>
      <c r="AH151" s="24"/>
      <c r="AI151" s="24"/>
      <c r="AJ151" s="24"/>
      <c r="AK151" s="24"/>
      <c r="AL151" s="24"/>
      <c r="AM151" s="24"/>
    </row>
    <row r="152" spans="1:39" ht="56.25" customHeight="1" x14ac:dyDescent="0.3">
      <c r="A152" s="34"/>
      <c r="B152" s="34"/>
      <c r="C152" s="35"/>
      <c r="D152" s="36"/>
      <c r="E152" s="36"/>
      <c r="F152" s="36"/>
      <c r="G152" s="36"/>
      <c r="H152" s="36"/>
      <c r="I152" s="86"/>
      <c r="J152" s="36"/>
      <c r="K152" s="123"/>
      <c r="L152" s="123"/>
      <c r="M152" s="36"/>
      <c r="N152" s="36"/>
      <c r="O152" s="35"/>
      <c r="P152" s="124"/>
      <c r="Q152" s="123"/>
      <c r="R152" s="37"/>
      <c r="S152" s="37"/>
      <c r="T152" s="38"/>
      <c r="U152" s="88"/>
      <c r="V152" s="88"/>
      <c r="W152" s="88"/>
      <c r="X152" s="88"/>
      <c r="Y152" s="40"/>
      <c r="Z152" s="24"/>
      <c r="AA152" s="24"/>
      <c r="AB152" s="24"/>
      <c r="AC152" s="24"/>
      <c r="AD152" s="24"/>
      <c r="AE152" s="24"/>
      <c r="AF152" s="24"/>
      <c r="AG152" s="24"/>
      <c r="AH152" s="24"/>
      <c r="AI152" s="24"/>
      <c r="AJ152" s="24"/>
      <c r="AK152" s="24"/>
      <c r="AL152" s="24"/>
      <c r="AM152" s="24"/>
    </row>
    <row r="153" spans="1:39" ht="56.25" customHeight="1" x14ac:dyDescent="0.3">
      <c r="A153" s="34"/>
      <c r="B153" s="34"/>
      <c r="C153" s="35"/>
      <c r="D153" s="36"/>
      <c r="E153" s="36"/>
      <c r="F153" s="36"/>
      <c r="G153" s="36"/>
      <c r="H153" s="36"/>
      <c r="I153" s="86"/>
      <c r="J153" s="36"/>
      <c r="K153" s="123"/>
      <c r="L153" s="123"/>
      <c r="M153" s="36"/>
      <c r="N153" s="36"/>
      <c r="O153" s="35"/>
      <c r="P153" s="124"/>
      <c r="Q153" s="123"/>
      <c r="R153" s="37"/>
      <c r="S153" s="37"/>
      <c r="T153" s="38"/>
      <c r="U153" s="88"/>
      <c r="V153" s="88"/>
      <c r="W153" s="88"/>
      <c r="X153" s="88"/>
      <c r="Y153" s="40"/>
      <c r="Z153" s="24"/>
      <c r="AA153" s="24"/>
      <c r="AB153" s="24"/>
      <c r="AC153" s="24"/>
      <c r="AD153" s="24"/>
      <c r="AE153" s="24"/>
      <c r="AF153" s="24"/>
      <c r="AG153" s="24"/>
      <c r="AH153" s="24"/>
      <c r="AI153" s="24"/>
      <c r="AJ153" s="24"/>
      <c r="AK153" s="24"/>
      <c r="AL153" s="24"/>
      <c r="AM153" s="24"/>
    </row>
    <row r="154" spans="1:39" ht="56.25" customHeight="1" x14ac:dyDescent="0.3">
      <c r="A154" s="34"/>
      <c r="B154" s="34"/>
      <c r="C154" s="35"/>
      <c r="D154" s="36"/>
      <c r="E154" s="36"/>
      <c r="F154" s="36"/>
      <c r="G154" s="36"/>
      <c r="H154" s="36"/>
      <c r="I154" s="86"/>
      <c r="J154" s="36"/>
      <c r="K154" s="123"/>
      <c r="L154" s="123"/>
      <c r="M154" s="36"/>
      <c r="N154" s="36"/>
      <c r="O154" s="123"/>
      <c r="P154" s="124"/>
      <c r="Q154" s="123"/>
      <c r="R154" s="37"/>
      <c r="S154" s="37"/>
      <c r="T154" s="38"/>
      <c r="U154" s="88"/>
      <c r="V154" s="88"/>
      <c r="W154" s="88"/>
      <c r="X154" s="88"/>
      <c r="Y154" s="40"/>
      <c r="Z154" s="24"/>
      <c r="AA154" s="24"/>
      <c r="AB154" s="24"/>
      <c r="AC154" s="24"/>
      <c r="AD154" s="24"/>
      <c r="AE154" s="24"/>
      <c r="AF154" s="24"/>
      <c r="AG154" s="24"/>
      <c r="AH154" s="24"/>
      <c r="AI154" s="24"/>
      <c r="AJ154" s="24"/>
      <c r="AK154" s="24"/>
      <c r="AL154" s="24"/>
      <c r="AM154" s="24"/>
    </row>
    <row r="155" spans="1:39" ht="56.25" customHeight="1" x14ac:dyDescent="0.3">
      <c r="A155" s="34"/>
      <c r="B155" s="34"/>
      <c r="C155" s="35"/>
      <c r="D155" s="36"/>
      <c r="E155" s="36"/>
      <c r="F155" s="36"/>
      <c r="G155" s="36"/>
      <c r="H155" s="36"/>
      <c r="I155" s="86"/>
      <c r="J155" s="36"/>
      <c r="K155" s="123"/>
      <c r="L155" s="123"/>
      <c r="M155" s="36"/>
      <c r="N155" s="36"/>
      <c r="O155" s="35"/>
      <c r="P155" s="124"/>
      <c r="Q155" s="123"/>
      <c r="R155" s="37"/>
      <c r="S155" s="37"/>
      <c r="T155" s="38"/>
      <c r="U155" s="88"/>
      <c r="V155" s="88"/>
      <c r="W155" s="88"/>
      <c r="X155" s="88"/>
      <c r="Y155" s="40"/>
      <c r="Z155" s="24"/>
      <c r="AA155" s="24"/>
      <c r="AB155" s="24"/>
      <c r="AC155" s="24"/>
      <c r="AD155" s="24"/>
      <c r="AE155" s="24"/>
      <c r="AF155" s="24"/>
      <c r="AG155" s="24"/>
      <c r="AH155" s="24"/>
      <c r="AI155" s="24"/>
      <c r="AJ155" s="24"/>
      <c r="AK155" s="24"/>
      <c r="AL155" s="24"/>
      <c r="AM155" s="24"/>
    </row>
    <row r="156" spans="1:39" ht="56.25" customHeight="1" x14ac:dyDescent="0.3">
      <c r="A156" s="34"/>
      <c r="B156" s="34"/>
      <c r="C156" s="35"/>
      <c r="D156" s="36"/>
      <c r="E156" s="36"/>
      <c r="F156" s="36"/>
      <c r="G156" s="36"/>
      <c r="H156" s="36"/>
      <c r="I156" s="86"/>
      <c r="J156" s="36"/>
      <c r="K156" s="123"/>
      <c r="L156" s="123"/>
      <c r="M156" s="36"/>
      <c r="N156" s="36"/>
      <c r="O156" s="35"/>
      <c r="P156" s="124"/>
      <c r="Q156" s="123"/>
      <c r="R156" s="37"/>
      <c r="S156" s="37"/>
      <c r="T156" s="38"/>
      <c r="U156" s="88"/>
      <c r="V156" s="88"/>
      <c r="W156" s="88"/>
      <c r="X156" s="88"/>
      <c r="Y156" s="40"/>
      <c r="Z156" s="24"/>
      <c r="AA156" s="24"/>
      <c r="AB156" s="24"/>
      <c r="AC156" s="24"/>
      <c r="AD156" s="24"/>
      <c r="AE156" s="24"/>
      <c r="AF156" s="24"/>
      <c r="AG156" s="24"/>
      <c r="AH156" s="24"/>
      <c r="AI156" s="24"/>
      <c r="AJ156" s="24"/>
      <c r="AK156" s="24"/>
      <c r="AL156" s="24"/>
      <c r="AM156" s="24"/>
    </row>
    <row r="157" spans="1:39" ht="56.25" customHeight="1" x14ac:dyDescent="0.3">
      <c r="A157" s="34"/>
      <c r="B157" s="34"/>
      <c r="C157" s="35"/>
      <c r="D157" s="36"/>
      <c r="E157" s="36"/>
      <c r="F157" s="36"/>
      <c r="G157" s="36"/>
      <c r="H157" s="36"/>
      <c r="I157" s="86"/>
      <c r="J157" s="36"/>
      <c r="K157" s="123"/>
      <c r="L157" s="123"/>
      <c r="M157" s="36"/>
      <c r="N157" s="36"/>
      <c r="O157" s="123"/>
      <c r="P157" s="124"/>
      <c r="Q157" s="123"/>
      <c r="R157" s="37"/>
      <c r="S157" s="37"/>
      <c r="T157" s="38"/>
      <c r="U157" s="88"/>
      <c r="V157" s="88"/>
      <c r="W157" s="88"/>
      <c r="X157" s="88"/>
      <c r="Y157" s="40"/>
      <c r="Z157" s="24"/>
      <c r="AA157" s="24"/>
      <c r="AB157" s="24"/>
      <c r="AC157" s="24"/>
      <c r="AD157" s="24"/>
      <c r="AE157" s="24"/>
      <c r="AF157" s="24"/>
      <c r="AG157" s="24"/>
      <c r="AH157" s="24"/>
      <c r="AI157" s="24"/>
      <c r="AJ157" s="24"/>
      <c r="AK157" s="24"/>
      <c r="AL157" s="24"/>
      <c r="AM157" s="24"/>
    </row>
    <row r="158" spans="1:39" ht="56.25" customHeight="1" x14ac:dyDescent="0.3">
      <c r="A158" s="34"/>
      <c r="B158" s="34"/>
      <c r="C158" s="35"/>
      <c r="D158" s="36"/>
      <c r="E158" s="36"/>
      <c r="F158" s="36"/>
      <c r="G158" s="36"/>
      <c r="H158" s="36"/>
      <c r="I158" s="86"/>
      <c r="J158" s="36"/>
      <c r="K158" s="123"/>
      <c r="L158" s="123"/>
      <c r="M158" s="36"/>
      <c r="N158" s="36"/>
      <c r="O158" s="123"/>
      <c r="P158" s="124"/>
      <c r="Q158" s="123"/>
      <c r="R158" s="37"/>
      <c r="S158" s="37"/>
      <c r="T158" s="38"/>
      <c r="U158" s="88"/>
      <c r="V158" s="88"/>
      <c r="W158" s="88"/>
      <c r="X158" s="88"/>
      <c r="Y158" s="40"/>
      <c r="Z158" s="24"/>
      <c r="AA158" s="24"/>
      <c r="AB158" s="24"/>
      <c r="AC158" s="24"/>
      <c r="AD158" s="24"/>
      <c r="AE158" s="24"/>
      <c r="AF158" s="24"/>
      <c r="AG158" s="24"/>
      <c r="AH158" s="24"/>
      <c r="AI158" s="24"/>
      <c r="AJ158" s="24"/>
      <c r="AK158" s="24"/>
      <c r="AL158" s="24"/>
      <c r="AM158" s="24"/>
    </row>
    <row r="159" spans="1:39" ht="56.25" customHeight="1" x14ac:dyDescent="0.3">
      <c r="A159" s="34"/>
      <c r="B159" s="34"/>
      <c r="C159" s="35"/>
      <c r="D159" s="36"/>
      <c r="E159" s="36"/>
      <c r="F159" s="36"/>
      <c r="G159" s="36"/>
      <c r="H159" s="36"/>
      <c r="I159" s="86"/>
      <c r="J159" s="36"/>
      <c r="K159" s="123"/>
      <c r="L159" s="123"/>
      <c r="M159" s="36"/>
      <c r="N159" s="36"/>
      <c r="O159" s="35"/>
      <c r="P159" s="124"/>
      <c r="Q159" s="123"/>
      <c r="R159" s="37"/>
      <c r="S159" s="37"/>
      <c r="T159" s="38"/>
      <c r="U159" s="88"/>
      <c r="V159" s="88"/>
      <c r="W159" s="88"/>
      <c r="X159" s="88"/>
      <c r="Y159" s="40"/>
      <c r="Z159" s="24"/>
      <c r="AA159" s="24"/>
      <c r="AB159" s="24"/>
      <c r="AC159" s="24"/>
      <c r="AD159" s="24"/>
      <c r="AE159" s="24"/>
      <c r="AF159" s="24"/>
      <c r="AG159" s="24"/>
      <c r="AH159" s="24"/>
      <c r="AI159" s="24"/>
      <c r="AJ159" s="24"/>
      <c r="AK159" s="24"/>
      <c r="AL159" s="24"/>
      <c r="AM159" s="24"/>
    </row>
    <row r="160" spans="1:39" ht="56.25" customHeight="1" x14ac:dyDescent="0.3">
      <c r="A160" s="34"/>
      <c r="B160" s="34"/>
      <c r="C160" s="35"/>
      <c r="D160" s="36"/>
      <c r="E160" s="36"/>
      <c r="F160" s="36"/>
      <c r="G160" s="36"/>
      <c r="H160" s="36"/>
      <c r="I160" s="86"/>
      <c r="J160" s="36"/>
      <c r="K160" s="123"/>
      <c r="L160" s="123"/>
      <c r="M160" s="36"/>
      <c r="N160" s="36"/>
      <c r="O160" s="35"/>
      <c r="P160" s="124"/>
      <c r="Q160" s="123"/>
      <c r="R160" s="37"/>
      <c r="S160" s="37"/>
      <c r="T160" s="38"/>
      <c r="U160" s="88"/>
      <c r="V160" s="88"/>
      <c r="W160" s="88"/>
      <c r="X160" s="88"/>
      <c r="Y160" s="40"/>
      <c r="Z160" s="24"/>
      <c r="AA160" s="24"/>
      <c r="AB160" s="24"/>
      <c r="AC160" s="24"/>
      <c r="AD160" s="24"/>
      <c r="AE160" s="24"/>
      <c r="AF160" s="24"/>
      <c r="AG160" s="24"/>
      <c r="AH160" s="24"/>
      <c r="AI160" s="24"/>
      <c r="AJ160" s="24"/>
      <c r="AK160" s="24"/>
      <c r="AL160" s="24"/>
      <c r="AM160" s="24"/>
    </row>
    <row r="161" spans="1:39" ht="56.25" customHeight="1" x14ac:dyDescent="0.3">
      <c r="A161" s="34"/>
      <c r="B161" s="34"/>
      <c r="C161" s="35"/>
      <c r="D161" s="36"/>
      <c r="E161" s="36"/>
      <c r="F161" s="36"/>
      <c r="G161" s="36"/>
      <c r="H161" s="36"/>
      <c r="I161" s="86"/>
      <c r="J161" s="36"/>
      <c r="K161" s="123"/>
      <c r="L161" s="123"/>
      <c r="M161" s="36"/>
      <c r="N161" s="36"/>
      <c r="O161" s="123"/>
      <c r="P161" s="124"/>
      <c r="Q161" s="123"/>
      <c r="R161" s="37"/>
      <c r="S161" s="37"/>
      <c r="T161" s="38"/>
      <c r="U161" s="88"/>
      <c r="V161" s="88"/>
      <c r="W161" s="88"/>
      <c r="X161" s="88"/>
      <c r="Y161" s="40"/>
      <c r="Z161" s="24"/>
      <c r="AA161" s="24"/>
      <c r="AB161" s="24"/>
      <c r="AC161" s="24"/>
      <c r="AD161" s="24"/>
      <c r="AE161" s="24"/>
      <c r="AF161" s="24"/>
      <c r="AG161" s="24"/>
      <c r="AH161" s="24"/>
      <c r="AI161" s="24"/>
      <c r="AJ161" s="24"/>
      <c r="AK161" s="24"/>
      <c r="AL161" s="24"/>
      <c r="AM161" s="24"/>
    </row>
    <row r="162" spans="1:39" ht="56.25" customHeight="1" x14ac:dyDescent="0.3">
      <c r="A162" s="34"/>
      <c r="B162" s="34"/>
      <c r="C162" s="35"/>
      <c r="D162" s="36"/>
      <c r="E162" s="36"/>
      <c r="F162" s="36"/>
      <c r="G162" s="36"/>
      <c r="H162" s="36"/>
      <c r="I162" s="86"/>
      <c r="J162" s="36"/>
      <c r="K162" s="123"/>
      <c r="L162" s="123"/>
      <c r="M162" s="36"/>
      <c r="N162" s="36"/>
      <c r="O162" s="35"/>
      <c r="P162" s="124"/>
      <c r="Q162" s="123"/>
      <c r="R162" s="37"/>
      <c r="S162" s="37"/>
      <c r="T162" s="38"/>
      <c r="U162" s="88"/>
      <c r="V162" s="88"/>
      <c r="W162" s="88"/>
      <c r="X162" s="88"/>
      <c r="Y162" s="40"/>
      <c r="Z162" s="24"/>
      <c r="AA162" s="24"/>
      <c r="AB162" s="24"/>
      <c r="AC162" s="24"/>
      <c r="AD162" s="24"/>
      <c r="AE162" s="24"/>
      <c r="AF162" s="24"/>
      <c r="AG162" s="24"/>
      <c r="AH162" s="24"/>
      <c r="AI162" s="24"/>
      <c r="AJ162" s="24"/>
      <c r="AK162" s="24"/>
      <c r="AL162" s="24"/>
      <c r="AM162" s="24"/>
    </row>
    <row r="163" spans="1:39" ht="56.25" customHeight="1" x14ac:dyDescent="0.3">
      <c r="A163" s="34"/>
      <c r="B163" s="34"/>
      <c r="C163" s="35"/>
      <c r="D163" s="36"/>
      <c r="E163" s="36"/>
      <c r="F163" s="36"/>
      <c r="G163" s="36"/>
      <c r="H163" s="36"/>
      <c r="I163" s="86"/>
      <c r="J163" s="36"/>
      <c r="K163" s="123"/>
      <c r="L163" s="123"/>
      <c r="M163" s="36"/>
      <c r="N163" s="36"/>
      <c r="O163" s="35"/>
      <c r="P163" s="124"/>
      <c r="Q163" s="123"/>
      <c r="R163" s="87"/>
      <c r="S163" s="37"/>
      <c r="T163" s="38"/>
      <c r="U163" s="88"/>
      <c r="V163" s="88"/>
      <c r="W163" s="88"/>
      <c r="X163" s="88"/>
      <c r="Y163" s="40"/>
      <c r="Z163" s="24"/>
      <c r="AA163" s="24"/>
      <c r="AB163" s="24"/>
      <c r="AC163" s="24"/>
      <c r="AD163" s="24"/>
      <c r="AE163" s="24"/>
      <c r="AF163" s="24"/>
      <c r="AG163" s="24"/>
      <c r="AH163" s="24"/>
      <c r="AI163" s="24"/>
      <c r="AJ163" s="24"/>
      <c r="AK163" s="24"/>
      <c r="AL163" s="24"/>
      <c r="AM163" s="24"/>
    </row>
    <row r="164" spans="1:39" ht="56.25" customHeight="1" x14ac:dyDescent="0.3">
      <c r="A164" s="34"/>
      <c r="B164" s="34"/>
      <c r="C164" s="35"/>
      <c r="D164" s="36"/>
      <c r="E164" s="36"/>
      <c r="F164" s="36"/>
      <c r="G164" s="36"/>
      <c r="H164" s="36"/>
      <c r="I164" s="86"/>
      <c r="J164" s="36"/>
      <c r="K164" s="123"/>
      <c r="L164" s="123"/>
      <c r="M164" s="36"/>
      <c r="N164" s="36"/>
      <c r="O164" s="35"/>
      <c r="P164" s="124"/>
      <c r="Q164" s="123"/>
      <c r="R164" s="37"/>
      <c r="S164" s="37"/>
      <c r="T164" s="38"/>
      <c r="U164" s="88"/>
      <c r="V164" s="88"/>
      <c r="W164" s="88"/>
      <c r="X164" s="88"/>
      <c r="Y164" s="40"/>
      <c r="Z164" s="24"/>
      <c r="AA164" s="24"/>
      <c r="AB164" s="24"/>
      <c r="AC164" s="24"/>
      <c r="AD164" s="24"/>
      <c r="AE164" s="24"/>
      <c r="AF164" s="24"/>
      <c r="AG164" s="24"/>
      <c r="AH164" s="24"/>
      <c r="AI164" s="24"/>
      <c r="AJ164" s="24"/>
      <c r="AK164" s="24"/>
      <c r="AL164" s="24"/>
      <c r="AM164" s="24"/>
    </row>
    <row r="165" spans="1:39" ht="56.25" customHeight="1" x14ac:dyDescent="0.3">
      <c r="A165" s="34"/>
      <c r="B165" s="34"/>
      <c r="C165" s="35"/>
      <c r="D165" s="36"/>
      <c r="E165" s="36"/>
      <c r="F165" s="36"/>
      <c r="G165" s="36"/>
      <c r="H165" s="36"/>
      <c r="I165" s="86"/>
      <c r="J165" s="36"/>
      <c r="K165" s="123"/>
      <c r="L165" s="123"/>
      <c r="M165" s="36"/>
      <c r="N165" s="36"/>
      <c r="O165" s="123"/>
      <c r="P165" s="124"/>
      <c r="Q165" s="123"/>
      <c r="R165" s="37"/>
      <c r="S165" s="37"/>
      <c r="T165" s="38"/>
      <c r="U165" s="88"/>
      <c r="V165" s="88"/>
      <c r="W165" s="88"/>
      <c r="X165" s="88"/>
      <c r="Y165" s="40"/>
      <c r="Z165" s="24"/>
      <c r="AA165" s="24"/>
      <c r="AB165" s="24"/>
      <c r="AC165" s="24"/>
      <c r="AD165" s="24"/>
      <c r="AE165" s="24"/>
      <c r="AF165" s="24"/>
      <c r="AG165" s="24"/>
      <c r="AH165" s="24"/>
      <c r="AI165" s="24"/>
      <c r="AJ165" s="24"/>
      <c r="AK165" s="24"/>
      <c r="AL165" s="24"/>
      <c r="AM165" s="24"/>
    </row>
    <row r="166" spans="1:39" ht="56.25" customHeight="1" x14ac:dyDescent="0.3">
      <c r="A166" s="34"/>
      <c r="B166" s="34"/>
      <c r="C166" s="35"/>
      <c r="D166" s="36"/>
      <c r="E166" s="36"/>
      <c r="F166" s="36"/>
      <c r="G166" s="36"/>
      <c r="H166" s="36"/>
      <c r="I166" s="86"/>
      <c r="J166" s="36"/>
      <c r="K166" s="123"/>
      <c r="L166" s="123"/>
      <c r="M166" s="36"/>
      <c r="N166" s="36"/>
      <c r="O166" s="35"/>
      <c r="P166" s="124"/>
      <c r="Q166" s="123"/>
      <c r="R166" s="37"/>
      <c r="S166" s="37"/>
      <c r="T166" s="38"/>
      <c r="U166" s="88"/>
      <c r="V166" s="88"/>
      <c r="W166" s="88"/>
      <c r="X166" s="88"/>
      <c r="Y166" s="40"/>
      <c r="Z166" s="24"/>
      <c r="AA166" s="24"/>
      <c r="AB166" s="24"/>
      <c r="AC166" s="24"/>
      <c r="AD166" s="24"/>
      <c r="AE166" s="24"/>
      <c r="AF166" s="24"/>
      <c r="AG166" s="24"/>
      <c r="AH166" s="24"/>
      <c r="AI166" s="24"/>
      <c r="AJ166" s="24"/>
      <c r="AK166" s="24"/>
      <c r="AL166" s="24"/>
      <c r="AM166" s="24"/>
    </row>
    <row r="167" spans="1:39" ht="56.25" customHeight="1" x14ac:dyDescent="0.3">
      <c r="A167" s="34"/>
      <c r="B167" s="34"/>
      <c r="C167" s="35"/>
      <c r="D167" s="36"/>
      <c r="E167" s="36"/>
      <c r="F167" s="36"/>
      <c r="G167" s="36"/>
      <c r="H167" s="36"/>
      <c r="I167" s="86"/>
      <c r="J167" s="36"/>
      <c r="K167" s="123"/>
      <c r="L167" s="123"/>
      <c r="M167" s="36"/>
      <c r="N167" s="36"/>
      <c r="O167" s="35"/>
      <c r="P167" s="124"/>
      <c r="Q167" s="123"/>
      <c r="R167" s="37"/>
      <c r="S167" s="37"/>
      <c r="T167" s="38"/>
      <c r="U167" s="88"/>
      <c r="V167" s="88"/>
      <c r="W167" s="88"/>
      <c r="X167" s="88"/>
      <c r="Y167" s="40"/>
      <c r="Z167" s="24"/>
      <c r="AA167" s="24"/>
      <c r="AB167" s="24"/>
      <c r="AC167" s="24"/>
      <c r="AD167" s="24"/>
      <c r="AE167" s="24"/>
      <c r="AF167" s="24"/>
      <c r="AG167" s="24"/>
      <c r="AH167" s="24"/>
      <c r="AI167" s="24"/>
      <c r="AJ167" s="24"/>
      <c r="AK167" s="24"/>
      <c r="AL167" s="24"/>
      <c r="AM167" s="24"/>
    </row>
    <row r="168" spans="1:39" ht="56.25" customHeight="1" x14ac:dyDescent="0.3">
      <c r="A168" s="34"/>
      <c r="B168" s="34"/>
      <c r="C168" s="35"/>
      <c r="D168" s="36"/>
      <c r="E168" s="36"/>
      <c r="F168" s="36"/>
      <c r="G168" s="36"/>
      <c r="H168" s="36"/>
      <c r="I168" s="86"/>
      <c r="J168" s="36"/>
      <c r="K168" s="123"/>
      <c r="L168" s="123"/>
      <c r="M168" s="36"/>
      <c r="N168" s="36"/>
      <c r="O168" s="123"/>
      <c r="P168" s="124"/>
      <c r="Q168" s="123"/>
      <c r="R168" s="37"/>
      <c r="S168" s="37"/>
      <c r="T168" s="38"/>
      <c r="U168" s="88"/>
      <c r="V168" s="88"/>
      <c r="W168" s="88"/>
      <c r="X168" s="88"/>
      <c r="Y168" s="40"/>
      <c r="Z168" s="24"/>
      <c r="AA168" s="24"/>
      <c r="AB168" s="24"/>
      <c r="AC168" s="24"/>
      <c r="AD168" s="24"/>
      <c r="AE168" s="24"/>
      <c r="AF168" s="24"/>
      <c r="AG168" s="24"/>
      <c r="AH168" s="24"/>
      <c r="AI168" s="24"/>
      <c r="AJ168" s="24"/>
      <c r="AK168" s="24"/>
      <c r="AL168" s="24"/>
      <c r="AM168" s="24"/>
    </row>
    <row r="169" spans="1:39" ht="56.25" customHeight="1" x14ac:dyDescent="0.3">
      <c r="A169" s="34"/>
      <c r="B169" s="34"/>
      <c r="C169" s="35"/>
      <c r="D169" s="36"/>
      <c r="E169" s="36"/>
      <c r="F169" s="36"/>
      <c r="G169" s="36"/>
      <c r="H169" s="36"/>
      <c r="I169" s="86"/>
      <c r="J169" s="36"/>
      <c r="K169" s="123"/>
      <c r="L169" s="123"/>
      <c r="M169" s="36"/>
      <c r="N169" s="36"/>
      <c r="O169" s="35"/>
      <c r="P169" s="124"/>
      <c r="Q169" s="123"/>
      <c r="R169" s="37"/>
      <c r="S169" s="37"/>
      <c r="T169" s="38"/>
      <c r="U169" s="88"/>
      <c r="V169" s="88"/>
      <c r="W169" s="88"/>
      <c r="X169" s="88"/>
      <c r="Y169" s="40"/>
      <c r="Z169" s="24"/>
      <c r="AA169" s="24"/>
      <c r="AB169" s="24"/>
      <c r="AC169" s="24"/>
      <c r="AD169" s="24"/>
      <c r="AE169" s="24"/>
      <c r="AF169" s="24"/>
      <c r="AG169" s="24"/>
      <c r="AH169" s="24"/>
      <c r="AI169" s="24"/>
      <c r="AJ169" s="24"/>
      <c r="AK169" s="24"/>
      <c r="AL169" s="24"/>
      <c r="AM169" s="24"/>
    </row>
    <row r="170" spans="1:39" ht="56.25" customHeight="1" x14ac:dyDescent="0.3">
      <c r="A170" s="34"/>
      <c r="B170" s="34"/>
      <c r="C170" s="35"/>
      <c r="D170" s="36"/>
      <c r="E170" s="36"/>
      <c r="F170" s="36"/>
      <c r="G170" s="36"/>
      <c r="H170" s="36"/>
      <c r="I170" s="86"/>
      <c r="J170" s="36"/>
      <c r="K170" s="123"/>
      <c r="L170" s="123"/>
      <c r="M170" s="36"/>
      <c r="N170" s="36"/>
      <c r="O170" s="35"/>
      <c r="P170" s="124"/>
      <c r="Q170" s="123"/>
      <c r="R170" s="37"/>
      <c r="S170" s="37"/>
      <c r="T170" s="38"/>
      <c r="U170" s="88"/>
      <c r="V170" s="88"/>
      <c r="W170" s="88"/>
      <c r="X170" s="88"/>
      <c r="Y170" s="40"/>
      <c r="Z170" s="24"/>
      <c r="AA170" s="24"/>
      <c r="AB170" s="24"/>
      <c r="AC170" s="24"/>
      <c r="AD170" s="24"/>
      <c r="AE170" s="24"/>
      <c r="AF170" s="24"/>
      <c r="AG170" s="24"/>
      <c r="AH170" s="24"/>
      <c r="AI170" s="24"/>
      <c r="AJ170" s="24"/>
      <c r="AK170" s="24"/>
      <c r="AL170" s="24"/>
      <c r="AM170" s="24"/>
    </row>
    <row r="171" spans="1:39" ht="56.25" customHeight="1" x14ac:dyDescent="0.3">
      <c r="A171" s="34"/>
      <c r="B171" s="34"/>
      <c r="C171" s="35"/>
      <c r="D171" s="36"/>
      <c r="E171" s="36"/>
      <c r="F171" s="36"/>
      <c r="G171" s="36"/>
      <c r="H171" s="36"/>
      <c r="I171" s="86"/>
      <c r="J171" s="36"/>
      <c r="K171" s="123"/>
      <c r="L171" s="123"/>
      <c r="M171" s="36"/>
      <c r="N171" s="36"/>
      <c r="O171" s="35"/>
      <c r="P171" s="124"/>
      <c r="Q171" s="36"/>
      <c r="R171" s="37"/>
      <c r="S171" s="37"/>
      <c r="T171" s="38"/>
      <c r="U171" s="88"/>
      <c r="V171" s="88"/>
      <c r="W171" s="88"/>
      <c r="X171" s="88"/>
      <c r="Y171" s="40"/>
      <c r="Z171" s="24"/>
      <c r="AA171" s="24"/>
      <c r="AB171" s="24"/>
      <c r="AC171" s="24"/>
      <c r="AD171" s="24"/>
      <c r="AE171" s="24"/>
      <c r="AF171" s="24"/>
      <c r="AG171" s="24"/>
      <c r="AH171" s="24"/>
      <c r="AI171" s="24"/>
      <c r="AJ171" s="24"/>
      <c r="AK171" s="24"/>
      <c r="AL171" s="24"/>
      <c r="AM171" s="24"/>
    </row>
    <row r="172" spans="1:39" ht="56.25" customHeight="1" x14ac:dyDescent="0.3">
      <c r="A172" s="34"/>
      <c r="B172" s="34"/>
      <c r="C172" s="35"/>
      <c r="D172" s="36"/>
      <c r="E172" s="36"/>
      <c r="F172" s="36"/>
      <c r="G172" s="36"/>
      <c r="H172" s="36"/>
      <c r="I172" s="86"/>
      <c r="J172" s="36"/>
      <c r="K172" s="123"/>
      <c r="L172" s="123"/>
      <c r="M172" s="36"/>
      <c r="N172" s="36"/>
      <c r="O172" s="35"/>
      <c r="P172" s="124"/>
      <c r="Q172" s="123"/>
      <c r="R172" s="37"/>
      <c r="S172" s="37"/>
      <c r="T172" s="38"/>
      <c r="U172" s="88"/>
      <c r="V172" s="88"/>
      <c r="W172" s="88"/>
      <c r="X172" s="88"/>
      <c r="Y172" s="40"/>
      <c r="Z172" s="24"/>
      <c r="AA172" s="24"/>
      <c r="AB172" s="24"/>
      <c r="AC172" s="24"/>
      <c r="AD172" s="24"/>
      <c r="AE172" s="24"/>
      <c r="AF172" s="24"/>
      <c r="AG172" s="24"/>
      <c r="AH172" s="24"/>
      <c r="AI172" s="24"/>
      <c r="AJ172" s="24"/>
      <c r="AK172" s="24"/>
      <c r="AL172" s="24"/>
      <c r="AM172" s="24"/>
    </row>
    <row r="173" spans="1:39" ht="56.25" customHeight="1" x14ac:dyDescent="0.3">
      <c r="A173" s="34"/>
      <c r="B173" s="34"/>
      <c r="C173" s="35"/>
      <c r="D173" s="36"/>
      <c r="E173" s="36"/>
      <c r="F173" s="36"/>
      <c r="G173" s="36"/>
      <c r="H173" s="36"/>
      <c r="I173" s="86"/>
      <c r="J173" s="36"/>
      <c r="K173" s="123"/>
      <c r="L173" s="123"/>
      <c r="M173" s="36"/>
      <c r="N173" s="36"/>
      <c r="O173" s="123"/>
      <c r="P173" s="124"/>
      <c r="Q173" s="123"/>
      <c r="R173" s="37"/>
      <c r="S173" s="37"/>
      <c r="T173" s="38"/>
      <c r="U173" s="88"/>
      <c r="V173" s="88"/>
      <c r="W173" s="88"/>
      <c r="X173" s="88"/>
      <c r="Y173" s="40"/>
      <c r="Z173" s="24"/>
      <c r="AA173" s="24"/>
      <c r="AB173" s="24"/>
      <c r="AC173" s="24"/>
      <c r="AD173" s="24"/>
      <c r="AE173" s="24"/>
      <c r="AF173" s="24"/>
      <c r="AG173" s="24"/>
      <c r="AH173" s="24"/>
      <c r="AI173" s="24"/>
      <c r="AJ173" s="24"/>
      <c r="AK173" s="24"/>
      <c r="AL173" s="24"/>
      <c r="AM173" s="24"/>
    </row>
    <row r="174" spans="1:39" ht="56.25" customHeight="1" x14ac:dyDescent="0.3">
      <c r="A174" s="34"/>
      <c r="B174" s="34"/>
      <c r="C174" s="35"/>
      <c r="D174" s="36"/>
      <c r="E174" s="36"/>
      <c r="F174" s="36"/>
      <c r="G174" s="36"/>
      <c r="H174" s="36"/>
      <c r="I174" s="86"/>
      <c r="J174" s="36"/>
      <c r="K174" s="123"/>
      <c r="L174" s="123"/>
      <c r="M174" s="36"/>
      <c r="N174" s="36"/>
      <c r="O174" s="35"/>
      <c r="P174" s="124"/>
      <c r="Q174" s="123"/>
      <c r="R174" s="37"/>
      <c r="S174" s="37"/>
      <c r="T174" s="38"/>
      <c r="U174" s="88"/>
      <c r="V174" s="88"/>
      <c r="W174" s="88"/>
      <c r="X174" s="88"/>
      <c r="Y174" s="40"/>
      <c r="Z174" s="24"/>
      <c r="AA174" s="24"/>
      <c r="AB174" s="24"/>
      <c r="AC174" s="24"/>
      <c r="AD174" s="24"/>
      <c r="AE174" s="24"/>
      <c r="AF174" s="24"/>
      <c r="AG174" s="24"/>
      <c r="AH174" s="24"/>
      <c r="AI174" s="24"/>
      <c r="AJ174" s="24"/>
      <c r="AK174" s="24"/>
      <c r="AL174" s="24"/>
      <c r="AM174" s="24"/>
    </row>
    <row r="175" spans="1:39" ht="56.25" customHeight="1" x14ac:dyDescent="0.3">
      <c r="A175" s="34"/>
      <c r="B175" s="34"/>
      <c r="C175" s="35"/>
      <c r="D175" s="36"/>
      <c r="E175" s="36"/>
      <c r="F175" s="36"/>
      <c r="G175" s="36"/>
      <c r="H175" s="36"/>
      <c r="I175" s="86"/>
      <c r="J175" s="36"/>
      <c r="K175" s="123"/>
      <c r="L175" s="123"/>
      <c r="M175" s="36"/>
      <c r="N175" s="36"/>
      <c r="O175" s="35"/>
      <c r="P175" s="124"/>
      <c r="Q175" s="123"/>
      <c r="R175" s="37"/>
      <c r="S175" s="37"/>
      <c r="T175" s="38"/>
      <c r="U175" s="88"/>
      <c r="V175" s="88"/>
      <c r="W175" s="88"/>
      <c r="X175" s="88"/>
      <c r="Y175" s="40"/>
      <c r="Z175" s="24"/>
      <c r="AA175" s="24"/>
      <c r="AB175" s="24"/>
      <c r="AC175" s="24"/>
      <c r="AD175" s="24"/>
      <c r="AE175" s="24"/>
      <c r="AF175" s="24"/>
      <c r="AG175" s="24"/>
      <c r="AH175" s="24"/>
      <c r="AI175" s="24"/>
      <c r="AJ175" s="24"/>
      <c r="AK175" s="24"/>
      <c r="AL175" s="24"/>
      <c r="AM175" s="24"/>
    </row>
    <row r="176" spans="1:39" ht="56.25" customHeight="1" x14ac:dyDescent="0.3">
      <c r="A176" s="34"/>
      <c r="B176" s="34"/>
      <c r="C176" s="35"/>
      <c r="D176" s="36"/>
      <c r="E176" s="36"/>
      <c r="F176" s="36"/>
      <c r="G176" s="36"/>
      <c r="H176" s="36"/>
      <c r="I176" s="86"/>
      <c r="J176" s="36"/>
      <c r="K176" s="123"/>
      <c r="L176" s="123"/>
      <c r="M176" s="36"/>
      <c r="N176" s="36"/>
      <c r="O176" s="123"/>
      <c r="P176" s="124"/>
      <c r="Q176" s="123"/>
      <c r="R176" s="37"/>
      <c r="S176" s="37"/>
      <c r="T176" s="38"/>
      <c r="U176" s="88"/>
      <c r="V176" s="88"/>
      <c r="W176" s="88"/>
      <c r="X176" s="88"/>
      <c r="Y176" s="40"/>
      <c r="Z176" s="24"/>
      <c r="AA176" s="24"/>
      <c r="AB176" s="24"/>
      <c r="AC176" s="24"/>
      <c r="AD176" s="24"/>
      <c r="AE176" s="24"/>
      <c r="AF176" s="24"/>
      <c r="AG176" s="24"/>
      <c r="AH176" s="24"/>
      <c r="AI176" s="24"/>
      <c r="AJ176" s="24"/>
      <c r="AK176" s="24"/>
      <c r="AL176" s="24"/>
      <c r="AM176" s="24"/>
    </row>
    <row r="177" spans="1:39" ht="56.25" customHeight="1" x14ac:dyDescent="0.3">
      <c r="A177" s="34"/>
      <c r="B177" s="34"/>
      <c r="C177" s="35"/>
      <c r="D177" s="36"/>
      <c r="E177" s="36"/>
      <c r="F177" s="36"/>
      <c r="G177" s="36"/>
      <c r="H177" s="36"/>
      <c r="I177" s="86"/>
      <c r="J177" s="36"/>
      <c r="K177" s="123"/>
      <c r="L177" s="123"/>
      <c r="M177" s="36"/>
      <c r="N177" s="36"/>
      <c r="O177" s="123"/>
      <c r="P177" s="124"/>
      <c r="Q177" s="123"/>
      <c r="R177" s="37"/>
      <c r="S177" s="37"/>
      <c r="T177" s="38"/>
      <c r="U177" s="88"/>
      <c r="V177" s="88"/>
      <c r="W177" s="88"/>
      <c r="X177" s="88"/>
      <c r="Y177" s="40"/>
      <c r="Z177" s="24"/>
      <c r="AA177" s="24"/>
      <c r="AB177" s="24"/>
      <c r="AC177" s="24"/>
      <c r="AD177" s="24"/>
      <c r="AE177" s="24"/>
      <c r="AF177" s="24"/>
      <c r="AG177" s="24"/>
      <c r="AH177" s="24"/>
      <c r="AI177" s="24"/>
      <c r="AJ177" s="24"/>
      <c r="AK177" s="24"/>
      <c r="AL177" s="24"/>
      <c r="AM177" s="24"/>
    </row>
    <row r="178" spans="1:39" ht="56.25" customHeight="1" x14ac:dyDescent="0.3">
      <c r="A178" s="34"/>
      <c r="B178" s="34"/>
      <c r="C178" s="35"/>
      <c r="D178" s="36"/>
      <c r="E178" s="36"/>
      <c r="F178" s="36"/>
      <c r="G178" s="36"/>
      <c r="H178" s="36"/>
      <c r="I178" s="86"/>
      <c r="J178" s="36"/>
      <c r="K178" s="123"/>
      <c r="L178" s="123"/>
      <c r="M178" s="36"/>
      <c r="N178" s="36"/>
      <c r="O178" s="35"/>
      <c r="P178" s="124"/>
      <c r="Q178" s="123"/>
      <c r="R178" s="37"/>
      <c r="S178" s="37"/>
      <c r="T178" s="38"/>
      <c r="U178" s="88"/>
      <c r="V178" s="88"/>
      <c r="W178" s="88"/>
      <c r="X178" s="88"/>
      <c r="Y178" s="40"/>
      <c r="Z178" s="24"/>
      <c r="AA178" s="24"/>
      <c r="AB178" s="24"/>
      <c r="AC178" s="24"/>
      <c r="AD178" s="24"/>
      <c r="AE178" s="24"/>
      <c r="AF178" s="24"/>
      <c r="AG178" s="24"/>
      <c r="AH178" s="24"/>
      <c r="AI178" s="24"/>
      <c r="AJ178" s="24"/>
      <c r="AK178" s="24"/>
      <c r="AL178" s="24"/>
      <c r="AM178" s="24"/>
    </row>
    <row r="179" spans="1:39" ht="56.25" customHeight="1" x14ac:dyDescent="0.3">
      <c r="A179" s="34"/>
      <c r="B179" s="34"/>
      <c r="C179" s="35"/>
      <c r="D179" s="36"/>
      <c r="E179" s="36"/>
      <c r="F179" s="36"/>
      <c r="G179" s="36"/>
      <c r="H179" s="36"/>
      <c r="I179" s="86"/>
      <c r="J179" s="36"/>
      <c r="K179" s="123"/>
      <c r="L179" s="123"/>
      <c r="M179" s="36"/>
      <c r="N179" s="36"/>
      <c r="O179" s="123"/>
      <c r="P179" s="124"/>
      <c r="Q179" s="123"/>
      <c r="R179" s="37"/>
      <c r="S179" s="37"/>
      <c r="T179" s="38"/>
      <c r="U179" s="88"/>
      <c r="V179" s="88"/>
      <c r="W179" s="88"/>
      <c r="X179" s="88"/>
      <c r="Y179" s="40"/>
      <c r="Z179" s="24"/>
      <c r="AA179" s="24"/>
      <c r="AB179" s="24"/>
      <c r="AC179" s="24"/>
      <c r="AD179" s="24"/>
      <c r="AE179" s="24"/>
      <c r="AF179" s="24"/>
      <c r="AG179" s="24"/>
      <c r="AH179" s="24"/>
      <c r="AI179" s="24"/>
      <c r="AJ179" s="24"/>
      <c r="AK179" s="24"/>
      <c r="AL179" s="24"/>
      <c r="AM179" s="24"/>
    </row>
    <row r="180" spans="1:39" ht="56.25" customHeight="1" x14ac:dyDescent="0.3">
      <c r="A180" s="34"/>
      <c r="B180" s="34"/>
      <c r="C180" s="35"/>
      <c r="D180" s="36"/>
      <c r="E180" s="36"/>
      <c r="F180" s="36"/>
      <c r="G180" s="36"/>
      <c r="H180" s="36"/>
      <c r="I180" s="86"/>
      <c r="J180" s="36"/>
      <c r="K180" s="123"/>
      <c r="L180" s="123"/>
      <c r="M180" s="36"/>
      <c r="N180" s="36"/>
      <c r="O180" s="123"/>
      <c r="P180" s="124"/>
      <c r="Q180" s="123"/>
      <c r="R180" s="37"/>
      <c r="S180" s="37"/>
      <c r="T180" s="38"/>
      <c r="U180" s="88"/>
      <c r="V180" s="88"/>
      <c r="W180" s="88"/>
      <c r="X180" s="88"/>
      <c r="Y180" s="40"/>
      <c r="Z180" s="24"/>
      <c r="AA180" s="24"/>
      <c r="AB180" s="24"/>
      <c r="AC180" s="24"/>
      <c r="AD180" s="24"/>
      <c r="AE180" s="24"/>
      <c r="AF180" s="24"/>
      <c r="AG180" s="24"/>
      <c r="AH180" s="24"/>
      <c r="AI180" s="24"/>
      <c r="AJ180" s="24"/>
      <c r="AK180" s="24"/>
      <c r="AL180" s="24"/>
      <c r="AM180" s="24"/>
    </row>
    <row r="181" spans="1:39" ht="56.25" customHeight="1" x14ac:dyDescent="0.3">
      <c r="A181" s="34"/>
      <c r="B181" s="34"/>
      <c r="C181" s="35"/>
      <c r="D181" s="36"/>
      <c r="E181" s="36"/>
      <c r="F181" s="36"/>
      <c r="G181" s="36"/>
      <c r="H181" s="36"/>
      <c r="I181" s="86"/>
      <c r="J181" s="36"/>
      <c r="K181" s="123"/>
      <c r="L181" s="123"/>
      <c r="M181" s="36"/>
      <c r="N181" s="36"/>
      <c r="O181" s="35"/>
      <c r="P181" s="124"/>
      <c r="Q181" s="123"/>
      <c r="R181" s="89"/>
      <c r="S181" s="37"/>
      <c r="T181" s="38"/>
      <c r="U181" s="88"/>
      <c r="V181" s="88"/>
      <c r="W181" s="88"/>
      <c r="X181" s="88"/>
      <c r="Y181" s="40"/>
      <c r="Z181" s="24"/>
      <c r="AA181" s="24"/>
      <c r="AB181" s="24"/>
      <c r="AC181" s="24"/>
      <c r="AD181" s="24"/>
      <c r="AE181" s="24"/>
      <c r="AF181" s="24"/>
      <c r="AG181" s="24"/>
      <c r="AH181" s="24"/>
      <c r="AI181" s="24"/>
      <c r="AJ181" s="24"/>
      <c r="AK181" s="24"/>
      <c r="AL181" s="24"/>
      <c r="AM181" s="24"/>
    </row>
    <row r="182" spans="1:39" ht="56.25" customHeight="1" x14ac:dyDescent="0.3">
      <c r="A182" s="34"/>
      <c r="B182" s="34"/>
      <c r="C182" s="35"/>
      <c r="D182" s="36"/>
      <c r="E182" s="36"/>
      <c r="F182" s="36"/>
      <c r="G182" s="36"/>
      <c r="H182" s="36"/>
      <c r="I182" s="86"/>
      <c r="J182" s="36"/>
      <c r="K182" s="123"/>
      <c r="L182" s="123"/>
      <c r="M182" s="36"/>
      <c r="N182" s="36"/>
      <c r="O182" s="123"/>
      <c r="P182" s="124"/>
      <c r="Q182" s="123"/>
      <c r="R182" s="37"/>
      <c r="S182" s="37"/>
      <c r="T182" s="38"/>
      <c r="U182" s="88"/>
      <c r="V182" s="88"/>
      <c r="W182" s="88"/>
      <c r="X182" s="88"/>
      <c r="Y182" s="40"/>
      <c r="Z182" s="24"/>
      <c r="AA182" s="24"/>
      <c r="AB182" s="24"/>
      <c r="AC182" s="24"/>
      <c r="AD182" s="24"/>
      <c r="AE182" s="24"/>
      <c r="AF182" s="24"/>
      <c r="AG182" s="24"/>
      <c r="AH182" s="24"/>
      <c r="AI182" s="24"/>
      <c r="AJ182" s="24"/>
      <c r="AK182" s="24"/>
      <c r="AL182" s="24"/>
      <c r="AM182" s="24"/>
    </row>
    <row r="183" spans="1:39" ht="56.25" customHeight="1" x14ac:dyDescent="0.3">
      <c r="A183" s="34"/>
      <c r="B183" s="34"/>
      <c r="C183" s="35"/>
      <c r="D183" s="36"/>
      <c r="E183" s="36"/>
      <c r="F183" s="36"/>
      <c r="G183" s="36"/>
      <c r="H183" s="36"/>
      <c r="I183" s="86"/>
      <c r="J183" s="36"/>
      <c r="K183" s="123"/>
      <c r="L183" s="123"/>
      <c r="M183" s="36"/>
      <c r="N183" s="36"/>
      <c r="O183" s="35"/>
      <c r="P183" s="124"/>
      <c r="Q183" s="123"/>
      <c r="R183" s="89"/>
      <c r="S183" s="37"/>
      <c r="T183" s="38"/>
      <c r="U183" s="88"/>
      <c r="V183" s="88"/>
      <c r="W183" s="88"/>
      <c r="X183" s="88"/>
      <c r="Y183" s="40"/>
      <c r="Z183" s="24"/>
      <c r="AA183" s="24"/>
      <c r="AB183" s="24"/>
      <c r="AC183" s="24"/>
      <c r="AD183" s="24"/>
      <c r="AE183" s="24"/>
      <c r="AF183" s="24"/>
      <c r="AG183" s="24"/>
      <c r="AH183" s="24"/>
      <c r="AI183" s="24"/>
      <c r="AJ183" s="24"/>
      <c r="AK183" s="24"/>
      <c r="AL183" s="24"/>
      <c r="AM183" s="24"/>
    </row>
    <row r="184" spans="1:39" ht="56.25" customHeight="1" x14ac:dyDescent="0.3">
      <c r="A184" s="34"/>
      <c r="B184" s="98"/>
      <c r="C184" s="99"/>
      <c r="D184" s="42"/>
      <c r="E184" s="42"/>
      <c r="F184" s="42"/>
      <c r="G184" s="42"/>
      <c r="H184" s="42"/>
      <c r="I184" s="100"/>
      <c r="J184" s="36"/>
      <c r="K184" s="127"/>
      <c r="L184" s="127"/>
      <c r="M184" s="42"/>
      <c r="N184" s="42"/>
      <c r="O184" s="99"/>
      <c r="P184" s="128"/>
      <c r="Q184" s="127"/>
      <c r="R184" s="103"/>
      <c r="S184" s="101"/>
      <c r="T184" s="102"/>
      <c r="U184" s="111"/>
      <c r="V184" s="111"/>
      <c r="W184" s="111"/>
      <c r="X184" s="111"/>
      <c r="Y184" s="104"/>
      <c r="Z184" s="24"/>
      <c r="AA184" s="24"/>
      <c r="AB184" s="24"/>
      <c r="AC184" s="24"/>
      <c r="AD184" s="24"/>
      <c r="AE184" s="24"/>
      <c r="AF184" s="24"/>
      <c r="AG184" s="24"/>
      <c r="AH184" s="24"/>
      <c r="AI184" s="24"/>
      <c r="AJ184" s="24"/>
      <c r="AK184" s="24"/>
      <c r="AL184" s="24"/>
      <c r="AM184" s="24"/>
    </row>
    <row r="185" spans="1:39" ht="56.25" customHeight="1" x14ac:dyDescent="0.3">
      <c r="A185" s="34"/>
      <c r="B185" s="105"/>
      <c r="C185" s="35"/>
      <c r="D185" s="36"/>
      <c r="E185" s="36"/>
      <c r="F185" s="36"/>
      <c r="G185" s="36"/>
      <c r="H185" s="36"/>
      <c r="I185" s="106"/>
      <c r="J185" s="36"/>
      <c r="K185" s="36"/>
      <c r="L185" s="36"/>
      <c r="M185" s="36"/>
      <c r="N185" s="36"/>
      <c r="O185" s="44"/>
      <c r="P185" s="44"/>
      <c r="Q185" s="36"/>
      <c r="R185" s="36"/>
      <c r="S185" s="36"/>
      <c r="T185" s="36"/>
      <c r="U185" s="88"/>
      <c r="V185" s="112"/>
      <c r="W185" s="88"/>
      <c r="X185" s="88"/>
      <c r="Y185" s="40"/>
      <c r="Z185" s="24"/>
      <c r="AA185" s="24"/>
      <c r="AB185" s="24"/>
      <c r="AC185" s="24"/>
      <c r="AD185" s="24"/>
      <c r="AE185" s="24"/>
      <c r="AF185" s="24"/>
      <c r="AG185" s="24"/>
      <c r="AH185" s="24"/>
      <c r="AI185" s="24"/>
      <c r="AJ185" s="24"/>
      <c r="AK185" s="24"/>
      <c r="AL185" s="24"/>
      <c r="AM185" s="24"/>
    </row>
    <row r="186" spans="1:39" ht="56.25" customHeight="1" x14ac:dyDescent="0.3">
      <c r="A186" s="34"/>
      <c r="B186" s="34"/>
      <c r="C186" s="35"/>
      <c r="D186" s="36"/>
      <c r="E186" s="36"/>
      <c r="F186" s="36"/>
      <c r="G186" s="36"/>
      <c r="H186" s="36"/>
      <c r="I186" s="86"/>
      <c r="J186" s="36"/>
      <c r="K186" s="123"/>
      <c r="L186" s="123"/>
      <c r="M186" s="36"/>
      <c r="N186" s="36"/>
      <c r="O186" s="35"/>
      <c r="P186" s="124"/>
      <c r="Q186" s="123"/>
      <c r="R186" s="37"/>
      <c r="S186" s="37"/>
      <c r="T186" s="38"/>
      <c r="U186" s="88"/>
      <c r="V186" s="88"/>
      <c r="W186" s="88"/>
      <c r="X186" s="88"/>
      <c r="Y186" s="40"/>
      <c r="Z186" s="24"/>
      <c r="AA186" s="24"/>
      <c r="AB186" s="24"/>
      <c r="AC186" s="24"/>
      <c r="AD186" s="24"/>
      <c r="AE186" s="24"/>
      <c r="AF186" s="24"/>
      <c r="AG186" s="24"/>
      <c r="AH186" s="24"/>
      <c r="AI186" s="24"/>
      <c r="AJ186" s="24"/>
      <c r="AK186" s="24"/>
      <c r="AL186" s="24"/>
      <c r="AM186" s="24"/>
    </row>
    <row r="187" spans="1:39" ht="56.25" customHeight="1" x14ac:dyDescent="0.3">
      <c r="A187" s="34"/>
      <c r="B187" s="34"/>
      <c r="C187" s="35"/>
      <c r="D187" s="36"/>
      <c r="E187" s="36"/>
      <c r="F187" s="36"/>
      <c r="G187" s="36"/>
      <c r="H187" s="36"/>
      <c r="I187" s="86"/>
      <c r="J187" s="36"/>
      <c r="K187" s="123"/>
      <c r="L187" s="123"/>
      <c r="M187" s="36"/>
      <c r="N187" s="36"/>
      <c r="O187" s="35"/>
      <c r="P187" s="124"/>
      <c r="Q187" s="123"/>
      <c r="R187" s="87"/>
      <c r="S187" s="37"/>
      <c r="T187" s="38"/>
      <c r="U187" s="88"/>
      <c r="V187" s="88"/>
      <c r="W187" s="88"/>
      <c r="X187" s="88"/>
      <c r="Y187" s="40"/>
      <c r="Z187" s="24"/>
      <c r="AA187" s="24"/>
      <c r="AB187" s="24"/>
      <c r="AC187" s="24"/>
      <c r="AD187" s="24"/>
      <c r="AE187" s="24"/>
      <c r="AF187" s="24"/>
      <c r="AG187" s="24"/>
      <c r="AH187" s="24"/>
      <c r="AI187" s="24"/>
      <c r="AJ187" s="24"/>
      <c r="AK187" s="24"/>
      <c r="AL187" s="24"/>
      <c r="AM187" s="24"/>
    </row>
    <row r="188" spans="1:39" ht="56.25" customHeight="1" x14ac:dyDescent="0.3">
      <c r="A188" s="34"/>
      <c r="B188" s="34"/>
      <c r="C188" s="35"/>
      <c r="D188" s="36"/>
      <c r="E188" s="36"/>
      <c r="F188" s="36"/>
      <c r="G188" s="36"/>
      <c r="H188" s="36"/>
      <c r="I188" s="86"/>
      <c r="J188" s="36"/>
      <c r="K188" s="123"/>
      <c r="L188" s="123"/>
      <c r="M188" s="36"/>
      <c r="N188" s="36"/>
      <c r="O188" s="123"/>
      <c r="P188" s="124"/>
      <c r="Q188" s="123"/>
      <c r="R188" s="37"/>
      <c r="S188" s="37"/>
      <c r="T188" s="38"/>
      <c r="U188" s="88"/>
      <c r="V188" s="88"/>
      <c r="W188" s="88"/>
      <c r="X188" s="88"/>
      <c r="Y188" s="40"/>
      <c r="Z188" s="24"/>
      <c r="AA188" s="24"/>
      <c r="AB188" s="24"/>
      <c r="AC188" s="24"/>
      <c r="AD188" s="24"/>
      <c r="AE188" s="24"/>
      <c r="AF188" s="24"/>
      <c r="AG188" s="24"/>
      <c r="AH188" s="24"/>
      <c r="AI188" s="24"/>
      <c r="AJ188" s="24"/>
      <c r="AK188" s="24"/>
      <c r="AL188" s="24"/>
      <c r="AM188" s="24"/>
    </row>
    <row r="189" spans="1:39" ht="56.25" customHeight="1" x14ac:dyDescent="0.3">
      <c r="A189" s="34"/>
      <c r="B189" s="34"/>
      <c r="C189" s="35"/>
      <c r="D189" s="36"/>
      <c r="E189" s="36"/>
      <c r="F189" s="36"/>
      <c r="G189" s="36"/>
      <c r="H189" s="36"/>
      <c r="I189" s="86"/>
      <c r="J189" s="36"/>
      <c r="K189" s="123"/>
      <c r="L189" s="123"/>
      <c r="M189" s="36"/>
      <c r="N189" s="36"/>
      <c r="O189" s="123"/>
      <c r="P189" s="124"/>
      <c r="Q189" s="123"/>
      <c r="R189" s="37"/>
      <c r="S189" s="37"/>
      <c r="T189" s="38"/>
      <c r="U189" s="88"/>
      <c r="V189" s="88"/>
      <c r="W189" s="88"/>
      <c r="X189" s="88"/>
      <c r="Y189" s="40"/>
      <c r="Z189" s="24"/>
      <c r="AA189" s="24"/>
      <c r="AB189" s="24"/>
      <c r="AC189" s="24"/>
      <c r="AD189" s="24"/>
      <c r="AE189" s="24"/>
      <c r="AF189" s="24"/>
      <c r="AG189" s="24"/>
      <c r="AH189" s="24"/>
      <c r="AI189" s="24"/>
      <c r="AJ189" s="24"/>
      <c r="AK189" s="24"/>
      <c r="AL189" s="24"/>
      <c r="AM189" s="24"/>
    </row>
    <row r="190" spans="1:39" ht="56.25" customHeight="1" x14ac:dyDescent="0.3">
      <c r="A190" s="34"/>
      <c r="B190" s="34"/>
      <c r="C190" s="35"/>
      <c r="D190" s="36"/>
      <c r="E190" s="36"/>
      <c r="F190" s="36"/>
      <c r="G190" s="36"/>
      <c r="H190" s="36"/>
      <c r="I190" s="86"/>
      <c r="J190" s="36"/>
      <c r="K190" s="123"/>
      <c r="L190" s="123"/>
      <c r="M190" s="36"/>
      <c r="N190" s="36"/>
      <c r="O190" s="123"/>
      <c r="P190" s="124"/>
      <c r="Q190" s="123"/>
      <c r="R190" s="37"/>
      <c r="S190" s="37"/>
      <c r="T190" s="38"/>
      <c r="U190" s="88"/>
      <c r="V190" s="88"/>
      <c r="W190" s="88"/>
      <c r="X190" s="88"/>
      <c r="Y190" s="40"/>
      <c r="Z190" s="24"/>
      <c r="AA190" s="24"/>
      <c r="AB190" s="24"/>
      <c r="AC190" s="24"/>
      <c r="AD190" s="24"/>
      <c r="AE190" s="24"/>
      <c r="AF190" s="24"/>
      <c r="AG190" s="24"/>
      <c r="AH190" s="24"/>
      <c r="AI190" s="24"/>
      <c r="AJ190" s="24"/>
      <c r="AK190" s="24"/>
      <c r="AL190" s="24"/>
      <c r="AM190" s="24"/>
    </row>
    <row r="191" spans="1:39" ht="56.25" customHeight="1" x14ac:dyDescent="0.3">
      <c r="A191" s="34"/>
      <c r="B191" s="34"/>
      <c r="C191" s="35"/>
      <c r="D191" s="36"/>
      <c r="E191" s="36"/>
      <c r="F191" s="36"/>
      <c r="G191" s="36"/>
      <c r="H191" s="36"/>
      <c r="I191" s="86"/>
      <c r="J191" s="36"/>
      <c r="K191" s="123"/>
      <c r="L191" s="123"/>
      <c r="M191" s="36"/>
      <c r="N191" s="36"/>
      <c r="O191" s="123"/>
      <c r="P191" s="124"/>
      <c r="Q191" s="123"/>
      <c r="R191" s="37"/>
      <c r="S191" s="37"/>
      <c r="T191" s="38"/>
      <c r="U191" s="88"/>
      <c r="V191" s="88"/>
      <c r="W191" s="88"/>
      <c r="X191" s="88"/>
      <c r="Y191" s="40"/>
      <c r="Z191" s="24"/>
      <c r="AA191" s="24"/>
      <c r="AB191" s="24"/>
      <c r="AC191" s="24"/>
      <c r="AD191" s="24"/>
      <c r="AE191" s="24"/>
      <c r="AF191" s="24"/>
      <c r="AG191" s="24"/>
      <c r="AH191" s="24"/>
      <c r="AI191" s="24"/>
      <c r="AJ191" s="24"/>
      <c r="AK191" s="24"/>
      <c r="AL191" s="24"/>
      <c r="AM191" s="24"/>
    </row>
    <row r="192" spans="1:39" ht="56.25" customHeight="1" x14ac:dyDescent="0.3">
      <c r="A192" s="34"/>
      <c r="B192" s="34"/>
      <c r="C192" s="35"/>
      <c r="D192" s="36"/>
      <c r="E192" s="36"/>
      <c r="F192" s="36"/>
      <c r="G192" s="36"/>
      <c r="H192" s="36"/>
      <c r="I192" s="86"/>
      <c r="J192" s="36"/>
      <c r="K192" s="123"/>
      <c r="L192" s="123"/>
      <c r="M192" s="36"/>
      <c r="N192" s="36"/>
      <c r="O192" s="123"/>
      <c r="P192" s="124"/>
      <c r="Q192" s="123"/>
      <c r="R192" s="37"/>
      <c r="S192" s="37"/>
      <c r="T192" s="38"/>
      <c r="U192" s="88"/>
      <c r="V192" s="88"/>
      <c r="W192" s="88"/>
      <c r="X192" s="88"/>
      <c r="Y192" s="40"/>
      <c r="Z192" s="24"/>
      <c r="AA192" s="24"/>
      <c r="AB192" s="24"/>
      <c r="AC192" s="24"/>
      <c r="AD192" s="24"/>
      <c r="AE192" s="24"/>
      <c r="AF192" s="24"/>
      <c r="AG192" s="24"/>
      <c r="AH192" s="24"/>
      <c r="AI192" s="24"/>
      <c r="AJ192" s="24"/>
      <c r="AK192" s="24"/>
      <c r="AL192" s="24"/>
      <c r="AM192" s="24"/>
    </row>
    <row r="193" spans="1:39" ht="56.25" customHeight="1" x14ac:dyDescent="0.3">
      <c r="A193" s="34"/>
      <c r="B193" s="34"/>
      <c r="C193" s="35"/>
      <c r="D193" s="36"/>
      <c r="E193" s="36"/>
      <c r="F193" s="36"/>
      <c r="G193" s="36"/>
      <c r="H193" s="36"/>
      <c r="I193" s="86"/>
      <c r="J193" s="36"/>
      <c r="K193" s="123"/>
      <c r="L193" s="123"/>
      <c r="M193" s="36"/>
      <c r="N193" s="36"/>
      <c r="O193" s="35"/>
      <c r="P193" s="124"/>
      <c r="Q193" s="123"/>
      <c r="R193" s="37"/>
      <c r="S193" s="37"/>
      <c r="T193" s="38"/>
      <c r="U193" s="88"/>
      <c r="V193" s="88"/>
      <c r="W193" s="88"/>
      <c r="X193" s="88"/>
      <c r="Y193" s="40"/>
      <c r="Z193" s="24"/>
      <c r="AA193" s="24"/>
      <c r="AB193" s="24"/>
      <c r="AC193" s="24"/>
      <c r="AD193" s="24"/>
      <c r="AE193" s="24"/>
      <c r="AF193" s="24"/>
      <c r="AG193" s="24"/>
      <c r="AH193" s="24"/>
      <c r="AI193" s="24"/>
      <c r="AJ193" s="24"/>
      <c r="AK193" s="24"/>
      <c r="AL193" s="24"/>
      <c r="AM193" s="24"/>
    </row>
    <row r="194" spans="1:39" ht="56.25" customHeight="1" x14ac:dyDescent="0.3">
      <c r="A194" s="34"/>
      <c r="B194" s="34"/>
      <c r="C194" s="35"/>
      <c r="D194" s="36"/>
      <c r="E194" s="36"/>
      <c r="F194" s="36"/>
      <c r="G194" s="36"/>
      <c r="H194" s="36"/>
      <c r="I194" s="86"/>
      <c r="J194" s="36"/>
      <c r="K194" s="123"/>
      <c r="L194" s="123"/>
      <c r="M194" s="36"/>
      <c r="N194" s="36"/>
      <c r="O194" s="123"/>
      <c r="P194" s="124"/>
      <c r="Q194" s="123"/>
      <c r="R194" s="37"/>
      <c r="S194" s="37"/>
      <c r="T194" s="38"/>
      <c r="U194" s="88"/>
      <c r="V194" s="88"/>
      <c r="W194" s="88"/>
      <c r="X194" s="88"/>
      <c r="Y194" s="40"/>
      <c r="Z194" s="24"/>
      <c r="AA194" s="24"/>
      <c r="AB194" s="24"/>
      <c r="AC194" s="24"/>
      <c r="AD194" s="24"/>
      <c r="AE194" s="24"/>
      <c r="AF194" s="24"/>
      <c r="AG194" s="24"/>
      <c r="AH194" s="24"/>
      <c r="AI194" s="24"/>
      <c r="AJ194" s="24"/>
      <c r="AK194" s="24"/>
      <c r="AL194" s="24"/>
      <c r="AM194" s="24"/>
    </row>
    <row r="195" spans="1:39" ht="56.25" customHeight="1" x14ac:dyDescent="0.3">
      <c r="A195" s="34"/>
      <c r="B195" s="34"/>
      <c r="C195" s="35"/>
      <c r="D195" s="36"/>
      <c r="E195" s="36"/>
      <c r="F195" s="36"/>
      <c r="G195" s="36"/>
      <c r="H195" s="36"/>
      <c r="I195" s="86"/>
      <c r="J195" s="36"/>
      <c r="K195" s="123"/>
      <c r="L195" s="123"/>
      <c r="M195" s="36"/>
      <c r="N195" s="36"/>
      <c r="O195" s="123"/>
      <c r="P195" s="124"/>
      <c r="Q195" s="123"/>
      <c r="R195" s="37"/>
      <c r="S195" s="37"/>
      <c r="T195" s="38"/>
      <c r="U195" s="88"/>
      <c r="V195" s="88"/>
      <c r="W195" s="88"/>
      <c r="X195" s="88"/>
      <c r="Y195" s="40"/>
      <c r="Z195" s="24"/>
      <c r="AA195" s="24"/>
      <c r="AB195" s="24"/>
      <c r="AC195" s="24"/>
      <c r="AD195" s="24"/>
      <c r="AE195" s="24"/>
      <c r="AF195" s="24"/>
      <c r="AG195" s="24"/>
      <c r="AH195" s="24"/>
      <c r="AI195" s="24"/>
      <c r="AJ195" s="24"/>
      <c r="AK195" s="24"/>
      <c r="AL195" s="24"/>
      <c r="AM195" s="24"/>
    </row>
    <row r="196" spans="1:39" ht="56.25" customHeight="1" x14ac:dyDescent="0.3">
      <c r="A196" s="34"/>
      <c r="B196" s="34"/>
      <c r="C196" s="35"/>
      <c r="D196" s="36"/>
      <c r="E196" s="36"/>
      <c r="F196" s="36"/>
      <c r="G196" s="36"/>
      <c r="H196" s="36"/>
      <c r="I196" s="86"/>
      <c r="J196" s="36"/>
      <c r="K196" s="123"/>
      <c r="L196" s="123"/>
      <c r="M196" s="36"/>
      <c r="N196" s="36"/>
      <c r="O196" s="123"/>
      <c r="P196" s="124"/>
      <c r="Q196" s="123"/>
      <c r="R196" s="37"/>
      <c r="S196" s="37"/>
      <c r="T196" s="38"/>
      <c r="U196" s="88"/>
      <c r="V196" s="88"/>
      <c r="W196" s="88"/>
      <c r="X196" s="88"/>
      <c r="Y196" s="40"/>
      <c r="Z196" s="24"/>
      <c r="AA196" s="24"/>
      <c r="AB196" s="24"/>
      <c r="AC196" s="24"/>
      <c r="AD196" s="24"/>
      <c r="AE196" s="24"/>
      <c r="AF196" s="24"/>
      <c r="AG196" s="24"/>
      <c r="AH196" s="24"/>
      <c r="AI196" s="24"/>
      <c r="AJ196" s="24"/>
      <c r="AK196" s="24"/>
      <c r="AL196" s="24"/>
      <c r="AM196" s="24"/>
    </row>
    <row r="197" spans="1:39" ht="56.25" customHeight="1" x14ac:dyDescent="0.3">
      <c r="A197" s="34"/>
      <c r="B197" s="34"/>
      <c r="C197" s="35"/>
      <c r="D197" s="36"/>
      <c r="E197" s="36"/>
      <c r="F197" s="36"/>
      <c r="G197" s="36"/>
      <c r="H197" s="36"/>
      <c r="I197" s="86"/>
      <c r="J197" s="36"/>
      <c r="K197" s="123"/>
      <c r="L197" s="123"/>
      <c r="M197" s="36"/>
      <c r="N197" s="36"/>
      <c r="O197" s="35"/>
      <c r="P197" s="124"/>
      <c r="Q197" s="123"/>
      <c r="R197" s="37"/>
      <c r="S197" s="37"/>
      <c r="T197" s="38"/>
      <c r="U197" s="88"/>
      <c r="V197" s="88"/>
      <c r="W197" s="88"/>
      <c r="X197" s="88"/>
      <c r="Y197" s="40"/>
      <c r="Z197" s="24"/>
      <c r="AA197" s="24"/>
      <c r="AB197" s="24"/>
      <c r="AC197" s="24"/>
      <c r="AD197" s="24"/>
      <c r="AE197" s="24"/>
      <c r="AF197" s="24"/>
      <c r="AG197" s="24"/>
      <c r="AH197" s="24"/>
      <c r="AI197" s="24"/>
      <c r="AJ197" s="24"/>
      <c r="AK197" s="24"/>
      <c r="AL197" s="24"/>
      <c r="AM197" s="24"/>
    </row>
    <row r="198" spans="1:39" ht="56.25" customHeight="1" x14ac:dyDescent="0.3">
      <c r="A198" s="34"/>
      <c r="B198" s="34"/>
      <c r="C198" s="35"/>
      <c r="D198" s="36"/>
      <c r="E198" s="36"/>
      <c r="F198" s="36"/>
      <c r="G198" s="36"/>
      <c r="H198" s="36"/>
      <c r="I198" s="86"/>
      <c r="J198" s="36"/>
      <c r="K198" s="123"/>
      <c r="L198" s="123"/>
      <c r="M198" s="36"/>
      <c r="N198" s="36"/>
      <c r="O198" s="35"/>
      <c r="P198" s="124"/>
      <c r="Q198" s="123"/>
      <c r="R198" s="37"/>
      <c r="S198" s="37"/>
      <c r="T198" s="38"/>
      <c r="U198" s="88"/>
      <c r="V198" s="88"/>
      <c r="W198" s="88"/>
      <c r="X198" s="88"/>
      <c r="Y198" s="40"/>
      <c r="Z198" s="24"/>
      <c r="AA198" s="24"/>
      <c r="AB198" s="24"/>
      <c r="AC198" s="24"/>
      <c r="AD198" s="24"/>
      <c r="AE198" s="24"/>
      <c r="AF198" s="24"/>
      <c r="AG198" s="24"/>
      <c r="AH198" s="24"/>
      <c r="AI198" s="24"/>
      <c r="AJ198" s="24"/>
      <c r="AK198" s="24"/>
      <c r="AL198" s="24"/>
      <c r="AM198" s="24"/>
    </row>
    <row r="199" spans="1:39" ht="56.25" customHeight="1" x14ac:dyDescent="0.3">
      <c r="A199" s="34"/>
      <c r="B199" s="34"/>
      <c r="C199" s="35"/>
      <c r="D199" s="36"/>
      <c r="E199" s="36"/>
      <c r="F199" s="36"/>
      <c r="G199" s="36"/>
      <c r="H199" s="36"/>
      <c r="I199" s="86"/>
      <c r="J199" s="36"/>
      <c r="K199" s="123"/>
      <c r="L199" s="123"/>
      <c r="M199" s="36"/>
      <c r="N199" s="36"/>
      <c r="O199" s="35"/>
      <c r="P199" s="124"/>
      <c r="Q199" s="123"/>
      <c r="R199" s="87"/>
      <c r="S199" s="37"/>
      <c r="T199" s="38"/>
      <c r="U199" s="88"/>
      <c r="V199" s="88"/>
      <c r="W199" s="88"/>
      <c r="X199" s="88"/>
      <c r="Y199" s="40"/>
      <c r="Z199" s="24"/>
      <c r="AA199" s="24"/>
      <c r="AB199" s="24"/>
      <c r="AC199" s="24"/>
      <c r="AD199" s="24"/>
      <c r="AE199" s="24"/>
      <c r="AF199" s="24"/>
      <c r="AG199" s="24"/>
      <c r="AH199" s="24"/>
      <c r="AI199" s="24"/>
      <c r="AJ199" s="24"/>
      <c r="AK199" s="24"/>
      <c r="AL199" s="24"/>
      <c r="AM199" s="24"/>
    </row>
    <row r="200" spans="1:39" ht="56.25" customHeight="1" x14ac:dyDescent="0.3">
      <c r="A200" s="34"/>
      <c r="B200" s="34"/>
      <c r="C200" s="35"/>
      <c r="D200" s="36"/>
      <c r="E200" s="36"/>
      <c r="F200" s="36"/>
      <c r="G200" s="36"/>
      <c r="H200" s="36"/>
      <c r="I200" s="86"/>
      <c r="J200" s="36"/>
      <c r="K200" s="123"/>
      <c r="L200" s="123"/>
      <c r="M200" s="36"/>
      <c r="N200" s="36"/>
      <c r="O200" s="123"/>
      <c r="P200" s="124"/>
      <c r="Q200" s="123"/>
      <c r="R200" s="37"/>
      <c r="S200" s="37"/>
      <c r="T200" s="38"/>
      <c r="U200" s="88"/>
      <c r="V200" s="88"/>
      <c r="W200" s="88"/>
      <c r="X200" s="88"/>
      <c r="Y200" s="40"/>
      <c r="Z200" s="24"/>
      <c r="AA200" s="24"/>
      <c r="AB200" s="24"/>
      <c r="AC200" s="24"/>
      <c r="AD200" s="24"/>
      <c r="AE200" s="24"/>
      <c r="AF200" s="24"/>
      <c r="AG200" s="24"/>
      <c r="AH200" s="24"/>
      <c r="AI200" s="24"/>
      <c r="AJ200" s="24"/>
      <c r="AK200" s="24"/>
      <c r="AL200" s="24"/>
      <c r="AM200" s="24"/>
    </row>
    <row r="201" spans="1:39" ht="56.25" customHeight="1" x14ac:dyDescent="0.3">
      <c r="A201" s="34"/>
      <c r="B201" s="34"/>
      <c r="C201" s="35"/>
      <c r="D201" s="36"/>
      <c r="E201" s="36"/>
      <c r="F201" s="36"/>
      <c r="G201" s="36"/>
      <c r="H201" s="36"/>
      <c r="I201" s="86"/>
      <c r="J201" s="36"/>
      <c r="K201" s="123"/>
      <c r="L201" s="123"/>
      <c r="M201" s="36"/>
      <c r="N201" s="36"/>
      <c r="O201" s="123"/>
      <c r="P201" s="124"/>
      <c r="Q201" s="123"/>
      <c r="R201" s="37"/>
      <c r="S201" s="37"/>
      <c r="T201" s="38"/>
      <c r="U201" s="88"/>
      <c r="V201" s="88"/>
      <c r="W201" s="88"/>
      <c r="X201" s="88"/>
      <c r="Y201" s="40"/>
      <c r="Z201" s="24"/>
      <c r="AA201" s="24"/>
      <c r="AB201" s="24"/>
      <c r="AC201" s="24"/>
      <c r="AD201" s="24"/>
      <c r="AE201" s="24"/>
      <c r="AF201" s="24"/>
      <c r="AG201" s="24"/>
      <c r="AH201" s="24"/>
      <c r="AI201" s="24"/>
      <c r="AJ201" s="24"/>
      <c r="AK201" s="24"/>
      <c r="AL201" s="24"/>
      <c r="AM201" s="24"/>
    </row>
    <row r="202" spans="1:39" ht="56.25" customHeight="1" x14ac:dyDescent="0.3">
      <c r="A202" s="34"/>
      <c r="B202" s="34"/>
      <c r="C202" s="35"/>
      <c r="D202" s="36"/>
      <c r="E202" s="36"/>
      <c r="F202" s="36"/>
      <c r="G202" s="36"/>
      <c r="H202" s="36"/>
      <c r="I202" s="86"/>
      <c r="J202" s="36"/>
      <c r="K202" s="123"/>
      <c r="L202" s="123"/>
      <c r="M202" s="36"/>
      <c r="N202" s="36"/>
      <c r="O202" s="35"/>
      <c r="P202" s="124"/>
      <c r="Q202" s="123"/>
      <c r="R202" s="37"/>
      <c r="S202" s="37"/>
      <c r="T202" s="38"/>
      <c r="U202" s="88"/>
      <c r="V202" s="88"/>
      <c r="W202" s="88"/>
      <c r="X202" s="88"/>
      <c r="Y202" s="40"/>
      <c r="Z202" s="24"/>
      <c r="AA202" s="24"/>
      <c r="AB202" s="24"/>
      <c r="AC202" s="24"/>
      <c r="AD202" s="24"/>
      <c r="AE202" s="24"/>
      <c r="AF202" s="24"/>
      <c r="AG202" s="24"/>
      <c r="AH202" s="24"/>
      <c r="AI202" s="24"/>
      <c r="AJ202" s="24"/>
      <c r="AK202" s="24"/>
      <c r="AL202" s="24"/>
      <c r="AM202" s="24"/>
    </row>
    <row r="203" spans="1:39" ht="56.25" customHeight="1" x14ac:dyDescent="0.3">
      <c r="A203" s="34"/>
      <c r="B203" s="34"/>
      <c r="C203" s="35"/>
      <c r="D203" s="36"/>
      <c r="E203" s="36"/>
      <c r="F203" s="36"/>
      <c r="G203" s="36"/>
      <c r="H203" s="36"/>
      <c r="I203" s="86"/>
      <c r="J203" s="36"/>
      <c r="K203" s="123"/>
      <c r="L203" s="123"/>
      <c r="M203" s="36"/>
      <c r="N203" s="36"/>
      <c r="O203" s="123"/>
      <c r="P203" s="124"/>
      <c r="Q203" s="123"/>
      <c r="R203" s="37"/>
      <c r="S203" s="37"/>
      <c r="T203" s="38"/>
      <c r="U203" s="88"/>
      <c r="V203" s="88"/>
      <c r="W203" s="88"/>
      <c r="X203" s="88"/>
      <c r="Y203" s="40"/>
      <c r="Z203" s="24"/>
      <c r="AA203" s="24"/>
      <c r="AB203" s="24"/>
      <c r="AC203" s="24"/>
      <c r="AD203" s="24"/>
      <c r="AE203" s="24"/>
      <c r="AF203" s="24"/>
      <c r="AG203" s="24"/>
      <c r="AH203" s="24"/>
      <c r="AI203" s="24"/>
      <c r="AJ203" s="24"/>
      <c r="AK203" s="24"/>
      <c r="AL203" s="24"/>
      <c r="AM203" s="24"/>
    </row>
    <row r="204" spans="1:39" ht="56.25" customHeight="1" x14ac:dyDescent="0.3">
      <c r="A204" s="34"/>
      <c r="B204" s="34"/>
      <c r="C204" s="35"/>
      <c r="D204" s="36"/>
      <c r="E204" s="36"/>
      <c r="F204" s="36"/>
      <c r="G204" s="36"/>
      <c r="H204" s="36"/>
      <c r="I204" s="86"/>
      <c r="J204" s="36"/>
      <c r="K204" s="123"/>
      <c r="L204" s="123"/>
      <c r="M204" s="36"/>
      <c r="N204" s="36"/>
      <c r="O204" s="123"/>
      <c r="P204" s="124"/>
      <c r="Q204" s="123"/>
      <c r="R204" s="37"/>
      <c r="S204" s="37"/>
      <c r="T204" s="38"/>
      <c r="U204" s="88"/>
      <c r="V204" s="88"/>
      <c r="W204" s="88"/>
      <c r="X204" s="88"/>
      <c r="Y204" s="40"/>
      <c r="Z204" s="24"/>
      <c r="AA204" s="24"/>
      <c r="AB204" s="24"/>
      <c r="AC204" s="24"/>
      <c r="AD204" s="24"/>
      <c r="AE204" s="24"/>
      <c r="AF204" s="24"/>
      <c r="AG204" s="24"/>
      <c r="AH204" s="24"/>
      <c r="AI204" s="24"/>
      <c r="AJ204" s="24"/>
      <c r="AK204" s="24"/>
      <c r="AL204" s="24"/>
      <c r="AM204" s="24"/>
    </row>
    <row r="205" spans="1:39" ht="56.25" customHeight="1" x14ac:dyDescent="0.3">
      <c r="A205" s="34"/>
      <c r="B205" s="34"/>
      <c r="C205" s="35"/>
      <c r="D205" s="36"/>
      <c r="E205" s="36"/>
      <c r="F205" s="36"/>
      <c r="G205" s="36"/>
      <c r="H205" s="36"/>
      <c r="I205" s="86"/>
      <c r="J205" s="36"/>
      <c r="K205" s="123"/>
      <c r="L205" s="123"/>
      <c r="M205" s="36"/>
      <c r="N205" s="36"/>
      <c r="O205" s="35"/>
      <c r="P205" s="124"/>
      <c r="Q205" s="123"/>
      <c r="R205" s="37"/>
      <c r="S205" s="37"/>
      <c r="T205" s="38"/>
      <c r="U205" s="88"/>
      <c r="V205" s="88"/>
      <c r="W205" s="88"/>
      <c r="X205" s="88"/>
      <c r="Y205" s="40"/>
      <c r="Z205" s="24"/>
      <c r="AA205" s="24"/>
      <c r="AB205" s="24"/>
      <c r="AC205" s="24"/>
      <c r="AD205" s="24"/>
      <c r="AE205" s="24"/>
      <c r="AF205" s="24"/>
      <c r="AG205" s="24"/>
      <c r="AH205" s="24"/>
      <c r="AI205" s="24"/>
      <c r="AJ205" s="24"/>
      <c r="AK205" s="24"/>
      <c r="AL205" s="24"/>
      <c r="AM205" s="24"/>
    </row>
    <row r="206" spans="1:39" ht="56.25" customHeight="1" x14ac:dyDescent="0.3">
      <c r="A206" s="34"/>
      <c r="B206" s="34"/>
      <c r="C206" s="35"/>
      <c r="D206" s="36"/>
      <c r="E206" s="36"/>
      <c r="F206" s="36"/>
      <c r="G206" s="36"/>
      <c r="H206" s="36"/>
      <c r="I206" s="86"/>
      <c r="J206" s="36"/>
      <c r="K206" s="123"/>
      <c r="L206" s="123"/>
      <c r="M206" s="36"/>
      <c r="N206" s="36"/>
      <c r="O206" s="123"/>
      <c r="P206" s="124"/>
      <c r="Q206" s="123"/>
      <c r="R206" s="37"/>
      <c r="S206" s="37"/>
      <c r="T206" s="38"/>
      <c r="U206" s="88"/>
      <c r="V206" s="88"/>
      <c r="W206" s="88"/>
      <c r="X206" s="88"/>
      <c r="Y206" s="40"/>
      <c r="Z206" s="24"/>
      <c r="AA206" s="24"/>
      <c r="AB206" s="24"/>
      <c r="AC206" s="24"/>
      <c r="AD206" s="24"/>
      <c r="AE206" s="24"/>
      <c r="AF206" s="24"/>
      <c r="AG206" s="24"/>
      <c r="AH206" s="24"/>
      <c r="AI206" s="24"/>
      <c r="AJ206" s="24"/>
      <c r="AK206" s="24"/>
      <c r="AL206" s="24"/>
      <c r="AM206" s="24"/>
    </row>
    <row r="207" spans="1:39" ht="56.25" customHeight="1" x14ac:dyDescent="0.3">
      <c r="A207" s="34"/>
      <c r="B207" s="34"/>
      <c r="C207" s="35"/>
      <c r="D207" s="36"/>
      <c r="E207" s="36"/>
      <c r="F207" s="36"/>
      <c r="G207" s="36"/>
      <c r="H207" s="36"/>
      <c r="I207" s="86"/>
      <c r="J207" s="36"/>
      <c r="K207" s="123"/>
      <c r="L207" s="123"/>
      <c r="M207" s="36"/>
      <c r="N207" s="36"/>
      <c r="O207" s="35"/>
      <c r="P207" s="124"/>
      <c r="Q207" s="123"/>
      <c r="R207" s="37"/>
      <c r="S207" s="37"/>
      <c r="T207" s="38"/>
      <c r="U207" s="88"/>
      <c r="V207" s="88"/>
      <c r="W207" s="88"/>
      <c r="X207" s="88"/>
      <c r="Y207" s="40"/>
      <c r="Z207" s="24"/>
      <c r="AA207" s="24"/>
      <c r="AB207" s="24"/>
      <c r="AC207" s="24"/>
      <c r="AD207" s="24"/>
      <c r="AE207" s="24"/>
      <c r="AF207" s="24"/>
      <c r="AG207" s="24"/>
      <c r="AH207" s="24"/>
      <c r="AI207" s="24"/>
      <c r="AJ207" s="24"/>
      <c r="AK207" s="24"/>
      <c r="AL207" s="24"/>
      <c r="AM207" s="24"/>
    </row>
    <row r="208" spans="1:39" ht="56.25" customHeight="1" x14ac:dyDescent="0.3">
      <c r="A208" s="34"/>
      <c r="B208" s="34"/>
      <c r="C208" s="35"/>
      <c r="D208" s="36"/>
      <c r="E208" s="36"/>
      <c r="F208" s="36"/>
      <c r="G208" s="36"/>
      <c r="H208" s="36"/>
      <c r="I208" s="86"/>
      <c r="J208" s="36"/>
      <c r="K208" s="123"/>
      <c r="L208" s="123"/>
      <c r="M208" s="36"/>
      <c r="N208" s="36"/>
      <c r="O208" s="123"/>
      <c r="P208" s="124"/>
      <c r="Q208" s="123"/>
      <c r="R208" s="37"/>
      <c r="S208" s="37"/>
      <c r="T208" s="38"/>
      <c r="U208" s="88"/>
      <c r="V208" s="88"/>
      <c r="W208" s="88"/>
      <c r="X208" s="88"/>
      <c r="Y208" s="40"/>
      <c r="Z208" s="24"/>
      <c r="AA208" s="24"/>
      <c r="AB208" s="24"/>
      <c r="AC208" s="24"/>
      <c r="AD208" s="24"/>
      <c r="AE208" s="24"/>
      <c r="AF208" s="24"/>
      <c r="AG208" s="24"/>
      <c r="AH208" s="24"/>
      <c r="AI208" s="24"/>
      <c r="AJ208" s="24"/>
      <c r="AK208" s="24"/>
      <c r="AL208" s="24"/>
      <c r="AM208" s="24"/>
    </row>
    <row r="209" spans="1:39" ht="56.25" customHeight="1" x14ac:dyDescent="0.3">
      <c r="A209" s="34"/>
      <c r="B209" s="34"/>
      <c r="C209" s="35"/>
      <c r="D209" s="36"/>
      <c r="E209" s="36"/>
      <c r="F209" s="36"/>
      <c r="G209" s="36"/>
      <c r="H209" s="36"/>
      <c r="I209" s="86"/>
      <c r="J209" s="36"/>
      <c r="K209" s="123"/>
      <c r="L209" s="123"/>
      <c r="M209" s="36"/>
      <c r="N209" s="36"/>
      <c r="O209" s="35"/>
      <c r="P209" s="124"/>
      <c r="Q209" s="123"/>
      <c r="R209" s="37"/>
      <c r="S209" s="37"/>
      <c r="T209" s="38"/>
      <c r="U209" s="88"/>
      <c r="V209" s="88"/>
      <c r="W209" s="88"/>
      <c r="X209" s="88"/>
      <c r="Y209" s="40"/>
      <c r="Z209" s="24"/>
      <c r="AA209" s="24"/>
      <c r="AB209" s="24"/>
      <c r="AC209" s="24"/>
      <c r="AD209" s="24"/>
      <c r="AE209" s="24"/>
      <c r="AF209" s="24"/>
      <c r="AG209" s="24"/>
      <c r="AH209" s="24"/>
      <c r="AI209" s="24"/>
      <c r="AJ209" s="24"/>
      <c r="AK209" s="24"/>
      <c r="AL209" s="24"/>
      <c r="AM209" s="24"/>
    </row>
    <row r="210" spans="1:39" ht="56.25" customHeight="1" x14ac:dyDescent="0.3">
      <c r="A210" s="34"/>
      <c r="B210" s="34"/>
      <c r="C210" s="35"/>
      <c r="D210" s="36"/>
      <c r="E210" s="36"/>
      <c r="F210" s="36"/>
      <c r="G210" s="36"/>
      <c r="H210" s="36"/>
      <c r="I210" s="86"/>
      <c r="J210" s="36"/>
      <c r="K210" s="123"/>
      <c r="L210" s="123"/>
      <c r="M210" s="36"/>
      <c r="N210" s="36"/>
      <c r="O210" s="35"/>
      <c r="P210" s="124"/>
      <c r="Q210" s="123"/>
      <c r="R210" s="37"/>
      <c r="S210" s="37"/>
      <c r="T210" s="38"/>
      <c r="U210" s="88"/>
      <c r="V210" s="88"/>
      <c r="W210" s="88"/>
      <c r="X210" s="88"/>
      <c r="Y210" s="40"/>
      <c r="Z210" s="24"/>
      <c r="AA210" s="24"/>
      <c r="AB210" s="24"/>
      <c r="AC210" s="24"/>
      <c r="AD210" s="24"/>
      <c r="AE210" s="24"/>
      <c r="AF210" s="24"/>
      <c r="AG210" s="24"/>
      <c r="AH210" s="24"/>
      <c r="AI210" s="24"/>
      <c r="AJ210" s="24"/>
      <c r="AK210" s="24"/>
      <c r="AL210" s="24"/>
      <c r="AM210" s="24"/>
    </row>
    <row r="211" spans="1:39" ht="56.25" customHeight="1" x14ac:dyDescent="0.3">
      <c r="A211" s="34"/>
      <c r="B211" s="34"/>
      <c r="C211" s="35"/>
      <c r="D211" s="36"/>
      <c r="E211" s="36"/>
      <c r="F211" s="36"/>
      <c r="G211" s="36"/>
      <c r="H211" s="36"/>
      <c r="I211" s="86"/>
      <c r="J211" s="36"/>
      <c r="K211" s="123"/>
      <c r="L211" s="123"/>
      <c r="M211" s="36"/>
      <c r="N211" s="36"/>
      <c r="O211" s="123"/>
      <c r="P211" s="124"/>
      <c r="Q211" s="123"/>
      <c r="R211" s="37"/>
      <c r="S211" s="37"/>
      <c r="T211" s="38"/>
      <c r="U211" s="88"/>
      <c r="V211" s="88"/>
      <c r="W211" s="88"/>
      <c r="X211" s="88"/>
      <c r="Y211" s="40"/>
      <c r="Z211" s="24"/>
      <c r="AA211" s="24"/>
      <c r="AB211" s="24"/>
      <c r="AC211" s="24"/>
      <c r="AD211" s="24"/>
      <c r="AE211" s="24"/>
      <c r="AF211" s="24"/>
      <c r="AG211" s="24"/>
      <c r="AH211" s="24"/>
      <c r="AI211" s="24"/>
      <c r="AJ211" s="24"/>
      <c r="AK211" s="24"/>
      <c r="AL211" s="24"/>
      <c r="AM211" s="24"/>
    </row>
    <row r="212" spans="1:39" ht="56.25" customHeight="1" x14ac:dyDescent="0.3">
      <c r="A212" s="34"/>
      <c r="B212" s="34"/>
      <c r="C212" s="35"/>
      <c r="D212" s="36"/>
      <c r="E212" s="36"/>
      <c r="F212" s="36"/>
      <c r="G212" s="36"/>
      <c r="H212" s="36"/>
      <c r="I212" s="86"/>
      <c r="J212" s="36"/>
      <c r="K212" s="123"/>
      <c r="L212" s="123"/>
      <c r="M212" s="36"/>
      <c r="N212" s="36"/>
      <c r="O212" s="123"/>
      <c r="P212" s="124"/>
      <c r="Q212" s="123"/>
      <c r="R212" s="37"/>
      <c r="S212" s="37"/>
      <c r="T212" s="38"/>
      <c r="U212" s="88"/>
      <c r="V212" s="88"/>
      <c r="W212" s="88"/>
      <c r="X212" s="88"/>
      <c r="Y212" s="40"/>
      <c r="Z212" s="24"/>
      <c r="AA212" s="24"/>
      <c r="AB212" s="24"/>
      <c r="AC212" s="24"/>
      <c r="AD212" s="24"/>
      <c r="AE212" s="24"/>
      <c r="AF212" s="24"/>
      <c r="AG212" s="24"/>
      <c r="AH212" s="24"/>
      <c r="AI212" s="24"/>
      <c r="AJ212" s="24"/>
      <c r="AK212" s="24"/>
      <c r="AL212" s="24"/>
      <c r="AM212" s="24"/>
    </row>
    <row r="213" spans="1:39" ht="56.25" customHeight="1" x14ac:dyDescent="0.3">
      <c r="A213" s="34"/>
      <c r="B213" s="34"/>
      <c r="C213" s="35"/>
      <c r="D213" s="36"/>
      <c r="E213" s="36"/>
      <c r="F213" s="36"/>
      <c r="G213" s="36"/>
      <c r="H213" s="36"/>
      <c r="I213" s="86"/>
      <c r="J213" s="36"/>
      <c r="K213" s="123"/>
      <c r="L213" s="123"/>
      <c r="M213" s="36"/>
      <c r="N213" s="36"/>
      <c r="O213" s="35"/>
      <c r="P213" s="124"/>
      <c r="Q213" s="123"/>
      <c r="R213" s="37"/>
      <c r="S213" s="37"/>
      <c r="T213" s="38"/>
      <c r="U213" s="88"/>
      <c r="V213" s="88"/>
      <c r="W213" s="88"/>
      <c r="X213" s="88"/>
      <c r="Y213" s="40"/>
      <c r="Z213" s="24"/>
      <c r="AA213" s="24"/>
      <c r="AB213" s="24"/>
      <c r="AC213" s="24"/>
      <c r="AD213" s="24"/>
      <c r="AE213" s="24"/>
      <c r="AF213" s="24"/>
      <c r="AG213" s="24"/>
      <c r="AH213" s="24"/>
      <c r="AI213" s="24"/>
      <c r="AJ213" s="24"/>
      <c r="AK213" s="24"/>
      <c r="AL213" s="24"/>
      <c r="AM213" s="24"/>
    </row>
    <row r="214" spans="1:39" ht="56.25" customHeight="1" x14ac:dyDescent="0.3">
      <c r="A214" s="34"/>
      <c r="B214" s="34"/>
      <c r="C214" s="35"/>
      <c r="D214" s="36"/>
      <c r="E214" s="36"/>
      <c r="F214" s="36"/>
      <c r="G214" s="36"/>
      <c r="H214" s="36"/>
      <c r="I214" s="86"/>
      <c r="J214" s="36"/>
      <c r="K214" s="123"/>
      <c r="L214" s="123"/>
      <c r="M214" s="36"/>
      <c r="N214" s="36"/>
      <c r="O214" s="35"/>
      <c r="P214" s="124"/>
      <c r="Q214" s="123"/>
      <c r="R214" s="37"/>
      <c r="S214" s="37"/>
      <c r="T214" s="38"/>
      <c r="U214" s="88"/>
      <c r="V214" s="88"/>
      <c r="W214" s="88"/>
      <c r="X214" s="88"/>
      <c r="Y214" s="40"/>
      <c r="Z214" s="24"/>
      <c r="AA214" s="24"/>
      <c r="AB214" s="24"/>
      <c r="AC214" s="24"/>
      <c r="AD214" s="24"/>
      <c r="AE214" s="24"/>
      <c r="AF214" s="24"/>
      <c r="AG214" s="24"/>
      <c r="AH214" s="24"/>
      <c r="AI214" s="24"/>
      <c r="AJ214" s="24"/>
      <c r="AK214" s="24"/>
      <c r="AL214" s="24"/>
      <c r="AM214" s="24"/>
    </row>
    <row r="215" spans="1:39" ht="56.25" customHeight="1" x14ac:dyDescent="0.3">
      <c r="A215" s="34"/>
      <c r="B215" s="34"/>
      <c r="C215" s="35"/>
      <c r="D215" s="36"/>
      <c r="E215" s="36"/>
      <c r="F215" s="36"/>
      <c r="G215" s="36"/>
      <c r="H215" s="36"/>
      <c r="I215" s="86"/>
      <c r="J215" s="36"/>
      <c r="K215" s="123"/>
      <c r="L215" s="123"/>
      <c r="M215" s="36"/>
      <c r="N215" s="36"/>
      <c r="O215" s="35"/>
      <c r="P215" s="124"/>
      <c r="Q215" s="123"/>
      <c r="R215" s="37"/>
      <c r="S215" s="37"/>
      <c r="T215" s="38"/>
      <c r="U215" s="88"/>
      <c r="V215" s="88"/>
      <c r="W215" s="88"/>
      <c r="X215" s="88"/>
      <c r="Y215" s="40"/>
      <c r="Z215" s="24"/>
      <c r="AA215" s="24"/>
      <c r="AB215" s="24"/>
      <c r="AC215" s="24"/>
      <c r="AD215" s="24"/>
      <c r="AE215" s="24"/>
      <c r="AF215" s="24"/>
      <c r="AG215" s="24"/>
      <c r="AH215" s="24"/>
      <c r="AI215" s="24"/>
      <c r="AJ215" s="24"/>
      <c r="AK215" s="24"/>
      <c r="AL215" s="24"/>
      <c r="AM215" s="24"/>
    </row>
    <row r="216" spans="1:39" ht="56.25" customHeight="1" x14ac:dyDescent="0.3">
      <c r="A216" s="34"/>
      <c r="B216" s="34"/>
      <c r="C216" s="35"/>
      <c r="D216" s="36"/>
      <c r="E216" s="36"/>
      <c r="F216" s="36"/>
      <c r="G216" s="36"/>
      <c r="H216" s="36"/>
      <c r="I216" s="86"/>
      <c r="J216" s="36"/>
      <c r="K216" s="123"/>
      <c r="L216" s="123"/>
      <c r="M216" s="36"/>
      <c r="N216" s="36"/>
      <c r="O216" s="123"/>
      <c r="P216" s="124"/>
      <c r="Q216" s="123"/>
      <c r="R216" s="37"/>
      <c r="S216" s="37"/>
      <c r="T216" s="38"/>
      <c r="U216" s="88"/>
      <c r="V216" s="88"/>
      <c r="W216" s="88"/>
      <c r="X216" s="88"/>
      <c r="Y216" s="40"/>
      <c r="Z216" s="24"/>
      <c r="AA216" s="24"/>
      <c r="AB216" s="24"/>
      <c r="AC216" s="24"/>
      <c r="AD216" s="24"/>
      <c r="AE216" s="24"/>
      <c r="AF216" s="24"/>
      <c r="AG216" s="24"/>
      <c r="AH216" s="24"/>
      <c r="AI216" s="24"/>
      <c r="AJ216" s="24"/>
      <c r="AK216" s="24"/>
      <c r="AL216" s="24"/>
      <c r="AM216" s="24"/>
    </row>
    <row r="217" spans="1:39" ht="56.25" customHeight="1" x14ac:dyDescent="0.3">
      <c r="A217" s="34"/>
      <c r="B217" s="34"/>
      <c r="C217" s="35"/>
      <c r="D217" s="36"/>
      <c r="E217" s="36"/>
      <c r="F217" s="36"/>
      <c r="G217" s="36"/>
      <c r="H217" s="36"/>
      <c r="I217" s="86"/>
      <c r="J217" s="36"/>
      <c r="K217" s="123"/>
      <c r="L217" s="123"/>
      <c r="M217" s="36"/>
      <c r="N217" s="36"/>
      <c r="O217" s="123"/>
      <c r="P217" s="124"/>
      <c r="Q217" s="123"/>
      <c r="R217" s="37"/>
      <c r="S217" s="37"/>
      <c r="T217" s="38"/>
      <c r="U217" s="88"/>
      <c r="V217" s="88"/>
      <c r="W217" s="88"/>
      <c r="X217" s="88"/>
      <c r="Y217" s="40"/>
      <c r="Z217" s="24"/>
      <c r="AA217" s="24"/>
      <c r="AB217" s="24"/>
      <c r="AC217" s="24"/>
      <c r="AD217" s="24"/>
      <c r="AE217" s="24"/>
      <c r="AF217" s="24"/>
      <c r="AG217" s="24"/>
      <c r="AH217" s="24"/>
      <c r="AI217" s="24"/>
      <c r="AJ217" s="24"/>
      <c r="AK217" s="24"/>
      <c r="AL217" s="24"/>
      <c r="AM217" s="24"/>
    </row>
    <row r="218" spans="1:39" ht="56.25" customHeight="1" x14ac:dyDescent="0.3">
      <c r="A218" s="34"/>
      <c r="B218" s="34"/>
      <c r="C218" s="35"/>
      <c r="D218" s="36"/>
      <c r="E218" s="36"/>
      <c r="F218" s="36"/>
      <c r="G218" s="36"/>
      <c r="H218" s="36"/>
      <c r="I218" s="86"/>
      <c r="J218" s="36"/>
      <c r="K218" s="123"/>
      <c r="L218" s="123"/>
      <c r="M218" s="36"/>
      <c r="N218" s="36"/>
      <c r="O218" s="123"/>
      <c r="P218" s="124"/>
      <c r="Q218" s="123"/>
      <c r="R218" s="37"/>
      <c r="S218" s="37"/>
      <c r="T218" s="38"/>
      <c r="U218" s="88"/>
      <c r="V218" s="88"/>
      <c r="W218" s="88"/>
      <c r="X218" s="88"/>
      <c r="Y218" s="40"/>
      <c r="Z218" s="24"/>
      <c r="AA218" s="24"/>
      <c r="AB218" s="24"/>
      <c r="AC218" s="24"/>
      <c r="AD218" s="24"/>
      <c r="AE218" s="24"/>
      <c r="AF218" s="24"/>
      <c r="AG218" s="24"/>
      <c r="AH218" s="24"/>
      <c r="AI218" s="24"/>
      <c r="AJ218" s="24"/>
      <c r="AK218" s="24"/>
      <c r="AL218" s="24"/>
      <c r="AM218" s="24"/>
    </row>
    <row r="219" spans="1:39" ht="56.25" customHeight="1" x14ac:dyDescent="0.3">
      <c r="A219" s="34"/>
      <c r="B219" s="34"/>
      <c r="C219" s="35"/>
      <c r="D219" s="36"/>
      <c r="E219" s="36"/>
      <c r="F219" s="36"/>
      <c r="G219" s="36"/>
      <c r="H219" s="36"/>
      <c r="I219" s="86"/>
      <c r="J219" s="36"/>
      <c r="K219" s="123"/>
      <c r="L219" s="123"/>
      <c r="M219" s="36"/>
      <c r="N219" s="36"/>
      <c r="O219" s="123"/>
      <c r="P219" s="124"/>
      <c r="Q219" s="123"/>
      <c r="R219" s="37"/>
      <c r="S219" s="37"/>
      <c r="T219" s="38"/>
      <c r="U219" s="88"/>
      <c r="V219" s="88"/>
      <c r="W219" s="88"/>
      <c r="X219" s="88"/>
      <c r="Y219" s="40"/>
      <c r="Z219" s="24"/>
      <c r="AA219" s="24"/>
      <c r="AB219" s="24"/>
      <c r="AC219" s="24"/>
      <c r="AD219" s="24"/>
      <c r="AE219" s="24"/>
      <c r="AF219" s="24"/>
      <c r="AG219" s="24"/>
      <c r="AH219" s="24"/>
      <c r="AI219" s="24"/>
      <c r="AJ219" s="24"/>
      <c r="AK219" s="24"/>
      <c r="AL219" s="24"/>
      <c r="AM219" s="24"/>
    </row>
    <row r="220" spans="1:39" ht="56.25" customHeight="1" x14ac:dyDescent="0.3">
      <c r="A220" s="34"/>
      <c r="B220" s="34"/>
      <c r="C220" s="35"/>
      <c r="D220" s="36"/>
      <c r="E220" s="36"/>
      <c r="F220" s="36"/>
      <c r="G220" s="36"/>
      <c r="H220" s="36"/>
      <c r="I220" s="86"/>
      <c r="J220" s="36"/>
      <c r="K220" s="123"/>
      <c r="L220" s="123"/>
      <c r="M220" s="36"/>
      <c r="N220" s="36"/>
      <c r="O220" s="123"/>
      <c r="P220" s="124"/>
      <c r="Q220" s="123"/>
      <c r="R220" s="37"/>
      <c r="S220" s="37"/>
      <c r="T220" s="38"/>
      <c r="U220" s="88"/>
      <c r="V220" s="88"/>
      <c r="W220" s="88"/>
      <c r="X220" s="88"/>
      <c r="Y220" s="40"/>
      <c r="Z220" s="24"/>
      <c r="AA220" s="24"/>
      <c r="AB220" s="24"/>
      <c r="AC220" s="24"/>
      <c r="AD220" s="24"/>
      <c r="AE220" s="24"/>
      <c r="AF220" s="24"/>
      <c r="AG220" s="24"/>
      <c r="AH220" s="24"/>
      <c r="AI220" s="24"/>
      <c r="AJ220" s="24"/>
      <c r="AK220" s="24"/>
      <c r="AL220" s="24"/>
      <c r="AM220" s="24"/>
    </row>
    <row r="221" spans="1:39" ht="56.25" customHeight="1" x14ac:dyDescent="0.3">
      <c r="A221" s="34"/>
      <c r="B221" s="34"/>
      <c r="C221" s="35"/>
      <c r="D221" s="36"/>
      <c r="E221" s="36"/>
      <c r="F221" s="36"/>
      <c r="G221" s="36"/>
      <c r="H221" s="36"/>
      <c r="I221" s="86"/>
      <c r="J221" s="36"/>
      <c r="K221" s="123"/>
      <c r="L221" s="123"/>
      <c r="M221" s="36"/>
      <c r="N221" s="36"/>
      <c r="O221" s="123"/>
      <c r="P221" s="124"/>
      <c r="Q221" s="123"/>
      <c r="R221" s="37"/>
      <c r="S221" s="37"/>
      <c r="T221" s="38"/>
      <c r="U221" s="88"/>
      <c r="V221" s="88"/>
      <c r="W221" s="113"/>
      <c r="X221" s="88"/>
      <c r="Y221" s="40"/>
      <c r="Z221" s="24"/>
      <c r="AA221" s="24"/>
      <c r="AB221" s="24"/>
      <c r="AC221" s="24"/>
      <c r="AD221" s="24"/>
      <c r="AE221" s="24"/>
      <c r="AF221" s="24"/>
      <c r="AG221" s="24"/>
      <c r="AH221" s="24"/>
      <c r="AI221" s="24"/>
      <c r="AJ221" s="24"/>
      <c r="AK221" s="24"/>
      <c r="AL221" s="24"/>
      <c r="AM221" s="24"/>
    </row>
    <row r="222" spans="1:39" ht="56.25" customHeight="1" x14ac:dyDescent="0.3">
      <c r="A222" s="34"/>
      <c r="B222" s="34"/>
      <c r="C222" s="35"/>
      <c r="D222" s="36"/>
      <c r="E222" s="36"/>
      <c r="F222" s="36"/>
      <c r="G222" s="36"/>
      <c r="H222" s="36"/>
      <c r="I222" s="86"/>
      <c r="J222" s="36"/>
      <c r="K222" s="123"/>
      <c r="L222" s="123"/>
      <c r="M222" s="36"/>
      <c r="N222" s="36"/>
      <c r="O222" s="123"/>
      <c r="P222" s="124"/>
      <c r="Q222" s="123"/>
      <c r="R222" s="37"/>
      <c r="S222" s="37"/>
      <c r="T222" s="38"/>
      <c r="U222" s="88"/>
      <c r="V222" s="88"/>
      <c r="W222" s="113"/>
      <c r="X222" s="88"/>
      <c r="Y222" s="40"/>
      <c r="Z222" s="24"/>
      <c r="AA222" s="24"/>
      <c r="AB222" s="24"/>
      <c r="AC222" s="24"/>
      <c r="AD222" s="24"/>
      <c r="AE222" s="24"/>
      <c r="AF222" s="24"/>
      <c r="AG222" s="24"/>
      <c r="AH222" s="24"/>
      <c r="AI222" s="24"/>
      <c r="AJ222" s="24"/>
      <c r="AK222" s="24"/>
      <c r="AL222" s="24"/>
      <c r="AM222" s="24"/>
    </row>
    <row r="223" spans="1:39" ht="56.25" customHeight="1" x14ac:dyDescent="0.3">
      <c r="A223" s="34"/>
      <c r="B223" s="34"/>
      <c r="C223" s="35"/>
      <c r="D223" s="36"/>
      <c r="E223" s="36"/>
      <c r="F223" s="36"/>
      <c r="G223" s="36"/>
      <c r="H223" s="36"/>
      <c r="I223" s="86"/>
      <c r="J223" s="36"/>
      <c r="K223" s="123"/>
      <c r="L223" s="123"/>
      <c r="M223" s="36"/>
      <c r="N223" s="36"/>
      <c r="O223" s="35"/>
      <c r="P223" s="124"/>
      <c r="Q223" s="123"/>
      <c r="R223" s="37"/>
      <c r="S223" s="37"/>
      <c r="T223" s="38"/>
      <c r="U223" s="88"/>
      <c r="V223" s="88"/>
      <c r="W223" s="113"/>
      <c r="X223" s="88"/>
      <c r="Y223" s="40"/>
      <c r="Z223" s="24"/>
      <c r="AA223" s="24"/>
      <c r="AB223" s="24"/>
      <c r="AC223" s="24"/>
      <c r="AD223" s="24"/>
      <c r="AE223" s="24"/>
      <c r="AF223" s="24"/>
      <c r="AG223" s="24"/>
      <c r="AH223" s="24"/>
      <c r="AI223" s="24"/>
      <c r="AJ223" s="24"/>
      <c r="AK223" s="24"/>
      <c r="AL223" s="24"/>
      <c r="AM223" s="24"/>
    </row>
    <row r="224" spans="1:39" ht="56.25" customHeight="1" x14ac:dyDescent="0.3">
      <c r="A224" s="34"/>
      <c r="B224" s="34"/>
      <c r="C224" s="35"/>
      <c r="D224" s="36"/>
      <c r="E224" s="36"/>
      <c r="F224" s="36"/>
      <c r="G224" s="36"/>
      <c r="H224" s="36"/>
      <c r="I224" s="86"/>
      <c r="J224" s="36"/>
      <c r="K224" s="123"/>
      <c r="L224" s="123"/>
      <c r="M224" s="36"/>
      <c r="N224" s="36"/>
      <c r="O224" s="35"/>
      <c r="P224" s="124"/>
      <c r="Q224" s="123"/>
      <c r="R224" s="37"/>
      <c r="S224" s="37"/>
      <c r="T224" s="38"/>
      <c r="U224" s="88"/>
      <c r="V224" s="88"/>
      <c r="W224" s="113"/>
      <c r="X224" s="88"/>
      <c r="Y224" s="40"/>
      <c r="Z224" s="24"/>
      <c r="AA224" s="24"/>
      <c r="AB224" s="24"/>
      <c r="AC224" s="24"/>
      <c r="AD224" s="24"/>
      <c r="AE224" s="24"/>
      <c r="AF224" s="24"/>
      <c r="AG224" s="24"/>
      <c r="AH224" s="24"/>
      <c r="AI224" s="24"/>
      <c r="AJ224" s="24"/>
      <c r="AK224" s="24"/>
      <c r="AL224" s="24"/>
      <c r="AM224" s="24"/>
    </row>
    <row r="225" spans="1:39" ht="56.25" customHeight="1" x14ac:dyDescent="0.3">
      <c r="A225" s="34"/>
      <c r="B225" s="34"/>
      <c r="C225" s="35"/>
      <c r="D225" s="36"/>
      <c r="E225" s="36"/>
      <c r="F225" s="36"/>
      <c r="G225" s="36"/>
      <c r="H225" s="36"/>
      <c r="I225" s="86"/>
      <c r="J225" s="36"/>
      <c r="K225" s="123"/>
      <c r="L225" s="123"/>
      <c r="M225" s="36"/>
      <c r="N225" s="36"/>
      <c r="O225" s="35"/>
      <c r="P225" s="124"/>
      <c r="Q225" s="123"/>
      <c r="R225" s="37"/>
      <c r="S225" s="37"/>
      <c r="T225" s="38"/>
      <c r="U225" s="88"/>
      <c r="V225" s="88"/>
      <c r="W225" s="113"/>
      <c r="X225" s="88"/>
      <c r="Y225" s="40"/>
      <c r="Z225" s="24"/>
      <c r="AA225" s="24"/>
      <c r="AB225" s="24"/>
      <c r="AC225" s="24"/>
      <c r="AD225" s="24"/>
      <c r="AE225" s="24"/>
      <c r="AF225" s="24"/>
      <c r="AG225" s="24"/>
      <c r="AH225" s="24"/>
      <c r="AI225" s="24"/>
      <c r="AJ225" s="24"/>
      <c r="AK225" s="24"/>
      <c r="AL225" s="24"/>
      <c r="AM225" s="24"/>
    </row>
    <row r="226" spans="1:39" ht="56.25" customHeight="1" x14ac:dyDescent="0.3">
      <c r="A226" s="34"/>
      <c r="B226" s="34"/>
      <c r="C226" s="35"/>
      <c r="D226" s="36"/>
      <c r="E226" s="36"/>
      <c r="F226" s="36"/>
      <c r="G226" s="36"/>
      <c r="H226" s="36"/>
      <c r="I226" s="86"/>
      <c r="J226" s="36"/>
      <c r="K226" s="123"/>
      <c r="L226" s="123"/>
      <c r="M226" s="36"/>
      <c r="N226" s="36"/>
      <c r="O226" s="123"/>
      <c r="P226" s="124"/>
      <c r="Q226" s="123"/>
      <c r="R226" s="37"/>
      <c r="S226" s="37"/>
      <c r="T226" s="38"/>
      <c r="U226" s="88"/>
      <c r="V226" s="88"/>
      <c r="W226" s="113"/>
      <c r="X226" s="88"/>
      <c r="Y226" s="40"/>
      <c r="Z226" s="24"/>
      <c r="AA226" s="24"/>
      <c r="AB226" s="24"/>
      <c r="AC226" s="24"/>
      <c r="AD226" s="24"/>
      <c r="AE226" s="24"/>
      <c r="AF226" s="24"/>
      <c r="AG226" s="24"/>
      <c r="AH226" s="24"/>
      <c r="AI226" s="24"/>
      <c r="AJ226" s="24"/>
      <c r="AK226" s="24"/>
      <c r="AL226" s="24"/>
      <c r="AM226" s="24"/>
    </row>
    <row r="227" spans="1:39" ht="56.25" customHeight="1" x14ac:dyDescent="0.3">
      <c r="A227" s="34"/>
      <c r="B227" s="34"/>
      <c r="C227" s="35"/>
      <c r="D227" s="36"/>
      <c r="E227" s="36"/>
      <c r="F227" s="36"/>
      <c r="G227" s="36"/>
      <c r="H227" s="36"/>
      <c r="I227" s="86"/>
      <c r="J227" s="36"/>
      <c r="K227" s="123"/>
      <c r="L227" s="123"/>
      <c r="M227" s="36"/>
      <c r="N227" s="36"/>
      <c r="O227" s="35"/>
      <c r="P227" s="124"/>
      <c r="Q227" s="123"/>
      <c r="R227" s="37"/>
      <c r="S227" s="37"/>
      <c r="T227" s="38"/>
      <c r="U227" s="88"/>
      <c r="V227" s="88"/>
      <c r="W227" s="113"/>
      <c r="X227" s="88"/>
      <c r="Y227" s="40"/>
      <c r="Z227" s="24"/>
      <c r="AA227" s="24"/>
      <c r="AB227" s="24"/>
      <c r="AC227" s="24"/>
      <c r="AD227" s="24"/>
      <c r="AE227" s="24"/>
      <c r="AF227" s="24"/>
      <c r="AG227" s="24"/>
      <c r="AH227" s="24"/>
      <c r="AI227" s="24"/>
      <c r="AJ227" s="24"/>
      <c r="AK227" s="24"/>
      <c r="AL227" s="24"/>
      <c r="AM227" s="24"/>
    </row>
    <row r="228" spans="1:39" ht="56.25" customHeight="1" x14ac:dyDescent="0.3">
      <c r="A228" s="34"/>
      <c r="B228" s="34"/>
      <c r="C228" s="35"/>
      <c r="D228" s="36"/>
      <c r="E228" s="36"/>
      <c r="F228" s="36"/>
      <c r="G228" s="36"/>
      <c r="H228" s="36"/>
      <c r="I228" s="86"/>
      <c r="J228" s="36"/>
      <c r="K228" s="123"/>
      <c r="L228" s="123"/>
      <c r="M228" s="36"/>
      <c r="N228" s="36"/>
      <c r="O228" s="35"/>
      <c r="P228" s="124"/>
      <c r="Q228" s="123"/>
      <c r="R228" s="37"/>
      <c r="S228" s="37"/>
      <c r="T228" s="38"/>
      <c r="U228" s="88"/>
      <c r="V228" s="88"/>
      <c r="W228" s="113"/>
      <c r="X228" s="88"/>
      <c r="Y228" s="40"/>
      <c r="Z228" s="24"/>
      <c r="AA228" s="24"/>
      <c r="AB228" s="24"/>
      <c r="AC228" s="24"/>
      <c r="AD228" s="24"/>
      <c r="AE228" s="24"/>
      <c r="AF228" s="24"/>
      <c r="AG228" s="24"/>
      <c r="AH228" s="24"/>
      <c r="AI228" s="24"/>
      <c r="AJ228" s="24"/>
      <c r="AK228" s="24"/>
      <c r="AL228" s="24"/>
      <c r="AM228" s="24"/>
    </row>
    <row r="229" spans="1:39" ht="56.25" customHeight="1" x14ac:dyDescent="0.3">
      <c r="A229" s="34"/>
      <c r="B229" s="34"/>
      <c r="C229" s="35"/>
      <c r="D229" s="36"/>
      <c r="E229" s="36"/>
      <c r="F229" s="36"/>
      <c r="G229" s="36"/>
      <c r="H229" s="36"/>
      <c r="I229" s="86"/>
      <c r="J229" s="36"/>
      <c r="K229" s="123"/>
      <c r="L229" s="123"/>
      <c r="M229" s="36"/>
      <c r="N229" s="36"/>
      <c r="O229" s="123"/>
      <c r="P229" s="124"/>
      <c r="Q229" s="123"/>
      <c r="R229" s="37"/>
      <c r="S229" s="37"/>
      <c r="T229" s="38"/>
      <c r="U229" s="88"/>
      <c r="V229" s="88"/>
      <c r="W229" s="113"/>
      <c r="X229" s="88"/>
      <c r="Y229" s="40"/>
      <c r="Z229" s="24"/>
      <c r="AA229" s="24"/>
      <c r="AB229" s="24"/>
      <c r="AC229" s="24"/>
      <c r="AD229" s="24"/>
      <c r="AE229" s="24"/>
      <c r="AF229" s="24"/>
      <c r="AG229" s="24"/>
      <c r="AH229" s="24"/>
      <c r="AI229" s="24"/>
      <c r="AJ229" s="24"/>
      <c r="AK229" s="24"/>
      <c r="AL229" s="24"/>
      <c r="AM229" s="24"/>
    </row>
    <row r="230" spans="1:39" ht="56.25" customHeight="1" x14ac:dyDescent="0.3">
      <c r="A230" s="34"/>
      <c r="B230" s="34"/>
      <c r="C230" s="35"/>
      <c r="D230" s="36"/>
      <c r="E230" s="36"/>
      <c r="F230" s="36"/>
      <c r="G230" s="36"/>
      <c r="H230" s="36"/>
      <c r="I230" s="86"/>
      <c r="J230" s="36"/>
      <c r="K230" s="123"/>
      <c r="L230" s="123"/>
      <c r="M230" s="36"/>
      <c r="N230" s="36"/>
      <c r="O230" s="35"/>
      <c r="P230" s="124"/>
      <c r="Q230" s="123"/>
      <c r="R230" s="37"/>
      <c r="S230" s="37"/>
      <c r="T230" s="38"/>
      <c r="U230" s="88"/>
      <c r="V230" s="88"/>
      <c r="W230" s="113"/>
      <c r="X230" s="88"/>
      <c r="Y230" s="40"/>
      <c r="Z230" s="24"/>
      <c r="AA230" s="24"/>
      <c r="AB230" s="24"/>
      <c r="AC230" s="24"/>
      <c r="AD230" s="24"/>
      <c r="AE230" s="24"/>
      <c r="AF230" s="24"/>
      <c r="AG230" s="24"/>
      <c r="AH230" s="24"/>
      <c r="AI230" s="24"/>
      <c r="AJ230" s="24"/>
      <c r="AK230" s="24"/>
      <c r="AL230" s="24"/>
      <c r="AM230" s="24"/>
    </row>
    <row r="231" spans="1:39" ht="56.25" customHeight="1" x14ac:dyDescent="0.3">
      <c r="A231" s="34"/>
      <c r="B231" s="34"/>
      <c r="C231" s="35"/>
      <c r="D231" s="36"/>
      <c r="E231" s="36"/>
      <c r="F231" s="36"/>
      <c r="G231" s="36"/>
      <c r="H231" s="36"/>
      <c r="I231" s="86"/>
      <c r="J231" s="36"/>
      <c r="K231" s="123"/>
      <c r="L231" s="123"/>
      <c r="M231" s="36"/>
      <c r="N231" s="36"/>
      <c r="O231" s="123"/>
      <c r="P231" s="124"/>
      <c r="Q231" s="123"/>
      <c r="R231" s="37"/>
      <c r="S231" s="37"/>
      <c r="T231" s="38"/>
      <c r="U231" s="88"/>
      <c r="V231" s="88"/>
      <c r="W231" s="113"/>
      <c r="X231" s="88"/>
      <c r="Y231" s="40"/>
      <c r="Z231" s="24"/>
      <c r="AA231" s="24"/>
      <c r="AB231" s="24"/>
      <c r="AC231" s="24"/>
      <c r="AD231" s="24"/>
      <c r="AE231" s="24"/>
      <c r="AF231" s="24"/>
      <c r="AG231" s="24"/>
      <c r="AH231" s="24"/>
      <c r="AI231" s="24"/>
      <c r="AJ231" s="24"/>
      <c r="AK231" s="24"/>
      <c r="AL231" s="24"/>
      <c r="AM231" s="24"/>
    </row>
    <row r="232" spans="1:39" ht="56.25" customHeight="1" x14ac:dyDescent="0.3">
      <c r="A232" s="34"/>
      <c r="B232" s="34"/>
      <c r="C232" s="35"/>
      <c r="D232" s="36"/>
      <c r="E232" s="36"/>
      <c r="F232" s="36"/>
      <c r="G232" s="36"/>
      <c r="H232" s="36"/>
      <c r="I232" s="86"/>
      <c r="J232" s="36"/>
      <c r="K232" s="123"/>
      <c r="L232" s="123"/>
      <c r="M232" s="36"/>
      <c r="N232" s="36"/>
      <c r="O232" s="123"/>
      <c r="P232" s="124"/>
      <c r="Q232" s="123"/>
      <c r="R232" s="37"/>
      <c r="S232" s="37"/>
      <c r="T232" s="38"/>
      <c r="U232" s="88"/>
      <c r="V232" s="88"/>
      <c r="W232" s="113"/>
      <c r="X232" s="88"/>
      <c r="Y232" s="40"/>
      <c r="Z232" s="24"/>
      <c r="AA232" s="24"/>
      <c r="AB232" s="24"/>
      <c r="AC232" s="24"/>
      <c r="AD232" s="24"/>
      <c r="AE232" s="24"/>
      <c r="AF232" s="24"/>
      <c r="AG232" s="24"/>
      <c r="AH232" s="24"/>
      <c r="AI232" s="24"/>
      <c r="AJ232" s="24"/>
      <c r="AK232" s="24"/>
      <c r="AL232" s="24"/>
      <c r="AM232" s="24"/>
    </row>
    <row r="233" spans="1:39" ht="56.25" customHeight="1" x14ac:dyDescent="0.3">
      <c r="A233" s="34"/>
      <c r="B233" s="34"/>
      <c r="C233" s="35"/>
      <c r="D233" s="36"/>
      <c r="E233" s="36"/>
      <c r="F233" s="36"/>
      <c r="G233" s="36"/>
      <c r="H233" s="36"/>
      <c r="I233" s="86"/>
      <c r="J233" s="36"/>
      <c r="K233" s="123"/>
      <c r="L233" s="123"/>
      <c r="M233" s="36"/>
      <c r="N233" s="36"/>
      <c r="O233" s="35"/>
      <c r="P233" s="124"/>
      <c r="Q233" s="123"/>
      <c r="R233" s="37"/>
      <c r="S233" s="37"/>
      <c r="T233" s="38"/>
      <c r="U233" s="88"/>
      <c r="V233" s="88"/>
      <c r="W233" s="113"/>
      <c r="X233" s="88"/>
      <c r="Y233" s="40"/>
      <c r="Z233" s="24"/>
      <c r="AA233" s="24"/>
      <c r="AB233" s="24"/>
      <c r="AC233" s="24"/>
      <c r="AD233" s="24"/>
      <c r="AE233" s="24"/>
      <c r="AF233" s="24"/>
      <c r="AG233" s="24"/>
      <c r="AH233" s="24"/>
      <c r="AI233" s="24"/>
      <c r="AJ233" s="24"/>
      <c r="AK233" s="24"/>
      <c r="AL233" s="24"/>
      <c r="AM233" s="24"/>
    </row>
    <row r="234" spans="1:39" ht="56.25" customHeight="1" x14ac:dyDescent="0.3">
      <c r="A234" s="34"/>
      <c r="B234" s="34"/>
      <c r="C234" s="35"/>
      <c r="D234" s="36"/>
      <c r="E234" s="36"/>
      <c r="F234" s="36"/>
      <c r="G234" s="36"/>
      <c r="H234" s="36"/>
      <c r="I234" s="86"/>
      <c r="J234" s="36"/>
      <c r="K234" s="123"/>
      <c r="L234" s="123"/>
      <c r="M234" s="36"/>
      <c r="N234" s="36"/>
      <c r="O234" s="35"/>
      <c r="P234" s="124"/>
      <c r="Q234" s="123"/>
      <c r="R234" s="37"/>
      <c r="S234" s="37"/>
      <c r="T234" s="38"/>
      <c r="U234" s="88"/>
      <c r="V234" s="88"/>
      <c r="W234" s="113"/>
      <c r="X234" s="88"/>
      <c r="Y234" s="40"/>
      <c r="Z234" s="24"/>
      <c r="AA234" s="24"/>
      <c r="AB234" s="24"/>
      <c r="AC234" s="24"/>
      <c r="AD234" s="24"/>
      <c r="AE234" s="24"/>
      <c r="AF234" s="24"/>
      <c r="AG234" s="24"/>
      <c r="AH234" s="24"/>
      <c r="AI234" s="24"/>
      <c r="AJ234" s="24"/>
      <c r="AK234" s="24"/>
      <c r="AL234" s="24"/>
      <c r="AM234" s="24"/>
    </row>
    <row r="235" spans="1:39" ht="56.25" customHeight="1" x14ac:dyDescent="0.3">
      <c r="A235" s="34"/>
      <c r="B235" s="34"/>
      <c r="C235" s="35"/>
      <c r="D235" s="36"/>
      <c r="E235" s="36"/>
      <c r="F235" s="36"/>
      <c r="G235" s="36"/>
      <c r="H235" s="36"/>
      <c r="I235" s="86"/>
      <c r="J235" s="36"/>
      <c r="K235" s="123"/>
      <c r="L235" s="123"/>
      <c r="M235" s="36"/>
      <c r="N235" s="36"/>
      <c r="O235" s="123"/>
      <c r="P235" s="124"/>
      <c r="Q235" s="123"/>
      <c r="R235" s="37"/>
      <c r="S235" s="37"/>
      <c r="T235" s="38"/>
      <c r="U235" s="88"/>
      <c r="V235" s="88"/>
      <c r="W235" s="113"/>
      <c r="X235" s="88"/>
      <c r="Y235" s="40"/>
      <c r="Z235" s="24"/>
      <c r="AA235" s="24"/>
      <c r="AB235" s="24"/>
      <c r="AC235" s="24"/>
      <c r="AD235" s="24"/>
      <c r="AE235" s="24"/>
      <c r="AF235" s="24"/>
      <c r="AG235" s="24"/>
      <c r="AH235" s="24"/>
      <c r="AI235" s="24"/>
      <c r="AJ235" s="24"/>
      <c r="AK235" s="24"/>
      <c r="AL235" s="24"/>
      <c r="AM235" s="24"/>
    </row>
    <row r="236" spans="1:39" ht="56.25" customHeight="1" x14ac:dyDescent="0.3">
      <c r="A236" s="34"/>
      <c r="B236" s="34"/>
      <c r="C236" s="35"/>
      <c r="D236" s="36"/>
      <c r="E236" s="36"/>
      <c r="F236" s="36"/>
      <c r="G236" s="36"/>
      <c r="H236" s="36"/>
      <c r="I236" s="86"/>
      <c r="J236" s="36"/>
      <c r="K236" s="123"/>
      <c r="L236" s="123"/>
      <c r="M236" s="36"/>
      <c r="N236" s="36"/>
      <c r="O236" s="123"/>
      <c r="P236" s="124"/>
      <c r="Q236" s="123"/>
      <c r="R236" s="37"/>
      <c r="S236" s="37"/>
      <c r="T236" s="38"/>
      <c r="U236" s="88"/>
      <c r="V236" s="88"/>
      <c r="W236" s="113"/>
      <c r="X236" s="88"/>
      <c r="Y236" s="40"/>
      <c r="Z236" s="24"/>
      <c r="AA236" s="24"/>
      <c r="AB236" s="24"/>
      <c r="AC236" s="24"/>
      <c r="AD236" s="24"/>
      <c r="AE236" s="24"/>
      <c r="AF236" s="24"/>
      <c r="AG236" s="24"/>
      <c r="AH236" s="24"/>
      <c r="AI236" s="24"/>
      <c r="AJ236" s="24"/>
      <c r="AK236" s="24"/>
      <c r="AL236" s="24"/>
      <c r="AM236" s="24"/>
    </row>
    <row r="237" spans="1:39" ht="56.25" customHeight="1" x14ac:dyDescent="0.3">
      <c r="A237" s="34"/>
      <c r="B237" s="34"/>
      <c r="C237" s="35"/>
      <c r="D237" s="36"/>
      <c r="E237" s="36"/>
      <c r="F237" s="36"/>
      <c r="G237" s="36"/>
      <c r="H237" s="36"/>
      <c r="I237" s="86"/>
      <c r="J237" s="36"/>
      <c r="K237" s="123"/>
      <c r="L237" s="123"/>
      <c r="M237" s="36"/>
      <c r="N237" s="36"/>
      <c r="O237" s="35"/>
      <c r="P237" s="124"/>
      <c r="Q237" s="123"/>
      <c r="R237" s="37"/>
      <c r="S237" s="37"/>
      <c r="T237" s="38"/>
      <c r="U237" s="88"/>
      <c r="V237" s="88"/>
      <c r="W237" s="113"/>
      <c r="X237" s="88"/>
      <c r="Y237" s="40"/>
      <c r="Z237" s="24"/>
      <c r="AA237" s="24"/>
      <c r="AB237" s="24"/>
      <c r="AC237" s="24"/>
      <c r="AD237" s="24"/>
      <c r="AE237" s="24"/>
      <c r="AF237" s="24"/>
      <c r="AG237" s="24"/>
      <c r="AH237" s="24"/>
      <c r="AI237" s="24"/>
      <c r="AJ237" s="24"/>
      <c r="AK237" s="24"/>
      <c r="AL237" s="24"/>
      <c r="AM237" s="24"/>
    </row>
    <row r="238" spans="1:39" ht="56.25" customHeight="1" x14ac:dyDescent="0.3">
      <c r="A238" s="34"/>
      <c r="B238" s="34"/>
      <c r="C238" s="35"/>
      <c r="D238" s="36"/>
      <c r="E238" s="36"/>
      <c r="F238" s="36"/>
      <c r="G238" s="36"/>
      <c r="H238" s="36"/>
      <c r="I238" s="86"/>
      <c r="J238" s="36"/>
      <c r="K238" s="123"/>
      <c r="L238" s="123"/>
      <c r="M238" s="36"/>
      <c r="N238" s="36"/>
      <c r="O238" s="123"/>
      <c r="P238" s="124"/>
      <c r="Q238" s="123"/>
      <c r="R238" s="37"/>
      <c r="S238" s="37"/>
      <c r="T238" s="38"/>
      <c r="U238" s="88"/>
      <c r="V238" s="88"/>
      <c r="W238" s="113"/>
      <c r="X238" s="88"/>
      <c r="Y238" s="40"/>
      <c r="Z238" s="24"/>
      <c r="AA238" s="24"/>
      <c r="AB238" s="24"/>
      <c r="AC238" s="24"/>
      <c r="AD238" s="24"/>
      <c r="AE238" s="24"/>
      <c r="AF238" s="24"/>
      <c r="AG238" s="24"/>
      <c r="AH238" s="24"/>
      <c r="AI238" s="24"/>
      <c r="AJ238" s="24"/>
      <c r="AK238" s="24"/>
      <c r="AL238" s="24"/>
      <c r="AM238" s="24"/>
    </row>
    <row r="239" spans="1:39" ht="56.25" customHeight="1" x14ac:dyDescent="0.3">
      <c r="A239" s="34"/>
      <c r="B239" s="34"/>
      <c r="C239" s="35"/>
      <c r="D239" s="36"/>
      <c r="E239" s="36"/>
      <c r="F239" s="36"/>
      <c r="G239" s="36"/>
      <c r="H239" s="36"/>
      <c r="I239" s="86"/>
      <c r="J239" s="36"/>
      <c r="K239" s="123"/>
      <c r="L239" s="123"/>
      <c r="M239" s="36"/>
      <c r="N239" s="36"/>
      <c r="O239" s="123"/>
      <c r="P239" s="124"/>
      <c r="Q239" s="123"/>
      <c r="R239" s="37"/>
      <c r="S239" s="37"/>
      <c r="T239" s="38"/>
      <c r="U239" s="88"/>
      <c r="V239" s="88"/>
      <c r="W239" s="113"/>
      <c r="X239" s="88"/>
      <c r="Y239" s="40"/>
      <c r="Z239" s="24"/>
      <c r="AA239" s="24"/>
      <c r="AB239" s="24"/>
      <c r="AC239" s="24"/>
      <c r="AD239" s="24"/>
      <c r="AE239" s="24"/>
      <c r="AF239" s="24"/>
      <c r="AG239" s="24"/>
      <c r="AH239" s="24"/>
      <c r="AI239" s="24"/>
      <c r="AJ239" s="24"/>
      <c r="AK239" s="24"/>
      <c r="AL239" s="24"/>
      <c r="AM239" s="24"/>
    </row>
    <row r="240" spans="1:39" ht="56.25" customHeight="1" x14ac:dyDescent="0.3">
      <c r="A240" s="34"/>
      <c r="B240" s="34"/>
      <c r="C240" s="35"/>
      <c r="D240" s="36"/>
      <c r="E240" s="36"/>
      <c r="F240" s="36"/>
      <c r="G240" s="36"/>
      <c r="H240" s="36"/>
      <c r="I240" s="86"/>
      <c r="J240" s="36"/>
      <c r="K240" s="123"/>
      <c r="L240" s="123"/>
      <c r="M240" s="36"/>
      <c r="N240" s="36"/>
      <c r="O240" s="123"/>
      <c r="P240" s="124"/>
      <c r="Q240" s="123"/>
      <c r="R240" s="37"/>
      <c r="S240" s="37"/>
      <c r="T240" s="38"/>
      <c r="U240" s="88"/>
      <c r="V240" s="88"/>
      <c r="W240" s="113"/>
      <c r="X240" s="88"/>
      <c r="Y240" s="40"/>
      <c r="Z240" s="24"/>
      <c r="AA240" s="24"/>
      <c r="AB240" s="24"/>
      <c r="AC240" s="24"/>
      <c r="AD240" s="24"/>
      <c r="AE240" s="24"/>
      <c r="AF240" s="24"/>
      <c r="AG240" s="24"/>
      <c r="AH240" s="24"/>
      <c r="AI240" s="24"/>
      <c r="AJ240" s="24"/>
      <c r="AK240" s="24"/>
      <c r="AL240" s="24"/>
      <c r="AM240" s="24"/>
    </row>
    <row r="241" spans="1:39" ht="56.25" customHeight="1" x14ac:dyDescent="0.3">
      <c r="A241" s="34"/>
      <c r="B241" s="34"/>
      <c r="C241" s="35"/>
      <c r="D241" s="36"/>
      <c r="E241" s="36"/>
      <c r="F241" s="36"/>
      <c r="G241" s="36"/>
      <c r="H241" s="36"/>
      <c r="I241" s="86"/>
      <c r="J241" s="36"/>
      <c r="K241" s="123"/>
      <c r="L241" s="123"/>
      <c r="M241" s="36"/>
      <c r="N241" s="36"/>
      <c r="O241" s="123"/>
      <c r="P241" s="124"/>
      <c r="Q241" s="123"/>
      <c r="R241" s="37"/>
      <c r="S241" s="37"/>
      <c r="T241" s="38"/>
      <c r="U241" s="88"/>
      <c r="V241" s="88"/>
      <c r="W241" s="88"/>
      <c r="X241" s="88"/>
      <c r="Y241" s="40"/>
      <c r="Z241" s="24"/>
      <c r="AA241" s="24"/>
      <c r="AB241" s="24"/>
      <c r="AC241" s="24"/>
      <c r="AD241" s="24"/>
      <c r="AE241" s="24"/>
      <c r="AF241" s="24"/>
      <c r="AG241" s="24"/>
      <c r="AH241" s="24"/>
      <c r="AI241" s="24"/>
      <c r="AJ241" s="24"/>
      <c r="AK241" s="24"/>
      <c r="AL241" s="24"/>
      <c r="AM241" s="24"/>
    </row>
    <row r="242" spans="1:39" ht="56.25" customHeight="1" x14ac:dyDescent="0.3">
      <c r="A242" s="34"/>
      <c r="B242" s="34"/>
      <c r="C242" s="35"/>
      <c r="D242" s="36"/>
      <c r="E242" s="36"/>
      <c r="F242" s="36"/>
      <c r="G242" s="36"/>
      <c r="H242" s="36"/>
      <c r="I242" s="86"/>
      <c r="J242" s="36"/>
      <c r="K242" s="123"/>
      <c r="L242" s="123"/>
      <c r="M242" s="36"/>
      <c r="N242" s="36"/>
      <c r="O242" s="123"/>
      <c r="P242" s="124"/>
      <c r="Q242" s="123"/>
      <c r="R242" s="37"/>
      <c r="S242" s="37"/>
      <c r="T242" s="38"/>
      <c r="U242" s="88"/>
      <c r="V242" s="88"/>
      <c r="W242" s="113"/>
      <c r="X242" s="88"/>
      <c r="Y242" s="40"/>
      <c r="Z242" s="24"/>
      <c r="AA242" s="24"/>
      <c r="AB242" s="24"/>
      <c r="AC242" s="24"/>
      <c r="AD242" s="24"/>
      <c r="AE242" s="24"/>
      <c r="AF242" s="24"/>
      <c r="AG242" s="24"/>
      <c r="AH242" s="24"/>
      <c r="AI242" s="24"/>
      <c r="AJ242" s="24"/>
      <c r="AK242" s="24"/>
      <c r="AL242" s="24"/>
      <c r="AM242" s="24"/>
    </row>
    <row r="243" spans="1:39" ht="56.25" customHeight="1" x14ac:dyDescent="0.3">
      <c r="A243" s="34"/>
      <c r="B243" s="34"/>
      <c r="C243" s="35"/>
      <c r="D243" s="36"/>
      <c r="E243" s="36"/>
      <c r="F243" s="36"/>
      <c r="G243" s="36"/>
      <c r="H243" s="36"/>
      <c r="I243" s="86"/>
      <c r="J243" s="36"/>
      <c r="K243" s="123"/>
      <c r="L243" s="123"/>
      <c r="M243" s="36"/>
      <c r="N243" s="36"/>
      <c r="O243" s="123"/>
      <c r="P243" s="124"/>
      <c r="Q243" s="123"/>
      <c r="R243" s="37"/>
      <c r="S243" s="37"/>
      <c r="T243" s="38"/>
      <c r="U243" s="88"/>
      <c r="V243" s="88"/>
      <c r="W243" s="88"/>
      <c r="X243" s="88"/>
      <c r="Y243" s="40"/>
      <c r="Z243" s="24"/>
      <c r="AA243" s="24"/>
      <c r="AB243" s="24"/>
      <c r="AC243" s="24"/>
      <c r="AD243" s="24"/>
      <c r="AE243" s="24"/>
      <c r="AF243" s="24"/>
      <c r="AG243" s="24"/>
      <c r="AH243" s="24"/>
      <c r="AI243" s="24"/>
      <c r="AJ243" s="24"/>
      <c r="AK243" s="24"/>
      <c r="AL243" s="24"/>
      <c r="AM243" s="24"/>
    </row>
    <row r="244" spans="1:39" ht="56.25" customHeight="1" x14ac:dyDescent="0.3">
      <c r="A244" s="34"/>
      <c r="B244" s="34"/>
      <c r="C244" s="35"/>
      <c r="D244" s="36"/>
      <c r="E244" s="36"/>
      <c r="F244" s="36"/>
      <c r="G244" s="36"/>
      <c r="H244" s="36"/>
      <c r="I244" s="86"/>
      <c r="J244" s="36"/>
      <c r="K244" s="123"/>
      <c r="L244" s="123"/>
      <c r="M244" s="36"/>
      <c r="N244" s="36"/>
      <c r="O244" s="123"/>
      <c r="P244" s="124"/>
      <c r="Q244" s="123"/>
      <c r="R244" s="37"/>
      <c r="S244" s="37"/>
      <c r="T244" s="38"/>
      <c r="U244" s="88"/>
      <c r="V244" s="88"/>
      <c r="W244" s="113"/>
      <c r="X244" s="88"/>
      <c r="Y244" s="40"/>
      <c r="Z244" s="24"/>
      <c r="AA244" s="24"/>
      <c r="AB244" s="24"/>
      <c r="AC244" s="24"/>
      <c r="AD244" s="24"/>
      <c r="AE244" s="24"/>
      <c r="AF244" s="24"/>
      <c r="AG244" s="24"/>
      <c r="AH244" s="24"/>
      <c r="AI244" s="24"/>
      <c r="AJ244" s="24"/>
      <c r="AK244" s="24"/>
      <c r="AL244" s="24"/>
      <c r="AM244" s="24"/>
    </row>
    <row r="245" spans="1:39" ht="56.25" customHeight="1" x14ac:dyDescent="0.3">
      <c r="A245" s="34"/>
      <c r="B245" s="34"/>
      <c r="C245" s="35"/>
      <c r="D245" s="36"/>
      <c r="E245" s="36"/>
      <c r="F245" s="36"/>
      <c r="G245" s="36"/>
      <c r="H245" s="36"/>
      <c r="I245" s="86"/>
      <c r="J245" s="36"/>
      <c r="K245" s="123"/>
      <c r="L245" s="123"/>
      <c r="M245" s="36"/>
      <c r="N245" s="36"/>
      <c r="O245" s="123"/>
      <c r="P245" s="124"/>
      <c r="Q245" s="123"/>
      <c r="R245" s="37"/>
      <c r="S245" s="37"/>
      <c r="T245" s="38"/>
      <c r="U245" s="88"/>
      <c r="V245" s="88"/>
      <c r="W245" s="113"/>
      <c r="X245" s="88"/>
      <c r="Y245" s="40"/>
      <c r="Z245" s="24"/>
      <c r="AA245" s="24"/>
      <c r="AB245" s="24"/>
      <c r="AC245" s="24"/>
      <c r="AD245" s="24"/>
      <c r="AE245" s="24"/>
      <c r="AF245" s="24"/>
      <c r="AG245" s="24"/>
      <c r="AH245" s="24"/>
      <c r="AI245" s="24"/>
      <c r="AJ245" s="24"/>
      <c r="AK245" s="24"/>
      <c r="AL245" s="24"/>
      <c r="AM245" s="24"/>
    </row>
    <row r="246" spans="1:39" ht="56.25" customHeight="1" x14ac:dyDescent="0.3">
      <c r="A246" s="34"/>
      <c r="B246" s="34"/>
      <c r="C246" s="35"/>
      <c r="D246" s="36"/>
      <c r="E246" s="36"/>
      <c r="F246" s="36"/>
      <c r="G246" s="36"/>
      <c r="H246" s="36"/>
      <c r="I246" s="86"/>
      <c r="J246" s="36"/>
      <c r="K246" s="123"/>
      <c r="L246" s="123"/>
      <c r="M246" s="36"/>
      <c r="N246" s="36"/>
      <c r="O246" s="123"/>
      <c r="P246" s="124"/>
      <c r="Q246" s="123"/>
      <c r="R246" s="37"/>
      <c r="S246" s="37"/>
      <c r="T246" s="38"/>
      <c r="U246" s="88"/>
      <c r="V246" s="88"/>
      <c r="W246" s="113"/>
      <c r="X246" s="88"/>
      <c r="Y246" s="40"/>
      <c r="Z246" s="24"/>
      <c r="AA246" s="24"/>
      <c r="AB246" s="24"/>
      <c r="AC246" s="24"/>
      <c r="AD246" s="24"/>
      <c r="AE246" s="24"/>
      <c r="AF246" s="24"/>
      <c r="AG246" s="24"/>
      <c r="AH246" s="24"/>
      <c r="AI246" s="24"/>
      <c r="AJ246" s="24"/>
      <c r="AK246" s="24"/>
      <c r="AL246" s="24"/>
      <c r="AM246" s="24"/>
    </row>
    <row r="247" spans="1:39" ht="56.25" customHeight="1" x14ac:dyDescent="0.3">
      <c r="A247" s="34"/>
      <c r="B247" s="34"/>
      <c r="C247" s="35"/>
      <c r="D247" s="36"/>
      <c r="E247" s="36"/>
      <c r="F247" s="36"/>
      <c r="G247" s="36"/>
      <c r="H247" s="36"/>
      <c r="I247" s="86"/>
      <c r="J247" s="36"/>
      <c r="K247" s="123"/>
      <c r="L247" s="123"/>
      <c r="M247" s="36"/>
      <c r="N247" s="36"/>
      <c r="O247" s="123"/>
      <c r="P247" s="124"/>
      <c r="Q247" s="123"/>
      <c r="R247" s="37"/>
      <c r="S247" s="37"/>
      <c r="T247" s="38"/>
      <c r="U247" s="88"/>
      <c r="V247" s="88"/>
      <c r="W247" s="113"/>
      <c r="X247" s="88"/>
      <c r="Y247" s="40"/>
      <c r="Z247" s="24"/>
      <c r="AA247" s="24"/>
      <c r="AB247" s="24"/>
      <c r="AC247" s="24"/>
      <c r="AD247" s="24"/>
      <c r="AE247" s="24"/>
      <c r="AF247" s="24"/>
      <c r="AG247" s="24"/>
      <c r="AH247" s="24"/>
      <c r="AI247" s="24"/>
      <c r="AJ247" s="24"/>
      <c r="AK247" s="24"/>
      <c r="AL247" s="24"/>
      <c r="AM247" s="24"/>
    </row>
    <row r="248" spans="1:39" ht="56.25" customHeight="1" x14ac:dyDescent="0.3">
      <c r="A248" s="34"/>
      <c r="B248" s="34"/>
      <c r="C248" s="35"/>
      <c r="D248" s="36"/>
      <c r="E248" s="36"/>
      <c r="F248" s="36"/>
      <c r="G248" s="36"/>
      <c r="H248" s="36"/>
      <c r="I248" s="86"/>
      <c r="J248" s="36"/>
      <c r="K248" s="123"/>
      <c r="L248" s="123"/>
      <c r="M248" s="36"/>
      <c r="N248" s="36"/>
      <c r="O248" s="123"/>
      <c r="P248" s="124"/>
      <c r="Q248" s="123"/>
      <c r="R248" s="37"/>
      <c r="S248" s="37"/>
      <c r="T248" s="38"/>
      <c r="U248" s="88"/>
      <c r="V248" s="88"/>
      <c r="W248" s="113"/>
      <c r="X248" s="88"/>
      <c r="Y248" s="40"/>
      <c r="Z248" s="24"/>
      <c r="AA248" s="24"/>
      <c r="AB248" s="24"/>
      <c r="AC248" s="24"/>
      <c r="AD248" s="24"/>
      <c r="AE248" s="24"/>
      <c r="AF248" s="24"/>
      <c r="AG248" s="24"/>
      <c r="AH248" s="24"/>
      <c r="AI248" s="24"/>
      <c r="AJ248" s="24"/>
      <c r="AK248" s="24"/>
      <c r="AL248" s="24"/>
      <c r="AM248" s="24"/>
    </row>
    <row r="249" spans="1:39" ht="56.25" customHeight="1" x14ac:dyDescent="0.3">
      <c r="A249" s="34"/>
      <c r="B249" s="34"/>
      <c r="C249" s="35"/>
      <c r="D249" s="36"/>
      <c r="E249" s="36"/>
      <c r="F249" s="36"/>
      <c r="G249" s="36"/>
      <c r="H249" s="36"/>
      <c r="I249" s="86"/>
      <c r="J249" s="36"/>
      <c r="K249" s="123"/>
      <c r="L249" s="123"/>
      <c r="M249" s="36"/>
      <c r="N249" s="36"/>
      <c r="O249" s="123"/>
      <c r="P249" s="124"/>
      <c r="Q249" s="123"/>
      <c r="R249" s="37"/>
      <c r="S249" s="37"/>
      <c r="T249" s="38"/>
      <c r="U249" s="88"/>
      <c r="V249" s="88"/>
      <c r="W249" s="113"/>
      <c r="X249" s="88"/>
      <c r="Y249" s="40"/>
      <c r="Z249" s="24"/>
      <c r="AA249" s="24"/>
      <c r="AB249" s="24"/>
      <c r="AC249" s="24"/>
      <c r="AD249" s="24"/>
      <c r="AE249" s="24"/>
      <c r="AF249" s="24"/>
      <c r="AG249" s="24"/>
      <c r="AH249" s="24"/>
      <c r="AI249" s="24"/>
      <c r="AJ249" s="24"/>
      <c r="AK249" s="24"/>
      <c r="AL249" s="24"/>
      <c r="AM249" s="24"/>
    </row>
    <row r="250" spans="1:39" ht="56.25" customHeight="1" x14ac:dyDescent="0.3">
      <c r="A250" s="34"/>
      <c r="B250" s="34"/>
      <c r="C250" s="35"/>
      <c r="D250" s="36"/>
      <c r="E250" s="36"/>
      <c r="F250" s="36"/>
      <c r="G250" s="36"/>
      <c r="H250" s="36"/>
      <c r="I250" s="86"/>
      <c r="J250" s="36"/>
      <c r="K250" s="123"/>
      <c r="L250" s="123"/>
      <c r="M250" s="36"/>
      <c r="N250" s="36"/>
      <c r="O250" s="123"/>
      <c r="P250" s="35"/>
      <c r="Q250" s="123"/>
      <c r="R250" s="87"/>
      <c r="S250" s="37"/>
      <c r="T250" s="38"/>
      <c r="U250" s="88"/>
      <c r="V250" s="88"/>
      <c r="W250" s="113"/>
      <c r="X250" s="88"/>
      <c r="Y250" s="40"/>
      <c r="Z250" s="24"/>
      <c r="AA250" s="24"/>
      <c r="AB250" s="24"/>
      <c r="AC250" s="24"/>
      <c r="AD250" s="24"/>
      <c r="AE250" s="24"/>
      <c r="AF250" s="24"/>
      <c r="AG250" s="24"/>
      <c r="AH250" s="24"/>
      <c r="AI250" s="24"/>
      <c r="AJ250" s="24"/>
      <c r="AK250" s="24"/>
      <c r="AL250" s="24"/>
      <c r="AM250" s="24"/>
    </row>
    <row r="251" spans="1:39" ht="56.25" customHeight="1" x14ac:dyDescent="0.3">
      <c r="A251" s="34"/>
      <c r="B251" s="34"/>
      <c r="C251" s="35"/>
      <c r="D251" s="36"/>
      <c r="E251" s="36"/>
      <c r="F251" s="36"/>
      <c r="G251" s="36"/>
      <c r="H251" s="36"/>
      <c r="I251" s="86"/>
      <c r="J251" s="36"/>
      <c r="K251" s="123"/>
      <c r="L251" s="123"/>
      <c r="M251" s="36"/>
      <c r="N251" s="36"/>
      <c r="O251" s="123"/>
      <c r="P251" s="124"/>
      <c r="Q251" s="123"/>
      <c r="R251" s="37"/>
      <c r="S251" s="37"/>
      <c r="T251" s="38"/>
      <c r="U251" s="88"/>
      <c r="V251" s="88"/>
      <c r="W251" s="113"/>
      <c r="X251" s="88"/>
      <c r="Y251" s="40"/>
      <c r="Z251" s="24"/>
      <c r="AA251" s="24"/>
      <c r="AB251" s="24"/>
      <c r="AC251" s="24"/>
      <c r="AD251" s="24"/>
      <c r="AE251" s="24"/>
      <c r="AF251" s="24"/>
      <c r="AG251" s="24"/>
      <c r="AH251" s="24"/>
      <c r="AI251" s="24"/>
      <c r="AJ251" s="24"/>
      <c r="AK251" s="24"/>
      <c r="AL251" s="24"/>
      <c r="AM251" s="24"/>
    </row>
    <row r="252" spans="1:39" ht="56.25" customHeight="1" x14ac:dyDescent="0.3">
      <c r="A252" s="34"/>
      <c r="B252" s="34"/>
      <c r="C252" s="35"/>
      <c r="D252" s="36"/>
      <c r="E252" s="36"/>
      <c r="F252" s="36"/>
      <c r="G252" s="36"/>
      <c r="H252" s="36"/>
      <c r="I252" s="86"/>
      <c r="J252" s="36"/>
      <c r="K252" s="123"/>
      <c r="L252" s="123"/>
      <c r="M252" s="36"/>
      <c r="N252" s="36"/>
      <c r="O252" s="123"/>
      <c r="P252" s="124"/>
      <c r="Q252" s="123"/>
      <c r="R252" s="37"/>
      <c r="S252" s="37"/>
      <c r="T252" s="38"/>
      <c r="U252" s="88"/>
      <c r="V252" s="88"/>
      <c r="W252" s="113"/>
      <c r="X252" s="88"/>
      <c r="Y252" s="40"/>
      <c r="Z252" s="24"/>
      <c r="AA252" s="24"/>
      <c r="AB252" s="24"/>
      <c r="AC252" s="24"/>
      <c r="AD252" s="24"/>
      <c r="AE252" s="24"/>
      <c r="AF252" s="24"/>
      <c r="AG252" s="24"/>
      <c r="AH252" s="24"/>
      <c r="AI252" s="24"/>
      <c r="AJ252" s="24"/>
      <c r="AK252" s="24"/>
      <c r="AL252" s="24"/>
      <c r="AM252" s="24"/>
    </row>
    <row r="253" spans="1:39" ht="56.25" customHeight="1" x14ac:dyDescent="0.3">
      <c r="A253" s="34"/>
      <c r="B253" s="34"/>
      <c r="C253" s="35"/>
      <c r="D253" s="36"/>
      <c r="E253" s="36"/>
      <c r="F253" s="36"/>
      <c r="G253" s="36"/>
      <c r="H253" s="36"/>
      <c r="I253" s="86"/>
      <c r="J253" s="36"/>
      <c r="K253" s="123"/>
      <c r="L253" s="123"/>
      <c r="M253" s="36"/>
      <c r="N253" s="36"/>
      <c r="O253" s="35"/>
      <c r="P253" s="124"/>
      <c r="Q253" s="123"/>
      <c r="R253" s="37"/>
      <c r="S253" s="37"/>
      <c r="T253" s="38"/>
      <c r="U253" s="88"/>
      <c r="V253" s="88"/>
      <c r="W253" s="113"/>
      <c r="X253" s="88"/>
      <c r="Y253" s="40"/>
      <c r="Z253" s="24"/>
      <c r="AA253" s="24"/>
      <c r="AB253" s="24"/>
      <c r="AC253" s="24"/>
      <c r="AD253" s="24"/>
      <c r="AE253" s="24"/>
      <c r="AF253" s="24"/>
      <c r="AG253" s="24"/>
      <c r="AH253" s="24"/>
      <c r="AI253" s="24"/>
      <c r="AJ253" s="24"/>
      <c r="AK253" s="24"/>
      <c r="AL253" s="24"/>
      <c r="AM253" s="24"/>
    </row>
    <row r="254" spans="1:39" ht="56.25" customHeight="1" x14ac:dyDescent="0.3">
      <c r="A254" s="34"/>
      <c r="B254" s="34"/>
      <c r="C254" s="35"/>
      <c r="D254" s="36"/>
      <c r="E254" s="36"/>
      <c r="F254" s="36"/>
      <c r="G254" s="36"/>
      <c r="H254" s="36"/>
      <c r="I254" s="86"/>
      <c r="J254" s="36"/>
      <c r="K254" s="123"/>
      <c r="L254" s="123"/>
      <c r="M254" s="36"/>
      <c r="N254" s="36"/>
      <c r="O254" s="123"/>
      <c r="P254" s="124"/>
      <c r="Q254" s="123"/>
      <c r="R254" s="37"/>
      <c r="S254" s="37"/>
      <c r="T254" s="38"/>
      <c r="U254" s="88"/>
      <c r="V254" s="88"/>
      <c r="W254" s="113"/>
      <c r="X254" s="88"/>
      <c r="Y254" s="40"/>
      <c r="Z254" s="24"/>
      <c r="AA254" s="24"/>
      <c r="AB254" s="24"/>
      <c r="AC254" s="24"/>
      <c r="AD254" s="24"/>
      <c r="AE254" s="24"/>
      <c r="AF254" s="24"/>
      <c r="AG254" s="24"/>
      <c r="AH254" s="24"/>
      <c r="AI254" s="24"/>
      <c r="AJ254" s="24"/>
      <c r="AK254" s="24"/>
      <c r="AL254" s="24"/>
      <c r="AM254" s="24"/>
    </row>
    <row r="255" spans="1:39" ht="56.25" customHeight="1" x14ac:dyDescent="0.3">
      <c r="A255" s="34"/>
      <c r="B255" s="34"/>
      <c r="C255" s="35"/>
      <c r="D255" s="36"/>
      <c r="E255" s="36"/>
      <c r="F255" s="36"/>
      <c r="G255" s="36"/>
      <c r="H255" s="36"/>
      <c r="I255" s="86"/>
      <c r="J255" s="36"/>
      <c r="K255" s="123"/>
      <c r="L255" s="123"/>
      <c r="M255" s="36"/>
      <c r="N255" s="36"/>
      <c r="O255" s="35"/>
      <c r="P255" s="124"/>
      <c r="Q255" s="123"/>
      <c r="R255" s="37"/>
      <c r="S255" s="37"/>
      <c r="T255" s="38"/>
      <c r="U255" s="88"/>
      <c r="V255" s="88"/>
      <c r="W255" s="113"/>
      <c r="X255" s="88"/>
      <c r="Y255" s="40"/>
      <c r="Z255" s="24"/>
      <c r="AA255" s="24"/>
      <c r="AB255" s="24"/>
      <c r="AC255" s="24"/>
      <c r="AD255" s="24"/>
      <c r="AE255" s="24"/>
      <c r="AF255" s="24"/>
      <c r="AG255" s="24"/>
      <c r="AH255" s="24"/>
      <c r="AI255" s="24"/>
      <c r="AJ255" s="24"/>
      <c r="AK255" s="24"/>
      <c r="AL255" s="24"/>
      <c r="AM255" s="24"/>
    </row>
    <row r="256" spans="1:39" ht="56.25" customHeight="1" x14ac:dyDescent="0.3">
      <c r="A256" s="34"/>
      <c r="B256" s="34"/>
      <c r="C256" s="35"/>
      <c r="D256" s="36"/>
      <c r="E256" s="36"/>
      <c r="F256" s="36"/>
      <c r="G256" s="36"/>
      <c r="H256" s="36"/>
      <c r="I256" s="86"/>
      <c r="J256" s="36"/>
      <c r="K256" s="123"/>
      <c r="L256" s="123"/>
      <c r="M256" s="36"/>
      <c r="N256" s="36"/>
      <c r="O256" s="123"/>
      <c r="P256" s="124"/>
      <c r="Q256" s="123"/>
      <c r="R256" s="37"/>
      <c r="S256" s="37"/>
      <c r="T256" s="38"/>
      <c r="U256" s="88"/>
      <c r="V256" s="88"/>
      <c r="W256" s="113"/>
      <c r="X256" s="88"/>
      <c r="Y256" s="40"/>
      <c r="Z256" s="24"/>
      <c r="AA256" s="24"/>
      <c r="AB256" s="24"/>
      <c r="AC256" s="24"/>
      <c r="AD256" s="24"/>
      <c r="AE256" s="24"/>
      <c r="AF256" s="24"/>
      <c r="AG256" s="24"/>
      <c r="AH256" s="24"/>
      <c r="AI256" s="24"/>
      <c r="AJ256" s="24"/>
      <c r="AK256" s="24"/>
      <c r="AL256" s="24"/>
      <c r="AM256" s="24"/>
    </row>
    <row r="257" spans="1:39" ht="56.25" customHeight="1" x14ac:dyDescent="0.3">
      <c r="A257" s="34"/>
      <c r="B257" s="34"/>
      <c r="C257" s="35"/>
      <c r="D257" s="36"/>
      <c r="E257" s="36"/>
      <c r="F257" s="36"/>
      <c r="G257" s="36"/>
      <c r="H257" s="36"/>
      <c r="I257" s="86"/>
      <c r="J257" s="36"/>
      <c r="K257" s="123"/>
      <c r="L257" s="123"/>
      <c r="M257" s="36"/>
      <c r="N257" s="36"/>
      <c r="O257" s="123"/>
      <c r="P257" s="124"/>
      <c r="Q257" s="123"/>
      <c r="R257" s="37"/>
      <c r="S257" s="37"/>
      <c r="T257" s="38"/>
      <c r="U257" s="88"/>
      <c r="V257" s="88"/>
      <c r="W257" s="113"/>
      <c r="X257" s="88"/>
      <c r="Y257" s="40"/>
      <c r="Z257" s="24"/>
      <c r="AA257" s="24"/>
      <c r="AB257" s="24"/>
      <c r="AC257" s="24"/>
      <c r="AD257" s="24"/>
      <c r="AE257" s="24"/>
      <c r="AF257" s="24"/>
      <c r="AG257" s="24"/>
      <c r="AH257" s="24"/>
      <c r="AI257" s="24"/>
      <c r="AJ257" s="24"/>
      <c r="AK257" s="24"/>
      <c r="AL257" s="24"/>
      <c r="AM257" s="24"/>
    </row>
    <row r="258" spans="1:39" ht="56.25" customHeight="1" x14ac:dyDescent="0.3">
      <c r="A258" s="34"/>
      <c r="B258" s="34"/>
      <c r="C258" s="35"/>
      <c r="D258" s="36"/>
      <c r="E258" s="36"/>
      <c r="F258" s="36"/>
      <c r="G258" s="36"/>
      <c r="H258" s="36"/>
      <c r="I258" s="86"/>
      <c r="J258" s="36"/>
      <c r="K258" s="123"/>
      <c r="L258" s="123"/>
      <c r="M258" s="36"/>
      <c r="N258" s="36"/>
      <c r="O258" s="123"/>
      <c r="P258" s="124"/>
      <c r="Q258" s="123"/>
      <c r="R258" s="37"/>
      <c r="S258" s="37"/>
      <c r="T258" s="38"/>
      <c r="U258" s="88"/>
      <c r="V258" s="88"/>
      <c r="W258" s="113"/>
      <c r="X258" s="88"/>
      <c r="Y258" s="40"/>
      <c r="Z258" s="24"/>
      <c r="AA258" s="24"/>
      <c r="AB258" s="24"/>
      <c r="AC258" s="24"/>
      <c r="AD258" s="24"/>
      <c r="AE258" s="24"/>
      <c r="AF258" s="24"/>
      <c r="AG258" s="24"/>
      <c r="AH258" s="24"/>
      <c r="AI258" s="24"/>
      <c r="AJ258" s="24"/>
      <c r="AK258" s="24"/>
      <c r="AL258" s="24"/>
      <c r="AM258" s="24"/>
    </row>
    <row r="259" spans="1:39" ht="56.25" customHeight="1" x14ac:dyDescent="0.3">
      <c r="A259" s="34"/>
      <c r="B259" s="34"/>
      <c r="C259" s="35"/>
      <c r="D259" s="36"/>
      <c r="E259" s="36"/>
      <c r="F259" s="36"/>
      <c r="G259" s="36"/>
      <c r="H259" s="36"/>
      <c r="I259" s="86"/>
      <c r="J259" s="36"/>
      <c r="K259" s="123"/>
      <c r="L259" s="123"/>
      <c r="M259" s="36"/>
      <c r="N259" s="36"/>
      <c r="O259" s="35"/>
      <c r="P259" s="124"/>
      <c r="Q259" s="123"/>
      <c r="R259" s="37"/>
      <c r="S259" s="37"/>
      <c r="T259" s="38"/>
      <c r="U259" s="88"/>
      <c r="V259" s="88"/>
      <c r="W259" s="113"/>
      <c r="X259" s="88"/>
      <c r="Y259" s="40"/>
      <c r="Z259" s="24"/>
      <c r="AA259" s="24"/>
      <c r="AB259" s="24"/>
      <c r="AC259" s="24"/>
      <c r="AD259" s="24"/>
      <c r="AE259" s="24"/>
      <c r="AF259" s="24"/>
      <c r="AG259" s="24"/>
      <c r="AH259" s="24"/>
      <c r="AI259" s="24"/>
      <c r="AJ259" s="24"/>
      <c r="AK259" s="24"/>
      <c r="AL259" s="24"/>
      <c r="AM259" s="24"/>
    </row>
    <row r="260" spans="1:39" ht="56.25" customHeight="1" x14ac:dyDescent="0.3">
      <c r="A260" s="34"/>
      <c r="B260" s="34"/>
      <c r="C260" s="35"/>
      <c r="D260" s="36"/>
      <c r="E260" s="36"/>
      <c r="F260" s="36"/>
      <c r="G260" s="36"/>
      <c r="H260" s="36"/>
      <c r="I260" s="86"/>
      <c r="J260" s="36"/>
      <c r="K260" s="123"/>
      <c r="L260" s="123"/>
      <c r="M260" s="36"/>
      <c r="N260" s="36"/>
      <c r="O260" s="123"/>
      <c r="P260" s="124"/>
      <c r="Q260" s="123"/>
      <c r="R260" s="37"/>
      <c r="S260" s="37"/>
      <c r="T260" s="38"/>
      <c r="U260" s="88"/>
      <c r="V260" s="88"/>
      <c r="W260" s="113"/>
      <c r="X260" s="88"/>
      <c r="Y260" s="40"/>
      <c r="Z260" s="24"/>
      <c r="AA260" s="24"/>
      <c r="AB260" s="24"/>
      <c r="AC260" s="24"/>
      <c r="AD260" s="24"/>
      <c r="AE260" s="24"/>
      <c r="AF260" s="24"/>
      <c r="AG260" s="24"/>
      <c r="AH260" s="24"/>
      <c r="AI260" s="24"/>
      <c r="AJ260" s="24"/>
      <c r="AK260" s="24"/>
      <c r="AL260" s="24"/>
      <c r="AM260" s="24"/>
    </row>
    <row r="261" spans="1:39" ht="56.25" customHeight="1" x14ac:dyDescent="0.3">
      <c r="A261" s="34"/>
      <c r="B261" s="34"/>
      <c r="C261" s="35"/>
      <c r="D261" s="36"/>
      <c r="E261" s="36"/>
      <c r="F261" s="36"/>
      <c r="G261" s="36"/>
      <c r="H261" s="36"/>
      <c r="I261" s="86"/>
      <c r="J261" s="36"/>
      <c r="K261" s="123"/>
      <c r="L261" s="123"/>
      <c r="M261" s="36"/>
      <c r="N261" s="36"/>
      <c r="O261" s="35"/>
      <c r="P261" s="124"/>
      <c r="Q261" s="123"/>
      <c r="R261" s="37"/>
      <c r="S261" s="37"/>
      <c r="T261" s="38"/>
      <c r="U261" s="88"/>
      <c r="V261" s="88"/>
      <c r="W261" s="113"/>
      <c r="X261" s="88"/>
      <c r="Y261" s="40"/>
      <c r="Z261" s="24"/>
      <c r="AA261" s="24"/>
      <c r="AB261" s="24"/>
      <c r="AC261" s="24"/>
      <c r="AD261" s="24"/>
      <c r="AE261" s="24"/>
      <c r="AF261" s="24"/>
      <c r="AG261" s="24"/>
      <c r="AH261" s="24"/>
      <c r="AI261" s="24"/>
      <c r="AJ261" s="24"/>
      <c r="AK261" s="24"/>
      <c r="AL261" s="24"/>
      <c r="AM261" s="24"/>
    </row>
    <row r="262" spans="1:39" ht="56.25" customHeight="1" x14ac:dyDescent="0.3">
      <c r="A262" s="34"/>
      <c r="B262" s="34"/>
      <c r="C262" s="35"/>
      <c r="D262" s="36"/>
      <c r="E262" s="36"/>
      <c r="F262" s="36"/>
      <c r="G262" s="36"/>
      <c r="H262" s="36"/>
      <c r="I262" s="86"/>
      <c r="J262" s="36"/>
      <c r="K262" s="123"/>
      <c r="L262" s="123"/>
      <c r="M262" s="36"/>
      <c r="N262" s="36"/>
      <c r="O262" s="123"/>
      <c r="P262" s="124"/>
      <c r="Q262" s="123"/>
      <c r="R262" s="37"/>
      <c r="S262" s="37"/>
      <c r="T262" s="38"/>
      <c r="U262" s="88"/>
      <c r="V262" s="88"/>
      <c r="W262" s="113"/>
      <c r="X262" s="88"/>
      <c r="Y262" s="40"/>
      <c r="Z262" s="24"/>
      <c r="AA262" s="24"/>
      <c r="AB262" s="24"/>
      <c r="AC262" s="24"/>
      <c r="AD262" s="24"/>
      <c r="AE262" s="24"/>
      <c r="AF262" s="24"/>
      <c r="AG262" s="24"/>
      <c r="AH262" s="24"/>
      <c r="AI262" s="24"/>
      <c r="AJ262" s="24"/>
      <c r="AK262" s="24"/>
      <c r="AL262" s="24"/>
      <c r="AM262" s="24"/>
    </row>
    <row r="263" spans="1:39" ht="56.25" customHeight="1" x14ac:dyDescent="0.3">
      <c r="A263" s="34"/>
      <c r="B263" s="34"/>
      <c r="C263" s="35"/>
      <c r="D263" s="36"/>
      <c r="E263" s="36"/>
      <c r="F263" s="36"/>
      <c r="G263" s="36"/>
      <c r="H263" s="36"/>
      <c r="I263" s="86"/>
      <c r="J263" s="36"/>
      <c r="K263" s="123"/>
      <c r="L263" s="123"/>
      <c r="M263" s="36"/>
      <c r="N263" s="36"/>
      <c r="O263" s="123"/>
      <c r="P263" s="124"/>
      <c r="Q263" s="123"/>
      <c r="R263" s="37"/>
      <c r="S263" s="37"/>
      <c r="T263" s="38"/>
      <c r="U263" s="88"/>
      <c r="V263" s="88"/>
      <c r="W263" s="113"/>
      <c r="X263" s="88"/>
      <c r="Y263" s="40"/>
      <c r="Z263" s="24"/>
      <c r="AA263" s="24"/>
      <c r="AB263" s="24"/>
      <c r="AC263" s="24"/>
      <c r="AD263" s="24"/>
      <c r="AE263" s="24"/>
      <c r="AF263" s="24"/>
      <c r="AG263" s="24"/>
      <c r="AH263" s="24"/>
      <c r="AI263" s="24"/>
      <c r="AJ263" s="24"/>
      <c r="AK263" s="24"/>
      <c r="AL263" s="24"/>
      <c r="AM263" s="24"/>
    </row>
    <row r="264" spans="1:39" ht="56.25" customHeight="1" x14ac:dyDescent="0.3">
      <c r="A264" s="34"/>
      <c r="B264" s="34"/>
      <c r="C264" s="35"/>
      <c r="D264" s="36"/>
      <c r="E264" s="36"/>
      <c r="F264" s="36"/>
      <c r="G264" s="36"/>
      <c r="H264" s="36"/>
      <c r="I264" s="86"/>
      <c r="J264" s="36"/>
      <c r="K264" s="123"/>
      <c r="L264" s="123"/>
      <c r="M264" s="36"/>
      <c r="N264" s="36"/>
      <c r="O264" s="123"/>
      <c r="P264" s="124"/>
      <c r="Q264" s="123"/>
      <c r="R264" s="37"/>
      <c r="S264" s="37"/>
      <c r="T264" s="38"/>
      <c r="U264" s="88"/>
      <c r="V264" s="88"/>
      <c r="W264" s="113"/>
      <c r="X264" s="88"/>
      <c r="Y264" s="40"/>
      <c r="Z264" s="24"/>
      <c r="AA264" s="24"/>
      <c r="AB264" s="24"/>
      <c r="AC264" s="24"/>
      <c r="AD264" s="24"/>
      <c r="AE264" s="24"/>
      <c r="AF264" s="24"/>
      <c r="AG264" s="24"/>
      <c r="AH264" s="24"/>
      <c r="AI264" s="24"/>
      <c r="AJ264" s="24"/>
      <c r="AK264" s="24"/>
      <c r="AL264" s="24"/>
      <c r="AM264" s="24"/>
    </row>
    <row r="265" spans="1:39" ht="56.25" customHeight="1" x14ac:dyDescent="0.3">
      <c r="A265" s="34"/>
      <c r="B265" s="34"/>
      <c r="C265" s="35"/>
      <c r="D265" s="36"/>
      <c r="E265" s="36"/>
      <c r="F265" s="36"/>
      <c r="G265" s="36"/>
      <c r="H265" s="36"/>
      <c r="I265" s="86"/>
      <c r="J265" s="36"/>
      <c r="K265" s="123"/>
      <c r="L265" s="123"/>
      <c r="M265" s="36"/>
      <c r="N265" s="36"/>
      <c r="O265" s="123"/>
      <c r="P265" s="124"/>
      <c r="Q265" s="123"/>
      <c r="R265" s="37"/>
      <c r="S265" s="37"/>
      <c r="T265" s="38"/>
      <c r="U265" s="88"/>
      <c r="V265" s="88"/>
      <c r="W265" s="113"/>
      <c r="X265" s="88"/>
      <c r="Y265" s="40"/>
      <c r="Z265" s="24"/>
      <c r="AA265" s="24"/>
      <c r="AB265" s="24"/>
      <c r="AC265" s="24"/>
      <c r="AD265" s="24"/>
      <c r="AE265" s="24"/>
      <c r="AF265" s="24"/>
      <c r="AG265" s="24"/>
      <c r="AH265" s="24"/>
      <c r="AI265" s="24"/>
      <c r="AJ265" s="24"/>
      <c r="AK265" s="24"/>
      <c r="AL265" s="24"/>
      <c r="AM265" s="24"/>
    </row>
    <row r="266" spans="1:39" ht="56.25" customHeight="1" x14ac:dyDescent="0.3">
      <c r="A266" s="34"/>
      <c r="B266" s="34"/>
      <c r="C266" s="35"/>
      <c r="D266" s="36"/>
      <c r="E266" s="36"/>
      <c r="F266" s="36"/>
      <c r="G266" s="36"/>
      <c r="H266" s="36"/>
      <c r="I266" s="86"/>
      <c r="J266" s="36"/>
      <c r="K266" s="123"/>
      <c r="L266" s="123"/>
      <c r="M266" s="36"/>
      <c r="N266" s="36"/>
      <c r="O266" s="35"/>
      <c r="P266" s="124"/>
      <c r="Q266" s="123"/>
      <c r="R266" s="37"/>
      <c r="S266" s="37"/>
      <c r="T266" s="38"/>
      <c r="U266" s="88"/>
      <c r="V266" s="88"/>
      <c r="W266" s="113"/>
      <c r="X266" s="88"/>
      <c r="Y266" s="40"/>
      <c r="Z266" s="24"/>
      <c r="AA266" s="24"/>
      <c r="AB266" s="24"/>
      <c r="AC266" s="24"/>
      <c r="AD266" s="24"/>
      <c r="AE266" s="24"/>
      <c r="AF266" s="24"/>
      <c r="AG266" s="24"/>
      <c r="AH266" s="24"/>
      <c r="AI266" s="24"/>
      <c r="AJ266" s="24"/>
      <c r="AK266" s="24"/>
      <c r="AL266" s="24"/>
      <c r="AM266" s="24"/>
    </row>
    <row r="267" spans="1:39" ht="56.25" customHeight="1" x14ac:dyDescent="0.3">
      <c r="A267" s="34"/>
      <c r="B267" s="34"/>
      <c r="C267" s="35"/>
      <c r="D267" s="36"/>
      <c r="E267" s="36"/>
      <c r="F267" s="36"/>
      <c r="G267" s="36"/>
      <c r="H267" s="36"/>
      <c r="I267" s="86"/>
      <c r="J267" s="36"/>
      <c r="K267" s="123"/>
      <c r="L267" s="123"/>
      <c r="M267" s="36"/>
      <c r="N267" s="36"/>
      <c r="O267" s="123"/>
      <c r="P267" s="124"/>
      <c r="Q267" s="123"/>
      <c r="R267" s="37"/>
      <c r="S267" s="37"/>
      <c r="T267" s="38"/>
      <c r="U267" s="88"/>
      <c r="V267" s="88"/>
      <c r="W267" s="113"/>
      <c r="X267" s="88"/>
      <c r="Y267" s="40"/>
      <c r="Z267" s="24"/>
      <c r="AA267" s="24"/>
      <c r="AB267" s="24"/>
      <c r="AC267" s="24"/>
      <c r="AD267" s="24"/>
      <c r="AE267" s="24"/>
      <c r="AF267" s="24"/>
      <c r="AG267" s="24"/>
      <c r="AH267" s="24"/>
      <c r="AI267" s="24"/>
      <c r="AJ267" s="24"/>
      <c r="AK267" s="24"/>
      <c r="AL267" s="24"/>
      <c r="AM267" s="24"/>
    </row>
    <row r="268" spans="1:39" ht="56.25" customHeight="1" x14ac:dyDescent="0.3">
      <c r="A268" s="34"/>
      <c r="B268" s="34"/>
      <c r="C268" s="35"/>
      <c r="D268" s="36"/>
      <c r="E268" s="36"/>
      <c r="F268" s="36"/>
      <c r="G268" s="36"/>
      <c r="H268" s="36"/>
      <c r="I268" s="86"/>
      <c r="J268" s="36"/>
      <c r="K268" s="123"/>
      <c r="L268" s="123"/>
      <c r="M268" s="36"/>
      <c r="N268" s="36"/>
      <c r="O268" s="35"/>
      <c r="P268" s="124"/>
      <c r="Q268" s="123"/>
      <c r="R268" s="37"/>
      <c r="S268" s="37"/>
      <c r="T268" s="38"/>
      <c r="U268" s="88"/>
      <c r="V268" s="88"/>
      <c r="W268" s="113"/>
      <c r="X268" s="88"/>
      <c r="Y268" s="40"/>
      <c r="Z268" s="24"/>
      <c r="AA268" s="24"/>
      <c r="AB268" s="24"/>
      <c r="AC268" s="24"/>
      <c r="AD268" s="24"/>
      <c r="AE268" s="24"/>
      <c r="AF268" s="24"/>
      <c r="AG268" s="24"/>
      <c r="AH268" s="24"/>
      <c r="AI268" s="24"/>
      <c r="AJ268" s="24"/>
      <c r="AK268" s="24"/>
      <c r="AL268" s="24"/>
      <c r="AM268" s="24"/>
    </row>
    <row r="269" spans="1:39" ht="56.25" customHeight="1" x14ac:dyDescent="0.3">
      <c r="A269" s="34"/>
      <c r="B269" s="34"/>
      <c r="C269" s="35"/>
      <c r="D269" s="36"/>
      <c r="E269" s="36"/>
      <c r="F269" s="36"/>
      <c r="G269" s="36"/>
      <c r="H269" s="36"/>
      <c r="I269" s="86"/>
      <c r="J269" s="36"/>
      <c r="K269" s="123"/>
      <c r="L269" s="123"/>
      <c r="M269" s="36"/>
      <c r="N269" s="36"/>
      <c r="O269" s="123"/>
      <c r="P269" s="124"/>
      <c r="Q269" s="123"/>
      <c r="R269" s="37"/>
      <c r="S269" s="37"/>
      <c r="T269" s="38"/>
      <c r="U269" s="88"/>
      <c r="V269" s="88"/>
      <c r="W269" s="113"/>
      <c r="X269" s="88"/>
      <c r="Y269" s="40"/>
      <c r="Z269" s="24"/>
      <c r="AA269" s="24"/>
      <c r="AB269" s="24"/>
      <c r="AC269" s="24"/>
      <c r="AD269" s="24"/>
      <c r="AE269" s="24"/>
      <c r="AF269" s="24"/>
      <c r="AG269" s="24"/>
      <c r="AH269" s="24"/>
      <c r="AI269" s="24"/>
      <c r="AJ269" s="24"/>
      <c r="AK269" s="24"/>
      <c r="AL269" s="24"/>
      <c r="AM269" s="24"/>
    </row>
    <row r="270" spans="1:39" ht="56.25" customHeight="1" x14ac:dyDescent="0.3">
      <c r="A270" s="34"/>
      <c r="B270" s="107"/>
      <c r="C270" s="35"/>
      <c r="D270" s="36"/>
      <c r="E270" s="36"/>
      <c r="F270" s="36"/>
      <c r="G270" s="36"/>
      <c r="H270" s="36"/>
      <c r="I270" s="106"/>
      <c r="J270" s="36"/>
      <c r="K270" s="123"/>
      <c r="L270" s="123"/>
      <c r="M270" s="36"/>
      <c r="N270" s="36"/>
      <c r="O270" s="35"/>
      <c r="P270" s="35"/>
      <c r="Q270" s="123"/>
      <c r="R270" s="37"/>
      <c r="S270" s="37"/>
      <c r="T270" s="38"/>
      <c r="U270" s="88"/>
      <c r="V270" s="112"/>
      <c r="W270" s="113"/>
      <c r="X270" s="88"/>
      <c r="Y270" s="40"/>
      <c r="Z270" s="24"/>
      <c r="AA270" s="24"/>
      <c r="AB270" s="24"/>
      <c r="AC270" s="24"/>
      <c r="AD270" s="24"/>
      <c r="AE270" s="24"/>
      <c r="AF270" s="24"/>
      <c r="AG270" s="24"/>
      <c r="AH270" s="24"/>
      <c r="AI270" s="24"/>
      <c r="AJ270" s="24"/>
      <c r="AK270" s="24"/>
      <c r="AL270" s="24"/>
      <c r="AM270" s="24"/>
    </row>
    <row r="271" spans="1:39" ht="56.25" customHeight="1" x14ac:dyDescent="0.3">
      <c r="A271" s="34"/>
      <c r="B271" s="107"/>
      <c r="C271" s="35"/>
      <c r="D271" s="36"/>
      <c r="E271" s="36"/>
      <c r="F271" s="36"/>
      <c r="G271" s="36"/>
      <c r="H271" s="36"/>
      <c r="I271" s="106"/>
      <c r="J271" s="36"/>
      <c r="K271" s="123"/>
      <c r="L271" s="123"/>
      <c r="M271" s="36"/>
      <c r="N271" s="36"/>
      <c r="O271" s="35"/>
      <c r="P271" s="35"/>
      <c r="Q271" s="123"/>
      <c r="R271" s="37"/>
      <c r="S271" s="37"/>
      <c r="T271" s="38"/>
      <c r="U271" s="88"/>
      <c r="V271" s="112"/>
      <c r="W271" s="113"/>
      <c r="X271" s="88"/>
      <c r="Y271" s="40"/>
      <c r="Z271" s="24"/>
      <c r="AA271" s="24"/>
      <c r="AB271" s="24"/>
      <c r="AC271" s="24"/>
      <c r="AD271" s="24"/>
      <c r="AE271" s="24"/>
      <c r="AF271" s="24"/>
      <c r="AG271" s="24"/>
      <c r="AH271" s="24"/>
      <c r="AI271" s="24"/>
      <c r="AJ271" s="24"/>
      <c r="AK271" s="24"/>
      <c r="AL271" s="24"/>
      <c r="AM271" s="24"/>
    </row>
    <row r="272" spans="1:39" ht="56.25" customHeight="1" x14ac:dyDescent="0.3">
      <c r="A272" s="34"/>
      <c r="B272" s="107"/>
      <c r="C272" s="35"/>
      <c r="D272" s="36"/>
      <c r="E272" s="36"/>
      <c r="F272" s="36"/>
      <c r="G272" s="36"/>
      <c r="H272" s="36"/>
      <c r="I272" s="106"/>
      <c r="J272" s="36"/>
      <c r="K272" s="123"/>
      <c r="L272" s="123"/>
      <c r="M272" s="36"/>
      <c r="N272" s="36"/>
      <c r="O272" s="35"/>
      <c r="P272" s="35"/>
      <c r="Q272" s="123"/>
      <c r="R272" s="37"/>
      <c r="S272" s="37"/>
      <c r="T272" s="38"/>
      <c r="U272" s="88"/>
      <c r="V272" s="112"/>
      <c r="W272" s="113"/>
      <c r="X272" s="88"/>
      <c r="Y272" s="40"/>
      <c r="Z272" s="24"/>
      <c r="AA272" s="24"/>
      <c r="AB272" s="24"/>
      <c r="AC272" s="24"/>
      <c r="AD272" s="24"/>
      <c r="AE272" s="24"/>
      <c r="AF272" s="24"/>
      <c r="AG272" s="24"/>
      <c r="AH272" s="24"/>
      <c r="AI272" s="24"/>
      <c r="AJ272" s="24"/>
      <c r="AK272" s="24"/>
      <c r="AL272" s="24"/>
      <c r="AM272" s="24"/>
    </row>
    <row r="273" spans="1:39" ht="56.25" customHeight="1" x14ac:dyDescent="0.3">
      <c r="A273" s="34"/>
      <c r="B273" s="107"/>
      <c r="C273" s="35"/>
      <c r="D273" s="36"/>
      <c r="E273" s="36"/>
      <c r="F273" s="36"/>
      <c r="G273" s="36"/>
      <c r="H273" s="36"/>
      <c r="I273" s="106"/>
      <c r="J273" s="36"/>
      <c r="K273" s="123"/>
      <c r="L273" s="123"/>
      <c r="M273" s="36"/>
      <c r="N273" s="36"/>
      <c r="O273" s="35"/>
      <c r="P273" s="35"/>
      <c r="Q273" s="123"/>
      <c r="R273" s="37"/>
      <c r="S273" s="37"/>
      <c r="T273" s="38"/>
      <c r="U273" s="88"/>
      <c r="V273" s="112"/>
      <c r="W273" s="113"/>
      <c r="X273" s="88"/>
      <c r="Y273" s="40"/>
      <c r="Z273" s="24"/>
      <c r="AA273" s="24"/>
      <c r="AB273" s="24"/>
      <c r="AC273" s="24"/>
      <c r="AD273" s="24"/>
      <c r="AE273" s="24"/>
      <c r="AF273" s="24"/>
      <c r="AG273" s="24"/>
      <c r="AH273" s="24"/>
      <c r="AI273" s="24"/>
      <c r="AJ273" s="24"/>
      <c r="AK273" s="24"/>
      <c r="AL273" s="24"/>
      <c r="AM273" s="24"/>
    </row>
    <row r="274" spans="1:39" ht="56.25" customHeight="1" x14ac:dyDescent="0.3">
      <c r="A274" s="34"/>
      <c r="B274" s="107"/>
      <c r="C274" s="35"/>
      <c r="D274" s="36"/>
      <c r="E274" s="36"/>
      <c r="F274" s="36"/>
      <c r="G274" s="36"/>
      <c r="H274" s="36"/>
      <c r="I274" s="106"/>
      <c r="J274" s="36"/>
      <c r="K274" s="123"/>
      <c r="L274" s="123"/>
      <c r="M274" s="36"/>
      <c r="N274" s="36"/>
      <c r="O274" s="35"/>
      <c r="P274" s="35"/>
      <c r="Q274" s="123"/>
      <c r="R274" s="37"/>
      <c r="S274" s="37"/>
      <c r="T274" s="38"/>
      <c r="U274" s="88"/>
      <c r="V274" s="112"/>
      <c r="W274" s="113"/>
      <c r="X274" s="88"/>
      <c r="Y274" s="40"/>
      <c r="Z274" s="24"/>
      <c r="AA274" s="24"/>
      <c r="AB274" s="24"/>
      <c r="AC274" s="24"/>
      <c r="AD274" s="24"/>
      <c r="AE274" s="24"/>
      <c r="AF274" s="24"/>
      <c r="AG274" s="24"/>
      <c r="AH274" s="24"/>
      <c r="AI274" s="24"/>
      <c r="AJ274" s="24"/>
      <c r="AK274" s="24"/>
      <c r="AL274" s="24"/>
      <c r="AM274" s="24"/>
    </row>
    <row r="275" spans="1:39" ht="56.25" customHeight="1" x14ac:dyDescent="0.3">
      <c r="A275" s="34"/>
      <c r="B275" s="107"/>
      <c r="C275" s="35"/>
      <c r="D275" s="36"/>
      <c r="E275" s="36"/>
      <c r="F275" s="36"/>
      <c r="G275" s="36"/>
      <c r="H275" s="36"/>
      <c r="I275" s="106"/>
      <c r="J275" s="36"/>
      <c r="K275" s="123"/>
      <c r="L275" s="123"/>
      <c r="M275" s="36"/>
      <c r="N275" s="36"/>
      <c r="O275" s="35"/>
      <c r="P275" s="35"/>
      <c r="Q275" s="123"/>
      <c r="R275" s="37"/>
      <c r="S275" s="37"/>
      <c r="T275" s="38"/>
      <c r="U275" s="88"/>
      <c r="V275" s="112"/>
      <c r="W275" s="113"/>
      <c r="X275" s="88"/>
      <c r="Y275" s="40"/>
      <c r="Z275" s="24"/>
      <c r="AA275" s="24"/>
      <c r="AB275" s="24"/>
      <c r="AC275" s="24"/>
      <c r="AD275" s="24"/>
      <c r="AE275" s="24"/>
      <c r="AF275" s="24"/>
      <c r="AG275" s="24"/>
      <c r="AH275" s="24"/>
      <c r="AI275" s="24"/>
      <c r="AJ275" s="24"/>
      <c r="AK275" s="24"/>
      <c r="AL275" s="24"/>
      <c r="AM275" s="24"/>
    </row>
    <row r="276" spans="1:39" ht="56.25" customHeight="1" x14ac:dyDescent="0.3">
      <c r="A276" s="34"/>
      <c r="B276" s="34"/>
      <c r="C276" s="35"/>
      <c r="D276" s="36"/>
      <c r="E276" s="36"/>
      <c r="F276" s="36"/>
      <c r="G276" s="36"/>
      <c r="H276" s="36"/>
      <c r="I276" s="86"/>
      <c r="J276" s="36"/>
      <c r="K276" s="123"/>
      <c r="L276" s="123"/>
      <c r="M276" s="36"/>
      <c r="N276" s="36"/>
      <c r="O276" s="35"/>
      <c r="P276" s="124"/>
      <c r="Q276" s="123"/>
      <c r="R276" s="37"/>
      <c r="S276" s="37"/>
      <c r="T276" s="38"/>
      <c r="U276" s="88"/>
      <c r="V276" s="88"/>
      <c r="W276" s="113"/>
      <c r="X276" s="88"/>
      <c r="Y276" s="40"/>
      <c r="Z276" s="24"/>
      <c r="AA276" s="24"/>
      <c r="AB276" s="24"/>
      <c r="AC276" s="24"/>
      <c r="AD276" s="24"/>
      <c r="AE276" s="24"/>
      <c r="AF276" s="24"/>
      <c r="AG276" s="24"/>
      <c r="AH276" s="24"/>
      <c r="AI276" s="24"/>
      <c r="AJ276" s="24"/>
      <c r="AK276" s="24"/>
      <c r="AL276" s="24"/>
      <c r="AM276" s="24"/>
    </row>
    <row r="277" spans="1:39" ht="56.25" customHeight="1" x14ac:dyDescent="0.3">
      <c r="A277" s="34"/>
      <c r="B277" s="34"/>
      <c r="C277" s="35"/>
      <c r="D277" s="36"/>
      <c r="E277" s="36"/>
      <c r="F277" s="36"/>
      <c r="G277" s="36"/>
      <c r="H277" s="36"/>
      <c r="I277" s="86"/>
      <c r="J277" s="36"/>
      <c r="K277" s="123"/>
      <c r="L277" s="123"/>
      <c r="M277" s="36"/>
      <c r="N277" s="36"/>
      <c r="O277" s="123"/>
      <c r="P277" s="124"/>
      <c r="Q277" s="123"/>
      <c r="R277" s="37"/>
      <c r="S277" s="37"/>
      <c r="T277" s="38"/>
      <c r="U277" s="88"/>
      <c r="V277" s="88"/>
      <c r="W277" s="113"/>
      <c r="X277" s="88"/>
      <c r="Y277" s="40"/>
      <c r="Z277" s="24"/>
      <c r="AA277" s="24"/>
      <c r="AB277" s="24"/>
      <c r="AC277" s="24"/>
      <c r="AD277" s="24"/>
      <c r="AE277" s="24"/>
      <c r="AF277" s="24"/>
      <c r="AG277" s="24"/>
      <c r="AH277" s="24"/>
      <c r="AI277" s="24"/>
      <c r="AJ277" s="24"/>
      <c r="AK277" s="24"/>
      <c r="AL277" s="24"/>
      <c r="AM277" s="24"/>
    </row>
    <row r="278" spans="1:39" ht="56.25" customHeight="1" x14ac:dyDescent="0.3">
      <c r="A278" s="34"/>
      <c r="B278" s="34"/>
      <c r="C278" s="35"/>
      <c r="D278" s="36"/>
      <c r="E278" s="36"/>
      <c r="F278" s="36"/>
      <c r="G278" s="36"/>
      <c r="H278" s="36"/>
      <c r="I278" s="86"/>
      <c r="J278" s="36"/>
      <c r="K278" s="123"/>
      <c r="L278" s="123"/>
      <c r="M278" s="36"/>
      <c r="N278" s="36"/>
      <c r="O278" s="35"/>
      <c r="P278" s="124"/>
      <c r="Q278" s="123"/>
      <c r="R278" s="37"/>
      <c r="S278" s="37"/>
      <c r="T278" s="38"/>
      <c r="U278" s="88"/>
      <c r="V278" s="88"/>
      <c r="W278" s="113"/>
      <c r="X278" s="88"/>
      <c r="Y278" s="40"/>
      <c r="Z278" s="24"/>
      <c r="AA278" s="24"/>
      <c r="AB278" s="24"/>
      <c r="AC278" s="24"/>
      <c r="AD278" s="24"/>
      <c r="AE278" s="24"/>
      <c r="AF278" s="24"/>
      <c r="AG278" s="24"/>
      <c r="AH278" s="24"/>
      <c r="AI278" s="24"/>
      <c r="AJ278" s="24"/>
      <c r="AK278" s="24"/>
      <c r="AL278" s="24"/>
      <c r="AM278" s="24"/>
    </row>
    <row r="279" spans="1:39" ht="56.25" customHeight="1" x14ac:dyDescent="0.3">
      <c r="A279" s="34"/>
      <c r="B279" s="34"/>
      <c r="C279" s="35"/>
      <c r="D279" s="36"/>
      <c r="E279" s="36"/>
      <c r="F279" s="36"/>
      <c r="G279" s="36"/>
      <c r="H279" s="36"/>
      <c r="I279" s="86"/>
      <c r="J279" s="36"/>
      <c r="K279" s="123"/>
      <c r="L279" s="123"/>
      <c r="M279" s="36"/>
      <c r="N279" s="36"/>
      <c r="O279" s="123"/>
      <c r="P279" s="124"/>
      <c r="Q279" s="123"/>
      <c r="R279" s="37"/>
      <c r="S279" s="37"/>
      <c r="T279" s="38"/>
      <c r="U279" s="88"/>
      <c r="V279" s="88"/>
      <c r="W279" s="113"/>
      <c r="X279" s="88"/>
      <c r="Y279" s="40"/>
      <c r="Z279" s="24"/>
      <c r="AA279" s="24"/>
      <c r="AB279" s="24"/>
      <c r="AC279" s="24"/>
      <c r="AD279" s="24"/>
      <c r="AE279" s="24"/>
      <c r="AF279" s="24"/>
      <c r="AG279" s="24"/>
      <c r="AH279" s="24"/>
      <c r="AI279" s="24"/>
      <c r="AJ279" s="24"/>
      <c r="AK279" s="24"/>
      <c r="AL279" s="24"/>
      <c r="AM279" s="24"/>
    </row>
    <row r="280" spans="1:39" ht="56.25" customHeight="1" x14ac:dyDescent="0.3">
      <c r="A280" s="34"/>
      <c r="B280" s="34"/>
      <c r="C280" s="35"/>
      <c r="D280" s="36"/>
      <c r="E280" s="36"/>
      <c r="F280" s="36"/>
      <c r="G280" s="36"/>
      <c r="H280" s="36"/>
      <c r="I280" s="86"/>
      <c r="J280" s="36"/>
      <c r="K280" s="123"/>
      <c r="L280" s="123"/>
      <c r="M280" s="36"/>
      <c r="N280" s="36"/>
      <c r="O280" s="123"/>
      <c r="P280" s="124"/>
      <c r="Q280" s="123"/>
      <c r="R280" s="37"/>
      <c r="S280" s="37"/>
      <c r="T280" s="38"/>
      <c r="U280" s="88"/>
      <c r="V280" s="88"/>
      <c r="W280" s="113"/>
      <c r="X280" s="88"/>
      <c r="Y280" s="40"/>
      <c r="Z280" s="24"/>
      <c r="AA280" s="24"/>
      <c r="AB280" s="24"/>
      <c r="AC280" s="24"/>
      <c r="AD280" s="24"/>
      <c r="AE280" s="24"/>
      <c r="AF280" s="24"/>
      <c r="AG280" s="24"/>
      <c r="AH280" s="24"/>
      <c r="AI280" s="24"/>
      <c r="AJ280" s="24"/>
      <c r="AK280" s="24"/>
      <c r="AL280" s="24"/>
      <c r="AM280" s="24"/>
    </row>
    <row r="281" spans="1:39" ht="56.25" customHeight="1" x14ac:dyDescent="0.3">
      <c r="A281" s="34"/>
      <c r="B281" s="34"/>
      <c r="C281" s="35"/>
      <c r="D281" s="36"/>
      <c r="E281" s="36"/>
      <c r="F281" s="36"/>
      <c r="G281" s="93"/>
      <c r="H281" s="36"/>
      <c r="I281" s="86"/>
      <c r="J281" s="36"/>
      <c r="K281" s="123"/>
      <c r="L281" s="123"/>
      <c r="M281" s="36"/>
      <c r="N281" s="36"/>
      <c r="O281" s="35"/>
      <c r="P281" s="124"/>
      <c r="Q281" s="123"/>
      <c r="R281" s="37"/>
      <c r="S281" s="37"/>
      <c r="T281" s="38"/>
      <c r="U281" s="88"/>
      <c r="V281" s="88"/>
      <c r="W281" s="113"/>
      <c r="X281" s="88"/>
      <c r="Y281" s="40"/>
      <c r="Z281" s="24"/>
      <c r="AA281" s="24"/>
      <c r="AB281" s="24"/>
      <c r="AC281" s="24"/>
      <c r="AD281" s="24"/>
      <c r="AE281" s="24"/>
      <c r="AF281" s="24"/>
      <c r="AG281" s="24"/>
      <c r="AH281" s="24"/>
      <c r="AI281" s="24"/>
      <c r="AJ281" s="24"/>
      <c r="AK281" s="24"/>
      <c r="AL281" s="24"/>
      <c r="AM281" s="24"/>
    </row>
    <row r="282" spans="1:39" ht="56.25" customHeight="1" x14ac:dyDescent="0.3">
      <c r="A282" s="34"/>
      <c r="B282" s="34"/>
      <c r="C282" s="35"/>
      <c r="D282" s="36"/>
      <c r="E282" s="36"/>
      <c r="F282" s="45"/>
      <c r="G282" s="36"/>
      <c r="H282" s="108"/>
      <c r="I282" s="86"/>
      <c r="J282" s="36"/>
      <c r="K282" s="123"/>
      <c r="L282" s="123"/>
      <c r="M282" s="36"/>
      <c r="N282" s="36"/>
      <c r="O282" s="123"/>
      <c r="P282" s="124"/>
      <c r="Q282" s="123"/>
      <c r="R282" s="37"/>
      <c r="S282" s="37"/>
      <c r="T282" s="38"/>
      <c r="U282" s="88"/>
      <c r="V282" s="88"/>
      <c r="W282" s="88"/>
      <c r="X282" s="88"/>
      <c r="Y282" s="40"/>
      <c r="Z282" s="24"/>
      <c r="AA282" s="24"/>
      <c r="AB282" s="24"/>
      <c r="AC282" s="24"/>
      <c r="AD282" s="24"/>
      <c r="AE282" s="24"/>
      <c r="AF282" s="24"/>
      <c r="AG282" s="24"/>
      <c r="AH282" s="24"/>
      <c r="AI282" s="24"/>
      <c r="AJ282" s="24"/>
      <c r="AK282" s="24"/>
      <c r="AL282" s="24"/>
      <c r="AM282" s="24"/>
    </row>
    <row r="283" spans="1:39" ht="56.25" customHeight="1" x14ac:dyDescent="0.3">
      <c r="A283" s="34"/>
      <c r="B283" s="34"/>
      <c r="C283" s="35"/>
      <c r="D283" s="36"/>
      <c r="E283" s="109"/>
      <c r="F283" s="36"/>
      <c r="G283" s="36"/>
      <c r="H283" s="108"/>
      <c r="I283" s="86"/>
      <c r="J283" s="36"/>
      <c r="K283" s="123"/>
      <c r="L283" s="123"/>
      <c r="M283" s="36"/>
      <c r="N283" s="36"/>
      <c r="O283" s="35"/>
      <c r="P283" s="124"/>
      <c r="Q283" s="123"/>
      <c r="R283" s="37"/>
      <c r="S283" s="37"/>
      <c r="T283" s="38"/>
      <c r="U283" s="88"/>
      <c r="V283" s="88"/>
      <c r="W283" s="113"/>
      <c r="X283" s="88"/>
      <c r="Y283" s="40"/>
      <c r="Z283" s="24"/>
      <c r="AA283" s="24"/>
      <c r="AB283" s="24"/>
      <c r="AC283" s="24"/>
      <c r="AD283" s="24"/>
      <c r="AE283" s="24"/>
      <c r="AF283" s="24"/>
      <c r="AG283" s="24"/>
      <c r="AH283" s="24"/>
      <c r="AI283" s="24"/>
      <c r="AJ283" s="24"/>
      <c r="AK283" s="24"/>
      <c r="AL283" s="24"/>
      <c r="AM283" s="24"/>
    </row>
    <row r="284" spans="1:39" ht="56.25" customHeight="1" x14ac:dyDescent="0.3">
      <c r="A284" s="34"/>
      <c r="B284" s="34"/>
      <c r="C284" s="35"/>
      <c r="D284" s="36"/>
      <c r="E284" s="36"/>
      <c r="F284" s="42"/>
      <c r="G284" s="42"/>
      <c r="H284" s="36"/>
      <c r="I284" s="86"/>
      <c r="J284" s="36"/>
      <c r="K284" s="123"/>
      <c r="L284" s="123"/>
      <c r="M284" s="36"/>
      <c r="N284" s="36"/>
      <c r="O284" s="35"/>
      <c r="P284" s="124"/>
      <c r="Q284" s="123"/>
      <c r="R284" s="37"/>
      <c r="S284" s="37"/>
      <c r="T284" s="38"/>
      <c r="U284" s="88"/>
      <c r="V284" s="88"/>
      <c r="W284" s="88"/>
      <c r="X284" s="88"/>
      <c r="Y284" s="40"/>
      <c r="Z284" s="24"/>
      <c r="AA284" s="24"/>
      <c r="AB284" s="24"/>
      <c r="AC284" s="24"/>
      <c r="AD284" s="24"/>
      <c r="AE284" s="24"/>
      <c r="AF284" s="24"/>
      <c r="AG284" s="24"/>
      <c r="AH284" s="24"/>
      <c r="AI284" s="24"/>
      <c r="AJ284" s="24"/>
      <c r="AK284" s="24"/>
      <c r="AL284" s="24"/>
      <c r="AM284" s="24"/>
    </row>
    <row r="285" spans="1:39" ht="56.25" customHeight="1" x14ac:dyDescent="0.3">
      <c r="A285" s="34"/>
      <c r="B285" s="34"/>
      <c r="C285" s="35"/>
      <c r="D285" s="36"/>
      <c r="E285" s="36"/>
      <c r="F285" s="42"/>
      <c r="G285" s="42"/>
      <c r="H285" s="36"/>
      <c r="I285" s="86"/>
      <c r="J285" s="36"/>
      <c r="K285" s="123"/>
      <c r="L285" s="123"/>
      <c r="M285" s="36"/>
      <c r="N285" s="36"/>
      <c r="O285" s="123"/>
      <c r="P285" s="124"/>
      <c r="Q285" s="123"/>
      <c r="R285" s="37"/>
      <c r="S285" s="37"/>
      <c r="T285" s="38"/>
      <c r="U285" s="88"/>
      <c r="V285" s="88"/>
      <c r="W285" s="88"/>
      <c r="X285" s="88"/>
      <c r="Y285" s="40"/>
      <c r="Z285" s="24"/>
      <c r="AA285" s="24"/>
      <c r="AB285" s="24"/>
      <c r="AC285" s="24"/>
      <c r="AD285" s="24"/>
      <c r="AE285" s="24"/>
      <c r="AF285" s="24"/>
      <c r="AG285" s="24"/>
      <c r="AH285" s="24"/>
      <c r="AI285" s="24"/>
      <c r="AJ285" s="24"/>
      <c r="AK285" s="24"/>
      <c r="AL285" s="24"/>
      <c r="AM285" s="24"/>
    </row>
    <row r="286" spans="1:39" ht="56.25" customHeight="1" x14ac:dyDescent="0.3">
      <c r="A286" s="34"/>
      <c r="B286" s="34"/>
      <c r="C286" s="35"/>
      <c r="D286" s="36"/>
      <c r="E286" s="36"/>
      <c r="F286" s="42"/>
      <c r="G286" s="42"/>
      <c r="H286" s="36"/>
      <c r="I286" s="86"/>
      <c r="J286" s="36"/>
      <c r="K286" s="123"/>
      <c r="L286" s="123"/>
      <c r="M286" s="36"/>
      <c r="N286" s="36"/>
      <c r="O286" s="123"/>
      <c r="P286" s="124"/>
      <c r="Q286" s="123"/>
      <c r="R286" s="37"/>
      <c r="S286" s="37"/>
      <c r="T286" s="38"/>
      <c r="U286" s="88"/>
      <c r="V286" s="88"/>
      <c r="W286" s="88"/>
      <c r="X286" s="88"/>
      <c r="Y286" s="40"/>
      <c r="Z286" s="24"/>
      <c r="AA286" s="24"/>
      <c r="AB286" s="24"/>
      <c r="AC286" s="24"/>
      <c r="AD286" s="24"/>
      <c r="AE286" s="24"/>
      <c r="AF286" s="24"/>
      <c r="AG286" s="24"/>
      <c r="AH286" s="24"/>
      <c r="AI286" s="24"/>
      <c r="AJ286" s="24"/>
      <c r="AK286" s="24"/>
      <c r="AL286" s="24"/>
      <c r="AM286" s="24"/>
    </row>
    <row r="287" spans="1:39" ht="56.25" customHeight="1" x14ac:dyDescent="0.3">
      <c r="A287" s="34"/>
      <c r="B287" s="34"/>
      <c r="C287" s="35"/>
      <c r="D287" s="36"/>
      <c r="E287" s="36"/>
      <c r="F287" s="42"/>
      <c r="G287" s="42"/>
      <c r="H287" s="36"/>
      <c r="I287" s="86"/>
      <c r="J287" s="36"/>
      <c r="K287" s="123"/>
      <c r="L287" s="123"/>
      <c r="M287" s="36"/>
      <c r="N287" s="36"/>
      <c r="O287" s="123"/>
      <c r="P287" s="124"/>
      <c r="Q287" s="123"/>
      <c r="R287" s="37"/>
      <c r="S287" s="37"/>
      <c r="T287" s="38"/>
      <c r="U287" s="88"/>
      <c r="V287" s="88"/>
      <c r="W287" s="88"/>
      <c r="X287" s="88"/>
      <c r="Y287" s="40"/>
      <c r="Z287" s="24"/>
      <c r="AA287" s="24"/>
      <c r="AB287" s="24"/>
      <c r="AC287" s="24"/>
      <c r="AD287" s="24"/>
      <c r="AE287" s="24"/>
      <c r="AF287" s="24"/>
      <c r="AG287" s="24"/>
      <c r="AH287" s="24"/>
      <c r="AI287" s="24"/>
      <c r="AJ287" s="24"/>
      <c r="AK287" s="24"/>
      <c r="AL287" s="24"/>
      <c r="AM287" s="24"/>
    </row>
    <row r="288" spans="1:39" ht="56.25" customHeight="1" x14ac:dyDescent="0.3">
      <c r="A288" s="34"/>
      <c r="B288" s="90"/>
      <c r="C288" s="92"/>
      <c r="D288" s="93"/>
      <c r="E288" s="93"/>
      <c r="F288" s="42"/>
      <c r="G288" s="42"/>
      <c r="H288" s="93"/>
      <c r="I288" s="94"/>
      <c r="J288" s="93"/>
      <c r="K288" s="125"/>
      <c r="L288" s="125"/>
      <c r="M288" s="93"/>
      <c r="N288" s="93"/>
      <c r="O288" s="125"/>
      <c r="P288" s="129"/>
      <c r="Q288" s="125"/>
      <c r="R288" s="95"/>
      <c r="S288" s="95"/>
      <c r="T288" s="96"/>
      <c r="U288" s="110"/>
      <c r="V288" s="110"/>
      <c r="W288" s="110"/>
      <c r="X288" s="110"/>
      <c r="Y288" s="97"/>
      <c r="Z288" s="24"/>
      <c r="AA288" s="24"/>
      <c r="AB288" s="24"/>
      <c r="AC288" s="24"/>
      <c r="AD288" s="24"/>
      <c r="AE288" s="24"/>
      <c r="AF288" s="24"/>
      <c r="AG288" s="24"/>
      <c r="AH288" s="24"/>
      <c r="AI288" s="24"/>
      <c r="AJ288" s="24"/>
      <c r="AK288" s="24"/>
      <c r="AL288" s="24"/>
      <c r="AM288" s="24"/>
    </row>
    <row r="289" spans="1:39" ht="56.25" customHeight="1" x14ac:dyDescent="0.3">
      <c r="A289" s="34"/>
      <c r="B289" s="34"/>
      <c r="C289" s="35"/>
      <c r="D289" s="36"/>
      <c r="E289" s="36"/>
      <c r="F289" s="36"/>
      <c r="G289" s="36"/>
      <c r="H289" s="36"/>
      <c r="I289" s="86"/>
      <c r="J289" s="36"/>
      <c r="K289" s="123"/>
      <c r="L289" s="123"/>
      <c r="M289" s="36"/>
      <c r="N289" s="36"/>
      <c r="O289" s="35"/>
      <c r="P289" s="124"/>
      <c r="Q289" s="123"/>
      <c r="R289" s="37"/>
      <c r="S289" s="37"/>
      <c r="T289" s="38"/>
      <c r="U289" s="88"/>
      <c r="V289" s="88"/>
      <c r="W289" s="88"/>
      <c r="X289" s="88"/>
      <c r="Y289" s="40"/>
      <c r="Z289" s="37"/>
      <c r="AA289" s="24"/>
      <c r="AB289" s="24"/>
      <c r="AC289" s="24"/>
      <c r="AD289" s="24"/>
      <c r="AE289" s="24"/>
      <c r="AF289" s="24"/>
      <c r="AG289" s="24"/>
      <c r="AH289" s="24"/>
      <c r="AI289" s="24"/>
      <c r="AJ289" s="24"/>
      <c r="AK289" s="24"/>
      <c r="AL289" s="24"/>
      <c r="AM289" s="24"/>
    </row>
    <row r="290" spans="1:39" ht="56.25" customHeight="1" x14ac:dyDescent="0.3">
      <c r="A290" s="34"/>
      <c r="B290" s="34"/>
      <c r="C290" s="35"/>
      <c r="D290" s="36"/>
      <c r="E290" s="36"/>
      <c r="F290" s="36"/>
      <c r="G290" s="36"/>
      <c r="H290" s="36"/>
      <c r="I290" s="86"/>
      <c r="J290" s="36"/>
      <c r="K290" s="123"/>
      <c r="L290" s="123"/>
      <c r="M290" s="36"/>
      <c r="N290" s="36"/>
      <c r="O290" s="35"/>
      <c r="P290" s="124"/>
      <c r="Q290" s="123"/>
      <c r="R290" s="37"/>
      <c r="S290" s="37"/>
      <c r="T290" s="38"/>
      <c r="U290" s="88"/>
      <c r="V290" s="88"/>
      <c r="W290" s="88"/>
      <c r="X290" s="88"/>
      <c r="Y290" s="40"/>
      <c r="Z290" s="37"/>
      <c r="AA290" s="24"/>
      <c r="AB290" s="24"/>
      <c r="AC290" s="24"/>
      <c r="AD290" s="24"/>
      <c r="AE290" s="24"/>
      <c r="AF290" s="24"/>
      <c r="AG290" s="24"/>
      <c r="AH290" s="24"/>
      <c r="AI290" s="24"/>
      <c r="AJ290" s="24"/>
      <c r="AK290" s="24"/>
      <c r="AL290" s="24"/>
      <c r="AM290" s="24"/>
    </row>
    <row r="291" spans="1:39" ht="56.25" customHeight="1" x14ac:dyDescent="0.3">
      <c r="A291" s="34"/>
      <c r="B291" s="34"/>
      <c r="C291" s="35"/>
      <c r="D291" s="36"/>
      <c r="E291" s="36"/>
      <c r="F291" s="36"/>
      <c r="G291" s="36"/>
      <c r="H291" s="36"/>
      <c r="I291" s="86"/>
      <c r="J291" s="36"/>
      <c r="K291" s="123"/>
      <c r="L291" s="123"/>
      <c r="M291" s="36"/>
      <c r="N291" s="36"/>
      <c r="O291" s="35"/>
      <c r="P291" s="124"/>
      <c r="Q291" s="123"/>
      <c r="R291" s="37"/>
      <c r="S291" s="37"/>
      <c r="T291" s="38"/>
      <c r="U291" s="88"/>
      <c r="V291" s="88"/>
      <c r="W291" s="88"/>
      <c r="X291" s="88"/>
      <c r="Y291" s="40"/>
      <c r="Z291" s="37"/>
      <c r="AA291" s="24"/>
      <c r="AB291" s="24"/>
      <c r="AC291" s="24"/>
      <c r="AD291" s="24"/>
      <c r="AE291" s="24"/>
      <c r="AF291" s="24"/>
      <c r="AG291" s="24"/>
      <c r="AH291" s="24"/>
      <c r="AI291" s="24"/>
      <c r="AJ291" s="24"/>
      <c r="AK291" s="24"/>
      <c r="AL291" s="24"/>
      <c r="AM291" s="24"/>
    </row>
    <row r="292" spans="1:39" ht="56.25" customHeight="1" x14ac:dyDescent="0.3">
      <c r="A292" s="34"/>
      <c r="B292" s="34"/>
      <c r="C292" s="35"/>
      <c r="D292" s="36"/>
      <c r="E292" s="36"/>
      <c r="F292" s="36"/>
      <c r="G292" s="36"/>
      <c r="H292" s="36"/>
      <c r="I292" s="86"/>
      <c r="J292" s="36"/>
      <c r="K292" s="123"/>
      <c r="L292" s="123"/>
      <c r="M292" s="36"/>
      <c r="N292" s="36"/>
      <c r="O292" s="123"/>
      <c r="P292" s="124"/>
      <c r="Q292" s="123"/>
      <c r="R292" s="37"/>
      <c r="S292" s="37"/>
      <c r="T292" s="38"/>
      <c r="U292" s="88"/>
      <c r="V292" s="88"/>
      <c r="W292" s="88"/>
      <c r="X292" s="88"/>
      <c r="Y292" s="40"/>
      <c r="Z292" s="37"/>
      <c r="AA292" s="24"/>
      <c r="AB292" s="24"/>
      <c r="AC292" s="24"/>
      <c r="AD292" s="24"/>
      <c r="AE292" s="24"/>
      <c r="AF292" s="24"/>
      <c r="AG292" s="24"/>
      <c r="AH292" s="24"/>
      <c r="AI292" s="24"/>
      <c r="AJ292" s="24"/>
      <c r="AK292" s="24"/>
      <c r="AL292" s="24"/>
      <c r="AM292" s="24"/>
    </row>
    <row r="293" spans="1:39" ht="56.25" customHeight="1" x14ac:dyDescent="0.3">
      <c r="A293" s="34"/>
      <c r="B293" s="34"/>
      <c r="C293" s="35"/>
      <c r="D293" s="36"/>
      <c r="E293" s="36"/>
      <c r="F293" s="36"/>
      <c r="G293" s="36"/>
      <c r="H293" s="36"/>
      <c r="I293" s="86"/>
      <c r="J293" s="36"/>
      <c r="K293" s="123"/>
      <c r="L293" s="123"/>
      <c r="M293" s="36"/>
      <c r="N293" s="36"/>
      <c r="O293" s="123"/>
      <c r="P293" s="124"/>
      <c r="Q293" s="123"/>
      <c r="R293" s="37"/>
      <c r="S293" s="37"/>
      <c r="T293" s="38"/>
      <c r="U293" s="88"/>
      <c r="V293" s="88"/>
      <c r="W293" s="88"/>
      <c r="X293" s="88"/>
      <c r="Y293" s="40"/>
      <c r="Z293" s="37"/>
      <c r="AA293" s="24"/>
      <c r="AB293" s="24"/>
      <c r="AC293" s="24"/>
      <c r="AD293" s="24"/>
      <c r="AE293" s="24"/>
      <c r="AF293" s="24"/>
      <c r="AG293" s="24"/>
      <c r="AH293" s="24"/>
      <c r="AI293" s="24"/>
      <c r="AJ293" s="24"/>
      <c r="AK293" s="24"/>
      <c r="AL293" s="24"/>
      <c r="AM293" s="24"/>
    </row>
    <row r="294" spans="1:39" ht="56.25" customHeight="1" x14ac:dyDescent="0.3">
      <c r="A294" s="34"/>
      <c r="B294" s="34"/>
      <c r="C294" s="35"/>
      <c r="D294" s="36"/>
      <c r="E294" s="36"/>
      <c r="F294" s="36"/>
      <c r="G294" s="36"/>
      <c r="H294" s="36"/>
      <c r="I294" s="86"/>
      <c r="J294" s="36"/>
      <c r="K294" s="123"/>
      <c r="L294" s="123"/>
      <c r="M294" s="36"/>
      <c r="N294" s="36"/>
      <c r="O294" s="123"/>
      <c r="P294" s="124"/>
      <c r="Q294" s="123"/>
      <c r="R294" s="37"/>
      <c r="S294" s="37"/>
      <c r="T294" s="38"/>
      <c r="U294" s="88"/>
      <c r="V294" s="88"/>
      <c r="W294" s="88"/>
      <c r="X294" s="88"/>
      <c r="Y294" s="40"/>
      <c r="Z294" s="37"/>
      <c r="AA294" s="24"/>
      <c r="AB294" s="24"/>
      <c r="AC294" s="24"/>
      <c r="AD294" s="24"/>
      <c r="AE294" s="24"/>
      <c r="AF294" s="24"/>
      <c r="AG294" s="24"/>
      <c r="AH294" s="24"/>
      <c r="AI294" s="24"/>
      <c r="AJ294" s="24"/>
      <c r="AK294" s="24"/>
      <c r="AL294" s="24"/>
      <c r="AM294" s="24"/>
    </row>
    <row r="295" spans="1:39" ht="56.25" customHeight="1" x14ac:dyDescent="0.3">
      <c r="A295" s="34"/>
      <c r="B295" s="34"/>
      <c r="C295" s="35"/>
      <c r="D295" s="36"/>
      <c r="E295" s="36"/>
      <c r="F295" s="36"/>
      <c r="G295" s="36"/>
      <c r="H295" s="36"/>
      <c r="I295" s="86"/>
      <c r="J295" s="36"/>
      <c r="K295" s="123"/>
      <c r="L295" s="123"/>
      <c r="M295" s="36"/>
      <c r="N295" s="36"/>
      <c r="O295" s="123"/>
      <c r="P295" s="124"/>
      <c r="Q295" s="123"/>
      <c r="R295" s="37"/>
      <c r="S295" s="37"/>
      <c r="T295" s="38"/>
      <c r="U295" s="88"/>
      <c r="V295" s="88"/>
      <c r="W295" s="88"/>
      <c r="X295" s="88"/>
      <c r="Y295" s="40"/>
      <c r="Z295" s="37"/>
      <c r="AA295" s="24"/>
      <c r="AB295" s="24"/>
      <c r="AC295" s="24"/>
      <c r="AD295" s="24"/>
      <c r="AE295" s="24"/>
      <c r="AF295" s="24"/>
      <c r="AG295" s="24"/>
      <c r="AH295" s="24"/>
      <c r="AI295" s="24"/>
      <c r="AJ295" s="24"/>
      <c r="AK295" s="24"/>
      <c r="AL295" s="24"/>
      <c r="AM295" s="24"/>
    </row>
    <row r="296" spans="1:39" ht="56.25" customHeight="1" x14ac:dyDescent="0.3">
      <c r="A296" s="34"/>
      <c r="B296" s="34"/>
      <c r="C296" s="35"/>
      <c r="D296" s="36"/>
      <c r="E296" s="36"/>
      <c r="F296" s="36"/>
      <c r="G296" s="36"/>
      <c r="H296" s="36"/>
      <c r="I296" s="86"/>
      <c r="J296" s="36"/>
      <c r="K296" s="123"/>
      <c r="L296" s="123"/>
      <c r="M296" s="36"/>
      <c r="N296" s="36"/>
      <c r="O296" s="123"/>
      <c r="P296" s="124"/>
      <c r="Q296" s="123"/>
      <c r="R296" s="37"/>
      <c r="S296" s="37"/>
      <c r="T296" s="38"/>
      <c r="U296" s="88"/>
      <c r="V296" s="88"/>
      <c r="W296" s="88"/>
      <c r="X296" s="88"/>
      <c r="Y296" s="40"/>
      <c r="Z296" s="37"/>
      <c r="AA296" s="24"/>
      <c r="AB296" s="24"/>
      <c r="AC296" s="24"/>
      <c r="AD296" s="24"/>
      <c r="AE296" s="24"/>
      <c r="AF296" s="24"/>
      <c r="AG296" s="24"/>
      <c r="AH296" s="24"/>
      <c r="AI296" s="24"/>
      <c r="AJ296" s="24"/>
      <c r="AK296" s="24"/>
      <c r="AL296" s="24"/>
      <c r="AM296" s="24"/>
    </row>
    <row r="297" spans="1:39" ht="56.25" customHeight="1" x14ac:dyDescent="0.3">
      <c r="A297" s="34"/>
      <c r="B297" s="34"/>
      <c r="C297" s="35"/>
      <c r="D297" s="36"/>
      <c r="E297" s="36"/>
      <c r="F297" s="36"/>
      <c r="G297" s="36"/>
      <c r="H297" s="36"/>
      <c r="I297" s="86"/>
      <c r="J297" s="36"/>
      <c r="K297" s="123"/>
      <c r="L297" s="123"/>
      <c r="M297" s="36"/>
      <c r="N297" s="36"/>
      <c r="O297" s="123"/>
      <c r="P297" s="124"/>
      <c r="Q297" s="123"/>
      <c r="R297" s="37"/>
      <c r="S297" s="37"/>
      <c r="T297" s="38"/>
      <c r="U297" s="88"/>
      <c r="V297" s="88"/>
      <c r="W297" s="88"/>
      <c r="X297" s="88"/>
      <c r="Y297" s="40"/>
      <c r="Z297" s="37"/>
      <c r="AA297" s="24"/>
      <c r="AB297" s="24"/>
      <c r="AC297" s="24"/>
      <c r="AD297" s="24"/>
      <c r="AE297" s="24"/>
      <c r="AF297" s="24"/>
      <c r="AG297" s="24"/>
      <c r="AH297" s="24"/>
      <c r="AI297" s="24"/>
      <c r="AJ297" s="24"/>
      <c r="AK297" s="24"/>
      <c r="AL297" s="24"/>
      <c r="AM297" s="24"/>
    </row>
    <row r="298" spans="1:39" ht="56.25" customHeight="1" x14ac:dyDescent="0.3">
      <c r="A298" s="34"/>
      <c r="B298" s="34"/>
      <c r="C298" s="35"/>
      <c r="D298" s="36"/>
      <c r="E298" s="36"/>
      <c r="F298" s="36"/>
      <c r="G298" s="36"/>
      <c r="H298" s="36"/>
      <c r="I298" s="86"/>
      <c r="J298" s="36"/>
      <c r="K298" s="123"/>
      <c r="L298" s="123"/>
      <c r="M298" s="36"/>
      <c r="N298" s="36"/>
      <c r="O298" s="123"/>
      <c r="P298" s="124"/>
      <c r="Q298" s="123"/>
      <c r="R298" s="37"/>
      <c r="S298" s="37"/>
      <c r="T298" s="38"/>
      <c r="U298" s="88"/>
      <c r="V298" s="88"/>
      <c r="W298" s="88"/>
      <c r="X298" s="88"/>
      <c r="Y298" s="40"/>
      <c r="Z298" s="37"/>
      <c r="AA298" s="24"/>
      <c r="AB298" s="24"/>
      <c r="AC298" s="24"/>
      <c r="AD298" s="24"/>
      <c r="AE298" s="24"/>
      <c r="AF298" s="24"/>
      <c r="AG298" s="24"/>
      <c r="AH298" s="24"/>
      <c r="AI298" s="24"/>
      <c r="AJ298" s="24"/>
      <c r="AK298" s="24"/>
      <c r="AL298" s="24"/>
      <c r="AM298" s="24"/>
    </row>
    <row r="299" spans="1:39" ht="56.25" customHeight="1" x14ac:dyDescent="0.3">
      <c r="A299" s="34"/>
      <c r="B299" s="34"/>
      <c r="C299" s="35"/>
      <c r="D299" s="36"/>
      <c r="E299" s="36"/>
      <c r="F299" s="36"/>
      <c r="G299" s="36"/>
      <c r="H299" s="36"/>
      <c r="I299" s="86"/>
      <c r="J299" s="36"/>
      <c r="K299" s="123"/>
      <c r="L299" s="123"/>
      <c r="M299" s="36"/>
      <c r="N299" s="36"/>
      <c r="O299" s="123"/>
      <c r="P299" s="124"/>
      <c r="Q299" s="123"/>
      <c r="R299" s="37"/>
      <c r="S299" s="37"/>
      <c r="T299" s="38"/>
      <c r="U299" s="88"/>
      <c r="V299" s="88"/>
      <c r="W299" s="88"/>
      <c r="X299" s="88"/>
      <c r="Y299" s="40"/>
      <c r="Z299" s="37"/>
      <c r="AA299" s="24"/>
      <c r="AB299" s="24"/>
      <c r="AC299" s="24"/>
      <c r="AD299" s="24"/>
      <c r="AE299" s="24"/>
      <c r="AF299" s="24"/>
      <c r="AG299" s="24"/>
      <c r="AH299" s="24"/>
      <c r="AI299" s="24"/>
      <c r="AJ299" s="24"/>
      <c r="AK299" s="24"/>
      <c r="AL299" s="24"/>
      <c r="AM299" s="24"/>
    </row>
    <row r="300" spans="1:39" ht="56.25" customHeight="1" x14ac:dyDescent="0.3">
      <c r="A300" s="34"/>
      <c r="B300" s="34"/>
      <c r="C300" s="35"/>
      <c r="D300" s="36"/>
      <c r="E300" s="36"/>
      <c r="F300" s="36"/>
      <c r="G300" s="36"/>
      <c r="H300" s="36"/>
      <c r="I300" s="86"/>
      <c r="J300" s="36"/>
      <c r="K300" s="123"/>
      <c r="L300" s="123"/>
      <c r="M300" s="36"/>
      <c r="N300" s="36"/>
      <c r="O300" s="123"/>
      <c r="P300" s="124"/>
      <c r="Q300" s="123"/>
      <c r="R300" s="37"/>
      <c r="S300" s="37"/>
      <c r="T300" s="38"/>
      <c r="U300" s="88"/>
      <c r="V300" s="88"/>
      <c r="W300" s="88"/>
      <c r="X300" s="88"/>
      <c r="Y300" s="40"/>
      <c r="Z300" s="37"/>
      <c r="AA300" s="24"/>
      <c r="AB300" s="24"/>
      <c r="AC300" s="24"/>
      <c r="AD300" s="24"/>
      <c r="AE300" s="24"/>
      <c r="AF300" s="24"/>
      <c r="AG300" s="24"/>
      <c r="AH300" s="24"/>
      <c r="AI300" s="24"/>
      <c r="AJ300" s="24"/>
      <c r="AK300" s="24"/>
      <c r="AL300" s="24"/>
      <c r="AM300" s="24"/>
    </row>
    <row r="301" spans="1:39" ht="56.25" customHeight="1" x14ac:dyDescent="0.3">
      <c r="A301" s="34"/>
      <c r="B301" s="34"/>
      <c r="C301" s="35"/>
      <c r="D301" s="36"/>
      <c r="E301" s="36"/>
      <c r="F301" s="36"/>
      <c r="G301" s="36"/>
      <c r="H301" s="36"/>
      <c r="I301" s="86"/>
      <c r="J301" s="36"/>
      <c r="K301" s="123"/>
      <c r="L301" s="123"/>
      <c r="M301" s="36"/>
      <c r="N301" s="36"/>
      <c r="O301" s="123"/>
      <c r="P301" s="124"/>
      <c r="Q301" s="123"/>
      <c r="R301" s="37"/>
      <c r="S301" s="37"/>
      <c r="T301" s="38"/>
      <c r="U301" s="88"/>
      <c r="V301" s="88"/>
      <c r="W301" s="88"/>
      <c r="X301" s="88"/>
      <c r="Y301" s="40"/>
      <c r="Z301" s="37"/>
      <c r="AA301" s="24"/>
      <c r="AB301" s="24"/>
      <c r="AC301" s="24"/>
      <c r="AD301" s="24"/>
      <c r="AE301" s="24"/>
      <c r="AF301" s="24"/>
      <c r="AG301" s="24"/>
      <c r="AH301" s="24"/>
      <c r="AI301" s="24"/>
      <c r="AJ301" s="24"/>
      <c r="AK301" s="24"/>
      <c r="AL301" s="24"/>
      <c r="AM301" s="24"/>
    </row>
    <row r="302" spans="1:39" ht="56.25" customHeight="1" x14ac:dyDescent="0.3">
      <c r="A302" s="34"/>
      <c r="B302" s="34"/>
      <c r="C302" s="35"/>
      <c r="D302" s="36"/>
      <c r="E302" s="36"/>
      <c r="F302" s="36"/>
      <c r="G302" s="36"/>
      <c r="H302" s="36"/>
      <c r="I302" s="86"/>
      <c r="J302" s="36"/>
      <c r="K302" s="123"/>
      <c r="L302" s="123"/>
      <c r="M302" s="36"/>
      <c r="N302" s="36"/>
      <c r="O302" s="35"/>
      <c r="P302" s="124"/>
      <c r="Q302" s="123"/>
      <c r="R302" s="37"/>
      <c r="S302" s="37"/>
      <c r="T302" s="38"/>
      <c r="U302" s="88"/>
      <c r="V302" s="88"/>
      <c r="W302" s="88"/>
      <c r="X302" s="88"/>
      <c r="Y302" s="40"/>
      <c r="Z302" s="37"/>
      <c r="AA302" s="24"/>
      <c r="AB302" s="24"/>
      <c r="AC302" s="24"/>
      <c r="AD302" s="24"/>
      <c r="AE302" s="24"/>
      <c r="AF302" s="24"/>
      <c r="AG302" s="24"/>
      <c r="AH302" s="24"/>
      <c r="AI302" s="24"/>
      <c r="AJ302" s="24"/>
      <c r="AK302" s="24"/>
      <c r="AL302" s="24"/>
      <c r="AM302" s="24"/>
    </row>
    <row r="303" spans="1:39" ht="56.25" customHeight="1" x14ac:dyDescent="0.3">
      <c r="A303" s="34"/>
      <c r="B303" s="34"/>
      <c r="C303" s="35"/>
      <c r="D303" s="36"/>
      <c r="E303" s="36"/>
      <c r="F303" s="36"/>
      <c r="G303" s="36"/>
      <c r="H303" s="36"/>
      <c r="I303" s="86"/>
      <c r="J303" s="36"/>
      <c r="K303" s="123"/>
      <c r="L303" s="123"/>
      <c r="M303" s="36"/>
      <c r="N303" s="36"/>
      <c r="O303" s="123"/>
      <c r="P303" s="124"/>
      <c r="Q303" s="123"/>
      <c r="R303" s="37"/>
      <c r="S303" s="37"/>
      <c r="T303" s="38"/>
      <c r="U303" s="88"/>
      <c r="V303" s="88"/>
      <c r="W303" s="88"/>
      <c r="X303" s="88"/>
      <c r="Y303" s="40"/>
      <c r="Z303" s="37"/>
      <c r="AA303" s="24"/>
      <c r="AB303" s="24"/>
      <c r="AC303" s="24"/>
      <c r="AD303" s="24"/>
      <c r="AE303" s="24"/>
      <c r="AF303" s="24"/>
      <c r="AG303" s="24"/>
      <c r="AH303" s="24"/>
      <c r="AI303" s="24"/>
      <c r="AJ303" s="24"/>
      <c r="AK303" s="24"/>
      <c r="AL303" s="24"/>
      <c r="AM303" s="24"/>
    </row>
    <row r="304" spans="1:39" ht="56.25" customHeight="1" x14ac:dyDescent="0.3">
      <c r="A304" s="34"/>
      <c r="B304" s="34"/>
      <c r="C304" s="35"/>
      <c r="D304" s="36"/>
      <c r="E304" s="36"/>
      <c r="F304" s="36"/>
      <c r="G304" s="36"/>
      <c r="H304" s="36"/>
      <c r="I304" s="86"/>
      <c r="J304" s="36"/>
      <c r="K304" s="123"/>
      <c r="L304" s="123"/>
      <c r="M304" s="36"/>
      <c r="N304" s="36"/>
      <c r="O304" s="35"/>
      <c r="P304" s="124"/>
      <c r="Q304" s="123"/>
      <c r="R304" s="37"/>
      <c r="S304" s="37"/>
      <c r="T304" s="38"/>
      <c r="U304" s="88"/>
      <c r="V304" s="88"/>
      <c r="W304" s="88"/>
      <c r="X304" s="88"/>
      <c r="Y304" s="40"/>
      <c r="Z304" s="37"/>
      <c r="AA304" s="24"/>
      <c r="AB304" s="24"/>
      <c r="AC304" s="24"/>
      <c r="AD304" s="24"/>
      <c r="AE304" s="24"/>
      <c r="AF304" s="24"/>
      <c r="AG304" s="24"/>
      <c r="AH304" s="24"/>
      <c r="AI304" s="24"/>
      <c r="AJ304" s="24"/>
      <c r="AK304" s="24"/>
      <c r="AL304" s="24"/>
      <c r="AM304" s="24"/>
    </row>
    <row r="305" spans="1:39" ht="56.25" customHeight="1" x14ac:dyDescent="0.3">
      <c r="A305" s="34"/>
      <c r="B305" s="34"/>
      <c r="C305" s="35"/>
      <c r="D305" s="36"/>
      <c r="E305" s="36"/>
      <c r="F305" s="36"/>
      <c r="G305" s="36"/>
      <c r="H305" s="36"/>
      <c r="I305" s="86"/>
      <c r="J305" s="36"/>
      <c r="K305" s="123"/>
      <c r="L305" s="123"/>
      <c r="M305" s="36"/>
      <c r="N305" s="36"/>
      <c r="O305" s="35"/>
      <c r="P305" s="124"/>
      <c r="Q305" s="123"/>
      <c r="R305" s="37"/>
      <c r="S305" s="37"/>
      <c r="T305" s="38"/>
      <c r="U305" s="88"/>
      <c r="V305" s="88"/>
      <c r="W305" s="88"/>
      <c r="X305" s="88"/>
      <c r="Y305" s="40"/>
      <c r="Z305" s="37"/>
      <c r="AA305" s="24"/>
      <c r="AB305" s="24"/>
      <c r="AC305" s="24"/>
      <c r="AD305" s="24"/>
      <c r="AE305" s="24"/>
      <c r="AF305" s="24"/>
      <c r="AG305" s="24"/>
      <c r="AH305" s="24"/>
      <c r="AI305" s="24"/>
      <c r="AJ305" s="24"/>
      <c r="AK305" s="24"/>
      <c r="AL305" s="24"/>
      <c r="AM305" s="24"/>
    </row>
    <row r="306" spans="1:39" ht="56.25" customHeight="1" x14ac:dyDescent="0.3">
      <c r="A306" s="34"/>
      <c r="B306" s="34"/>
      <c r="C306" s="35"/>
      <c r="D306" s="36"/>
      <c r="E306" s="36"/>
      <c r="F306" s="36"/>
      <c r="G306" s="36"/>
      <c r="H306" s="36"/>
      <c r="I306" s="86"/>
      <c r="J306" s="36"/>
      <c r="K306" s="123"/>
      <c r="L306" s="123"/>
      <c r="M306" s="36"/>
      <c r="N306" s="36"/>
      <c r="O306" s="123"/>
      <c r="P306" s="124"/>
      <c r="Q306" s="123"/>
      <c r="R306" s="37"/>
      <c r="S306" s="37"/>
      <c r="T306" s="38"/>
      <c r="U306" s="88"/>
      <c r="V306" s="88"/>
      <c r="W306" s="88"/>
      <c r="X306" s="88"/>
      <c r="Y306" s="40"/>
      <c r="Z306" s="37"/>
      <c r="AA306" s="24"/>
      <c r="AB306" s="24"/>
      <c r="AC306" s="24"/>
      <c r="AD306" s="24"/>
      <c r="AE306" s="24"/>
      <c r="AF306" s="24"/>
      <c r="AG306" s="24"/>
      <c r="AH306" s="24"/>
      <c r="AI306" s="24"/>
      <c r="AJ306" s="24"/>
      <c r="AK306" s="24"/>
      <c r="AL306" s="24"/>
      <c r="AM306" s="24"/>
    </row>
    <row r="307" spans="1:39" ht="56.25" customHeight="1" x14ac:dyDescent="0.3">
      <c r="A307" s="34"/>
      <c r="B307" s="34"/>
      <c r="C307" s="35"/>
      <c r="D307" s="36"/>
      <c r="E307" s="36"/>
      <c r="F307" s="36"/>
      <c r="G307" s="36"/>
      <c r="H307" s="36"/>
      <c r="I307" s="86"/>
      <c r="J307" s="36"/>
      <c r="K307" s="123"/>
      <c r="L307" s="123"/>
      <c r="M307" s="36"/>
      <c r="N307" s="36"/>
      <c r="O307" s="123"/>
      <c r="P307" s="124"/>
      <c r="Q307" s="123"/>
      <c r="R307" s="37"/>
      <c r="S307" s="37"/>
      <c r="T307" s="38"/>
      <c r="U307" s="88"/>
      <c r="V307" s="88"/>
      <c r="W307" s="88"/>
      <c r="X307" s="88"/>
      <c r="Y307" s="40"/>
      <c r="Z307" s="37"/>
      <c r="AA307" s="24"/>
      <c r="AB307" s="24"/>
      <c r="AC307" s="24"/>
      <c r="AD307" s="24"/>
      <c r="AE307" s="24"/>
      <c r="AF307" s="24"/>
      <c r="AG307" s="24"/>
      <c r="AH307" s="24"/>
      <c r="AI307" s="24"/>
      <c r="AJ307" s="24"/>
      <c r="AK307" s="24"/>
      <c r="AL307" s="24"/>
      <c r="AM307" s="24"/>
    </row>
    <row r="308" spans="1:39" ht="56.25" customHeight="1" x14ac:dyDescent="0.3">
      <c r="A308" s="34"/>
      <c r="B308" s="34"/>
      <c r="C308" s="35"/>
      <c r="D308" s="36"/>
      <c r="E308" s="36"/>
      <c r="F308" s="36"/>
      <c r="G308" s="36"/>
      <c r="H308" s="36"/>
      <c r="I308" s="86"/>
      <c r="J308" s="36"/>
      <c r="K308" s="123"/>
      <c r="L308" s="123"/>
      <c r="M308" s="36"/>
      <c r="N308" s="36"/>
      <c r="O308" s="35"/>
      <c r="P308" s="124"/>
      <c r="Q308" s="123"/>
      <c r="R308" s="37"/>
      <c r="S308" s="37"/>
      <c r="T308" s="38"/>
      <c r="U308" s="88"/>
      <c r="V308" s="88"/>
      <c r="W308" s="113"/>
      <c r="X308" s="88"/>
      <c r="Y308" s="40"/>
      <c r="Z308" s="37"/>
      <c r="AA308" s="24"/>
      <c r="AB308" s="24"/>
      <c r="AC308" s="24"/>
      <c r="AD308" s="24"/>
      <c r="AE308" s="24"/>
      <c r="AF308" s="24"/>
      <c r="AG308" s="24"/>
      <c r="AH308" s="24"/>
      <c r="AI308" s="24"/>
      <c r="AJ308" s="24"/>
      <c r="AK308" s="24"/>
      <c r="AL308" s="24"/>
      <c r="AM308" s="24"/>
    </row>
    <row r="309" spans="1:39" ht="56.25" customHeight="1" x14ac:dyDescent="0.3">
      <c r="A309" s="34"/>
      <c r="B309" s="34"/>
      <c r="C309" s="35"/>
      <c r="D309" s="36"/>
      <c r="E309" s="36"/>
      <c r="F309" s="36"/>
      <c r="G309" s="36"/>
      <c r="H309" s="36"/>
      <c r="I309" s="86"/>
      <c r="J309" s="36"/>
      <c r="K309" s="123"/>
      <c r="L309" s="123"/>
      <c r="M309" s="36"/>
      <c r="N309" s="36"/>
      <c r="O309" s="123"/>
      <c r="P309" s="124"/>
      <c r="Q309" s="123"/>
      <c r="R309" s="37"/>
      <c r="S309" s="37"/>
      <c r="T309" s="38"/>
      <c r="U309" s="88"/>
      <c r="V309" s="88"/>
      <c r="W309" s="88"/>
      <c r="X309" s="88"/>
      <c r="Y309" s="40"/>
      <c r="Z309" s="37"/>
      <c r="AA309" s="24"/>
      <c r="AB309" s="24"/>
      <c r="AC309" s="24"/>
      <c r="AD309" s="24"/>
      <c r="AE309" s="24"/>
      <c r="AF309" s="24"/>
      <c r="AG309" s="24"/>
      <c r="AH309" s="24"/>
      <c r="AI309" s="24"/>
      <c r="AJ309" s="24"/>
      <c r="AK309" s="24"/>
      <c r="AL309" s="24"/>
      <c r="AM309" s="24"/>
    </row>
    <row r="310" spans="1:39" ht="56.25" customHeight="1" x14ac:dyDescent="0.3">
      <c r="A310" s="34"/>
      <c r="B310" s="34"/>
      <c r="C310" s="35"/>
      <c r="D310" s="36"/>
      <c r="E310" s="36"/>
      <c r="F310" s="36"/>
      <c r="G310" s="36"/>
      <c r="H310" s="36"/>
      <c r="I310" s="86"/>
      <c r="J310" s="36"/>
      <c r="K310" s="123"/>
      <c r="L310" s="123"/>
      <c r="M310" s="36"/>
      <c r="N310" s="36"/>
      <c r="O310" s="123"/>
      <c r="P310" s="124"/>
      <c r="Q310" s="123"/>
      <c r="R310" s="37"/>
      <c r="S310" s="37"/>
      <c r="T310" s="38"/>
      <c r="U310" s="88"/>
      <c r="V310" s="88"/>
      <c r="W310" s="88"/>
      <c r="X310" s="88"/>
      <c r="Y310" s="40"/>
      <c r="Z310" s="37"/>
      <c r="AA310" s="24"/>
      <c r="AB310" s="24"/>
      <c r="AC310" s="24"/>
      <c r="AD310" s="24"/>
      <c r="AE310" s="24"/>
      <c r="AF310" s="24"/>
      <c r="AG310" s="24"/>
      <c r="AH310" s="24"/>
      <c r="AI310" s="24"/>
      <c r="AJ310" s="24"/>
      <c r="AK310" s="24"/>
      <c r="AL310" s="24"/>
      <c r="AM310" s="24"/>
    </row>
    <row r="311" spans="1:39" ht="56.25" customHeight="1" x14ac:dyDescent="0.3">
      <c r="A311" s="34"/>
      <c r="B311" s="34"/>
      <c r="C311" s="35"/>
      <c r="D311" s="36"/>
      <c r="E311" s="36"/>
      <c r="F311" s="36"/>
      <c r="G311" s="36"/>
      <c r="H311" s="36"/>
      <c r="I311" s="86"/>
      <c r="J311" s="36"/>
      <c r="K311" s="123"/>
      <c r="L311" s="123"/>
      <c r="M311" s="36"/>
      <c r="N311" s="36"/>
      <c r="O311" s="123"/>
      <c r="P311" s="124"/>
      <c r="Q311" s="123"/>
      <c r="R311" s="37"/>
      <c r="S311" s="37"/>
      <c r="T311" s="38"/>
      <c r="U311" s="88"/>
      <c r="V311" s="88"/>
      <c r="W311" s="88"/>
      <c r="X311" s="88"/>
      <c r="Y311" s="40"/>
      <c r="Z311" s="37"/>
      <c r="AA311" s="24"/>
      <c r="AB311" s="24"/>
      <c r="AC311" s="24"/>
      <c r="AD311" s="24"/>
      <c r="AE311" s="24"/>
      <c r="AF311" s="24"/>
      <c r="AG311" s="24"/>
      <c r="AH311" s="24"/>
      <c r="AI311" s="24"/>
      <c r="AJ311" s="24"/>
      <c r="AK311" s="24"/>
      <c r="AL311" s="24"/>
      <c r="AM311" s="24"/>
    </row>
    <row r="312" spans="1:39" ht="56.25" customHeight="1" x14ac:dyDescent="0.3">
      <c r="A312" s="34"/>
      <c r="B312" s="34"/>
      <c r="C312" s="35"/>
      <c r="D312" s="36"/>
      <c r="E312" s="36"/>
      <c r="F312" s="36"/>
      <c r="G312" s="36"/>
      <c r="H312" s="36"/>
      <c r="I312" s="86"/>
      <c r="J312" s="36"/>
      <c r="K312" s="123"/>
      <c r="L312" s="123"/>
      <c r="M312" s="36"/>
      <c r="N312" s="36"/>
      <c r="O312" s="123"/>
      <c r="P312" s="124"/>
      <c r="Q312" s="123"/>
      <c r="R312" s="37"/>
      <c r="S312" s="37"/>
      <c r="T312" s="38"/>
      <c r="U312" s="88"/>
      <c r="V312" s="88"/>
      <c r="W312" s="88"/>
      <c r="X312" s="88"/>
      <c r="Y312" s="40"/>
      <c r="Z312" s="37"/>
      <c r="AA312" s="24"/>
      <c r="AB312" s="24"/>
      <c r="AC312" s="24"/>
      <c r="AD312" s="24"/>
      <c r="AE312" s="24"/>
      <c r="AF312" s="24"/>
      <c r="AG312" s="24"/>
      <c r="AH312" s="24"/>
      <c r="AI312" s="24"/>
      <c r="AJ312" s="24"/>
      <c r="AK312" s="24"/>
      <c r="AL312" s="24"/>
      <c r="AM312" s="24"/>
    </row>
    <row r="313" spans="1:39" ht="56.25" customHeight="1" x14ac:dyDescent="0.3">
      <c r="A313" s="34"/>
      <c r="B313" s="34"/>
      <c r="C313" s="35"/>
      <c r="D313" s="36"/>
      <c r="E313" s="36"/>
      <c r="F313" s="36"/>
      <c r="G313" s="36"/>
      <c r="H313" s="36"/>
      <c r="I313" s="86"/>
      <c r="J313" s="36"/>
      <c r="K313" s="123"/>
      <c r="L313" s="123"/>
      <c r="M313" s="36"/>
      <c r="N313" s="36"/>
      <c r="O313" s="123"/>
      <c r="P313" s="124"/>
      <c r="Q313" s="123"/>
      <c r="R313" s="37"/>
      <c r="S313" s="37"/>
      <c r="T313" s="38"/>
      <c r="U313" s="88"/>
      <c r="V313" s="88"/>
      <c r="W313" s="88"/>
      <c r="X313" s="88"/>
      <c r="Y313" s="40"/>
      <c r="Z313" s="37"/>
      <c r="AA313" s="24"/>
      <c r="AB313" s="24"/>
      <c r="AC313" s="24"/>
      <c r="AD313" s="24"/>
      <c r="AE313" s="24"/>
      <c r="AF313" s="24"/>
      <c r="AG313" s="24"/>
      <c r="AH313" s="24"/>
      <c r="AI313" s="24"/>
      <c r="AJ313" s="24"/>
      <c r="AK313" s="24"/>
      <c r="AL313" s="24"/>
      <c r="AM313" s="24"/>
    </row>
    <row r="314" spans="1:39" ht="56.25" customHeight="1" x14ac:dyDescent="0.3">
      <c r="A314" s="34"/>
      <c r="B314" s="34"/>
      <c r="C314" s="35"/>
      <c r="D314" s="36"/>
      <c r="E314" s="36"/>
      <c r="F314" s="36"/>
      <c r="G314" s="36"/>
      <c r="H314" s="36"/>
      <c r="I314" s="86"/>
      <c r="J314" s="36"/>
      <c r="K314" s="123"/>
      <c r="L314" s="123"/>
      <c r="M314" s="36"/>
      <c r="N314" s="36"/>
      <c r="O314" s="123"/>
      <c r="P314" s="124"/>
      <c r="Q314" s="123"/>
      <c r="R314" s="37"/>
      <c r="S314" s="37"/>
      <c r="T314" s="38"/>
      <c r="U314" s="88"/>
      <c r="V314" s="88"/>
      <c r="W314" s="88"/>
      <c r="X314" s="88"/>
      <c r="Y314" s="40"/>
      <c r="Z314" s="37"/>
      <c r="AA314" s="24"/>
      <c r="AB314" s="24"/>
      <c r="AC314" s="24"/>
      <c r="AD314" s="24"/>
      <c r="AE314" s="24"/>
      <c r="AF314" s="24"/>
      <c r="AG314" s="24"/>
      <c r="AH314" s="24"/>
      <c r="AI314" s="24"/>
      <c r="AJ314" s="24"/>
      <c r="AK314" s="24"/>
      <c r="AL314" s="24"/>
      <c r="AM314" s="24"/>
    </row>
    <row r="315" spans="1:39" ht="56.25" customHeight="1" x14ac:dyDescent="0.3">
      <c r="A315" s="34"/>
      <c r="B315" s="34"/>
      <c r="C315" s="35"/>
      <c r="D315" s="36"/>
      <c r="E315" s="36"/>
      <c r="F315" s="36"/>
      <c r="G315" s="36"/>
      <c r="H315" s="36"/>
      <c r="I315" s="86"/>
      <c r="J315" s="36"/>
      <c r="K315" s="123"/>
      <c r="L315" s="123"/>
      <c r="M315" s="36"/>
      <c r="N315" s="36"/>
      <c r="O315" s="123"/>
      <c r="P315" s="124"/>
      <c r="Q315" s="123"/>
      <c r="R315" s="37"/>
      <c r="S315" s="37"/>
      <c r="T315" s="38"/>
      <c r="U315" s="88"/>
      <c r="V315" s="88"/>
      <c r="W315" s="88"/>
      <c r="X315" s="88"/>
      <c r="Y315" s="40"/>
      <c r="Z315" s="37"/>
      <c r="AA315" s="24"/>
      <c r="AB315" s="24"/>
      <c r="AC315" s="24"/>
      <c r="AD315" s="24"/>
      <c r="AE315" s="24"/>
      <c r="AF315" s="24"/>
      <c r="AG315" s="24"/>
      <c r="AH315" s="24"/>
      <c r="AI315" s="24"/>
      <c r="AJ315" s="24"/>
      <c r="AK315" s="24"/>
      <c r="AL315" s="24"/>
      <c r="AM315" s="24"/>
    </row>
    <row r="316" spans="1:39" ht="56.25" customHeight="1" x14ac:dyDescent="0.3">
      <c r="A316" s="34"/>
      <c r="B316" s="34"/>
      <c r="C316" s="35"/>
      <c r="D316" s="36"/>
      <c r="E316" s="36"/>
      <c r="F316" s="36"/>
      <c r="G316" s="36"/>
      <c r="H316" s="36"/>
      <c r="I316" s="86"/>
      <c r="J316" s="36"/>
      <c r="K316" s="123"/>
      <c r="L316" s="123"/>
      <c r="M316" s="36"/>
      <c r="N316" s="36"/>
      <c r="O316" s="123"/>
      <c r="P316" s="124"/>
      <c r="Q316" s="123"/>
      <c r="R316" s="37"/>
      <c r="S316" s="37"/>
      <c r="T316" s="38"/>
      <c r="U316" s="88"/>
      <c r="V316" s="88"/>
      <c r="W316" s="113"/>
      <c r="X316" s="88"/>
      <c r="Y316" s="40"/>
      <c r="Z316" s="37"/>
      <c r="AA316" s="24"/>
      <c r="AB316" s="24"/>
      <c r="AC316" s="24"/>
      <c r="AD316" s="24"/>
      <c r="AE316" s="24"/>
      <c r="AF316" s="24"/>
      <c r="AG316" s="24"/>
      <c r="AH316" s="24"/>
      <c r="AI316" s="24"/>
      <c r="AJ316" s="24"/>
      <c r="AK316" s="24"/>
      <c r="AL316" s="24"/>
      <c r="AM316" s="24"/>
    </row>
    <row r="317" spans="1:39" ht="56.25" customHeight="1" x14ac:dyDescent="0.3">
      <c r="A317" s="34"/>
      <c r="B317" s="34"/>
      <c r="C317" s="35"/>
      <c r="D317" s="36"/>
      <c r="E317" s="36"/>
      <c r="F317" s="36"/>
      <c r="G317" s="36"/>
      <c r="H317" s="36"/>
      <c r="I317" s="86"/>
      <c r="J317" s="36"/>
      <c r="K317" s="123"/>
      <c r="L317" s="123"/>
      <c r="M317" s="36"/>
      <c r="N317" s="36"/>
      <c r="O317" s="123"/>
      <c r="P317" s="124"/>
      <c r="Q317" s="123"/>
      <c r="R317" s="37"/>
      <c r="S317" s="37"/>
      <c r="T317" s="38"/>
      <c r="U317" s="88"/>
      <c r="V317" s="88"/>
      <c r="W317" s="88"/>
      <c r="X317" s="88"/>
      <c r="Y317" s="40"/>
      <c r="Z317" s="37"/>
      <c r="AA317" s="24"/>
      <c r="AB317" s="24"/>
      <c r="AC317" s="24"/>
      <c r="AD317" s="24"/>
      <c r="AE317" s="24"/>
      <c r="AF317" s="24"/>
      <c r="AG317" s="24"/>
      <c r="AH317" s="24"/>
      <c r="AI317" s="24"/>
      <c r="AJ317" s="24"/>
      <c r="AK317" s="24"/>
      <c r="AL317" s="24"/>
      <c r="AM317" s="24"/>
    </row>
    <row r="318" spans="1:39" ht="56.25" customHeight="1" x14ac:dyDescent="0.3">
      <c r="A318" s="34"/>
      <c r="B318" s="34"/>
      <c r="C318" s="35"/>
      <c r="D318" s="36"/>
      <c r="E318" s="36"/>
      <c r="F318" s="36"/>
      <c r="G318" s="36"/>
      <c r="H318" s="36"/>
      <c r="I318" s="86"/>
      <c r="J318" s="36"/>
      <c r="K318" s="123"/>
      <c r="L318" s="123"/>
      <c r="M318" s="36"/>
      <c r="N318" s="36"/>
      <c r="O318" s="35"/>
      <c r="P318" s="124"/>
      <c r="Q318" s="123"/>
      <c r="R318" s="37"/>
      <c r="S318" s="37"/>
      <c r="T318" s="38"/>
      <c r="U318" s="88"/>
      <c r="V318" s="88"/>
      <c r="W318" s="88"/>
      <c r="X318" s="88"/>
      <c r="Y318" s="40"/>
      <c r="Z318" s="37"/>
      <c r="AA318" s="24"/>
      <c r="AB318" s="24"/>
      <c r="AC318" s="24"/>
      <c r="AD318" s="24"/>
      <c r="AE318" s="24"/>
      <c r="AF318" s="24"/>
      <c r="AG318" s="24"/>
      <c r="AH318" s="24"/>
      <c r="AI318" s="24"/>
      <c r="AJ318" s="24"/>
      <c r="AK318" s="24"/>
      <c r="AL318" s="24"/>
      <c r="AM318" s="24"/>
    </row>
    <row r="319" spans="1:39" ht="56.25" customHeight="1" x14ac:dyDescent="0.3">
      <c r="A319" s="34"/>
      <c r="B319" s="34"/>
      <c r="C319" s="35"/>
      <c r="D319" s="36"/>
      <c r="E319" s="36"/>
      <c r="F319" s="36"/>
      <c r="G319" s="36"/>
      <c r="H319" s="36"/>
      <c r="I319" s="86"/>
      <c r="J319" s="36"/>
      <c r="K319" s="123"/>
      <c r="L319" s="123"/>
      <c r="M319" s="36"/>
      <c r="N319" s="36"/>
      <c r="O319" s="123"/>
      <c r="P319" s="124"/>
      <c r="Q319" s="123"/>
      <c r="R319" s="37"/>
      <c r="S319" s="37"/>
      <c r="T319" s="38"/>
      <c r="U319" s="88"/>
      <c r="V319" s="88"/>
      <c r="W319" s="88"/>
      <c r="X319" s="88"/>
      <c r="Y319" s="40"/>
      <c r="Z319" s="37"/>
      <c r="AA319" s="24"/>
      <c r="AB319" s="24"/>
      <c r="AC319" s="24"/>
      <c r="AD319" s="24"/>
      <c r="AE319" s="24"/>
      <c r="AF319" s="24"/>
      <c r="AG319" s="24"/>
      <c r="AH319" s="24"/>
      <c r="AI319" s="24"/>
      <c r="AJ319" s="24"/>
      <c r="AK319" s="24"/>
      <c r="AL319" s="24"/>
      <c r="AM319" s="24"/>
    </row>
    <row r="320" spans="1:39" ht="56.25" customHeight="1" x14ac:dyDescent="0.3">
      <c r="A320" s="34"/>
      <c r="B320" s="34"/>
      <c r="C320" s="35"/>
      <c r="D320" s="36"/>
      <c r="E320" s="36"/>
      <c r="F320" s="36"/>
      <c r="G320" s="36"/>
      <c r="H320" s="36"/>
      <c r="I320" s="86"/>
      <c r="J320" s="36"/>
      <c r="K320" s="123"/>
      <c r="L320" s="123"/>
      <c r="M320" s="36"/>
      <c r="N320" s="36"/>
      <c r="O320" s="123"/>
      <c r="P320" s="124"/>
      <c r="Q320" s="123"/>
      <c r="R320" s="37"/>
      <c r="S320" s="37"/>
      <c r="T320" s="38"/>
      <c r="U320" s="88"/>
      <c r="V320" s="88"/>
      <c r="W320" s="88"/>
      <c r="X320" s="88"/>
      <c r="Y320" s="40"/>
      <c r="Z320" s="37"/>
      <c r="AA320" s="24"/>
      <c r="AB320" s="24"/>
      <c r="AC320" s="24"/>
      <c r="AD320" s="24"/>
      <c r="AE320" s="24"/>
      <c r="AF320" s="24"/>
      <c r="AG320" s="24"/>
      <c r="AH320" s="24"/>
      <c r="AI320" s="24"/>
      <c r="AJ320" s="24"/>
      <c r="AK320" s="24"/>
      <c r="AL320" s="24"/>
      <c r="AM320" s="24"/>
    </row>
    <row r="321" spans="1:39" ht="56.25" customHeight="1" x14ac:dyDescent="0.3">
      <c r="A321" s="34"/>
      <c r="B321" s="34"/>
      <c r="C321" s="35"/>
      <c r="D321" s="36"/>
      <c r="E321" s="36"/>
      <c r="F321" s="36"/>
      <c r="G321" s="36"/>
      <c r="H321" s="36"/>
      <c r="I321" s="86"/>
      <c r="J321" s="36"/>
      <c r="K321" s="123"/>
      <c r="L321" s="123"/>
      <c r="M321" s="36"/>
      <c r="N321" s="36"/>
      <c r="O321" s="123"/>
      <c r="P321" s="124"/>
      <c r="Q321" s="123"/>
      <c r="R321" s="37"/>
      <c r="S321" s="37"/>
      <c r="T321" s="38"/>
      <c r="U321" s="88"/>
      <c r="V321" s="88"/>
      <c r="W321" s="88"/>
      <c r="X321" s="88"/>
      <c r="Y321" s="40"/>
      <c r="Z321" s="37"/>
      <c r="AA321" s="24"/>
      <c r="AB321" s="24"/>
      <c r="AC321" s="24"/>
      <c r="AD321" s="24"/>
      <c r="AE321" s="24"/>
      <c r="AF321" s="24"/>
      <c r="AG321" s="24"/>
      <c r="AH321" s="24"/>
      <c r="AI321" s="24"/>
      <c r="AJ321" s="24"/>
      <c r="AK321" s="24"/>
      <c r="AL321" s="24"/>
      <c r="AM321" s="24"/>
    </row>
    <row r="324" spans="1:39" ht="56.25" customHeight="1" x14ac:dyDescent="0.3">
      <c r="A324" s="37"/>
      <c r="B324" s="37"/>
      <c r="C324" s="37"/>
      <c r="D324" s="37"/>
      <c r="E324" s="55"/>
      <c r="F324" s="40"/>
      <c r="G324" s="37"/>
      <c r="H324" s="37"/>
      <c r="I324" s="56"/>
      <c r="J324" s="36"/>
      <c r="K324" s="123"/>
      <c r="L324" s="123"/>
      <c r="M324" s="36"/>
      <c r="N324" s="36"/>
      <c r="O324" s="123"/>
      <c r="P324" s="123"/>
      <c r="Q324" s="123"/>
      <c r="R324" s="37"/>
      <c r="S324" s="37"/>
      <c r="T324" s="38"/>
      <c r="U324" s="37"/>
      <c r="V324" s="37"/>
      <c r="W324" s="37"/>
      <c r="X324" s="57"/>
      <c r="Y324" s="37"/>
      <c r="Z324" s="24"/>
      <c r="AA324" s="24"/>
      <c r="AB324" s="24"/>
      <c r="AC324" s="24"/>
      <c r="AD324" s="24"/>
      <c r="AE324" s="24"/>
      <c r="AF324" s="24"/>
      <c r="AG324" s="24"/>
      <c r="AH324" s="24"/>
      <c r="AI324" s="24"/>
      <c r="AJ324" s="24"/>
      <c r="AK324" s="24"/>
      <c r="AL324" s="24"/>
      <c r="AM324" s="24"/>
    </row>
    <row r="325" spans="1:39" ht="56.25" customHeight="1" x14ac:dyDescent="0.3">
      <c r="A325" s="58"/>
      <c r="B325" s="34"/>
      <c r="C325" s="35"/>
      <c r="D325" s="36"/>
      <c r="E325" s="36"/>
      <c r="F325" s="49"/>
      <c r="G325" s="49"/>
      <c r="H325" s="49"/>
      <c r="I325" s="59"/>
      <c r="J325" s="49"/>
      <c r="K325" s="49"/>
      <c r="L325" s="49"/>
      <c r="M325" s="49"/>
      <c r="N325" s="49"/>
      <c r="O325" s="60"/>
      <c r="P325" s="60"/>
      <c r="Q325" s="49"/>
      <c r="R325" s="49"/>
      <c r="S325" s="49"/>
      <c r="T325" s="49"/>
      <c r="U325" s="49"/>
      <c r="V325" s="49"/>
      <c r="W325" s="49"/>
      <c r="X325" s="39"/>
      <c r="Y325" s="40"/>
      <c r="Z325" s="24"/>
      <c r="AA325" s="24"/>
      <c r="AB325" s="24"/>
      <c r="AC325" s="24"/>
      <c r="AD325" s="24"/>
      <c r="AE325" s="24"/>
      <c r="AF325" s="24"/>
      <c r="AG325" s="24"/>
      <c r="AH325" s="24"/>
      <c r="AI325" s="24"/>
      <c r="AJ325" s="24"/>
      <c r="AK325" s="24"/>
      <c r="AL325" s="24"/>
      <c r="AM325" s="24"/>
    </row>
    <row r="326" spans="1:39" ht="56.25" customHeight="1" x14ac:dyDescent="0.3">
      <c r="A326" s="58"/>
      <c r="B326" s="34"/>
      <c r="C326" s="35"/>
      <c r="D326" s="36"/>
      <c r="E326" s="36"/>
      <c r="F326" s="36"/>
      <c r="G326" s="36"/>
      <c r="H326" s="36"/>
      <c r="I326" s="61"/>
      <c r="J326" s="36"/>
      <c r="K326" s="36"/>
      <c r="L326" s="36"/>
      <c r="M326" s="36"/>
      <c r="N326" s="36"/>
      <c r="O326" s="44"/>
      <c r="P326" s="44"/>
      <c r="Q326" s="36"/>
      <c r="R326" s="36"/>
      <c r="S326" s="36"/>
      <c r="T326" s="36"/>
      <c r="U326" s="36"/>
      <c r="V326" s="36"/>
      <c r="W326" s="36"/>
      <c r="X326" s="39"/>
      <c r="Y326" s="40"/>
      <c r="Z326" s="24"/>
      <c r="AA326" s="24"/>
      <c r="AB326" s="24"/>
      <c r="AC326" s="24"/>
      <c r="AD326" s="24"/>
      <c r="AE326" s="24"/>
      <c r="AF326" s="24"/>
      <c r="AG326" s="24"/>
      <c r="AH326" s="24"/>
      <c r="AI326" s="24"/>
      <c r="AJ326" s="24"/>
      <c r="AK326" s="24"/>
      <c r="AL326" s="24"/>
      <c r="AM326" s="24"/>
    </row>
    <row r="327" spans="1:39" ht="56.25" customHeight="1" x14ac:dyDescent="0.3">
      <c r="A327" s="58"/>
      <c r="B327" s="34"/>
      <c r="C327" s="35"/>
      <c r="D327" s="36"/>
      <c r="E327" s="36"/>
      <c r="F327" s="36"/>
      <c r="G327" s="36"/>
      <c r="H327" s="36"/>
      <c r="I327" s="61"/>
      <c r="J327" s="36"/>
      <c r="K327" s="36"/>
      <c r="L327" s="36"/>
      <c r="M327" s="36"/>
      <c r="N327" s="36"/>
      <c r="O327" s="44"/>
      <c r="P327" s="44"/>
      <c r="Q327" s="36"/>
      <c r="R327" s="36"/>
      <c r="S327" s="36"/>
      <c r="T327" s="36"/>
      <c r="U327" s="36"/>
      <c r="V327" s="36"/>
      <c r="W327" s="36"/>
      <c r="X327" s="39"/>
      <c r="Y327" s="40"/>
      <c r="Z327" s="24"/>
      <c r="AA327" s="24"/>
      <c r="AB327" s="24"/>
      <c r="AC327" s="24"/>
      <c r="AD327" s="24"/>
      <c r="AE327" s="24"/>
      <c r="AF327" s="24"/>
      <c r="AG327" s="24"/>
      <c r="AH327" s="24"/>
      <c r="AI327" s="24"/>
      <c r="AJ327" s="24"/>
      <c r="AK327" s="24"/>
      <c r="AL327" s="24"/>
      <c r="AM327" s="24"/>
    </row>
    <row r="328" spans="1:39" ht="56.25" customHeight="1" x14ac:dyDescent="0.3">
      <c r="A328" s="58"/>
      <c r="B328" s="34"/>
      <c r="C328" s="35"/>
      <c r="D328" s="36"/>
      <c r="E328" s="36"/>
      <c r="F328" s="36"/>
      <c r="G328" s="36"/>
      <c r="H328" s="36"/>
      <c r="I328" s="61"/>
      <c r="J328" s="36"/>
      <c r="K328" s="36"/>
      <c r="L328" s="36"/>
      <c r="M328" s="36"/>
      <c r="N328" s="36"/>
      <c r="O328" s="44"/>
      <c r="P328" s="44"/>
      <c r="Q328" s="36"/>
      <c r="R328" s="36"/>
      <c r="S328" s="36"/>
      <c r="T328" s="36"/>
      <c r="U328" s="36"/>
      <c r="V328" s="36"/>
      <c r="W328" s="36"/>
      <c r="X328" s="39"/>
      <c r="Y328" s="40"/>
      <c r="Z328" s="24"/>
      <c r="AA328" s="24"/>
      <c r="AB328" s="24"/>
      <c r="AC328" s="24"/>
      <c r="AD328" s="24"/>
      <c r="AE328" s="24"/>
      <c r="AF328" s="24"/>
      <c r="AG328" s="24"/>
      <c r="AH328" s="24"/>
      <c r="AI328" s="24"/>
      <c r="AJ328" s="24"/>
      <c r="AK328" s="24"/>
      <c r="AL328" s="24"/>
      <c r="AM328" s="24"/>
    </row>
    <row r="329" spans="1:39" ht="56.25" customHeight="1" x14ac:dyDescent="0.3">
      <c r="A329" s="62"/>
      <c r="B329" s="63"/>
      <c r="C329" s="64"/>
      <c r="D329" s="41"/>
      <c r="E329" s="41"/>
      <c r="F329" s="41"/>
      <c r="G329" s="41"/>
      <c r="H329" s="41"/>
      <c r="I329" s="65"/>
      <c r="J329" s="41"/>
      <c r="K329" s="41"/>
      <c r="L329" s="41"/>
      <c r="M329" s="41"/>
      <c r="N329" s="41"/>
      <c r="O329" s="66"/>
      <c r="P329" s="66"/>
      <c r="Q329" s="41"/>
      <c r="R329" s="41"/>
      <c r="S329" s="41"/>
      <c r="T329" s="41"/>
      <c r="U329" s="41"/>
      <c r="V329" s="41"/>
      <c r="W329" s="41"/>
      <c r="X329" s="67"/>
      <c r="Y329" s="68"/>
      <c r="Z329" s="24"/>
      <c r="AA329" s="24"/>
      <c r="AB329" s="24"/>
      <c r="AC329" s="24"/>
      <c r="AD329" s="24"/>
      <c r="AE329" s="24"/>
      <c r="AF329" s="24"/>
      <c r="AG329" s="24"/>
      <c r="AH329" s="24"/>
      <c r="AI329" s="24"/>
      <c r="AJ329" s="24"/>
      <c r="AK329" s="24"/>
      <c r="AL329" s="24"/>
      <c r="AM329" s="24"/>
    </row>
    <row r="330" spans="1:39" ht="56.25" customHeight="1" x14ac:dyDescent="0.3">
      <c r="A330" s="62"/>
      <c r="B330" s="63"/>
      <c r="C330" s="64"/>
      <c r="D330" s="41"/>
      <c r="E330" s="41"/>
      <c r="F330" s="41"/>
      <c r="G330" s="41"/>
      <c r="H330" s="41"/>
      <c r="I330" s="65"/>
      <c r="J330" s="41"/>
      <c r="K330" s="41"/>
      <c r="L330" s="41"/>
      <c r="M330" s="41"/>
      <c r="N330" s="41"/>
      <c r="O330" s="66"/>
      <c r="P330" s="66"/>
      <c r="Q330" s="41"/>
      <c r="R330" s="41"/>
      <c r="S330" s="41"/>
      <c r="T330" s="41"/>
      <c r="U330" s="41"/>
      <c r="V330" s="41"/>
      <c r="W330" s="41"/>
      <c r="X330" s="67"/>
      <c r="Y330" s="68"/>
      <c r="Z330" s="24"/>
      <c r="AA330" s="24"/>
      <c r="AB330" s="24"/>
      <c r="AC330" s="24"/>
      <c r="AD330" s="24"/>
      <c r="AE330" s="24"/>
      <c r="AF330" s="24"/>
      <c r="AG330" s="24"/>
      <c r="AH330" s="24"/>
      <c r="AI330" s="24"/>
      <c r="AJ330" s="24"/>
      <c r="AK330" s="24"/>
      <c r="AL330" s="24"/>
      <c r="AM330" s="24"/>
    </row>
    <row r="331" spans="1:39" ht="56.25" customHeight="1" x14ac:dyDescent="0.3">
      <c r="A331" s="62"/>
      <c r="B331" s="63"/>
      <c r="C331" s="64"/>
      <c r="D331" s="41"/>
      <c r="E331" s="41"/>
      <c r="F331" s="41"/>
      <c r="G331" s="41"/>
      <c r="H331" s="41"/>
      <c r="I331" s="65"/>
      <c r="J331" s="41"/>
      <c r="K331" s="41"/>
      <c r="L331" s="41"/>
      <c r="M331" s="41"/>
      <c r="N331" s="41"/>
      <c r="O331" s="66"/>
      <c r="P331" s="66"/>
      <c r="Q331" s="41"/>
      <c r="R331" s="41"/>
      <c r="S331" s="41"/>
      <c r="T331" s="41"/>
      <c r="U331" s="41"/>
      <c r="V331" s="41"/>
      <c r="W331" s="41"/>
      <c r="X331" s="67"/>
      <c r="Y331" s="68"/>
      <c r="Z331" s="24"/>
      <c r="AA331" s="24"/>
      <c r="AB331" s="24"/>
      <c r="AC331" s="24"/>
      <c r="AD331" s="24"/>
      <c r="AE331" s="24"/>
      <c r="AF331" s="24"/>
      <c r="AG331" s="24"/>
      <c r="AH331" s="24"/>
      <c r="AI331" s="24"/>
      <c r="AJ331" s="24"/>
      <c r="AK331" s="24"/>
      <c r="AL331" s="24"/>
      <c r="AM331" s="24"/>
    </row>
    <row r="332" spans="1:39" ht="56.25" customHeight="1" x14ac:dyDescent="0.3">
      <c r="A332" s="62"/>
      <c r="B332" s="63"/>
      <c r="C332" s="64"/>
      <c r="D332" s="41"/>
      <c r="E332" s="41"/>
      <c r="F332" s="41"/>
      <c r="G332" s="41"/>
      <c r="H332" s="41"/>
      <c r="I332" s="65"/>
      <c r="J332" s="41"/>
      <c r="K332" s="41"/>
      <c r="L332" s="41"/>
      <c r="M332" s="41"/>
      <c r="N332" s="41"/>
      <c r="O332" s="66"/>
      <c r="P332" s="66"/>
      <c r="Q332" s="41"/>
      <c r="R332" s="41"/>
      <c r="S332" s="41"/>
      <c r="T332" s="41"/>
      <c r="U332" s="41"/>
      <c r="V332" s="41"/>
      <c r="W332" s="41"/>
      <c r="X332" s="67"/>
      <c r="Y332" s="68"/>
      <c r="Z332" s="24"/>
      <c r="AA332" s="24"/>
      <c r="AB332" s="24"/>
      <c r="AC332" s="24"/>
      <c r="AD332" s="24"/>
      <c r="AE332" s="24"/>
      <c r="AF332" s="24"/>
      <c r="AG332" s="24"/>
      <c r="AH332" s="24"/>
      <c r="AI332" s="24"/>
      <c r="AJ332" s="24"/>
      <c r="AK332" s="24"/>
      <c r="AL332" s="24"/>
      <c r="AM332" s="24"/>
    </row>
    <row r="333" spans="1:39" ht="56.25" customHeight="1" x14ac:dyDescent="0.3">
      <c r="A333" s="62"/>
      <c r="B333" s="63"/>
      <c r="C333" s="64"/>
      <c r="D333" s="41"/>
      <c r="E333" s="41"/>
      <c r="F333" s="41"/>
      <c r="G333" s="41"/>
      <c r="H333" s="41"/>
      <c r="I333" s="65"/>
      <c r="J333" s="41"/>
      <c r="K333" s="41"/>
      <c r="L333" s="41"/>
      <c r="M333" s="41"/>
      <c r="N333" s="41"/>
      <c r="O333" s="66"/>
      <c r="P333" s="66"/>
      <c r="Q333" s="41"/>
      <c r="R333" s="41"/>
      <c r="S333" s="41"/>
      <c r="T333" s="41"/>
      <c r="U333" s="41"/>
      <c r="V333" s="41"/>
      <c r="W333" s="41"/>
      <c r="X333" s="67"/>
      <c r="Y333" s="68"/>
      <c r="Z333" s="24"/>
      <c r="AA333" s="24"/>
      <c r="AB333" s="24"/>
      <c r="AC333" s="24"/>
      <c r="AD333" s="24"/>
      <c r="AE333" s="24"/>
      <c r="AF333" s="24"/>
      <c r="AG333" s="24"/>
      <c r="AH333" s="24"/>
      <c r="AI333" s="24"/>
      <c r="AJ333" s="24"/>
      <c r="AK333" s="24"/>
      <c r="AL333" s="24"/>
      <c r="AM333" s="24"/>
    </row>
    <row r="334" spans="1:39" ht="56.25" customHeight="1" x14ac:dyDescent="0.3">
      <c r="A334" s="62"/>
      <c r="B334" s="63"/>
      <c r="C334" s="64"/>
      <c r="D334" s="41"/>
      <c r="E334" s="41"/>
      <c r="F334" s="41"/>
      <c r="G334" s="41"/>
      <c r="H334" s="41"/>
      <c r="I334" s="65"/>
      <c r="J334" s="41"/>
      <c r="K334" s="41"/>
      <c r="L334" s="41"/>
      <c r="M334" s="41"/>
      <c r="N334" s="41"/>
      <c r="O334" s="66"/>
      <c r="P334" s="66"/>
      <c r="Q334" s="41"/>
      <c r="R334" s="41"/>
      <c r="S334" s="41"/>
      <c r="T334" s="41"/>
      <c r="U334" s="41"/>
      <c r="V334" s="41"/>
      <c r="W334" s="41"/>
      <c r="X334" s="67"/>
      <c r="Y334" s="68"/>
      <c r="Z334" s="24"/>
      <c r="AA334" s="24"/>
      <c r="AB334" s="24"/>
      <c r="AC334" s="24"/>
      <c r="AD334" s="24"/>
      <c r="AE334" s="24"/>
      <c r="AF334" s="24"/>
      <c r="AG334" s="24"/>
      <c r="AH334" s="24"/>
      <c r="AI334" s="24"/>
      <c r="AJ334" s="24"/>
      <c r="AK334" s="24"/>
      <c r="AL334" s="24"/>
      <c r="AM334" s="24"/>
    </row>
    <row r="335" spans="1:39" ht="56.25" customHeight="1" x14ac:dyDescent="0.3">
      <c r="A335" s="62"/>
      <c r="B335" s="63"/>
      <c r="C335" s="64"/>
      <c r="D335" s="41"/>
      <c r="E335" s="41"/>
      <c r="F335" s="41"/>
      <c r="G335" s="41"/>
      <c r="H335" s="41"/>
      <c r="I335" s="65"/>
      <c r="J335" s="41"/>
      <c r="K335" s="41"/>
      <c r="L335" s="41"/>
      <c r="M335" s="41"/>
      <c r="N335" s="41"/>
      <c r="O335" s="66"/>
      <c r="P335" s="66"/>
      <c r="Q335" s="41"/>
      <c r="R335" s="41"/>
      <c r="S335" s="41"/>
      <c r="T335" s="41"/>
      <c r="U335" s="41"/>
      <c r="V335" s="41"/>
      <c r="W335" s="41"/>
      <c r="X335" s="67"/>
      <c r="Y335" s="68"/>
      <c r="Z335" s="24"/>
      <c r="AA335" s="24"/>
      <c r="AB335" s="24"/>
      <c r="AC335" s="24"/>
      <c r="AD335" s="24"/>
      <c r="AE335" s="24"/>
      <c r="AF335" s="24"/>
      <c r="AG335" s="24"/>
      <c r="AH335" s="24"/>
      <c r="AI335" s="24"/>
      <c r="AJ335" s="24"/>
      <c r="AK335" s="24"/>
      <c r="AL335" s="24"/>
      <c r="AM335" s="24"/>
    </row>
    <row r="336" spans="1:39" ht="56.25" customHeight="1" x14ac:dyDescent="0.3">
      <c r="A336" s="62"/>
      <c r="B336" s="63"/>
      <c r="C336" s="64"/>
      <c r="D336" s="41"/>
      <c r="E336" s="41"/>
      <c r="F336" s="41"/>
      <c r="G336" s="41"/>
      <c r="H336" s="41"/>
      <c r="I336" s="65"/>
      <c r="J336" s="41"/>
      <c r="K336" s="41"/>
      <c r="L336" s="41"/>
      <c r="M336" s="41"/>
      <c r="N336" s="41"/>
      <c r="O336" s="66"/>
      <c r="P336" s="66"/>
      <c r="Q336" s="41"/>
      <c r="R336" s="41"/>
      <c r="S336" s="41"/>
      <c r="T336" s="41"/>
      <c r="U336" s="41"/>
      <c r="V336" s="41"/>
      <c r="W336" s="41"/>
      <c r="X336" s="67"/>
      <c r="Y336" s="68"/>
      <c r="Z336" s="24"/>
      <c r="AA336" s="24"/>
      <c r="AB336" s="24"/>
      <c r="AC336" s="24"/>
      <c r="AD336" s="24"/>
      <c r="AE336" s="24"/>
      <c r="AF336" s="24"/>
      <c r="AG336" s="24"/>
      <c r="AH336" s="24"/>
      <c r="AI336" s="24"/>
      <c r="AJ336" s="24"/>
      <c r="AK336" s="24"/>
      <c r="AL336" s="24"/>
      <c r="AM336" s="24"/>
    </row>
    <row r="337" spans="1:39" ht="56.25" customHeight="1" x14ac:dyDescent="0.3">
      <c r="A337" s="62"/>
      <c r="B337" s="63"/>
      <c r="C337" s="64"/>
      <c r="D337" s="41"/>
      <c r="E337" s="41"/>
      <c r="F337" s="41"/>
      <c r="G337" s="41"/>
      <c r="H337" s="41"/>
      <c r="I337" s="65"/>
      <c r="J337" s="41"/>
      <c r="K337" s="41"/>
      <c r="L337" s="41"/>
      <c r="M337" s="41"/>
      <c r="N337" s="41"/>
      <c r="O337" s="66"/>
      <c r="P337" s="66"/>
      <c r="Q337" s="41"/>
      <c r="R337" s="41"/>
      <c r="S337" s="41"/>
      <c r="T337" s="41"/>
      <c r="U337" s="41"/>
      <c r="V337" s="41"/>
      <c r="W337" s="41"/>
      <c r="X337" s="67"/>
      <c r="Y337" s="68"/>
      <c r="Z337" s="24"/>
      <c r="AA337" s="24"/>
      <c r="AB337" s="24"/>
      <c r="AC337" s="24"/>
      <c r="AD337" s="24"/>
      <c r="AE337" s="24"/>
      <c r="AF337" s="24"/>
      <c r="AG337" s="24"/>
      <c r="AH337" s="24"/>
      <c r="AI337" s="24"/>
      <c r="AJ337" s="24"/>
      <c r="AK337" s="24"/>
      <c r="AL337" s="24"/>
      <c r="AM337" s="24"/>
    </row>
    <row r="338" spans="1:39" ht="56.25" customHeight="1" x14ac:dyDescent="0.3">
      <c r="A338" s="62"/>
      <c r="B338" s="63"/>
      <c r="C338" s="64"/>
      <c r="D338" s="41"/>
      <c r="E338" s="41"/>
      <c r="F338" s="41"/>
      <c r="G338" s="41"/>
      <c r="H338" s="41"/>
      <c r="I338" s="65"/>
      <c r="J338" s="41"/>
      <c r="K338" s="41"/>
      <c r="L338" s="41"/>
      <c r="M338" s="41"/>
      <c r="N338" s="41"/>
      <c r="O338" s="66"/>
      <c r="P338" s="66"/>
      <c r="Q338" s="41"/>
      <c r="R338" s="66"/>
      <c r="S338" s="41"/>
      <c r="T338" s="41"/>
      <c r="U338" s="41"/>
      <c r="V338" s="41"/>
      <c r="W338" s="41"/>
      <c r="X338" s="67"/>
      <c r="Y338" s="68"/>
      <c r="Z338" s="24"/>
      <c r="AA338" s="24"/>
      <c r="AB338" s="24"/>
      <c r="AC338" s="24"/>
      <c r="AD338" s="24"/>
      <c r="AE338" s="24"/>
      <c r="AF338" s="24"/>
      <c r="AG338" s="24"/>
      <c r="AH338" s="24"/>
      <c r="AI338" s="24"/>
      <c r="AJ338" s="24"/>
      <c r="AK338" s="24"/>
      <c r="AL338" s="24"/>
      <c r="AM338" s="24"/>
    </row>
    <row r="339" spans="1:39" ht="56.25" customHeight="1" x14ac:dyDescent="0.3">
      <c r="A339" s="62"/>
      <c r="B339" s="63"/>
      <c r="C339" s="64"/>
      <c r="D339" s="41"/>
      <c r="E339" s="41"/>
      <c r="F339" s="41"/>
      <c r="G339" s="41"/>
      <c r="H339" s="41"/>
      <c r="I339" s="65"/>
      <c r="J339" s="41"/>
      <c r="K339" s="41"/>
      <c r="L339" s="41"/>
      <c r="M339" s="41"/>
      <c r="N339" s="41"/>
      <c r="O339" s="66"/>
      <c r="P339" s="66"/>
      <c r="Q339" s="41"/>
      <c r="R339" s="41"/>
      <c r="S339" s="41"/>
      <c r="T339" s="41"/>
      <c r="U339" s="41"/>
      <c r="V339" s="41"/>
      <c r="W339" s="41"/>
      <c r="X339" s="67"/>
      <c r="Y339" s="24"/>
      <c r="Z339" s="24"/>
      <c r="AA339" s="24"/>
      <c r="AB339" s="24"/>
      <c r="AC339" s="24"/>
      <c r="AD339" s="24"/>
      <c r="AE339" s="24"/>
      <c r="AF339" s="24"/>
      <c r="AG339" s="24"/>
      <c r="AH339" s="24"/>
      <c r="AI339" s="24"/>
      <c r="AJ339" s="24"/>
      <c r="AK339" s="24"/>
      <c r="AL339" s="24"/>
      <c r="AM339" s="24"/>
    </row>
    <row r="340" spans="1:39" ht="56.25" customHeight="1" x14ac:dyDescent="0.3">
      <c r="A340" s="62"/>
      <c r="B340" s="63"/>
      <c r="C340" s="64"/>
      <c r="D340" s="41"/>
      <c r="E340" s="41"/>
      <c r="F340" s="41"/>
      <c r="G340" s="41"/>
      <c r="H340" s="41"/>
      <c r="I340" s="65"/>
      <c r="J340" s="41"/>
      <c r="K340" s="41"/>
      <c r="L340" s="41"/>
      <c r="M340" s="41"/>
      <c r="N340" s="41"/>
      <c r="O340" s="66"/>
      <c r="P340" s="66"/>
      <c r="Q340" s="41"/>
      <c r="R340" s="41"/>
      <c r="S340" s="41"/>
      <c r="T340" s="41"/>
      <c r="U340" s="41"/>
      <c r="V340" s="41"/>
      <c r="W340" s="41"/>
      <c r="X340" s="67"/>
      <c r="Y340" s="24"/>
      <c r="Z340" s="24"/>
      <c r="AA340" s="24"/>
      <c r="AB340" s="24"/>
      <c r="AC340" s="24"/>
      <c r="AD340" s="24"/>
      <c r="AE340" s="24"/>
      <c r="AF340" s="24"/>
      <c r="AG340" s="24"/>
      <c r="AH340" s="24"/>
      <c r="AI340" s="24"/>
      <c r="AJ340" s="24"/>
      <c r="AK340" s="24"/>
      <c r="AL340" s="24"/>
      <c r="AM340" s="24"/>
    </row>
    <row r="341" spans="1:39" ht="56.25" customHeight="1" x14ac:dyDescent="0.3">
      <c r="A341" s="62"/>
      <c r="B341" s="63"/>
      <c r="C341" s="64"/>
      <c r="D341" s="41"/>
      <c r="E341" s="41"/>
      <c r="F341" s="41"/>
      <c r="G341" s="41"/>
      <c r="H341" s="41"/>
      <c r="I341" s="65"/>
      <c r="J341" s="41"/>
      <c r="K341" s="41"/>
      <c r="L341" s="41"/>
      <c r="M341" s="41"/>
      <c r="N341" s="41"/>
      <c r="O341" s="66"/>
      <c r="P341" s="66"/>
      <c r="Q341" s="41"/>
      <c r="R341" s="41"/>
      <c r="S341" s="41"/>
      <c r="T341" s="41"/>
      <c r="U341" s="41"/>
      <c r="V341" s="41"/>
      <c r="W341" s="41"/>
      <c r="X341" s="67"/>
      <c r="Y341" s="24"/>
      <c r="Z341" s="24"/>
      <c r="AA341" s="24"/>
      <c r="AB341" s="24"/>
      <c r="AC341" s="24"/>
      <c r="AD341" s="24"/>
      <c r="AE341" s="24"/>
      <c r="AF341" s="24"/>
      <c r="AG341" s="24"/>
      <c r="AH341" s="24"/>
      <c r="AI341" s="24"/>
      <c r="AJ341" s="24"/>
      <c r="AK341" s="24"/>
      <c r="AL341" s="24"/>
      <c r="AM341" s="24"/>
    </row>
    <row r="342" spans="1:39" ht="56.25" customHeight="1" x14ac:dyDescent="0.3">
      <c r="A342" s="62"/>
      <c r="B342" s="63"/>
      <c r="C342" s="64"/>
      <c r="D342" s="41"/>
      <c r="E342" s="41"/>
      <c r="F342" s="41"/>
      <c r="G342" s="41"/>
      <c r="H342" s="41"/>
      <c r="I342" s="65"/>
      <c r="J342" s="41"/>
      <c r="K342" s="41"/>
      <c r="L342" s="41"/>
      <c r="M342" s="41"/>
      <c r="N342" s="41"/>
      <c r="O342" s="66"/>
      <c r="P342" s="66"/>
      <c r="Q342" s="41"/>
      <c r="R342" s="41"/>
      <c r="S342" s="41"/>
      <c r="T342" s="41"/>
      <c r="U342" s="41"/>
      <c r="V342" s="41"/>
      <c r="W342" s="67"/>
      <c r="X342" s="67"/>
      <c r="Y342" s="24"/>
      <c r="Z342" s="24"/>
      <c r="AA342" s="24"/>
      <c r="AB342" s="24"/>
      <c r="AC342" s="24"/>
      <c r="AD342" s="24"/>
      <c r="AE342" s="24"/>
      <c r="AF342" s="24"/>
      <c r="AG342" s="24"/>
      <c r="AH342" s="24"/>
      <c r="AI342" s="24"/>
      <c r="AJ342" s="24"/>
      <c r="AK342" s="24"/>
      <c r="AL342" s="24"/>
      <c r="AM342" s="24"/>
    </row>
    <row r="343" spans="1:39" ht="56.25" customHeight="1" x14ac:dyDescent="0.3">
      <c r="A343" s="62"/>
      <c r="B343" s="63"/>
      <c r="C343" s="64"/>
      <c r="D343" s="41"/>
      <c r="E343" s="41"/>
      <c r="F343" s="41"/>
      <c r="G343" s="41"/>
      <c r="H343" s="41"/>
      <c r="I343" s="65"/>
      <c r="J343" s="41"/>
      <c r="K343" s="41"/>
      <c r="L343" s="41"/>
      <c r="M343" s="41"/>
      <c r="N343" s="41"/>
      <c r="O343" s="66"/>
      <c r="P343" s="66"/>
      <c r="Q343" s="41"/>
      <c r="R343" s="41"/>
      <c r="S343" s="41"/>
      <c r="T343" s="41"/>
      <c r="U343" s="41"/>
      <c r="V343" s="41"/>
      <c r="W343" s="41"/>
      <c r="X343" s="67"/>
      <c r="Y343" s="24"/>
      <c r="Z343" s="24"/>
      <c r="AA343" s="24"/>
      <c r="AB343" s="24"/>
      <c r="AC343" s="24"/>
      <c r="AD343" s="24"/>
      <c r="AE343" s="24"/>
      <c r="AF343" s="24"/>
      <c r="AG343" s="24"/>
      <c r="AH343" s="24"/>
      <c r="AI343" s="24"/>
      <c r="AJ343" s="24"/>
      <c r="AK343" s="24"/>
      <c r="AL343" s="24"/>
      <c r="AM343" s="24"/>
    </row>
    <row r="344" spans="1:39" ht="56.25" customHeight="1" x14ac:dyDescent="0.3">
      <c r="A344" s="62"/>
      <c r="B344" s="63"/>
      <c r="C344" s="64"/>
      <c r="D344" s="41"/>
      <c r="E344" s="41"/>
      <c r="F344" s="41"/>
      <c r="G344" s="41"/>
      <c r="H344" s="41"/>
      <c r="I344" s="65"/>
      <c r="J344" s="41"/>
      <c r="K344" s="41"/>
      <c r="L344" s="41"/>
      <c r="M344" s="41"/>
      <c r="N344" s="41"/>
      <c r="O344" s="66"/>
      <c r="P344" s="66"/>
      <c r="Q344" s="41"/>
      <c r="R344" s="41"/>
      <c r="S344" s="41"/>
      <c r="T344" s="41"/>
      <c r="U344" s="41"/>
      <c r="V344" s="41"/>
      <c r="W344" s="41"/>
      <c r="X344" s="67"/>
      <c r="Y344" s="24"/>
      <c r="Z344" s="24"/>
      <c r="AA344" s="24"/>
      <c r="AB344" s="24"/>
      <c r="AC344" s="24"/>
      <c r="AD344" s="24"/>
      <c r="AE344" s="24"/>
      <c r="AF344" s="24"/>
      <c r="AG344" s="24"/>
      <c r="AH344" s="24"/>
      <c r="AI344" s="24"/>
      <c r="AJ344" s="24"/>
      <c r="AK344" s="24"/>
      <c r="AL344" s="24"/>
      <c r="AM344" s="24"/>
    </row>
    <row r="345" spans="1:39" ht="56.25" customHeight="1" x14ac:dyDescent="0.3">
      <c r="A345" s="62"/>
      <c r="B345" s="63"/>
      <c r="C345" s="64"/>
      <c r="D345" s="41"/>
      <c r="E345" s="41"/>
      <c r="F345" s="41"/>
      <c r="G345" s="41"/>
      <c r="H345" s="41"/>
      <c r="I345" s="65"/>
      <c r="J345" s="41"/>
      <c r="K345" s="41"/>
      <c r="L345" s="41"/>
      <c r="M345" s="41"/>
      <c r="N345" s="41"/>
      <c r="O345" s="66"/>
      <c r="P345" s="66"/>
      <c r="Q345" s="41"/>
      <c r="R345" s="41"/>
      <c r="S345" s="41"/>
      <c r="T345" s="41"/>
      <c r="U345" s="41"/>
      <c r="V345" s="41"/>
      <c r="W345" s="41"/>
      <c r="X345" s="67"/>
      <c r="Y345" s="24"/>
      <c r="Z345" s="24"/>
      <c r="AA345" s="24"/>
      <c r="AB345" s="24"/>
      <c r="AC345" s="24"/>
      <c r="AD345" s="24"/>
      <c r="AE345" s="24"/>
      <c r="AF345" s="24"/>
      <c r="AG345" s="24"/>
      <c r="AH345" s="24"/>
      <c r="AI345" s="24"/>
      <c r="AJ345" s="24"/>
      <c r="AK345" s="24"/>
      <c r="AL345" s="24"/>
      <c r="AM345" s="24"/>
    </row>
    <row r="346" spans="1:39" ht="56.25" customHeight="1" x14ac:dyDescent="0.3">
      <c r="A346" s="62"/>
      <c r="B346" s="63"/>
      <c r="C346" s="64"/>
      <c r="D346" s="41"/>
      <c r="E346" s="41"/>
      <c r="F346" s="41"/>
      <c r="G346" s="41"/>
      <c r="H346" s="41"/>
      <c r="I346" s="65"/>
      <c r="J346" s="41"/>
      <c r="K346" s="41"/>
      <c r="L346" s="41"/>
      <c r="M346" s="41"/>
      <c r="N346" s="41"/>
      <c r="O346" s="66"/>
      <c r="P346" s="66"/>
      <c r="Q346" s="41"/>
      <c r="R346" s="41"/>
      <c r="S346" s="41"/>
      <c r="T346" s="41"/>
      <c r="U346" s="41"/>
      <c r="V346" s="41"/>
      <c r="W346" s="41"/>
      <c r="X346" s="67"/>
      <c r="Y346" s="24"/>
      <c r="Z346" s="24"/>
      <c r="AA346" s="24"/>
      <c r="AB346" s="24"/>
      <c r="AC346" s="24"/>
      <c r="AD346" s="24"/>
      <c r="AE346" s="24"/>
      <c r="AF346" s="24"/>
      <c r="AG346" s="24"/>
      <c r="AH346" s="24"/>
      <c r="AI346" s="24"/>
      <c r="AJ346" s="24"/>
      <c r="AK346" s="24"/>
      <c r="AL346" s="24"/>
      <c r="AM346" s="24"/>
    </row>
    <row r="347" spans="1:39" ht="56.25" customHeight="1" x14ac:dyDescent="0.3">
      <c r="A347" s="62"/>
      <c r="B347" s="63"/>
      <c r="C347" s="64"/>
      <c r="D347" s="41"/>
      <c r="E347" s="41"/>
      <c r="F347" s="41"/>
      <c r="G347" s="41"/>
      <c r="H347" s="41"/>
      <c r="I347" s="65"/>
      <c r="J347" s="41"/>
      <c r="K347" s="41"/>
      <c r="L347" s="41"/>
      <c r="M347" s="41"/>
      <c r="N347" s="41"/>
      <c r="O347" s="66"/>
      <c r="P347" s="66"/>
      <c r="Q347" s="41"/>
      <c r="R347" s="69"/>
      <c r="S347" s="41"/>
      <c r="T347" s="41"/>
      <c r="U347" s="41"/>
      <c r="V347" s="41"/>
      <c r="W347" s="41"/>
      <c r="X347" s="67"/>
      <c r="Y347" s="24"/>
      <c r="Z347" s="24"/>
      <c r="AA347" s="24"/>
      <c r="AB347" s="24"/>
      <c r="AC347" s="24"/>
      <c r="AD347" s="24"/>
      <c r="AE347" s="24"/>
      <c r="AF347" s="24"/>
      <c r="AG347" s="24"/>
      <c r="AH347" s="24"/>
      <c r="AI347" s="24"/>
      <c r="AJ347" s="24"/>
      <c r="AK347" s="24"/>
      <c r="AL347" s="24"/>
      <c r="AM347" s="24"/>
    </row>
    <row r="348" spans="1:39" ht="56.25" customHeight="1" x14ac:dyDescent="0.3">
      <c r="A348" s="62"/>
      <c r="B348" s="63"/>
      <c r="C348" s="64"/>
      <c r="D348" s="41"/>
      <c r="E348" s="41"/>
      <c r="F348" s="41"/>
      <c r="G348" s="41"/>
      <c r="H348" s="41"/>
      <c r="I348" s="65"/>
      <c r="J348" s="41"/>
      <c r="K348" s="41"/>
      <c r="L348" s="41"/>
      <c r="M348" s="41"/>
      <c r="N348" s="41"/>
      <c r="O348" s="66"/>
      <c r="P348" s="66"/>
      <c r="Q348" s="41"/>
      <c r="R348" s="41"/>
      <c r="S348" s="41"/>
      <c r="T348" s="41"/>
      <c r="U348" s="41"/>
      <c r="V348" s="41"/>
      <c r="W348" s="67"/>
      <c r="X348" s="67"/>
      <c r="Y348" s="24"/>
      <c r="Z348" s="24"/>
      <c r="AA348" s="24"/>
      <c r="AB348" s="24"/>
      <c r="AC348" s="24"/>
      <c r="AD348" s="24"/>
      <c r="AE348" s="24"/>
      <c r="AF348" s="24"/>
      <c r="AG348" s="24"/>
      <c r="AH348" s="24"/>
      <c r="AI348" s="24"/>
      <c r="AJ348" s="24"/>
      <c r="AK348" s="24"/>
      <c r="AL348" s="24"/>
      <c r="AM348" s="24"/>
    </row>
    <row r="349" spans="1:39" ht="56.25" customHeight="1" x14ac:dyDescent="0.3">
      <c r="A349" s="62"/>
      <c r="B349" s="63"/>
      <c r="C349" s="64"/>
      <c r="D349" s="41"/>
      <c r="E349" s="41"/>
      <c r="F349" s="41"/>
      <c r="G349" s="41"/>
      <c r="H349" s="41"/>
      <c r="I349" s="65"/>
      <c r="J349" s="41"/>
      <c r="K349" s="41"/>
      <c r="L349" s="41"/>
      <c r="M349" s="41"/>
      <c r="N349" s="41"/>
      <c r="O349" s="66"/>
      <c r="P349" s="66"/>
      <c r="Q349" s="41"/>
      <c r="R349" s="41"/>
      <c r="S349" s="41"/>
      <c r="T349" s="41"/>
      <c r="U349" s="41"/>
      <c r="V349" s="41"/>
      <c r="W349" s="41"/>
      <c r="X349" s="67"/>
      <c r="Y349" s="24"/>
      <c r="Z349" s="24"/>
      <c r="AA349" s="24"/>
      <c r="AB349" s="24"/>
      <c r="AC349" s="24"/>
      <c r="AD349" s="24"/>
      <c r="AE349" s="24"/>
      <c r="AF349" s="24"/>
      <c r="AG349" s="24"/>
      <c r="AH349" s="24"/>
      <c r="AI349" s="24"/>
      <c r="AJ349" s="24"/>
      <c r="AK349" s="24"/>
      <c r="AL349" s="24"/>
      <c r="AM349" s="24"/>
    </row>
    <row r="350" spans="1:39" ht="56.25" customHeight="1" x14ac:dyDescent="0.3">
      <c r="A350" s="62"/>
      <c r="B350" s="63"/>
      <c r="C350" s="64"/>
      <c r="D350" s="41"/>
      <c r="E350" s="41"/>
      <c r="F350" s="41"/>
      <c r="G350" s="41"/>
      <c r="H350" s="41"/>
      <c r="I350" s="65"/>
      <c r="J350" s="41"/>
      <c r="K350" s="41"/>
      <c r="L350" s="41"/>
      <c r="M350" s="41"/>
      <c r="N350" s="41"/>
      <c r="O350" s="66"/>
      <c r="P350" s="66"/>
      <c r="Q350" s="41"/>
      <c r="R350" s="41"/>
      <c r="S350" s="41"/>
      <c r="T350" s="41"/>
      <c r="U350" s="41"/>
      <c r="V350" s="41"/>
      <c r="W350" s="41"/>
      <c r="X350" s="67"/>
      <c r="Y350" s="24"/>
      <c r="Z350" s="24"/>
      <c r="AA350" s="24"/>
      <c r="AB350" s="24"/>
      <c r="AC350" s="24"/>
      <c r="AD350" s="24"/>
      <c r="AE350" s="24"/>
      <c r="AF350" s="24"/>
      <c r="AG350" s="24"/>
      <c r="AH350" s="24"/>
      <c r="AI350" s="24"/>
      <c r="AJ350" s="24"/>
      <c r="AK350" s="24"/>
      <c r="AL350" s="24"/>
      <c r="AM350" s="24"/>
    </row>
    <row r="351" spans="1:39" ht="56.25" customHeight="1" x14ac:dyDescent="0.3">
      <c r="A351" s="62"/>
      <c r="B351" s="63"/>
      <c r="C351" s="64"/>
      <c r="D351" s="41"/>
      <c r="E351" s="41"/>
      <c r="F351" s="41"/>
      <c r="G351" s="41"/>
      <c r="H351" s="41"/>
      <c r="I351" s="65"/>
      <c r="J351" s="41"/>
      <c r="K351" s="41"/>
      <c r="L351" s="41"/>
      <c r="M351" s="41"/>
      <c r="N351" s="41"/>
      <c r="O351" s="66"/>
      <c r="P351" s="66"/>
      <c r="Q351" s="41"/>
      <c r="R351" s="41"/>
      <c r="S351" s="41"/>
      <c r="T351" s="41"/>
      <c r="U351" s="41"/>
      <c r="V351" s="41"/>
      <c r="W351" s="41"/>
      <c r="X351" s="67"/>
      <c r="Y351" s="24"/>
      <c r="Z351" s="24"/>
      <c r="AA351" s="24"/>
      <c r="AB351" s="24"/>
      <c r="AC351" s="24"/>
      <c r="AD351" s="24"/>
      <c r="AE351" s="24"/>
      <c r="AF351" s="24"/>
      <c r="AG351" s="24"/>
      <c r="AH351" s="24"/>
      <c r="AI351" s="24"/>
      <c r="AJ351" s="24"/>
      <c r="AK351" s="24"/>
      <c r="AL351" s="24"/>
      <c r="AM351" s="24"/>
    </row>
    <row r="352" spans="1:39" ht="56.25" customHeight="1" x14ac:dyDescent="0.3">
      <c r="A352" s="62"/>
      <c r="B352" s="63"/>
      <c r="C352" s="64"/>
      <c r="D352" s="41"/>
      <c r="E352" s="41"/>
      <c r="F352" s="41"/>
      <c r="G352" s="41"/>
      <c r="H352" s="41"/>
      <c r="I352" s="65"/>
      <c r="J352" s="41"/>
      <c r="K352" s="41"/>
      <c r="L352" s="41"/>
      <c r="M352" s="41"/>
      <c r="N352" s="41"/>
      <c r="O352" s="66"/>
      <c r="P352" s="66"/>
      <c r="Q352" s="41"/>
      <c r="R352" s="41"/>
      <c r="S352" s="41"/>
      <c r="T352" s="41"/>
      <c r="U352" s="41"/>
      <c r="V352" s="41"/>
      <c r="W352" s="41"/>
      <c r="X352" s="67"/>
      <c r="Y352" s="24"/>
      <c r="Z352" s="24"/>
      <c r="AA352" s="24"/>
      <c r="AB352" s="24"/>
      <c r="AC352" s="24"/>
      <c r="AD352" s="24"/>
      <c r="AE352" s="24"/>
      <c r="AF352" s="24"/>
      <c r="AG352" s="24"/>
      <c r="AH352" s="24"/>
      <c r="AI352" s="24"/>
      <c r="AJ352" s="24"/>
      <c r="AK352" s="24"/>
      <c r="AL352" s="24"/>
      <c r="AM352" s="24"/>
    </row>
    <row r="353" spans="1:39" ht="56.25" customHeight="1" x14ac:dyDescent="0.3">
      <c r="A353" s="62"/>
      <c r="B353" s="63"/>
      <c r="C353" s="64"/>
      <c r="D353" s="41"/>
      <c r="E353" s="41"/>
      <c r="F353" s="41"/>
      <c r="G353" s="41"/>
      <c r="H353" s="41"/>
      <c r="I353" s="65"/>
      <c r="J353" s="41"/>
      <c r="K353" s="41"/>
      <c r="L353" s="41"/>
      <c r="M353" s="41"/>
      <c r="N353" s="41"/>
      <c r="O353" s="66"/>
      <c r="P353" s="66"/>
      <c r="Q353" s="41"/>
      <c r="R353" s="41"/>
      <c r="S353" s="41"/>
      <c r="T353" s="41"/>
      <c r="U353" s="41"/>
      <c r="V353" s="41"/>
      <c r="W353" s="67"/>
      <c r="X353" s="67"/>
      <c r="Y353" s="68"/>
      <c r="Z353" s="24"/>
      <c r="AA353" s="24"/>
      <c r="AB353" s="24"/>
      <c r="AC353" s="24"/>
      <c r="AD353" s="24"/>
      <c r="AE353" s="24"/>
      <c r="AF353" s="24"/>
      <c r="AG353" s="24"/>
      <c r="AH353" s="24"/>
      <c r="AI353" s="24"/>
      <c r="AJ353" s="24"/>
      <c r="AK353" s="24"/>
      <c r="AL353" s="24"/>
      <c r="AM353" s="24"/>
    </row>
    <row r="354" spans="1:39" ht="56.25" customHeight="1" x14ac:dyDescent="0.3">
      <c r="A354" s="62"/>
      <c r="B354" s="63"/>
      <c r="C354" s="64"/>
      <c r="D354" s="41"/>
      <c r="E354" s="41"/>
      <c r="F354" s="41"/>
      <c r="G354" s="41"/>
      <c r="H354" s="41"/>
      <c r="I354" s="65"/>
      <c r="J354" s="41"/>
      <c r="K354" s="41"/>
      <c r="L354" s="41"/>
      <c r="M354" s="41"/>
      <c r="N354" s="41"/>
      <c r="O354" s="66"/>
      <c r="P354" s="66"/>
      <c r="Q354" s="41"/>
      <c r="R354" s="41"/>
      <c r="S354" s="41"/>
      <c r="T354" s="41"/>
      <c r="U354" s="41"/>
      <c r="V354" s="41"/>
      <c r="W354" s="41"/>
      <c r="X354" s="67"/>
      <c r="Y354" s="24"/>
      <c r="Z354" s="24"/>
      <c r="AA354" s="24"/>
      <c r="AB354" s="24"/>
      <c r="AC354" s="24"/>
      <c r="AD354" s="24"/>
      <c r="AE354" s="24"/>
      <c r="AF354" s="24"/>
      <c r="AG354" s="24"/>
      <c r="AH354" s="24"/>
      <c r="AI354" s="24"/>
      <c r="AJ354" s="24"/>
      <c r="AK354" s="24"/>
      <c r="AL354" s="24"/>
      <c r="AM354" s="24"/>
    </row>
    <row r="355" spans="1:39" ht="56.25" customHeight="1" x14ac:dyDescent="0.3">
      <c r="A355" s="62"/>
      <c r="B355" s="63"/>
      <c r="C355" s="64"/>
      <c r="D355" s="41"/>
      <c r="E355" s="41"/>
      <c r="F355" s="41"/>
      <c r="G355" s="41"/>
      <c r="H355" s="41"/>
      <c r="I355" s="65"/>
      <c r="J355" s="41"/>
      <c r="K355" s="41"/>
      <c r="L355" s="41"/>
      <c r="M355" s="41"/>
      <c r="N355" s="41"/>
      <c r="O355" s="66"/>
      <c r="P355" s="66"/>
      <c r="Q355" s="41"/>
      <c r="R355" s="41"/>
      <c r="S355" s="41"/>
      <c r="T355" s="41"/>
      <c r="U355" s="41"/>
      <c r="V355" s="41"/>
      <c r="W355" s="67"/>
      <c r="X355" s="67"/>
      <c r="Y355" s="24"/>
      <c r="Z355" s="24"/>
      <c r="AA355" s="24"/>
      <c r="AB355" s="24"/>
      <c r="AC355" s="24"/>
      <c r="AD355" s="24"/>
      <c r="AE355" s="24"/>
      <c r="AF355" s="24"/>
      <c r="AG355" s="24"/>
      <c r="AH355" s="24"/>
      <c r="AI355" s="24"/>
      <c r="AJ355" s="24"/>
      <c r="AK355" s="24"/>
      <c r="AL355" s="24"/>
      <c r="AM355" s="24"/>
    </row>
    <row r="356" spans="1:39" ht="56.25" customHeight="1" x14ac:dyDescent="0.3">
      <c r="A356" s="62"/>
      <c r="B356" s="63"/>
      <c r="C356" s="64"/>
      <c r="D356" s="41"/>
      <c r="E356" s="41"/>
      <c r="F356" s="41"/>
      <c r="G356" s="41"/>
      <c r="H356" s="41"/>
      <c r="I356" s="65"/>
      <c r="J356" s="41"/>
      <c r="K356" s="41"/>
      <c r="L356" s="41"/>
      <c r="M356" s="41"/>
      <c r="N356" s="41"/>
      <c r="O356" s="66"/>
      <c r="P356" s="66"/>
      <c r="Q356" s="41"/>
      <c r="R356" s="41"/>
      <c r="S356" s="41"/>
      <c r="T356" s="41"/>
      <c r="U356" s="41"/>
      <c r="V356" s="41"/>
      <c r="W356" s="41"/>
      <c r="X356" s="67"/>
      <c r="Y356" s="24"/>
      <c r="Z356" s="24"/>
      <c r="AA356" s="24"/>
      <c r="AB356" s="24"/>
      <c r="AC356" s="24"/>
      <c r="AD356" s="24"/>
      <c r="AE356" s="24"/>
      <c r="AF356" s="24"/>
      <c r="AG356" s="24"/>
      <c r="AH356" s="24"/>
      <c r="AI356" s="24"/>
      <c r="AJ356" s="24"/>
      <c r="AK356" s="24"/>
      <c r="AL356" s="24"/>
      <c r="AM356" s="24"/>
    </row>
    <row r="357" spans="1:39" ht="56.25" customHeight="1" x14ac:dyDescent="0.3">
      <c r="A357" s="62"/>
      <c r="B357" s="63"/>
      <c r="C357" s="64"/>
      <c r="D357" s="41"/>
      <c r="E357" s="41"/>
      <c r="F357" s="41"/>
      <c r="G357" s="41"/>
      <c r="H357" s="41"/>
      <c r="I357" s="65"/>
      <c r="J357" s="41"/>
      <c r="K357" s="41"/>
      <c r="L357" s="41"/>
      <c r="M357" s="41"/>
      <c r="N357" s="41"/>
      <c r="O357" s="66"/>
      <c r="P357" s="66"/>
      <c r="Q357" s="41"/>
      <c r="R357" s="41"/>
      <c r="S357" s="41"/>
      <c r="T357" s="41"/>
      <c r="U357" s="41"/>
      <c r="V357" s="41"/>
      <c r="W357" s="67"/>
      <c r="X357" s="67"/>
      <c r="Y357" s="24"/>
      <c r="Z357" s="24"/>
      <c r="AA357" s="24"/>
      <c r="AB357" s="24"/>
      <c r="AC357" s="24"/>
      <c r="AD357" s="24"/>
      <c r="AE357" s="24"/>
      <c r="AF357" s="24"/>
      <c r="AG357" s="24"/>
      <c r="AH357" s="24"/>
      <c r="AI357" s="24"/>
      <c r="AJ357" s="24"/>
      <c r="AK357" s="24"/>
      <c r="AL357" s="24"/>
      <c r="AM357" s="24"/>
    </row>
    <row r="358" spans="1:39" ht="56.25" customHeight="1" x14ac:dyDescent="0.3">
      <c r="A358" s="62"/>
      <c r="B358" s="63"/>
      <c r="C358" s="64"/>
      <c r="D358" s="41"/>
      <c r="E358" s="41"/>
      <c r="F358" s="41"/>
      <c r="G358" s="41"/>
      <c r="H358" s="41"/>
      <c r="I358" s="65"/>
      <c r="J358" s="41"/>
      <c r="K358" s="41"/>
      <c r="L358" s="41"/>
      <c r="M358" s="41"/>
      <c r="N358" s="41"/>
      <c r="O358" s="66"/>
      <c r="P358" s="66"/>
      <c r="Q358" s="41"/>
      <c r="R358" s="66"/>
      <c r="S358" s="41"/>
      <c r="T358" s="41"/>
      <c r="U358" s="41"/>
      <c r="V358" s="41"/>
      <c r="W358" s="67"/>
      <c r="X358" s="67"/>
      <c r="Y358" s="24"/>
      <c r="Z358" s="24"/>
      <c r="AA358" s="24"/>
      <c r="AB358" s="24"/>
      <c r="AC358" s="24"/>
      <c r="AD358" s="24"/>
      <c r="AE358" s="24"/>
      <c r="AF358" s="24"/>
      <c r="AG358" s="24"/>
      <c r="AH358" s="24"/>
      <c r="AI358" s="24"/>
      <c r="AJ358" s="24"/>
      <c r="AK358" s="24"/>
      <c r="AL358" s="24"/>
      <c r="AM358" s="24"/>
    </row>
    <row r="359" spans="1:39" ht="56.25" customHeight="1" x14ac:dyDescent="0.3">
      <c r="A359" s="62"/>
      <c r="B359" s="63"/>
      <c r="C359" s="64"/>
      <c r="D359" s="41"/>
      <c r="E359" s="41"/>
      <c r="F359" s="41"/>
      <c r="G359" s="41"/>
      <c r="H359" s="41"/>
      <c r="I359" s="65"/>
      <c r="J359" s="41"/>
      <c r="K359" s="41"/>
      <c r="L359" s="41"/>
      <c r="M359" s="41"/>
      <c r="N359" s="41"/>
      <c r="O359" s="66"/>
      <c r="P359" s="66"/>
      <c r="Q359" s="41"/>
      <c r="R359" s="41"/>
      <c r="S359" s="41"/>
      <c r="T359" s="41"/>
      <c r="U359" s="41"/>
      <c r="V359" s="41"/>
      <c r="W359" s="67"/>
      <c r="X359" s="67"/>
      <c r="Y359" s="24"/>
      <c r="Z359" s="24"/>
      <c r="AA359" s="24"/>
      <c r="AB359" s="24"/>
      <c r="AC359" s="24"/>
      <c r="AD359" s="24"/>
      <c r="AE359" s="24"/>
      <c r="AF359" s="24"/>
      <c r="AG359" s="24"/>
      <c r="AH359" s="24"/>
      <c r="AI359" s="24"/>
      <c r="AJ359" s="24"/>
      <c r="AK359" s="24"/>
      <c r="AL359" s="24"/>
      <c r="AM359" s="24"/>
    </row>
    <row r="360" spans="1:39" ht="56.25" customHeight="1" x14ac:dyDescent="0.3">
      <c r="A360" s="62"/>
      <c r="B360" s="63"/>
      <c r="C360" s="64"/>
      <c r="D360" s="41"/>
      <c r="E360" s="41"/>
      <c r="F360" s="41"/>
      <c r="G360" s="41"/>
      <c r="H360" s="41"/>
      <c r="I360" s="65"/>
      <c r="J360" s="41"/>
      <c r="K360" s="41"/>
      <c r="L360" s="41"/>
      <c r="M360" s="41"/>
      <c r="N360" s="41"/>
      <c r="O360" s="66"/>
      <c r="P360" s="66"/>
      <c r="Q360" s="41"/>
      <c r="R360" s="41"/>
      <c r="S360" s="41"/>
      <c r="T360" s="41"/>
      <c r="U360" s="41"/>
      <c r="V360" s="41"/>
      <c r="W360" s="67"/>
      <c r="X360" s="67"/>
      <c r="Y360" s="24"/>
      <c r="Z360" s="24"/>
      <c r="AA360" s="24"/>
      <c r="AB360" s="24"/>
      <c r="AC360" s="24"/>
      <c r="AD360" s="24"/>
      <c r="AE360" s="24"/>
      <c r="AF360" s="24"/>
      <c r="AG360" s="24"/>
      <c r="AH360" s="24"/>
      <c r="AI360" s="24"/>
      <c r="AJ360" s="24"/>
      <c r="AK360" s="24"/>
      <c r="AL360" s="24"/>
      <c r="AM360" s="24"/>
    </row>
    <row r="361" spans="1:39" ht="56.25" customHeight="1" x14ac:dyDescent="0.3">
      <c r="A361" s="62"/>
      <c r="B361" s="63"/>
      <c r="C361" s="64"/>
      <c r="D361" s="41"/>
      <c r="E361" s="41"/>
      <c r="F361" s="41"/>
      <c r="G361" s="41"/>
      <c r="H361" s="41"/>
      <c r="I361" s="65"/>
      <c r="J361" s="41"/>
      <c r="K361" s="41"/>
      <c r="L361" s="41"/>
      <c r="M361" s="41"/>
      <c r="N361" s="41"/>
      <c r="O361" s="66"/>
      <c r="P361" s="66"/>
      <c r="Q361" s="41"/>
      <c r="R361" s="41"/>
      <c r="S361" s="41"/>
      <c r="T361" s="41"/>
      <c r="U361" s="41"/>
      <c r="V361" s="41"/>
      <c r="W361" s="67"/>
      <c r="X361" s="67"/>
      <c r="Y361" s="24"/>
      <c r="Z361" s="24"/>
      <c r="AA361" s="24"/>
      <c r="AB361" s="24"/>
      <c r="AC361" s="24"/>
      <c r="AD361" s="24"/>
      <c r="AE361" s="24"/>
      <c r="AF361" s="24"/>
      <c r="AG361" s="24"/>
      <c r="AH361" s="24"/>
      <c r="AI361" s="24"/>
      <c r="AJ361" s="24"/>
      <c r="AK361" s="24"/>
      <c r="AL361" s="24"/>
      <c r="AM361" s="24"/>
    </row>
    <row r="362" spans="1:39" ht="56.25" customHeight="1" x14ac:dyDescent="0.3">
      <c r="A362" s="62"/>
      <c r="B362" s="63"/>
      <c r="C362" s="64"/>
      <c r="D362" s="41"/>
      <c r="E362" s="41"/>
      <c r="F362" s="41"/>
      <c r="G362" s="41"/>
      <c r="H362" s="41"/>
      <c r="I362" s="65"/>
      <c r="J362" s="41"/>
      <c r="K362" s="41"/>
      <c r="L362" s="41"/>
      <c r="M362" s="41"/>
      <c r="N362" s="41"/>
      <c r="O362" s="66"/>
      <c r="P362" s="66"/>
      <c r="Q362" s="41"/>
      <c r="R362" s="41"/>
      <c r="S362" s="41"/>
      <c r="T362" s="41"/>
      <c r="U362" s="41"/>
      <c r="V362" s="41"/>
      <c r="W362" s="67"/>
      <c r="X362" s="67"/>
      <c r="Y362" s="24"/>
      <c r="Z362" s="24"/>
      <c r="AA362" s="24"/>
      <c r="AB362" s="24"/>
      <c r="AC362" s="24"/>
      <c r="AD362" s="24"/>
      <c r="AE362" s="24"/>
      <c r="AF362" s="24"/>
      <c r="AG362" s="24"/>
      <c r="AH362" s="24"/>
      <c r="AI362" s="24"/>
      <c r="AJ362" s="24"/>
      <c r="AK362" s="24"/>
      <c r="AL362" s="24"/>
      <c r="AM362" s="24"/>
    </row>
    <row r="363" spans="1:39" ht="56.25" customHeight="1" x14ac:dyDescent="0.3">
      <c r="A363" s="62"/>
      <c r="B363" s="63"/>
      <c r="C363" s="64"/>
      <c r="D363" s="41"/>
      <c r="E363" s="41"/>
      <c r="F363" s="41"/>
      <c r="G363" s="41"/>
      <c r="H363" s="41"/>
      <c r="I363" s="65"/>
      <c r="J363" s="41"/>
      <c r="K363" s="41"/>
      <c r="L363" s="41"/>
      <c r="M363" s="41"/>
      <c r="N363" s="41"/>
      <c r="O363" s="66"/>
      <c r="P363" s="66"/>
      <c r="Q363" s="41"/>
      <c r="R363" s="41"/>
      <c r="S363" s="41"/>
      <c r="T363" s="41"/>
      <c r="U363" s="41"/>
      <c r="V363" s="41"/>
      <c r="W363" s="67"/>
      <c r="X363" s="67"/>
      <c r="Y363" s="24"/>
      <c r="Z363" s="24"/>
      <c r="AA363" s="24"/>
      <c r="AB363" s="24"/>
      <c r="AC363" s="24"/>
      <c r="AD363" s="24"/>
      <c r="AE363" s="24"/>
      <c r="AF363" s="24"/>
      <c r="AG363" s="24"/>
      <c r="AH363" s="24"/>
      <c r="AI363" s="24"/>
      <c r="AJ363" s="24"/>
      <c r="AK363" s="24"/>
      <c r="AL363" s="24"/>
      <c r="AM363" s="24"/>
    </row>
    <row r="364" spans="1:39" ht="56.25" customHeight="1" x14ac:dyDescent="0.3">
      <c r="A364" s="62"/>
      <c r="B364" s="63"/>
      <c r="C364" s="64"/>
      <c r="D364" s="41"/>
      <c r="E364" s="41"/>
      <c r="F364" s="41"/>
      <c r="G364" s="41"/>
      <c r="H364" s="41"/>
      <c r="I364" s="65"/>
      <c r="J364" s="41"/>
      <c r="K364" s="41"/>
      <c r="L364" s="41"/>
      <c r="M364" s="41"/>
      <c r="N364" s="41"/>
      <c r="O364" s="66"/>
      <c r="P364" s="66"/>
      <c r="Q364" s="41"/>
      <c r="R364" s="41"/>
      <c r="S364" s="41"/>
      <c r="T364" s="41"/>
      <c r="U364" s="41"/>
      <c r="V364" s="41"/>
      <c r="W364" s="67"/>
      <c r="X364" s="67"/>
      <c r="Y364" s="24"/>
      <c r="Z364" s="24"/>
      <c r="AA364" s="24"/>
      <c r="AB364" s="24"/>
      <c r="AC364" s="24"/>
      <c r="AD364" s="24"/>
      <c r="AE364" s="24"/>
      <c r="AF364" s="24"/>
      <c r="AG364" s="24"/>
      <c r="AH364" s="24"/>
      <c r="AI364" s="24"/>
      <c r="AJ364" s="24"/>
      <c r="AK364" s="24"/>
      <c r="AL364" s="24"/>
      <c r="AM364" s="24"/>
    </row>
    <row r="365" spans="1:39" ht="56.25" customHeight="1" x14ac:dyDescent="0.3">
      <c r="A365" s="62"/>
      <c r="B365" s="63"/>
      <c r="C365" s="64"/>
      <c r="D365" s="41"/>
      <c r="E365" s="41"/>
      <c r="F365" s="41"/>
      <c r="G365" s="41"/>
      <c r="H365" s="41"/>
      <c r="I365" s="65"/>
      <c r="J365" s="41"/>
      <c r="K365" s="41"/>
      <c r="L365" s="41"/>
      <c r="M365" s="41"/>
      <c r="N365" s="41"/>
      <c r="O365" s="66"/>
      <c r="P365" s="66"/>
      <c r="Q365" s="41"/>
      <c r="R365" s="41"/>
      <c r="S365" s="41"/>
      <c r="T365" s="41"/>
      <c r="U365" s="41"/>
      <c r="V365" s="41"/>
      <c r="W365" s="67"/>
      <c r="X365" s="67"/>
      <c r="Y365" s="24"/>
      <c r="Z365" s="24"/>
      <c r="AA365" s="24"/>
      <c r="AB365" s="24"/>
      <c r="AC365" s="24"/>
      <c r="AD365" s="24"/>
      <c r="AE365" s="24"/>
      <c r="AF365" s="24"/>
      <c r="AG365" s="24"/>
      <c r="AH365" s="24"/>
      <c r="AI365" s="24"/>
      <c r="AJ365" s="24"/>
      <c r="AK365" s="24"/>
      <c r="AL365" s="24"/>
      <c r="AM365" s="24"/>
    </row>
    <row r="366" spans="1:39" ht="56.25" customHeight="1" x14ac:dyDescent="0.3">
      <c r="A366" s="62"/>
      <c r="B366" s="63"/>
      <c r="C366" s="64"/>
      <c r="D366" s="41"/>
      <c r="E366" s="41"/>
      <c r="F366" s="41"/>
      <c r="G366" s="41"/>
      <c r="H366" s="41"/>
      <c r="I366" s="65"/>
      <c r="J366" s="41"/>
      <c r="K366" s="41"/>
      <c r="L366" s="41"/>
      <c r="M366" s="41"/>
      <c r="N366" s="41"/>
      <c r="O366" s="66"/>
      <c r="P366" s="66"/>
      <c r="Q366" s="41"/>
      <c r="R366" s="41"/>
      <c r="S366" s="41"/>
      <c r="T366" s="41"/>
      <c r="U366" s="41"/>
      <c r="V366" s="41"/>
      <c r="W366" s="67"/>
      <c r="X366" s="67"/>
      <c r="Y366" s="24"/>
      <c r="Z366" s="24"/>
      <c r="AA366" s="24"/>
      <c r="AB366" s="24"/>
      <c r="AC366" s="24"/>
      <c r="AD366" s="24"/>
      <c r="AE366" s="24"/>
      <c r="AF366" s="24"/>
      <c r="AG366" s="24"/>
      <c r="AH366" s="24"/>
      <c r="AI366" s="24"/>
      <c r="AJ366" s="24"/>
      <c r="AK366" s="24"/>
      <c r="AL366" s="24"/>
      <c r="AM366" s="24"/>
    </row>
    <row r="367" spans="1:39" ht="56.25" customHeight="1" x14ac:dyDescent="0.3">
      <c r="A367" s="62"/>
      <c r="B367" s="63"/>
      <c r="C367" s="64"/>
      <c r="D367" s="41"/>
      <c r="E367" s="41"/>
      <c r="F367" s="41"/>
      <c r="G367" s="41"/>
      <c r="H367" s="41"/>
      <c r="I367" s="65"/>
      <c r="J367" s="41"/>
      <c r="K367" s="41"/>
      <c r="L367" s="41"/>
      <c r="M367" s="41"/>
      <c r="N367" s="41"/>
      <c r="O367" s="66"/>
      <c r="P367" s="66"/>
      <c r="Q367" s="41"/>
      <c r="R367" s="41"/>
      <c r="S367" s="41"/>
      <c r="T367" s="41"/>
      <c r="U367" s="41"/>
      <c r="V367" s="41"/>
      <c r="W367" s="67"/>
      <c r="X367" s="67"/>
      <c r="Y367" s="24"/>
      <c r="Z367" s="24"/>
      <c r="AA367" s="24"/>
      <c r="AB367" s="24"/>
      <c r="AC367" s="24"/>
      <c r="AD367" s="24"/>
      <c r="AE367" s="24"/>
      <c r="AF367" s="24"/>
      <c r="AG367" s="24"/>
      <c r="AH367" s="24"/>
      <c r="AI367" s="24"/>
      <c r="AJ367" s="24"/>
      <c r="AK367" s="24"/>
      <c r="AL367" s="24"/>
      <c r="AM367" s="24"/>
    </row>
    <row r="368" spans="1:39" ht="56.25" customHeight="1" x14ac:dyDescent="0.3">
      <c r="A368" s="62"/>
      <c r="B368" s="63"/>
      <c r="C368" s="64"/>
      <c r="D368" s="41"/>
      <c r="E368" s="41"/>
      <c r="F368" s="41"/>
      <c r="G368" s="41"/>
      <c r="H368" s="41"/>
      <c r="I368" s="65"/>
      <c r="J368" s="41"/>
      <c r="K368" s="41"/>
      <c r="L368" s="41"/>
      <c r="M368" s="41"/>
      <c r="N368" s="41"/>
      <c r="O368" s="66"/>
      <c r="P368" s="66"/>
      <c r="Q368" s="41"/>
      <c r="R368" s="41"/>
      <c r="S368" s="41"/>
      <c r="T368" s="41"/>
      <c r="U368" s="41"/>
      <c r="V368" s="41"/>
      <c r="W368" s="67"/>
      <c r="X368" s="67"/>
      <c r="Y368" s="24"/>
      <c r="Z368" s="24"/>
      <c r="AA368" s="24"/>
      <c r="AB368" s="24"/>
      <c r="AC368" s="24"/>
      <c r="AD368" s="24"/>
      <c r="AE368" s="24"/>
      <c r="AF368" s="24"/>
      <c r="AG368" s="24"/>
      <c r="AH368" s="24"/>
      <c r="AI368" s="24"/>
      <c r="AJ368" s="24"/>
      <c r="AK368" s="24"/>
      <c r="AL368" s="24"/>
      <c r="AM368" s="24"/>
    </row>
    <row r="369" spans="1:39" ht="56.25" customHeight="1" x14ac:dyDescent="0.3">
      <c r="A369" s="62"/>
      <c r="B369" s="63"/>
      <c r="C369" s="64"/>
      <c r="D369" s="41"/>
      <c r="E369" s="41"/>
      <c r="F369" s="41"/>
      <c r="G369" s="41"/>
      <c r="H369" s="41"/>
      <c r="I369" s="65"/>
      <c r="J369" s="41"/>
      <c r="K369" s="41"/>
      <c r="L369" s="41"/>
      <c r="M369" s="41"/>
      <c r="N369" s="41"/>
      <c r="O369" s="66"/>
      <c r="P369" s="66"/>
      <c r="Q369" s="41"/>
      <c r="R369" s="41"/>
      <c r="S369" s="41"/>
      <c r="T369" s="41"/>
      <c r="U369" s="41"/>
      <c r="V369" s="41"/>
      <c r="W369" s="67"/>
      <c r="X369" s="67"/>
      <c r="Y369" s="24"/>
      <c r="Z369" s="24"/>
      <c r="AA369" s="24"/>
      <c r="AB369" s="24"/>
      <c r="AC369" s="24"/>
      <c r="AD369" s="24"/>
      <c r="AE369" s="24"/>
      <c r="AF369" s="24"/>
      <c r="AG369" s="24"/>
      <c r="AH369" s="24"/>
      <c r="AI369" s="24"/>
      <c r="AJ369" s="24"/>
      <c r="AK369" s="24"/>
      <c r="AL369" s="24"/>
      <c r="AM369" s="24"/>
    </row>
    <row r="370" spans="1:39" ht="56.25" customHeight="1" x14ac:dyDescent="0.3">
      <c r="A370" s="62"/>
      <c r="B370" s="63"/>
      <c r="C370" s="64"/>
      <c r="D370" s="41"/>
      <c r="E370" s="41"/>
      <c r="F370" s="41"/>
      <c r="G370" s="41"/>
      <c r="H370" s="41"/>
      <c r="I370" s="65"/>
      <c r="J370" s="41"/>
      <c r="K370" s="41"/>
      <c r="L370" s="41"/>
      <c r="M370" s="41"/>
      <c r="N370" s="41"/>
      <c r="O370" s="66"/>
      <c r="P370" s="66"/>
      <c r="Q370" s="41"/>
      <c r="R370" s="41"/>
      <c r="S370" s="41"/>
      <c r="T370" s="41"/>
      <c r="U370" s="41"/>
      <c r="V370" s="41"/>
      <c r="W370" s="67"/>
      <c r="X370" s="67"/>
      <c r="Y370" s="24"/>
      <c r="Z370" s="24"/>
      <c r="AA370" s="24"/>
      <c r="AB370" s="24"/>
      <c r="AC370" s="24"/>
      <c r="AD370" s="24"/>
      <c r="AE370" s="24"/>
      <c r="AF370" s="24"/>
      <c r="AG370" s="24"/>
      <c r="AH370" s="24"/>
      <c r="AI370" s="24"/>
      <c r="AJ370" s="24"/>
      <c r="AK370" s="24"/>
      <c r="AL370" s="24"/>
      <c r="AM370" s="24"/>
    </row>
    <row r="371" spans="1:39" ht="56.25" customHeight="1" x14ac:dyDescent="0.3">
      <c r="A371" s="62"/>
      <c r="B371" s="63"/>
      <c r="C371" s="64"/>
      <c r="D371" s="41"/>
      <c r="E371" s="41"/>
      <c r="F371" s="41"/>
      <c r="G371" s="41"/>
      <c r="H371" s="41"/>
      <c r="I371" s="65"/>
      <c r="J371" s="41"/>
      <c r="K371" s="41"/>
      <c r="L371" s="41"/>
      <c r="M371" s="41"/>
      <c r="N371" s="41"/>
      <c r="O371" s="66"/>
      <c r="P371" s="66"/>
      <c r="Q371" s="41"/>
      <c r="R371" s="41"/>
      <c r="S371" s="41"/>
      <c r="T371" s="41"/>
      <c r="U371" s="41"/>
      <c r="V371" s="41"/>
      <c r="W371" s="67"/>
      <c r="X371" s="67"/>
      <c r="Y371" s="24"/>
      <c r="Z371" s="24"/>
      <c r="AA371" s="24"/>
      <c r="AB371" s="24"/>
      <c r="AC371" s="24"/>
      <c r="AD371" s="24"/>
      <c r="AE371" s="24"/>
      <c r="AF371" s="24"/>
      <c r="AG371" s="24"/>
      <c r="AH371" s="24"/>
      <c r="AI371" s="24"/>
      <c r="AJ371" s="24"/>
      <c r="AK371" s="24"/>
      <c r="AL371" s="24"/>
      <c r="AM371" s="24"/>
    </row>
    <row r="372" spans="1:39" ht="56.25" customHeight="1" x14ac:dyDescent="0.3">
      <c r="A372" s="62"/>
      <c r="B372" s="63"/>
      <c r="C372" s="64"/>
      <c r="D372" s="41"/>
      <c r="E372" s="41"/>
      <c r="F372" s="41"/>
      <c r="G372" s="41"/>
      <c r="H372" s="41"/>
      <c r="I372" s="65"/>
      <c r="J372" s="41"/>
      <c r="K372" s="41"/>
      <c r="L372" s="41"/>
      <c r="M372" s="41"/>
      <c r="N372" s="41"/>
      <c r="O372" s="66"/>
      <c r="P372" s="66"/>
      <c r="Q372" s="41"/>
      <c r="R372" s="41"/>
      <c r="S372" s="41"/>
      <c r="T372" s="41"/>
      <c r="U372" s="41"/>
      <c r="V372" s="41"/>
      <c r="W372" s="67"/>
      <c r="X372" s="67"/>
      <c r="Y372" s="24"/>
      <c r="Z372" s="24"/>
      <c r="AA372" s="24"/>
      <c r="AB372" s="24"/>
      <c r="AC372" s="24"/>
      <c r="AD372" s="24"/>
      <c r="AE372" s="24"/>
      <c r="AF372" s="24"/>
      <c r="AG372" s="24"/>
      <c r="AH372" s="24"/>
      <c r="AI372" s="24"/>
      <c r="AJ372" s="24"/>
      <c r="AK372" s="24"/>
      <c r="AL372" s="24"/>
      <c r="AM372" s="24"/>
    </row>
    <row r="373" spans="1:39" ht="56.25" customHeight="1" x14ac:dyDescent="0.3">
      <c r="A373" s="62"/>
      <c r="B373" s="63"/>
      <c r="C373" s="64"/>
      <c r="D373" s="41"/>
      <c r="E373" s="41"/>
      <c r="F373" s="41"/>
      <c r="G373" s="41"/>
      <c r="H373" s="41"/>
      <c r="I373" s="65"/>
      <c r="J373" s="41"/>
      <c r="K373" s="41"/>
      <c r="L373" s="41"/>
      <c r="M373" s="41"/>
      <c r="N373" s="41"/>
      <c r="O373" s="66"/>
      <c r="P373" s="66"/>
      <c r="Q373" s="41"/>
      <c r="R373" s="41"/>
      <c r="S373" s="41"/>
      <c r="T373" s="41"/>
      <c r="U373" s="41"/>
      <c r="V373" s="41"/>
      <c r="W373" s="67"/>
      <c r="X373" s="67"/>
      <c r="Y373" s="24"/>
      <c r="Z373" s="24"/>
      <c r="AA373" s="24"/>
      <c r="AB373" s="24"/>
      <c r="AC373" s="24"/>
      <c r="AD373" s="24"/>
      <c r="AE373" s="24"/>
      <c r="AF373" s="24"/>
      <c r="AG373" s="24"/>
      <c r="AH373" s="24"/>
      <c r="AI373" s="24"/>
      <c r="AJ373" s="24"/>
      <c r="AK373" s="24"/>
      <c r="AL373" s="24"/>
      <c r="AM373" s="24"/>
    </row>
    <row r="374" spans="1:39" ht="56.25" customHeight="1" x14ac:dyDescent="0.3">
      <c r="A374" s="62"/>
      <c r="B374" s="63"/>
      <c r="C374" s="64"/>
      <c r="D374" s="41"/>
      <c r="E374" s="41"/>
      <c r="F374" s="41"/>
      <c r="G374" s="41"/>
      <c r="H374" s="41"/>
      <c r="I374" s="65"/>
      <c r="J374" s="41"/>
      <c r="K374" s="41"/>
      <c r="L374" s="41"/>
      <c r="M374" s="41"/>
      <c r="N374" s="41"/>
      <c r="O374" s="66"/>
      <c r="P374" s="66"/>
      <c r="Q374" s="41"/>
      <c r="R374" s="41"/>
      <c r="S374" s="41"/>
      <c r="T374" s="41"/>
      <c r="U374" s="41"/>
      <c r="V374" s="41"/>
      <c r="W374" s="67"/>
      <c r="X374" s="67"/>
      <c r="Y374" s="24"/>
      <c r="Z374" s="24"/>
      <c r="AA374" s="24"/>
      <c r="AB374" s="24"/>
      <c r="AC374" s="24"/>
      <c r="AD374" s="24"/>
      <c r="AE374" s="24"/>
      <c r="AF374" s="24"/>
      <c r="AG374" s="24"/>
      <c r="AH374" s="24"/>
      <c r="AI374" s="24"/>
      <c r="AJ374" s="24"/>
      <c r="AK374" s="24"/>
      <c r="AL374" s="24"/>
      <c r="AM374" s="24"/>
    </row>
    <row r="375" spans="1:39" ht="56.25" customHeight="1" x14ac:dyDescent="0.3">
      <c r="A375" s="62"/>
      <c r="B375" s="63"/>
      <c r="C375" s="64"/>
      <c r="D375" s="41"/>
      <c r="E375" s="41"/>
      <c r="F375" s="41"/>
      <c r="G375" s="41"/>
      <c r="H375" s="41"/>
      <c r="I375" s="65"/>
      <c r="J375" s="41"/>
      <c r="K375" s="41"/>
      <c r="L375" s="41"/>
      <c r="M375" s="41"/>
      <c r="N375" s="41"/>
      <c r="O375" s="66"/>
      <c r="P375" s="66"/>
      <c r="Q375" s="41"/>
      <c r="R375" s="41"/>
      <c r="S375" s="41"/>
      <c r="T375" s="41"/>
      <c r="U375" s="41"/>
      <c r="V375" s="41"/>
      <c r="W375" s="67"/>
      <c r="X375" s="67"/>
      <c r="Y375" s="24"/>
      <c r="Z375" s="24"/>
      <c r="AA375" s="24"/>
      <c r="AB375" s="24"/>
      <c r="AC375" s="24"/>
      <c r="AD375" s="24"/>
      <c r="AE375" s="24"/>
      <c r="AF375" s="24"/>
      <c r="AG375" s="24"/>
      <c r="AH375" s="24"/>
      <c r="AI375" s="24"/>
      <c r="AJ375" s="24"/>
      <c r="AK375" s="24"/>
      <c r="AL375" s="24"/>
      <c r="AM375" s="24"/>
    </row>
    <row r="376" spans="1:39" ht="56.25" customHeight="1" x14ac:dyDescent="0.3">
      <c r="A376" s="62"/>
      <c r="B376" s="63"/>
      <c r="C376" s="64"/>
      <c r="D376" s="41"/>
      <c r="E376" s="41"/>
      <c r="F376" s="41"/>
      <c r="G376" s="41"/>
      <c r="H376" s="41"/>
      <c r="I376" s="65"/>
      <c r="J376" s="41"/>
      <c r="K376" s="41"/>
      <c r="L376" s="41"/>
      <c r="M376" s="41"/>
      <c r="N376" s="41"/>
      <c r="O376" s="66"/>
      <c r="P376" s="66"/>
      <c r="Q376" s="41"/>
      <c r="R376" s="41"/>
      <c r="S376" s="41"/>
      <c r="T376" s="41"/>
      <c r="U376" s="41"/>
      <c r="V376" s="41"/>
      <c r="W376" s="67"/>
      <c r="X376" s="67"/>
      <c r="Y376" s="24"/>
      <c r="Z376" s="24"/>
      <c r="AA376" s="24"/>
      <c r="AB376" s="24"/>
      <c r="AC376" s="24"/>
      <c r="AD376" s="24"/>
      <c r="AE376" s="24"/>
      <c r="AF376" s="24"/>
      <c r="AG376" s="24"/>
      <c r="AH376" s="24"/>
      <c r="AI376" s="24"/>
      <c r="AJ376" s="24"/>
      <c r="AK376" s="24"/>
      <c r="AL376" s="24"/>
      <c r="AM376" s="24"/>
    </row>
    <row r="377" spans="1:39" ht="56.25" customHeight="1" x14ac:dyDescent="0.3">
      <c r="A377" s="62"/>
      <c r="B377" s="63"/>
      <c r="C377" s="64"/>
      <c r="D377" s="41"/>
      <c r="E377" s="41"/>
      <c r="F377" s="41"/>
      <c r="G377" s="41"/>
      <c r="H377" s="41"/>
      <c r="I377" s="65"/>
      <c r="J377" s="41"/>
      <c r="K377" s="41"/>
      <c r="L377" s="41"/>
      <c r="M377" s="41"/>
      <c r="N377" s="41"/>
      <c r="O377" s="66"/>
      <c r="P377" s="66"/>
      <c r="Q377" s="41"/>
      <c r="R377" s="41"/>
      <c r="S377" s="41"/>
      <c r="T377" s="41"/>
      <c r="U377" s="41"/>
      <c r="V377" s="41"/>
      <c r="W377" s="67"/>
      <c r="X377" s="67"/>
      <c r="Y377" s="24"/>
      <c r="Z377" s="24"/>
      <c r="AA377" s="24"/>
      <c r="AB377" s="24"/>
      <c r="AC377" s="24"/>
      <c r="AD377" s="24"/>
      <c r="AE377" s="24"/>
      <c r="AF377" s="24"/>
      <c r="AG377" s="24"/>
      <c r="AH377" s="24"/>
      <c r="AI377" s="24"/>
      <c r="AJ377" s="24"/>
      <c r="AK377" s="24"/>
      <c r="AL377" s="24"/>
      <c r="AM377" s="24"/>
    </row>
    <row r="378" spans="1:39" ht="56.25" customHeight="1" x14ac:dyDescent="0.3">
      <c r="A378" s="62"/>
      <c r="B378" s="63"/>
      <c r="C378" s="64"/>
      <c r="D378" s="41"/>
      <c r="E378" s="41"/>
      <c r="F378" s="41"/>
      <c r="G378" s="41"/>
      <c r="H378" s="41"/>
      <c r="I378" s="65"/>
      <c r="J378" s="41"/>
      <c r="K378" s="41"/>
      <c r="L378" s="41"/>
      <c r="M378" s="41"/>
      <c r="N378" s="41"/>
      <c r="O378" s="66"/>
      <c r="P378" s="66"/>
      <c r="Q378" s="41"/>
      <c r="R378" s="41"/>
      <c r="S378" s="41"/>
      <c r="T378" s="41"/>
      <c r="U378" s="41"/>
      <c r="V378" s="41"/>
      <c r="W378" s="67"/>
      <c r="X378" s="67"/>
      <c r="Y378" s="24"/>
      <c r="Z378" s="24"/>
      <c r="AA378" s="24"/>
      <c r="AB378" s="24"/>
      <c r="AC378" s="24"/>
      <c r="AD378" s="24"/>
      <c r="AE378" s="24"/>
      <c r="AF378" s="24"/>
      <c r="AG378" s="24"/>
      <c r="AH378" s="24"/>
      <c r="AI378" s="24"/>
      <c r="AJ378" s="24"/>
      <c r="AK378" s="24"/>
      <c r="AL378" s="24"/>
      <c r="AM378" s="24"/>
    </row>
    <row r="379" spans="1:39" ht="56.25" customHeight="1" x14ac:dyDescent="0.3">
      <c r="A379" s="62"/>
      <c r="B379" s="63"/>
      <c r="C379" s="64"/>
      <c r="D379" s="41"/>
      <c r="E379" s="41"/>
      <c r="F379" s="41"/>
      <c r="G379" s="41"/>
      <c r="H379" s="41"/>
      <c r="I379" s="65"/>
      <c r="J379" s="41"/>
      <c r="K379" s="41"/>
      <c r="L379" s="41"/>
      <c r="M379" s="41"/>
      <c r="N379" s="41"/>
      <c r="O379" s="66"/>
      <c r="P379" s="66"/>
      <c r="Q379" s="41"/>
      <c r="R379" s="41"/>
      <c r="S379" s="41"/>
      <c r="T379" s="41"/>
      <c r="U379" s="41"/>
      <c r="V379" s="41"/>
      <c r="W379" s="67"/>
      <c r="X379" s="67"/>
      <c r="Y379" s="24"/>
      <c r="Z379" s="24"/>
      <c r="AA379" s="24"/>
      <c r="AB379" s="24"/>
      <c r="AC379" s="24"/>
      <c r="AD379" s="24"/>
      <c r="AE379" s="24"/>
      <c r="AF379" s="24"/>
      <c r="AG379" s="24"/>
      <c r="AH379" s="24"/>
      <c r="AI379" s="24"/>
      <c r="AJ379" s="24"/>
      <c r="AK379" s="24"/>
      <c r="AL379" s="24"/>
      <c r="AM379" s="24"/>
    </row>
    <row r="380" spans="1:39" ht="56.25" customHeight="1" x14ac:dyDescent="0.3">
      <c r="A380" s="62"/>
      <c r="B380" s="63"/>
      <c r="C380" s="64"/>
      <c r="D380" s="41"/>
      <c r="E380" s="41"/>
      <c r="F380" s="41"/>
      <c r="G380" s="41"/>
      <c r="H380" s="41"/>
      <c r="I380" s="65"/>
      <c r="J380" s="41"/>
      <c r="K380" s="41"/>
      <c r="L380" s="41"/>
      <c r="M380" s="41"/>
      <c r="N380" s="41"/>
      <c r="O380" s="66"/>
      <c r="P380" s="66"/>
      <c r="Q380" s="41"/>
      <c r="R380" s="41"/>
      <c r="S380" s="41"/>
      <c r="T380" s="41"/>
      <c r="U380" s="41"/>
      <c r="V380" s="41"/>
      <c r="W380" s="67"/>
      <c r="X380" s="67"/>
      <c r="Y380" s="24"/>
      <c r="Z380" s="24"/>
      <c r="AA380" s="24"/>
      <c r="AB380" s="24"/>
      <c r="AC380" s="24"/>
      <c r="AD380" s="24"/>
      <c r="AE380" s="24"/>
      <c r="AF380" s="24"/>
      <c r="AG380" s="24"/>
      <c r="AH380" s="24"/>
      <c r="AI380" s="24"/>
      <c r="AJ380" s="24"/>
      <c r="AK380" s="24"/>
      <c r="AL380" s="24"/>
      <c r="AM380" s="24"/>
    </row>
    <row r="381" spans="1:39" ht="56.25" customHeight="1" x14ac:dyDescent="0.3">
      <c r="A381" s="62"/>
      <c r="B381" s="63"/>
      <c r="C381" s="64"/>
      <c r="D381" s="41"/>
      <c r="E381" s="41"/>
      <c r="F381" s="41"/>
      <c r="G381" s="41"/>
      <c r="H381" s="41"/>
      <c r="I381" s="65"/>
      <c r="J381" s="41"/>
      <c r="K381" s="41"/>
      <c r="L381" s="41"/>
      <c r="M381" s="41"/>
      <c r="N381" s="41"/>
      <c r="O381" s="66"/>
      <c r="P381" s="66"/>
      <c r="Q381" s="41"/>
      <c r="R381" s="41"/>
      <c r="S381" s="41"/>
      <c r="T381" s="41"/>
      <c r="U381" s="41"/>
      <c r="V381" s="41"/>
      <c r="W381" s="67"/>
      <c r="X381" s="67"/>
      <c r="Y381" s="24"/>
      <c r="Z381" s="24"/>
      <c r="AA381" s="24"/>
      <c r="AB381" s="24"/>
      <c r="AC381" s="24"/>
      <c r="AD381" s="24"/>
      <c r="AE381" s="24"/>
      <c r="AF381" s="24"/>
      <c r="AG381" s="24"/>
      <c r="AH381" s="24"/>
      <c r="AI381" s="24"/>
      <c r="AJ381" s="24"/>
      <c r="AK381" s="24"/>
      <c r="AL381" s="24"/>
      <c r="AM381" s="24"/>
    </row>
    <row r="382" spans="1:39" ht="56.25" customHeight="1" x14ac:dyDescent="0.3">
      <c r="A382" s="62"/>
      <c r="B382" s="63"/>
      <c r="C382" s="64"/>
      <c r="D382" s="41"/>
      <c r="E382" s="41"/>
      <c r="F382" s="41"/>
      <c r="G382" s="41"/>
      <c r="H382" s="41"/>
      <c r="I382" s="65"/>
      <c r="J382" s="41"/>
      <c r="K382" s="41"/>
      <c r="L382" s="41"/>
      <c r="M382" s="41"/>
      <c r="N382" s="41"/>
      <c r="O382" s="66"/>
      <c r="P382" s="66"/>
      <c r="Q382" s="41"/>
      <c r="R382" s="41"/>
      <c r="S382" s="41"/>
      <c r="T382" s="41"/>
      <c r="U382" s="41"/>
      <c r="V382" s="41"/>
      <c r="W382" s="67"/>
      <c r="X382" s="67"/>
      <c r="Y382" s="24"/>
      <c r="Z382" s="24"/>
      <c r="AA382" s="24"/>
      <c r="AB382" s="24"/>
      <c r="AC382" s="24"/>
      <c r="AD382" s="24"/>
      <c r="AE382" s="24"/>
      <c r="AF382" s="24"/>
      <c r="AG382" s="24"/>
      <c r="AH382" s="24"/>
      <c r="AI382" s="24"/>
      <c r="AJ382" s="24"/>
      <c r="AK382" s="24"/>
      <c r="AL382" s="24"/>
      <c r="AM382" s="24"/>
    </row>
    <row r="383" spans="1:39" ht="56.25" customHeight="1" x14ac:dyDescent="0.3">
      <c r="A383" s="62"/>
      <c r="B383" s="63"/>
      <c r="C383" s="64"/>
      <c r="D383" s="41"/>
      <c r="E383" s="41"/>
      <c r="F383" s="41"/>
      <c r="G383" s="41"/>
      <c r="H383" s="41"/>
      <c r="I383" s="65"/>
      <c r="J383" s="41"/>
      <c r="K383" s="41"/>
      <c r="L383" s="41"/>
      <c r="M383" s="41"/>
      <c r="N383" s="41"/>
      <c r="O383" s="41"/>
      <c r="P383" s="41"/>
      <c r="Q383" s="41"/>
      <c r="R383" s="41"/>
      <c r="S383" s="41"/>
      <c r="T383" s="41"/>
      <c r="U383" s="41"/>
      <c r="V383" s="41"/>
      <c r="W383" s="67"/>
      <c r="X383" s="41"/>
      <c r="Y383" s="24"/>
      <c r="Z383" s="24"/>
      <c r="AA383" s="24"/>
      <c r="AB383" s="24"/>
      <c r="AC383" s="24"/>
      <c r="AD383" s="24"/>
      <c r="AE383" s="24"/>
      <c r="AF383" s="24"/>
      <c r="AG383" s="24"/>
      <c r="AH383" s="24"/>
      <c r="AI383" s="24"/>
      <c r="AJ383" s="24"/>
      <c r="AK383" s="24"/>
      <c r="AL383" s="24"/>
      <c r="AM383" s="24"/>
    </row>
    <row r="384" spans="1:39" ht="56.25" customHeight="1" x14ac:dyDescent="0.3">
      <c r="A384" s="62"/>
      <c r="B384" s="63"/>
      <c r="C384" s="64"/>
      <c r="D384" s="41"/>
      <c r="E384" s="41"/>
      <c r="F384" s="41"/>
      <c r="G384" s="41"/>
      <c r="H384" s="41"/>
      <c r="I384" s="65"/>
      <c r="J384" s="41"/>
      <c r="K384" s="41"/>
      <c r="L384" s="41"/>
      <c r="M384" s="41"/>
      <c r="N384" s="41"/>
      <c r="O384" s="66"/>
      <c r="P384" s="66"/>
      <c r="Q384" s="41"/>
      <c r="R384" s="41"/>
      <c r="S384" s="41"/>
      <c r="T384" s="41"/>
      <c r="U384" s="41"/>
      <c r="V384" s="41"/>
      <c r="W384" s="67"/>
      <c r="X384" s="67"/>
      <c r="Y384" s="24"/>
      <c r="Z384" s="24"/>
      <c r="AA384" s="24"/>
      <c r="AB384" s="24"/>
      <c r="AC384" s="24"/>
      <c r="AD384" s="24"/>
      <c r="AE384" s="24"/>
      <c r="AF384" s="24"/>
      <c r="AG384" s="24"/>
      <c r="AH384" s="24"/>
      <c r="AI384" s="24"/>
      <c r="AJ384" s="24"/>
      <c r="AK384" s="24"/>
      <c r="AL384" s="24"/>
      <c r="AM384" s="24"/>
    </row>
    <row r="385" spans="1:39" ht="56.25" customHeight="1" x14ac:dyDescent="0.3">
      <c r="A385" s="62"/>
      <c r="B385" s="63"/>
      <c r="C385" s="64"/>
      <c r="D385" s="41"/>
      <c r="E385" s="41"/>
      <c r="F385" s="41"/>
      <c r="G385" s="41"/>
      <c r="H385" s="41"/>
      <c r="I385" s="65"/>
      <c r="J385" s="41"/>
      <c r="K385" s="41"/>
      <c r="L385" s="41"/>
      <c r="M385" s="41"/>
      <c r="N385" s="41"/>
      <c r="O385" s="66"/>
      <c r="P385" s="66"/>
      <c r="Q385" s="41"/>
      <c r="R385" s="41"/>
      <c r="S385" s="41"/>
      <c r="T385" s="41"/>
      <c r="U385" s="41"/>
      <c r="V385" s="41"/>
      <c r="W385" s="67"/>
      <c r="X385" s="67"/>
      <c r="Y385" s="24"/>
      <c r="Z385" s="24"/>
      <c r="AA385" s="24"/>
      <c r="AB385" s="24"/>
      <c r="AC385" s="24"/>
      <c r="AD385" s="24"/>
      <c r="AE385" s="24"/>
      <c r="AF385" s="24"/>
      <c r="AG385" s="24"/>
      <c r="AH385" s="24"/>
      <c r="AI385" s="24"/>
      <c r="AJ385" s="24"/>
      <c r="AK385" s="24"/>
      <c r="AL385" s="24"/>
      <c r="AM385" s="24"/>
    </row>
    <row r="386" spans="1:39" ht="56.25" customHeight="1" x14ac:dyDescent="0.3">
      <c r="A386" s="62"/>
      <c r="B386" s="63"/>
      <c r="C386" s="64"/>
      <c r="D386" s="41"/>
      <c r="E386" s="41"/>
      <c r="F386" s="41"/>
      <c r="G386" s="41"/>
      <c r="H386" s="41"/>
      <c r="I386" s="65"/>
      <c r="J386" s="41"/>
      <c r="K386" s="41"/>
      <c r="L386" s="41"/>
      <c r="M386" s="41"/>
      <c r="N386" s="41"/>
      <c r="O386" s="66"/>
      <c r="P386" s="66"/>
      <c r="Q386" s="41"/>
      <c r="R386" s="41"/>
      <c r="S386" s="41"/>
      <c r="T386" s="41"/>
      <c r="U386" s="41"/>
      <c r="V386" s="41"/>
      <c r="W386" s="67"/>
      <c r="X386" s="67"/>
      <c r="Y386" s="24"/>
      <c r="Z386" s="24"/>
      <c r="AA386" s="24"/>
      <c r="AB386" s="24"/>
      <c r="AC386" s="24"/>
      <c r="AD386" s="24"/>
      <c r="AE386" s="24"/>
      <c r="AF386" s="24"/>
      <c r="AG386" s="24"/>
      <c r="AH386" s="24"/>
      <c r="AI386" s="24"/>
      <c r="AJ386" s="24"/>
      <c r="AK386" s="24"/>
      <c r="AL386" s="24"/>
      <c r="AM386" s="24"/>
    </row>
    <row r="387" spans="1:39" ht="56.25" customHeight="1" x14ac:dyDescent="0.3">
      <c r="A387" s="62"/>
      <c r="B387" s="63"/>
      <c r="C387" s="64"/>
      <c r="D387" s="41"/>
      <c r="E387" s="41"/>
      <c r="F387" s="41"/>
      <c r="G387" s="41"/>
      <c r="H387" s="41"/>
      <c r="I387" s="65"/>
      <c r="J387" s="41"/>
      <c r="K387" s="41"/>
      <c r="L387" s="41"/>
      <c r="M387" s="41"/>
      <c r="N387" s="41"/>
      <c r="O387" s="66"/>
      <c r="P387" s="66"/>
      <c r="Q387" s="41"/>
      <c r="R387" s="41"/>
      <c r="S387" s="41"/>
      <c r="T387" s="41"/>
      <c r="U387" s="41"/>
      <c r="V387" s="41"/>
      <c r="W387" s="67"/>
      <c r="X387" s="67"/>
      <c r="Y387" s="24"/>
      <c r="Z387" s="24"/>
      <c r="AA387" s="24"/>
      <c r="AB387" s="24"/>
      <c r="AC387" s="24"/>
      <c r="AD387" s="24"/>
      <c r="AE387" s="24"/>
      <c r="AF387" s="24"/>
      <c r="AG387" s="24"/>
      <c r="AH387" s="24"/>
      <c r="AI387" s="24"/>
      <c r="AJ387" s="24"/>
      <c r="AK387" s="24"/>
      <c r="AL387" s="24"/>
      <c r="AM387" s="24"/>
    </row>
    <row r="388" spans="1:39" ht="56.25" customHeight="1" x14ac:dyDescent="0.3">
      <c r="A388" s="62"/>
      <c r="B388" s="63"/>
      <c r="C388" s="64"/>
      <c r="D388" s="41"/>
      <c r="E388" s="41"/>
      <c r="F388" s="41"/>
      <c r="G388" s="41"/>
      <c r="H388" s="41"/>
      <c r="I388" s="65"/>
      <c r="J388" s="41"/>
      <c r="K388" s="41"/>
      <c r="L388" s="41"/>
      <c r="M388" s="41"/>
      <c r="N388" s="41"/>
      <c r="O388" s="66"/>
      <c r="P388" s="66"/>
      <c r="Q388" s="41"/>
      <c r="R388" s="41"/>
      <c r="S388" s="41"/>
      <c r="T388" s="41"/>
      <c r="U388" s="41"/>
      <c r="V388" s="41"/>
      <c r="W388" s="67"/>
      <c r="X388" s="67"/>
      <c r="Y388" s="24"/>
      <c r="Z388" s="24"/>
      <c r="AA388" s="24"/>
      <c r="AB388" s="24"/>
      <c r="AC388" s="24"/>
      <c r="AD388" s="24"/>
      <c r="AE388" s="24"/>
      <c r="AF388" s="24"/>
      <c r="AG388" s="24"/>
      <c r="AH388" s="24"/>
      <c r="AI388" s="24"/>
      <c r="AJ388" s="24"/>
      <c r="AK388" s="24"/>
      <c r="AL388" s="24"/>
      <c r="AM388" s="24"/>
    </row>
    <row r="389" spans="1:39" ht="56.25" customHeight="1" x14ac:dyDescent="0.3">
      <c r="A389" s="62"/>
      <c r="B389" s="63"/>
      <c r="C389" s="64"/>
      <c r="D389" s="41"/>
      <c r="E389" s="41"/>
      <c r="F389" s="41"/>
      <c r="G389" s="41"/>
      <c r="H389" s="41"/>
      <c r="I389" s="65"/>
      <c r="J389" s="41"/>
      <c r="K389" s="41"/>
      <c r="L389" s="41"/>
      <c r="M389" s="41"/>
      <c r="N389" s="41"/>
      <c r="O389" s="66"/>
      <c r="P389" s="66"/>
      <c r="Q389" s="41"/>
      <c r="R389" s="41"/>
      <c r="S389" s="41"/>
      <c r="T389" s="41"/>
      <c r="U389" s="41"/>
      <c r="V389" s="41"/>
      <c r="W389" s="67"/>
      <c r="X389" s="67"/>
      <c r="Y389" s="24"/>
      <c r="Z389" s="24"/>
      <c r="AA389" s="24"/>
      <c r="AB389" s="24"/>
      <c r="AC389" s="24"/>
      <c r="AD389" s="24"/>
      <c r="AE389" s="24"/>
      <c r="AF389" s="24"/>
      <c r="AG389" s="24"/>
      <c r="AH389" s="24"/>
      <c r="AI389" s="24"/>
      <c r="AJ389" s="24"/>
      <c r="AK389" s="24"/>
      <c r="AL389" s="24"/>
      <c r="AM389" s="24"/>
    </row>
    <row r="390" spans="1:39" ht="56.25" customHeight="1" x14ac:dyDescent="0.3">
      <c r="A390" s="62"/>
      <c r="B390" s="63"/>
      <c r="C390" s="64"/>
      <c r="D390" s="41"/>
      <c r="E390" s="41"/>
      <c r="F390" s="41"/>
      <c r="G390" s="41"/>
      <c r="H390" s="41"/>
      <c r="I390" s="65"/>
      <c r="J390" s="41"/>
      <c r="K390" s="41"/>
      <c r="L390" s="41"/>
      <c r="M390" s="41"/>
      <c r="N390" s="41"/>
      <c r="O390" s="66"/>
      <c r="P390" s="66"/>
      <c r="Q390" s="41"/>
      <c r="R390" s="41"/>
      <c r="S390" s="41"/>
      <c r="T390" s="41"/>
      <c r="U390" s="41"/>
      <c r="V390" s="41"/>
      <c r="W390" s="67"/>
      <c r="X390" s="67"/>
      <c r="Y390" s="24"/>
      <c r="Z390" s="24"/>
      <c r="AA390" s="24"/>
      <c r="AB390" s="24"/>
      <c r="AC390" s="24"/>
      <c r="AD390" s="24"/>
      <c r="AE390" s="24"/>
      <c r="AF390" s="24"/>
      <c r="AG390" s="24"/>
      <c r="AH390" s="24"/>
      <c r="AI390" s="24"/>
      <c r="AJ390" s="24"/>
      <c r="AK390" s="24"/>
      <c r="AL390" s="24"/>
      <c r="AM390" s="24"/>
    </row>
    <row r="391" spans="1:39" ht="56.25" customHeight="1" x14ac:dyDescent="0.3">
      <c r="A391" s="62"/>
      <c r="B391" s="63"/>
      <c r="C391" s="64"/>
      <c r="D391" s="41"/>
      <c r="E391" s="41"/>
      <c r="F391" s="41"/>
      <c r="G391" s="41"/>
      <c r="H391" s="41"/>
      <c r="I391" s="65"/>
      <c r="J391" s="41"/>
      <c r="K391" s="41"/>
      <c r="L391" s="41"/>
      <c r="M391" s="41"/>
      <c r="N391" s="41"/>
      <c r="O391" s="66"/>
      <c r="P391" s="66"/>
      <c r="Q391" s="41"/>
      <c r="R391" s="41"/>
      <c r="S391" s="41"/>
      <c r="T391" s="41"/>
      <c r="U391" s="41"/>
      <c r="V391" s="41"/>
      <c r="W391" s="67"/>
      <c r="X391" s="67"/>
      <c r="Y391" s="24"/>
      <c r="Z391" s="24"/>
      <c r="AA391" s="24"/>
      <c r="AB391" s="24"/>
      <c r="AC391" s="24"/>
      <c r="AD391" s="24"/>
      <c r="AE391" s="24"/>
      <c r="AF391" s="24"/>
      <c r="AG391" s="24"/>
      <c r="AH391" s="24"/>
      <c r="AI391" s="24"/>
      <c r="AJ391" s="24"/>
      <c r="AK391" s="24"/>
      <c r="AL391" s="24"/>
      <c r="AM391" s="24"/>
    </row>
    <row r="392" spans="1:39" ht="56.25" customHeight="1" x14ac:dyDescent="0.3">
      <c r="A392" s="62"/>
      <c r="B392" s="63"/>
      <c r="C392" s="64"/>
      <c r="D392" s="41"/>
      <c r="E392" s="41"/>
      <c r="F392" s="41"/>
      <c r="G392" s="41"/>
      <c r="H392" s="41"/>
      <c r="I392" s="65"/>
      <c r="J392" s="41"/>
      <c r="K392" s="41"/>
      <c r="L392" s="41"/>
      <c r="M392" s="41"/>
      <c r="N392" s="41"/>
      <c r="O392" s="66"/>
      <c r="P392" s="66"/>
      <c r="Q392" s="41"/>
      <c r="R392" s="41"/>
      <c r="S392" s="41"/>
      <c r="T392" s="41"/>
      <c r="U392" s="41"/>
      <c r="V392" s="41"/>
      <c r="W392" s="41"/>
      <c r="X392" s="67"/>
      <c r="Y392" s="68"/>
      <c r="Z392" s="24"/>
      <c r="AA392" s="24"/>
      <c r="AB392" s="24"/>
      <c r="AC392" s="24"/>
      <c r="AD392" s="24"/>
      <c r="AE392" s="24"/>
      <c r="AF392" s="24"/>
      <c r="AG392" s="24"/>
      <c r="AH392" s="24"/>
      <c r="AI392" s="24"/>
      <c r="AJ392" s="24"/>
      <c r="AK392" s="24"/>
      <c r="AL392" s="24"/>
      <c r="AM392" s="24"/>
    </row>
    <row r="393" spans="1:39" ht="56.25" customHeight="1" x14ac:dyDescent="0.3">
      <c r="A393" s="62"/>
      <c r="B393" s="63"/>
      <c r="C393" s="64"/>
      <c r="D393" s="41"/>
      <c r="E393" s="41"/>
      <c r="F393" s="41"/>
      <c r="G393" s="41"/>
      <c r="H393" s="41"/>
      <c r="I393" s="65"/>
      <c r="J393" s="41"/>
      <c r="K393" s="41"/>
      <c r="L393" s="41"/>
      <c r="M393" s="41"/>
      <c r="N393" s="41"/>
      <c r="O393" s="66"/>
      <c r="P393" s="66"/>
      <c r="Q393" s="41"/>
      <c r="R393" s="41"/>
      <c r="S393" s="41"/>
      <c r="T393" s="41"/>
      <c r="U393" s="41"/>
      <c r="V393" s="41"/>
      <c r="W393" s="41"/>
      <c r="X393" s="67"/>
      <c r="Y393" s="68"/>
      <c r="Z393" s="24"/>
      <c r="AA393" s="24"/>
      <c r="AB393" s="24"/>
      <c r="AC393" s="24"/>
      <c r="AD393" s="24"/>
      <c r="AE393" s="24"/>
      <c r="AF393" s="24"/>
      <c r="AG393" s="24"/>
      <c r="AH393" s="24"/>
      <c r="AI393" s="24"/>
      <c r="AJ393" s="24"/>
      <c r="AK393" s="24"/>
      <c r="AL393" s="24"/>
      <c r="AM393" s="24"/>
    </row>
    <row r="394" spans="1:39" ht="56.25" customHeight="1" x14ac:dyDescent="0.3">
      <c r="A394" s="62"/>
      <c r="B394" s="63"/>
      <c r="C394" s="64"/>
      <c r="D394" s="41"/>
      <c r="E394" s="41"/>
      <c r="F394" s="41"/>
      <c r="G394" s="41"/>
      <c r="H394" s="41"/>
      <c r="I394" s="65"/>
      <c r="J394" s="41"/>
      <c r="K394" s="41"/>
      <c r="L394" s="41"/>
      <c r="M394" s="41"/>
      <c r="N394" s="41"/>
      <c r="O394" s="66"/>
      <c r="P394" s="66"/>
      <c r="Q394" s="41"/>
      <c r="R394" s="41"/>
      <c r="S394" s="41"/>
      <c r="T394" s="41"/>
      <c r="U394" s="41"/>
      <c r="V394" s="41"/>
      <c r="W394" s="67"/>
      <c r="X394" s="67"/>
      <c r="Y394" s="24"/>
      <c r="Z394" s="24"/>
      <c r="AA394" s="24"/>
      <c r="AB394" s="24"/>
      <c r="AC394" s="24"/>
      <c r="AD394" s="24"/>
      <c r="AE394" s="24"/>
      <c r="AF394" s="24"/>
      <c r="AG394" s="24"/>
      <c r="AH394" s="24"/>
      <c r="AI394" s="24"/>
      <c r="AJ394" s="24"/>
      <c r="AK394" s="24"/>
      <c r="AL394" s="24"/>
      <c r="AM394" s="24"/>
    </row>
    <row r="395" spans="1:39" ht="56.25" customHeight="1" x14ac:dyDescent="0.3">
      <c r="A395" s="62"/>
      <c r="B395" s="63"/>
      <c r="C395" s="64"/>
      <c r="D395" s="41"/>
      <c r="E395" s="41"/>
      <c r="F395" s="41"/>
      <c r="G395" s="41"/>
      <c r="H395" s="41"/>
      <c r="I395" s="65"/>
      <c r="J395" s="41"/>
      <c r="K395" s="41"/>
      <c r="L395" s="41"/>
      <c r="M395" s="41"/>
      <c r="N395" s="41"/>
      <c r="O395" s="66"/>
      <c r="P395" s="66"/>
      <c r="Q395" s="41"/>
      <c r="R395" s="41"/>
      <c r="S395" s="41"/>
      <c r="T395" s="41"/>
      <c r="U395" s="41"/>
      <c r="V395" s="41"/>
      <c r="W395" s="67"/>
      <c r="X395" s="67"/>
      <c r="Y395" s="24"/>
      <c r="Z395" s="24"/>
      <c r="AA395" s="24"/>
      <c r="AB395" s="24"/>
      <c r="AC395" s="24"/>
      <c r="AD395" s="24"/>
      <c r="AE395" s="24"/>
      <c r="AF395" s="24"/>
      <c r="AG395" s="24"/>
      <c r="AH395" s="24"/>
      <c r="AI395" s="24"/>
      <c r="AJ395" s="24"/>
      <c r="AK395" s="24"/>
      <c r="AL395" s="24"/>
      <c r="AM395" s="24"/>
    </row>
    <row r="396" spans="1:39" ht="56.25" customHeight="1" x14ac:dyDescent="0.3">
      <c r="A396" s="62"/>
      <c r="B396" s="63"/>
      <c r="C396" s="64"/>
      <c r="D396" s="41"/>
      <c r="E396" s="41"/>
      <c r="F396" s="41"/>
      <c r="G396" s="41"/>
      <c r="H396" s="41"/>
      <c r="I396" s="65"/>
      <c r="J396" s="41"/>
      <c r="K396" s="41"/>
      <c r="L396" s="41"/>
      <c r="M396" s="41"/>
      <c r="N396" s="41"/>
      <c r="O396" s="66"/>
      <c r="P396" s="66"/>
      <c r="Q396" s="41"/>
      <c r="R396" s="41"/>
      <c r="S396" s="41"/>
      <c r="T396" s="41"/>
      <c r="U396" s="41"/>
      <c r="V396" s="41"/>
      <c r="W396" s="67"/>
      <c r="X396" s="67"/>
      <c r="Y396" s="24"/>
      <c r="Z396" s="24"/>
      <c r="AA396" s="24"/>
      <c r="AB396" s="24"/>
      <c r="AC396" s="24"/>
      <c r="AD396" s="24"/>
      <c r="AE396" s="24"/>
      <c r="AF396" s="24"/>
      <c r="AG396" s="24"/>
      <c r="AH396" s="24"/>
      <c r="AI396" s="24"/>
      <c r="AJ396" s="24"/>
      <c r="AK396" s="24"/>
      <c r="AL396" s="24"/>
      <c r="AM396" s="24"/>
    </row>
    <row r="397" spans="1:39" ht="56.25" customHeight="1" x14ac:dyDescent="0.3">
      <c r="A397" s="62"/>
      <c r="B397" s="63"/>
      <c r="C397" s="64"/>
      <c r="D397" s="41"/>
      <c r="E397" s="41"/>
      <c r="F397" s="41"/>
      <c r="G397" s="41"/>
      <c r="H397" s="41"/>
      <c r="I397" s="65"/>
      <c r="J397" s="41"/>
      <c r="K397" s="41"/>
      <c r="L397" s="41"/>
      <c r="M397" s="41"/>
      <c r="N397" s="41"/>
      <c r="O397" s="66"/>
      <c r="P397" s="66"/>
      <c r="Q397" s="41"/>
      <c r="R397" s="41"/>
      <c r="S397" s="41"/>
      <c r="T397" s="41"/>
      <c r="U397" s="41"/>
      <c r="V397" s="41"/>
      <c r="W397" s="67"/>
      <c r="X397" s="67"/>
      <c r="Y397" s="24"/>
      <c r="Z397" s="24"/>
      <c r="AA397" s="24"/>
      <c r="AB397" s="24"/>
      <c r="AC397" s="24"/>
      <c r="AD397" s="24"/>
      <c r="AE397" s="24"/>
      <c r="AF397" s="24"/>
      <c r="AG397" s="24"/>
      <c r="AH397" s="24"/>
      <c r="AI397" s="24"/>
      <c r="AJ397" s="24"/>
      <c r="AK397" s="24"/>
      <c r="AL397" s="24"/>
      <c r="AM397" s="24"/>
    </row>
    <row r="398" spans="1:39" ht="56.25" customHeight="1" x14ac:dyDescent="0.3">
      <c r="A398" s="62"/>
      <c r="B398" s="63"/>
      <c r="C398" s="64"/>
      <c r="D398" s="41"/>
      <c r="E398" s="41"/>
      <c r="F398" s="41"/>
      <c r="G398" s="41"/>
      <c r="H398" s="41"/>
      <c r="I398" s="65"/>
      <c r="J398" s="41"/>
      <c r="K398" s="41"/>
      <c r="L398" s="41"/>
      <c r="M398" s="41"/>
      <c r="N398" s="41"/>
      <c r="O398" s="66"/>
      <c r="P398" s="66"/>
      <c r="Q398" s="41"/>
      <c r="R398" s="41"/>
      <c r="S398" s="41"/>
      <c r="T398" s="41"/>
      <c r="U398" s="41"/>
      <c r="V398" s="41"/>
      <c r="W398" s="67"/>
      <c r="X398" s="67"/>
      <c r="Y398" s="24"/>
      <c r="Z398" s="24"/>
      <c r="AA398" s="24"/>
      <c r="AB398" s="24"/>
      <c r="AC398" s="24"/>
      <c r="AD398" s="24"/>
      <c r="AE398" s="24"/>
      <c r="AF398" s="24"/>
      <c r="AG398" s="24"/>
      <c r="AH398" s="24"/>
      <c r="AI398" s="24"/>
      <c r="AJ398" s="24"/>
      <c r="AK398" s="24"/>
      <c r="AL398" s="24"/>
      <c r="AM398" s="24"/>
    </row>
    <row r="399" spans="1:39" ht="56.25" customHeight="1" x14ac:dyDescent="0.3">
      <c r="A399" s="62"/>
      <c r="B399" s="63"/>
      <c r="C399" s="64"/>
      <c r="D399" s="41"/>
      <c r="E399" s="41"/>
      <c r="F399" s="41"/>
      <c r="G399" s="41"/>
      <c r="H399" s="41"/>
      <c r="I399" s="65"/>
      <c r="J399" s="41"/>
      <c r="K399" s="41"/>
      <c r="L399" s="41"/>
      <c r="M399" s="41"/>
      <c r="N399" s="41"/>
      <c r="O399" s="66"/>
      <c r="P399" s="66"/>
      <c r="Q399" s="41"/>
      <c r="R399" s="41"/>
      <c r="S399" s="41"/>
      <c r="T399" s="41"/>
      <c r="U399" s="41"/>
      <c r="V399" s="41"/>
      <c r="W399" s="67"/>
      <c r="X399" s="67"/>
      <c r="Y399" s="24"/>
      <c r="Z399" s="24"/>
      <c r="AA399" s="24"/>
      <c r="AB399" s="24"/>
      <c r="AC399" s="24"/>
      <c r="AD399" s="24"/>
      <c r="AE399" s="24"/>
      <c r="AF399" s="24"/>
      <c r="AG399" s="24"/>
      <c r="AH399" s="24"/>
      <c r="AI399" s="24"/>
      <c r="AJ399" s="24"/>
      <c r="AK399" s="24"/>
      <c r="AL399" s="24"/>
      <c r="AM399" s="24"/>
    </row>
    <row r="400" spans="1:39" ht="56.25" customHeight="1" x14ac:dyDescent="0.3">
      <c r="A400" s="62"/>
      <c r="B400" s="63"/>
      <c r="C400" s="64"/>
      <c r="D400" s="41"/>
      <c r="E400" s="41"/>
      <c r="F400" s="41"/>
      <c r="G400" s="41"/>
      <c r="H400" s="41"/>
      <c r="I400" s="65"/>
      <c r="J400" s="41"/>
      <c r="K400" s="41"/>
      <c r="L400" s="41"/>
      <c r="M400" s="41"/>
      <c r="N400" s="41"/>
      <c r="O400" s="66"/>
      <c r="P400" s="66"/>
      <c r="Q400" s="41"/>
      <c r="R400" s="41"/>
      <c r="S400" s="41"/>
      <c r="T400" s="41"/>
      <c r="U400" s="41"/>
      <c r="V400" s="41"/>
      <c r="W400" s="67"/>
      <c r="X400" s="67"/>
      <c r="Y400" s="24"/>
      <c r="Z400" s="24"/>
      <c r="AA400" s="24"/>
      <c r="AB400" s="24"/>
      <c r="AC400" s="24"/>
      <c r="AD400" s="24"/>
      <c r="AE400" s="24"/>
      <c r="AF400" s="24"/>
      <c r="AG400" s="24"/>
      <c r="AH400" s="24"/>
      <c r="AI400" s="24"/>
      <c r="AJ400" s="24"/>
      <c r="AK400" s="24"/>
      <c r="AL400" s="24"/>
      <c r="AM400" s="24"/>
    </row>
    <row r="401" spans="1:39" ht="56.25" customHeight="1" x14ac:dyDescent="0.3">
      <c r="A401" s="62"/>
      <c r="B401" s="63"/>
      <c r="C401" s="64"/>
      <c r="D401" s="41"/>
      <c r="E401" s="41"/>
      <c r="F401" s="41"/>
      <c r="G401" s="41"/>
      <c r="H401" s="41"/>
      <c r="I401" s="65"/>
      <c r="J401" s="41"/>
      <c r="K401" s="41"/>
      <c r="L401" s="41"/>
      <c r="M401" s="41"/>
      <c r="N401" s="41"/>
      <c r="O401" s="66"/>
      <c r="P401" s="66"/>
      <c r="Q401" s="41"/>
      <c r="R401" s="41"/>
      <c r="S401" s="41"/>
      <c r="T401" s="41"/>
      <c r="U401" s="41"/>
      <c r="V401" s="41"/>
      <c r="W401" s="67"/>
      <c r="X401" s="67"/>
      <c r="Y401" s="24"/>
      <c r="Z401" s="24"/>
      <c r="AA401" s="24"/>
      <c r="AB401" s="24"/>
      <c r="AC401" s="24"/>
      <c r="AD401" s="24"/>
      <c r="AE401" s="24"/>
      <c r="AF401" s="24"/>
      <c r="AG401" s="24"/>
      <c r="AH401" s="24"/>
      <c r="AI401" s="24"/>
      <c r="AJ401" s="24"/>
      <c r="AK401" s="24"/>
      <c r="AL401" s="24"/>
      <c r="AM401" s="24"/>
    </row>
    <row r="402" spans="1:39" ht="56.25" customHeight="1" x14ac:dyDescent="0.3">
      <c r="A402" s="62"/>
      <c r="B402" s="63"/>
      <c r="C402" s="64"/>
      <c r="D402" s="41"/>
      <c r="E402" s="41"/>
      <c r="F402" s="41"/>
      <c r="G402" s="41"/>
      <c r="H402" s="41"/>
      <c r="I402" s="65"/>
      <c r="J402" s="41"/>
      <c r="K402" s="41"/>
      <c r="L402" s="41"/>
      <c r="M402" s="41"/>
      <c r="N402" s="41"/>
      <c r="O402" s="66"/>
      <c r="P402" s="66"/>
      <c r="Q402" s="41"/>
      <c r="R402" s="41"/>
      <c r="S402" s="41"/>
      <c r="T402" s="41"/>
      <c r="U402" s="41"/>
      <c r="V402" s="41"/>
      <c r="W402" s="67"/>
      <c r="X402" s="67"/>
      <c r="Y402" s="24"/>
      <c r="Z402" s="24"/>
      <c r="AA402" s="24"/>
      <c r="AB402" s="24"/>
      <c r="AC402" s="24"/>
      <c r="AD402" s="24"/>
      <c r="AE402" s="24"/>
      <c r="AF402" s="24"/>
      <c r="AG402" s="24"/>
      <c r="AH402" s="24"/>
      <c r="AI402" s="24"/>
      <c r="AJ402" s="24"/>
      <c r="AK402" s="24"/>
      <c r="AL402" s="24"/>
      <c r="AM402" s="24"/>
    </row>
    <row r="403" spans="1:39" ht="56.25" customHeight="1" x14ac:dyDescent="0.3">
      <c r="A403" s="62"/>
      <c r="B403" s="63"/>
      <c r="C403" s="64"/>
      <c r="D403" s="41"/>
      <c r="E403" s="41"/>
      <c r="F403" s="41"/>
      <c r="G403" s="41"/>
      <c r="H403" s="41"/>
      <c r="I403" s="65"/>
      <c r="J403" s="41"/>
      <c r="K403" s="41"/>
      <c r="L403" s="41"/>
      <c r="M403" s="41"/>
      <c r="N403" s="41"/>
      <c r="O403" s="66"/>
      <c r="P403" s="66"/>
      <c r="Q403" s="41"/>
      <c r="R403" s="41"/>
      <c r="S403" s="41"/>
      <c r="T403" s="41"/>
      <c r="U403" s="41"/>
      <c r="V403" s="41"/>
      <c r="W403" s="67"/>
      <c r="X403" s="67"/>
      <c r="Y403" s="24"/>
      <c r="Z403" s="24"/>
      <c r="AA403" s="24"/>
      <c r="AB403" s="24"/>
      <c r="AC403" s="24"/>
      <c r="AD403" s="24"/>
      <c r="AE403" s="24"/>
      <c r="AF403" s="24"/>
      <c r="AG403" s="24"/>
      <c r="AH403" s="24"/>
      <c r="AI403" s="24"/>
      <c r="AJ403" s="24"/>
      <c r="AK403" s="24"/>
      <c r="AL403" s="24"/>
      <c r="AM403" s="24"/>
    </row>
    <row r="404" spans="1:39" ht="56.25" customHeight="1" x14ac:dyDescent="0.3">
      <c r="A404" s="24"/>
      <c r="B404" s="63"/>
      <c r="C404" s="64"/>
      <c r="D404" s="41"/>
      <c r="E404" s="41"/>
      <c r="F404" s="41"/>
      <c r="G404" s="41"/>
      <c r="H404" s="41"/>
      <c r="I404" s="65"/>
      <c r="J404" s="41"/>
      <c r="K404" s="41"/>
      <c r="L404" s="41"/>
      <c r="M404" s="41"/>
      <c r="N404" s="41"/>
      <c r="O404" s="41"/>
      <c r="P404" s="41"/>
      <c r="Q404" s="41"/>
      <c r="R404" s="41"/>
      <c r="S404" s="41"/>
      <c r="T404" s="41"/>
      <c r="U404" s="41"/>
      <c r="V404" s="41"/>
      <c r="W404" s="41"/>
      <c r="X404" s="41"/>
      <c r="Y404" s="24"/>
      <c r="Z404" s="24"/>
      <c r="AA404" s="24"/>
      <c r="AB404" s="24"/>
      <c r="AC404" s="24"/>
      <c r="AD404" s="24"/>
      <c r="AE404" s="24"/>
      <c r="AF404" s="24"/>
      <c r="AG404" s="24"/>
      <c r="AH404" s="24"/>
      <c r="AI404" s="24"/>
      <c r="AJ404" s="24"/>
      <c r="AK404" s="24"/>
      <c r="AL404" s="24"/>
      <c r="AM404" s="24"/>
    </row>
    <row r="405" spans="1:39" ht="56.25" customHeight="1" x14ac:dyDescent="0.3">
      <c r="A405" s="24"/>
      <c r="B405" s="63"/>
      <c r="C405" s="64"/>
      <c r="D405" s="41"/>
      <c r="E405" s="41"/>
      <c r="F405" s="41"/>
      <c r="G405" s="41"/>
      <c r="H405" s="41"/>
      <c r="I405" s="65"/>
      <c r="J405" s="41"/>
      <c r="K405" s="41"/>
      <c r="L405" s="41"/>
      <c r="M405" s="41"/>
      <c r="N405" s="41"/>
      <c r="O405" s="41"/>
      <c r="P405" s="41"/>
      <c r="Q405" s="41"/>
      <c r="R405" s="41"/>
      <c r="S405" s="41"/>
      <c r="T405" s="41"/>
      <c r="U405" s="41"/>
      <c r="V405" s="41"/>
      <c r="W405" s="41"/>
      <c r="X405" s="41"/>
      <c r="Y405" s="24"/>
      <c r="Z405" s="24"/>
      <c r="AA405" s="24"/>
      <c r="AB405" s="24"/>
      <c r="AC405" s="24"/>
      <c r="AD405" s="24"/>
      <c r="AE405" s="24"/>
      <c r="AF405" s="24"/>
      <c r="AG405" s="24"/>
      <c r="AH405" s="24"/>
      <c r="AI405" s="24"/>
      <c r="AJ405" s="24"/>
      <c r="AK405" s="24"/>
      <c r="AL405" s="24"/>
      <c r="AM405" s="24"/>
    </row>
    <row r="406" spans="1:39" ht="56.25" customHeight="1" x14ac:dyDescent="0.3">
      <c r="A406" s="24"/>
      <c r="B406" s="63"/>
      <c r="C406" s="64"/>
      <c r="D406" s="41"/>
      <c r="E406" s="41"/>
      <c r="F406" s="41"/>
      <c r="G406" s="41"/>
      <c r="H406" s="41"/>
      <c r="I406" s="65"/>
      <c r="J406" s="41"/>
      <c r="K406" s="41"/>
      <c r="L406" s="41"/>
      <c r="M406" s="41"/>
      <c r="N406" s="41"/>
      <c r="O406" s="41"/>
      <c r="P406" s="41"/>
      <c r="Q406" s="41"/>
      <c r="R406" s="41"/>
      <c r="S406" s="41"/>
      <c r="T406" s="41"/>
      <c r="U406" s="41"/>
      <c r="V406" s="41"/>
      <c r="W406" s="41"/>
      <c r="X406" s="41"/>
      <c r="Y406" s="24"/>
      <c r="Z406" s="24"/>
      <c r="AA406" s="24"/>
      <c r="AB406" s="24"/>
      <c r="AC406" s="24"/>
      <c r="AD406" s="24"/>
      <c r="AE406" s="24"/>
      <c r="AF406" s="24"/>
      <c r="AG406" s="24"/>
      <c r="AH406" s="24"/>
      <c r="AI406" s="24"/>
      <c r="AJ406" s="24"/>
      <c r="AK406" s="24"/>
      <c r="AL406" s="24"/>
      <c r="AM406" s="24"/>
    </row>
    <row r="407" spans="1:39" ht="56.25" customHeight="1" x14ac:dyDescent="0.3">
      <c r="A407" s="24"/>
      <c r="B407" s="63"/>
      <c r="C407" s="64"/>
      <c r="D407" s="41"/>
      <c r="E407" s="41"/>
      <c r="F407" s="41"/>
      <c r="G407" s="41"/>
      <c r="H407" s="41"/>
      <c r="I407" s="65"/>
      <c r="J407" s="41"/>
      <c r="K407" s="41"/>
      <c r="L407" s="41"/>
      <c r="M407" s="41"/>
      <c r="N407" s="41"/>
      <c r="O407" s="41"/>
      <c r="P407" s="41"/>
      <c r="Q407" s="41"/>
      <c r="R407" s="41"/>
      <c r="S407" s="41"/>
      <c r="T407" s="41"/>
      <c r="U407" s="41"/>
      <c r="V407" s="41"/>
      <c r="W407" s="41"/>
      <c r="X407" s="41"/>
      <c r="Y407" s="24"/>
      <c r="Z407" s="24"/>
      <c r="AA407" s="24"/>
      <c r="AB407" s="24"/>
      <c r="AC407" s="24"/>
      <c r="AD407" s="24"/>
      <c r="AE407" s="24"/>
      <c r="AF407" s="24"/>
      <c r="AG407" s="24"/>
      <c r="AH407" s="24"/>
      <c r="AI407" s="24"/>
      <c r="AJ407" s="24"/>
      <c r="AK407" s="24"/>
      <c r="AL407" s="24"/>
      <c r="AM407" s="24"/>
    </row>
    <row r="408" spans="1:39" ht="56.25" customHeight="1" x14ac:dyDescent="0.3">
      <c r="A408" s="24"/>
      <c r="B408" s="63"/>
      <c r="C408" s="64"/>
      <c r="D408" s="41"/>
      <c r="E408" s="41"/>
      <c r="F408" s="41"/>
      <c r="G408" s="41"/>
      <c r="H408" s="41"/>
      <c r="I408" s="65"/>
      <c r="J408" s="41"/>
      <c r="K408" s="41"/>
      <c r="L408" s="41"/>
      <c r="M408" s="41"/>
      <c r="N408" s="41"/>
      <c r="O408" s="41"/>
      <c r="P408" s="41"/>
      <c r="Q408" s="41"/>
      <c r="R408" s="41"/>
      <c r="S408" s="41"/>
      <c r="T408" s="41"/>
      <c r="U408" s="41"/>
      <c r="V408" s="41"/>
      <c r="W408" s="41"/>
      <c r="X408" s="41"/>
      <c r="Y408" s="24"/>
      <c r="Z408" s="24"/>
      <c r="AA408" s="24"/>
      <c r="AB408" s="24"/>
      <c r="AC408" s="24"/>
      <c r="AD408" s="24"/>
      <c r="AE408" s="24"/>
      <c r="AF408" s="24"/>
      <c r="AG408" s="24"/>
      <c r="AH408" s="24"/>
      <c r="AI408" s="24"/>
      <c r="AJ408" s="24"/>
      <c r="AK408" s="24"/>
      <c r="AL408" s="24"/>
      <c r="AM408" s="24"/>
    </row>
    <row r="409" spans="1:39" ht="56.25" customHeight="1" x14ac:dyDescent="0.3">
      <c r="A409" s="24"/>
      <c r="B409" s="63"/>
      <c r="C409" s="64"/>
      <c r="D409" s="41"/>
      <c r="E409" s="41"/>
      <c r="F409" s="41"/>
      <c r="G409" s="41"/>
      <c r="H409" s="41"/>
      <c r="I409" s="65"/>
      <c r="J409" s="41"/>
      <c r="K409" s="41"/>
      <c r="L409" s="41"/>
      <c r="M409" s="41"/>
      <c r="N409" s="41"/>
      <c r="O409" s="41"/>
      <c r="P409" s="41"/>
      <c r="Q409" s="41"/>
      <c r="R409" s="41"/>
      <c r="S409" s="41"/>
      <c r="T409" s="41"/>
      <c r="U409" s="41"/>
      <c r="V409" s="41"/>
      <c r="W409" s="41"/>
      <c r="X409" s="41"/>
      <c r="Y409" s="24"/>
      <c r="Z409" s="24"/>
      <c r="AA409" s="24"/>
      <c r="AB409" s="24"/>
      <c r="AC409" s="24"/>
      <c r="AD409" s="24"/>
      <c r="AE409" s="24"/>
      <c r="AF409" s="24"/>
      <c r="AG409" s="24"/>
      <c r="AH409" s="24"/>
      <c r="AI409" s="24"/>
      <c r="AJ409" s="24"/>
      <c r="AK409" s="24"/>
      <c r="AL409" s="24"/>
      <c r="AM409" s="24"/>
    </row>
    <row r="410" spans="1:39" ht="56.25" customHeight="1" x14ac:dyDescent="0.3">
      <c r="A410" s="24"/>
      <c r="B410" s="63"/>
      <c r="C410" s="64"/>
      <c r="D410" s="41"/>
      <c r="E410" s="41"/>
      <c r="F410" s="41"/>
      <c r="G410" s="41"/>
      <c r="H410" s="41"/>
      <c r="I410" s="65"/>
      <c r="J410" s="41"/>
      <c r="K410" s="41"/>
      <c r="L410" s="41"/>
      <c r="M410" s="41"/>
      <c r="N410" s="41"/>
      <c r="O410" s="41"/>
      <c r="P410" s="41"/>
      <c r="Q410" s="41"/>
      <c r="R410" s="41"/>
      <c r="S410" s="41"/>
      <c r="T410" s="41"/>
      <c r="U410" s="41"/>
      <c r="V410" s="41"/>
      <c r="W410" s="41"/>
      <c r="X410" s="41"/>
      <c r="Y410" s="24"/>
      <c r="Z410" s="24"/>
      <c r="AA410" s="24"/>
      <c r="AB410" s="24"/>
      <c r="AC410" s="24"/>
      <c r="AD410" s="24"/>
      <c r="AE410" s="24"/>
      <c r="AF410" s="24"/>
      <c r="AG410" s="24"/>
      <c r="AH410" s="24"/>
      <c r="AI410" s="24"/>
      <c r="AJ410" s="24"/>
      <c r="AK410" s="24"/>
      <c r="AL410" s="24"/>
      <c r="AM410" s="24"/>
    </row>
    <row r="411" spans="1:39" ht="56.25" customHeight="1" x14ac:dyDescent="0.3">
      <c r="A411" s="24"/>
      <c r="B411" s="63"/>
      <c r="C411" s="64"/>
      <c r="D411" s="41"/>
      <c r="E411" s="41"/>
      <c r="F411" s="41"/>
      <c r="G411" s="41"/>
      <c r="H411" s="41"/>
      <c r="I411" s="65"/>
      <c r="J411" s="41"/>
      <c r="K411" s="41"/>
      <c r="L411" s="41"/>
      <c r="M411" s="41"/>
      <c r="N411" s="41"/>
      <c r="O411" s="41"/>
      <c r="P411" s="41"/>
      <c r="Q411" s="41"/>
      <c r="R411" s="41"/>
      <c r="S411" s="41"/>
      <c r="T411" s="41"/>
      <c r="U411" s="41"/>
      <c r="V411" s="41"/>
      <c r="W411" s="41"/>
      <c r="X411" s="41"/>
      <c r="Y411" s="24"/>
      <c r="Z411" s="24"/>
      <c r="AA411" s="24"/>
      <c r="AB411" s="24"/>
      <c r="AC411" s="24"/>
      <c r="AD411" s="24"/>
      <c r="AE411" s="24"/>
      <c r="AF411" s="24"/>
      <c r="AG411" s="24"/>
      <c r="AH411" s="24"/>
      <c r="AI411" s="24"/>
      <c r="AJ411" s="24"/>
      <c r="AK411" s="24"/>
      <c r="AL411" s="24"/>
      <c r="AM411" s="24"/>
    </row>
    <row r="412" spans="1:39" ht="56.25" customHeight="1" x14ac:dyDescent="0.3">
      <c r="A412" s="24"/>
      <c r="B412" s="63"/>
      <c r="C412" s="64"/>
      <c r="D412" s="41"/>
      <c r="E412" s="41"/>
      <c r="F412" s="41"/>
      <c r="G412" s="41"/>
      <c r="H412" s="41"/>
      <c r="I412" s="65"/>
      <c r="J412" s="41"/>
      <c r="K412" s="41"/>
      <c r="L412" s="41"/>
      <c r="M412" s="41"/>
      <c r="N412" s="41"/>
      <c r="O412" s="41"/>
      <c r="P412" s="41"/>
      <c r="Q412" s="41"/>
      <c r="R412" s="41"/>
      <c r="S412" s="41"/>
      <c r="T412" s="41"/>
      <c r="U412" s="41"/>
      <c r="V412" s="41"/>
      <c r="W412" s="41"/>
      <c r="X412" s="41"/>
      <c r="Y412" s="24"/>
      <c r="Z412" s="24"/>
      <c r="AA412" s="24"/>
      <c r="AB412" s="24"/>
      <c r="AC412" s="24"/>
      <c r="AD412" s="24"/>
      <c r="AE412" s="24"/>
      <c r="AF412" s="24"/>
      <c r="AG412" s="24"/>
      <c r="AH412" s="24"/>
      <c r="AI412" s="24"/>
      <c r="AJ412" s="24"/>
      <c r="AK412" s="24"/>
      <c r="AL412" s="24"/>
      <c r="AM412" s="24"/>
    </row>
    <row r="413" spans="1:39" ht="56.25" customHeight="1" x14ac:dyDescent="0.3">
      <c r="A413" s="24"/>
      <c r="B413" s="63"/>
      <c r="C413" s="64"/>
      <c r="D413" s="41"/>
      <c r="E413" s="41"/>
      <c r="F413" s="41"/>
      <c r="G413" s="41"/>
      <c r="H413" s="41"/>
      <c r="I413" s="65"/>
      <c r="J413" s="41"/>
      <c r="K413" s="41"/>
      <c r="L413" s="41"/>
      <c r="M413" s="41"/>
      <c r="N413" s="41"/>
      <c r="O413" s="66"/>
      <c r="P413" s="66"/>
      <c r="Q413" s="41"/>
      <c r="R413" s="41"/>
      <c r="S413" s="41"/>
      <c r="T413" s="41"/>
      <c r="U413" s="41"/>
      <c r="V413" s="41"/>
      <c r="W413" s="41"/>
      <c r="X413" s="70"/>
      <c r="Y413" s="24"/>
      <c r="Z413" s="24"/>
      <c r="AA413" s="24"/>
      <c r="AB413" s="24"/>
      <c r="AC413" s="24"/>
      <c r="AD413" s="24"/>
      <c r="AE413" s="24"/>
      <c r="AF413" s="24"/>
      <c r="AG413" s="24"/>
      <c r="AH413" s="24"/>
      <c r="AI413" s="24"/>
      <c r="AJ413" s="24"/>
      <c r="AK413" s="24"/>
      <c r="AL413" s="24"/>
      <c r="AM413" s="24"/>
    </row>
    <row r="414" spans="1:39" ht="56.25" customHeight="1" x14ac:dyDescent="0.3">
      <c r="A414" s="24"/>
      <c r="B414" s="63"/>
      <c r="C414" s="64"/>
      <c r="D414" s="41"/>
      <c r="E414" s="41"/>
      <c r="F414" s="41"/>
      <c r="G414" s="41"/>
      <c r="H414" s="41"/>
      <c r="I414" s="65"/>
      <c r="J414" s="41"/>
      <c r="K414" s="41"/>
      <c r="L414" s="41"/>
      <c r="M414" s="41"/>
      <c r="N414" s="41"/>
      <c r="O414" s="41"/>
      <c r="P414" s="41"/>
      <c r="Q414" s="41"/>
      <c r="R414" s="41"/>
      <c r="S414" s="41"/>
      <c r="T414" s="41"/>
      <c r="U414" s="41"/>
      <c r="V414" s="41"/>
      <c r="W414" s="41"/>
      <c r="X414" s="41"/>
      <c r="Y414" s="24"/>
      <c r="Z414" s="24"/>
      <c r="AA414" s="24"/>
      <c r="AB414" s="24"/>
      <c r="AC414" s="24"/>
      <c r="AD414" s="24"/>
      <c r="AE414" s="24"/>
      <c r="AF414" s="24"/>
      <c r="AG414" s="24"/>
      <c r="AH414" s="24"/>
      <c r="AI414" s="24"/>
      <c r="AJ414" s="24"/>
      <c r="AK414" s="24"/>
      <c r="AL414" s="24"/>
      <c r="AM414" s="24"/>
    </row>
    <row r="415" spans="1:39" ht="56.25" customHeight="1" x14ac:dyDescent="0.3">
      <c r="A415" s="24"/>
      <c r="B415" s="63"/>
      <c r="C415" s="64"/>
      <c r="D415" s="41"/>
      <c r="E415" s="41"/>
      <c r="F415" s="41"/>
      <c r="G415" s="41"/>
      <c r="H415" s="41"/>
      <c r="I415" s="65"/>
      <c r="J415" s="41"/>
      <c r="K415" s="41"/>
      <c r="L415" s="41"/>
      <c r="M415" s="41"/>
      <c r="N415" s="41"/>
      <c r="O415" s="41"/>
      <c r="P415" s="41"/>
      <c r="Q415" s="41"/>
      <c r="R415" s="41"/>
      <c r="S415" s="41"/>
      <c r="T415" s="41"/>
      <c r="U415" s="41"/>
      <c r="V415" s="41"/>
      <c r="W415" s="41"/>
      <c r="X415" s="41"/>
      <c r="Y415" s="24"/>
      <c r="Z415" s="24"/>
      <c r="AA415" s="24"/>
      <c r="AB415" s="24"/>
      <c r="AC415" s="24"/>
      <c r="AD415" s="24"/>
      <c r="AE415" s="24"/>
      <c r="AF415" s="24"/>
      <c r="AG415" s="24"/>
      <c r="AH415" s="24"/>
      <c r="AI415" s="24"/>
      <c r="AJ415" s="24"/>
      <c r="AK415" s="24"/>
      <c r="AL415" s="24"/>
      <c r="AM415" s="24"/>
    </row>
    <row r="416" spans="1:39" ht="56.25" customHeight="1" x14ac:dyDescent="0.3">
      <c r="A416" s="24"/>
      <c r="B416" s="63"/>
      <c r="C416" s="64"/>
      <c r="D416" s="41"/>
      <c r="E416" s="41"/>
      <c r="F416" s="41"/>
      <c r="G416" s="41"/>
      <c r="H416" s="41"/>
      <c r="I416" s="65"/>
      <c r="J416" s="41"/>
      <c r="K416" s="41"/>
      <c r="L416" s="41"/>
      <c r="M416" s="41"/>
      <c r="N416" s="41"/>
      <c r="O416" s="41"/>
      <c r="P416" s="41"/>
      <c r="Q416" s="41"/>
      <c r="R416" s="41"/>
      <c r="S416" s="41"/>
      <c r="T416" s="41"/>
      <c r="U416" s="41"/>
      <c r="V416" s="41"/>
      <c r="W416" s="41"/>
      <c r="X416" s="41"/>
      <c r="Y416" s="24"/>
      <c r="Z416" s="24"/>
      <c r="AA416" s="24"/>
      <c r="AB416" s="24"/>
      <c r="AC416" s="24"/>
      <c r="AD416" s="24"/>
      <c r="AE416" s="24"/>
      <c r="AF416" s="24"/>
      <c r="AG416" s="24"/>
      <c r="AH416" s="24"/>
      <c r="AI416" s="24"/>
      <c r="AJ416" s="24"/>
      <c r="AK416" s="24"/>
      <c r="AL416" s="24"/>
      <c r="AM416" s="24"/>
    </row>
    <row r="417" spans="1:39" ht="56.25" customHeight="1" x14ac:dyDescent="0.3">
      <c r="A417" s="24"/>
      <c r="B417" s="63"/>
      <c r="C417" s="64"/>
      <c r="D417" s="41"/>
      <c r="E417" s="41"/>
      <c r="F417" s="41"/>
      <c r="G417" s="41"/>
      <c r="H417" s="41"/>
      <c r="I417" s="65"/>
      <c r="J417" s="41"/>
      <c r="K417" s="41"/>
      <c r="L417" s="41"/>
      <c r="M417" s="41"/>
      <c r="N417" s="41"/>
      <c r="O417" s="41"/>
      <c r="P417" s="41"/>
      <c r="Q417" s="41"/>
      <c r="R417" s="41"/>
      <c r="S417" s="41"/>
      <c r="T417" s="41"/>
      <c r="U417" s="41"/>
      <c r="V417" s="41"/>
      <c r="W417" s="41"/>
      <c r="X417" s="41"/>
      <c r="Y417" s="24"/>
      <c r="Z417" s="24"/>
      <c r="AA417" s="24"/>
      <c r="AB417" s="24"/>
      <c r="AC417" s="24"/>
      <c r="AD417" s="24"/>
      <c r="AE417" s="24"/>
      <c r="AF417" s="24"/>
      <c r="AG417" s="24"/>
      <c r="AH417" s="24"/>
      <c r="AI417" s="24"/>
      <c r="AJ417" s="24"/>
      <c r="AK417" s="24"/>
      <c r="AL417" s="24"/>
      <c r="AM417" s="24"/>
    </row>
    <row r="418" spans="1:39" ht="56.25" customHeight="1" x14ac:dyDescent="0.3">
      <c r="A418" s="24"/>
      <c r="B418" s="63"/>
      <c r="C418" s="64"/>
      <c r="D418" s="41"/>
      <c r="E418" s="41"/>
      <c r="F418" s="41"/>
      <c r="G418" s="41"/>
      <c r="H418" s="41"/>
      <c r="I418" s="65"/>
      <c r="J418" s="41"/>
      <c r="K418" s="41"/>
      <c r="L418" s="41"/>
      <c r="M418" s="41"/>
      <c r="N418" s="41"/>
      <c r="O418" s="41"/>
      <c r="P418" s="41"/>
      <c r="Q418" s="41"/>
      <c r="R418" s="41"/>
      <c r="S418" s="41"/>
      <c r="T418" s="41"/>
      <c r="U418" s="41"/>
      <c r="V418" s="41"/>
      <c r="W418" s="41"/>
      <c r="X418" s="41"/>
      <c r="Y418" s="24"/>
      <c r="Z418" s="24"/>
      <c r="AA418" s="24"/>
      <c r="AB418" s="24"/>
      <c r="AC418" s="24"/>
      <c r="AD418" s="24"/>
      <c r="AE418" s="24"/>
      <c r="AF418" s="24"/>
      <c r="AG418" s="24"/>
      <c r="AH418" s="24"/>
      <c r="AI418" s="24"/>
      <c r="AJ418" s="24"/>
      <c r="AK418" s="24"/>
      <c r="AL418" s="24"/>
      <c r="AM418" s="24"/>
    </row>
    <row r="419" spans="1:39" ht="56.25" customHeight="1" x14ac:dyDescent="0.3">
      <c r="A419" s="24"/>
      <c r="B419" s="63"/>
      <c r="C419" s="64"/>
      <c r="D419" s="41"/>
      <c r="E419" s="41"/>
      <c r="F419" s="41"/>
      <c r="G419" s="41"/>
      <c r="H419" s="41"/>
      <c r="I419" s="65"/>
      <c r="J419" s="41"/>
      <c r="K419" s="41"/>
      <c r="L419" s="41"/>
      <c r="M419" s="41"/>
      <c r="N419" s="41"/>
      <c r="O419" s="41"/>
      <c r="P419" s="41"/>
      <c r="Q419" s="41"/>
      <c r="R419" s="41"/>
      <c r="S419" s="41"/>
      <c r="T419" s="41"/>
      <c r="U419" s="41"/>
      <c r="V419" s="41"/>
      <c r="W419" s="41"/>
      <c r="X419" s="41"/>
      <c r="Y419" s="24"/>
      <c r="Z419" s="24"/>
      <c r="AA419" s="24"/>
      <c r="AB419" s="24"/>
      <c r="AC419" s="24"/>
      <c r="AD419" s="24"/>
      <c r="AE419" s="24"/>
      <c r="AF419" s="24"/>
      <c r="AG419" s="24"/>
      <c r="AH419" s="24"/>
      <c r="AI419" s="24"/>
      <c r="AJ419" s="24"/>
      <c r="AK419" s="24"/>
      <c r="AL419" s="24"/>
      <c r="AM419" s="24"/>
    </row>
    <row r="420" spans="1:39" ht="56.25" customHeight="1" x14ac:dyDescent="0.3">
      <c r="A420" s="24"/>
      <c r="B420" s="63"/>
      <c r="C420" s="64"/>
      <c r="D420" s="41"/>
      <c r="E420" s="41"/>
      <c r="F420" s="41"/>
      <c r="G420" s="41"/>
      <c r="H420" s="41"/>
      <c r="I420" s="65"/>
      <c r="J420" s="41"/>
      <c r="K420" s="41"/>
      <c r="L420" s="41"/>
      <c r="M420" s="41"/>
      <c r="N420" s="41"/>
      <c r="O420" s="41"/>
      <c r="P420" s="41"/>
      <c r="Q420" s="41"/>
      <c r="R420" s="41"/>
      <c r="S420" s="41"/>
      <c r="T420" s="41"/>
      <c r="U420" s="41"/>
      <c r="V420" s="41"/>
      <c r="W420" s="41"/>
      <c r="X420" s="41"/>
      <c r="Y420" s="24"/>
      <c r="Z420" s="24"/>
      <c r="AA420" s="24"/>
      <c r="AB420" s="24"/>
      <c r="AC420" s="24"/>
      <c r="AD420" s="24"/>
      <c r="AE420" s="24"/>
      <c r="AF420" s="24"/>
      <c r="AG420" s="24"/>
      <c r="AH420" s="24"/>
      <c r="AI420" s="24"/>
      <c r="AJ420" s="24"/>
      <c r="AK420" s="24"/>
      <c r="AL420" s="24"/>
      <c r="AM420" s="24"/>
    </row>
    <row r="421" spans="1:39" ht="56.25" customHeight="1" x14ac:dyDescent="0.3">
      <c r="A421" s="24"/>
      <c r="B421" s="63"/>
      <c r="C421" s="64"/>
      <c r="D421" s="41"/>
      <c r="E421" s="41"/>
      <c r="F421" s="41"/>
      <c r="G421" s="41"/>
      <c r="H421" s="41"/>
      <c r="I421" s="65"/>
      <c r="J421" s="41"/>
      <c r="K421" s="41"/>
      <c r="L421" s="41"/>
      <c r="M421" s="41"/>
      <c r="N421" s="41"/>
      <c r="O421" s="41"/>
      <c r="P421" s="41"/>
      <c r="Q421" s="41"/>
      <c r="R421" s="41"/>
      <c r="S421" s="41"/>
      <c r="T421" s="41"/>
      <c r="U421" s="41"/>
      <c r="V421" s="41"/>
      <c r="W421" s="41"/>
      <c r="X421" s="41"/>
      <c r="Y421" s="24"/>
      <c r="Z421" s="24"/>
      <c r="AA421" s="24"/>
      <c r="AB421" s="24"/>
      <c r="AC421" s="24"/>
      <c r="AD421" s="24"/>
      <c r="AE421" s="24"/>
      <c r="AF421" s="24"/>
      <c r="AG421" s="24"/>
      <c r="AH421" s="24"/>
      <c r="AI421" s="24"/>
      <c r="AJ421" s="24"/>
      <c r="AK421" s="24"/>
      <c r="AL421" s="24"/>
      <c r="AM421" s="24"/>
    </row>
    <row r="422" spans="1:39" ht="56.25" customHeight="1" x14ac:dyDescent="0.3">
      <c r="A422" s="24"/>
      <c r="B422" s="63"/>
      <c r="C422" s="64"/>
      <c r="D422" s="41"/>
      <c r="E422" s="41"/>
      <c r="F422" s="41"/>
      <c r="G422" s="41"/>
      <c r="H422" s="41"/>
      <c r="I422" s="65"/>
      <c r="J422" s="41"/>
      <c r="K422" s="41"/>
      <c r="L422" s="41"/>
      <c r="M422" s="41"/>
      <c r="N422" s="41"/>
      <c r="O422" s="41"/>
      <c r="P422" s="41"/>
      <c r="Q422" s="41"/>
      <c r="R422" s="41"/>
      <c r="S422" s="41"/>
      <c r="T422" s="41"/>
      <c r="U422" s="41"/>
      <c r="V422" s="41"/>
      <c r="W422" s="41"/>
      <c r="X422" s="41"/>
      <c r="Y422" s="24"/>
      <c r="Z422" s="24"/>
      <c r="AA422" s="24"/>
      <c r="AB422" s="24"/>
      <c r="AC422" s="24"/>
      <c r="AD422" s="24"/>
      <c r="AE422" s="24"/>
      <c r="AF422" s="24"/>
      <c r="AG422" s="24"/>
      <c r="AH422" s="24"/>
      <c r="AI422" s="24"/>
      <c r="AJ422" s="24"/>
      <c r="AK422" s="24"/>
      <c r="AL422" s="24"/>
      <c r="AM422" s="24"/>
    </row>
    <row r="423" spans="1:39" ht="56.25" customHeight="1" x14ac:dyDescent="0.3">
      <c r="A423" s="24"/>
      <c r="B423" s="63"/>
      <c r="C423" s="64"/>
      <c r="D423" s="41"/>
      <c r="E423" s="41"/>
      <c r="F423" s="41"/>
      <c r="G423" s="41"/>
      <c r="H423" s="41"/>
      <c r="I423" s="65"/>
      <c r="J423" s="41"/>
      <c r="K423" s="41"/>
      <c r="L423" s="41"/>
      <c r="M423" s="41"/>
      <c r="N423" s="41"/>
      <c r="O423" s="41"/>
      <c r="P423" s="41"/>
      <c r="Q423" s="41"/>
      <c r="R423" s="41"/>
      <c r="S423" s="41"/>
      <c r="T423" s="41"/>
      <c r="U423" s="41"/>
      <c r="V423" s="41"/>
      <c r="W423" s="41"/>
      <c r="X423" s="41"/>
      <c r="Y423" s="24"/>
      <c r="Z423" s="24"/>
      <c r="AA423" s="24"/>
      <c r="AB423" s="24"/>
      <c r="AC423" s="24"/>
      <c r="AD423" s="24"/>
      <c r="AE423" s="24"/>
      <c r="AF423" s="24"/>
      <c r="AG423" s="24"/>
      <c r="AH423" s="24"/>
      <c r="AI423" s="24"/>
      <c r="AJ423" s="24"/>
      <c r="AK423" s="24"/>
      <c r="AL423" s="24"/>
      <c r="AM423" s="24"/>
    </row>
    <row r="424" spans="1:39" ht="56.25" customHeight="1" x14ac:dyDescent="0.3">
      <c r="A424" s="24"/>
      <c r="B424" s="63"/>
      <c r="C424" s="64"/>
      <c r="D424" s="41"/>
      <c r="E424" s="41"/>
      <c r="F424" s="41"/>
      <c r="G424" s="41"/>
      <c r="H424" s="41"/>
      <c r="I424" s="65"/>
      <c r="J424" s="41"/>
      <c r="K424" s="41"/>
      <c r="L424" s="41"/>
      <c r="M424" s="41"/>
      <c r="N424" s="41"/>
      <c r="O424" s="41"/>
      <c r="P424" s="41"/>
      <c r="Q424" s="41"/>
      <c r="R424" s="41"/>
      <c r="S424" s="41"/>
      <c r="T424" s="41"/>
      <c r="U424" s="41"/>
      <c r="V424" s="41"/>
      <c r="W424" s="41"/>
      <c r="X424" s="41"/>
      <c r="Y424" s="24"/>
      <c r="Z424" s="24"/>
      <c r="AA424" s="24"/>
      <c r="AB424" s="24"/>
      <c r="AC424" s="24"/>
      <c r="AD424" s="24"/>
      <c r="AE424" s="24"/>
      <c r="AF424" s="24"/>
      <c r="AG424" s="24"/>
      <c r="AH424" s="24"/>
      <c r="AI424" s="24"/>
      <c r="AJ424" s="24"/>
      <c r="AK424" s="24"/>
      <c r="AL424" s="24"/>
      <c r="AM424" s="24"/>
    </row>
    <row r="425" spans="1:39" ht="56.25" customHeight="1" x14ac:dyDescent="0.3">
      <c r="A425" s="24"/>
      <c r="B425" s="63"/>
      <c r="C425" s="64"/>
      <c r="D425" s="41"/>
      <c r="E425" s="41"/>
      <c r="F425" s="41"/>
      <c r="G425" s="41"/>
      <c r="H425" s="41"/>
      <c r="I425" s="65"/>
      <c r="J425" s="41"/>
      <c r="K425" s="41"/>
      <c r="L425" s="41"/>
      <c r="M425" s="41"/>
      <c r="N425" s="41"/>
      <c r="O425" s="41"/>
      <c r="P425" s="41"/>
      <c r="Q425" s="41"/>
      <c r="R425" s="41"/>
      <c r="S425" s="41"/>
      <c r="T425" s="41"/>
      <c r="U425" s="41"/>
      <c r="V425" s="41"/>
      <c r="W425" s="41"/>
      <c r="X425" s="41"/>
      <c r="Y425" s="24"/>
      <c r="Z425" s="24"/>
      <c r="AA425" s="24"/>
      <c r="AB425" s="24"/>
      <c r="AC425" s="24"/>
      <c r="AD425" s="24"/>
      <c r="AE425" s="24"/>
      <c r="AF425" s="24"/>
      <c r="AG425" s="24"/>
      <c r="AH425" s="24"/>
      <c r="AI425" s="24"/>
      <c r="AJ425" s="24"/>
      <c r="AK425" s="24"/>
      <c r="AL425" s="24"/>
      <c r="AM425" s="24"/>
    </row>
    <row r="426" spans="1:39" ht="56.25" customHeight="1" x14ac:dyDescent="0.3">
      <c r="A426" s="24"/>
      <c r="B426" s="63"/>
      <c r="C426" s="64"/>
      <c r="D426" s="41"/>
      <c r="E426" s="41"/>
      <c r="F426" s="41"/>
      <c r="G426" s="41"/>
      <c r="H426" s="41"/>
      <c r="I426" s="65"/>
      <c r="J426" s="41"/>
      <c r="K426" s="41"/>
      <c r="L426" s="41"/>
      <c r="M426" s="41"/>
      <c r="N426" s="41"/>
      <c r="O426" s="41"/>
      <c r="P426" s="41"/>
      <c r="Q426" s="41"/>
      <c r="R426" s="41"/>
      <c r="S426" s="41"/>
      <c r="T426" s="41"/>
      <c r="U426" s="41"/>
      <c r="V426" s="41"/>
      <c r="W426" s="41"/>
      <c r="X426" s="41"/>
      <c r="Y426" s="24"/>
      <c r="Z426" s="24"/>
      <c r="AA426" s="24"/>
      <c r="AB426" s="24"/>
      <c r="AC426" s="24"/>
      <c r="AD426" s="24"/>
      <c r="AE426" s="24"/>
      <c r="AF426" s="24"/>
      <c r="AG426" s="24"/>
      <c r="AH426" s="24"/>
      <c r="AI426" s="24"/>
      <c r="AJ426" s="24"/>
      <c r="AK426" s="24"/>
      <c r="AL426" s="24"/>
      <c r="AM426" s="24"/>
    </row>
    <row r="427" spans="1:39" ht="56.25" customHeight="1" x14ac:dyDescent="0.3">
      <c r="A427" s="24"/>
      <c r="B427" s="63"/>
      <c r="C427" s="64"/>
      <c r="D427" s="41"/>
      <c r="E427" s="41"/>
      <c r="F427" s="41"/>
      <c r="G427" s="41"/>
      <c r="H427" s="41"/>
      <c r="I427" s="65"/>
      <c r="J427" s="41"/>
      <c r="K427" s="41"/>
      <c r="L427" s="41"/>
      <c r="M427" s="41"/>
      <c r="N427" s="41"/>
      <c r="O427" s="41"/>
      <c r="P427" s="41"/>
      <c r="Q427" s="41"/>
      <c r="R427" s="41"/>
      <c r="S427" s="41"/>
      <c r="T427" s="41"/>
      <c r="U427" s="41"/>
      <c r="V427" s="41"/>
      <c r="W427" s="41"/>
      <c r="X427" s="41"/>
      <c r="Y427" s="24"/>
      <c r="Z427" s="24"/>
      <c r="AA427" s="24"/>
      <c r="AB427" s="24"/>
      <c r="AC427" s="24"/>
      <c r="AD427" s="24"/>
      <c r="AE427" s="24"/>
      <c r="AF427" s="24"/>
      <c r="AG427" s="24"/>
      <c r="AH427" s="24"/>
      <c r="AI427" s="24"/>
      <c r="AJ427" s="24"/>
      <c r="AK427" s="24"/>
      <c r="AL427" s="24"/>
      <c r="AM427" s="24"/>
    </row>
    <row r="428" spans="1:39" ht="56.25" customHeight="1" x14ac:dyDescent="0.3">
      <c r="A428" s="24"/>
      <c r="B428" s="63"/>
      <c r="C428" s="64"/>
      <c r="D428" s="41"/>
      <c r="E428" s="41"/>
      <c r="F428" s="41"/>
      <c r="G428" s="41"/>
      <c r="H428" s="41"/>
      <c r="I428" s="65"/>
      <c r="J428" s="41"/>
      <c r="K428" s="41"/>
      <c r="L428" s="41"/>
      <c r="M428" s="41"/>
      <c r="N428" s="41"/>
      <c r="O428" s="41"/>
      <c r="P428" s="41"/>
      <c r="Q428" s="41"/>
      <c r="R428" s="41"/>
      <c r="S428" s="41"/>
      <c r="T428" s="41"/>
      <c r="U428" s="41"/>
      <c r="V428" s="41"/>
      <c r="W428" s="41"/>
      <c r="X428" s="41"/>
      <c r="Y428" s="24"/>
      <c r="Z428" s="24"/>
      <c r="AA428" s="24"/>
      <c r="AB428" s="24"/>
      <c r="AC428" s="24"/>
      <c r="AD428" s="24"/>
      <c r="AE428" s="24"/>
      <c r="AF428" s="24"/>
      <c r="AG428" s="24"/>
      <c r="AH428" s="24"/>
      <c r="AI428" s="24"/>
      <c r="AJ428" s="24"/>
      <c r="AK428" s="24"/>
      <c r="AL428" s="24"/>
      <c r="AM428" s="24"/>
    </row>
    <row r="429" spans="1:39" ht="56.25" customHeight="1" x14ac:dyDescent="0.3">
      <c r="A429" s="24"/>
      <c r="B429" s="63"/>
      <c r="C429" s="64"/>
      <c r="D429" s="41"/>
      <c r="E429" s="41"/>
      <c r="F429" s="41"/>
      <c r="G429" s="41"/>
      <c r="H429" s="41"/>
      <c r="I429" s="65"/>
      <c r="J429" s="41"/>
      <c r="K429" s="41"/>
      <c r="L429" s="41"/>
      <c r="M429" s="41"/>
      <c r="N429" s="41"/>
      <c r="O429" s="41"/>
      <c r="P429" s="41"/>
      <c r="Q429" s="41"/>
      <c r="R429" s="41"/>
      <c r="S429" s="41"/>
      <c r="T429" s="41"/>
      <c r="U429" s="41"/>
      <c r="V429" s="41"/>
      <c r="W429" s="41"/>
      <c r="X429" s="41"/>
      <c r="Y429" s="24"/>
      <c r="Z429" s="24"/>
      <c r="AA429" s="24"/>
      <c r="AB429" s="24"/>
      <c r="AC429" s="24"/>
      <c r="AD429" s="24"/>
      <c r="AE429" s="24"/>
      <c r="AF429" s="24"/>
      <c r="AG429" s="24"/>
      <c r="AH429" s="24"/>
      <c r="AI429" s="24"/>
      <c r="AJ429" s="24"/>
      <c r="AK429" s="24"/>
      <c r="AL429" s="24"/>
      <c r="AM429" s="24"/>
    </row>
    <row r="430" spans="1:39" ht="56.25" customHeight="1" x14ac:dyDescent="0.3">
      <c r="A430" s="24"/>
      <c r="B430" s="63"/>
      <c r="C430" s="64"/>
      <c r="D430" s="41"/>
      <c r="E430" s="41"/>
      <c r="F430" s="41"/>
      <c r="G430" s="41"/>
      <c r="H430" s="41"/>
      <c r="I430" s="65"/>
      <c r="J430" s="41"/>
      <c r="K430" s="41"/>
      <c r="L430" s="41"/>
      <c r="M430" s="41"/>
      <c r="N430" s="41"/>
      <c r="O430" s="41"/>
      <c r="P430" s="41"/>
      <c r="Q430" s="41"/>
      <c r="R430" s="41"/>
      <c r="S430" s="41"/>
      <c r="T430" s="41"/>
      <c r="U430" s="41"/>
      <c r="V430" s="41"/>
      <c r="W430" s="41"/>
      <c r="X430" s="41"/>
      <c r="Y430" s="24"/>
      <c r="Z430" s="24"/>
      <c r="AA430" s="24"/>
      <c r="AB430" s="24"/>
      <c r="AC430" s="24"/>
      <c r="AD430" s="24"/>
      <c r="AE430" s="24"/>
      <c r="AF430" s="24"/>
      <c r="AG430" s="24"/>
      <c r="AH430" s="24"/>
      <c r="AI430" s="24"/>
      <c r="AJ430" s="24"/>
      <c r="AK430" s="24"/>
      <c r="AL430" s="24"/>
      <c r="AM430" s="24"/>
    </row>
    <row r="431" spans="1:39" ht="56.25" customHeight="1" x14ac:dyDescent="0.3">
      <c r="A431" s="24"/>
      <c r="B431" s="63"/>
      <c r="C431" s="64"/>
      <c r="D431" s="41"/>
      <c r="E431" s="41"/>
      <c r="F431" s="41"/>
      <c r="G431" s="41"/>
      <c r="H431" s="41"/>
      <c r="I431" s="65"/>
      <c r="J431" s="41"/>
      <c r="K431" s="41"/>
      <c r="L431" s="41"/>
      <c r="M431" s="41"/>
      <c r="N431" s="41"/>
      <c r="O431" s="41"/>
      <c r="P431" s="41"/>
      <c r="Q431" s="41"/>
      <c r="R431" s="41"/>
      <c r="S431" s="41"/>
      <c r="T431" s="41"/>
      <c r="U431" s="41"/>
      <c r="V431" s="41"/>
      <c r="W431" s="41"/>
      <c r="X431" s="41"/>
      <c r="Y431" s="24"/>
      <c r="Z431" s="24"/>
      <c r="AA431" s="24"/>
      <c r="AB431" s="24"/>
      <c r="AC431" s="24"/>
      <c r="AD431" s="24"/>
      <c r="AE431" s="24"/>
      <c r="AF431" s="24"/>
      <c r="AG431" s="24"/>
      <c r="AH431" s="24"/>
      <c r="AI431" s="24"/>
      <c r="AJ431" s="24"/>
      <c r="AK431" s="24"/>
      <c r="AL431" s="24"/>
      <c r="AM431" s="24"/>
    </row>
    <row r="432" spans="1:39" ht="56.25" customHeight="1" x14ac:dyDescent="0.3">
      <c r="A432" s="24"/>
      <c r="B432" s="63"/>
      <c r="C432" s="64"/>
      <c r="D432" s="41"/>
      <c r="E432" s="41"/>
      <c r="F432" s="41"/>
      <c r="G432" s="41"/>
      <c r="H432" s="41"/>
      <c r="I432" s="65"/>
      <c r="J432" s="41"/>
      <c r="K432" s="41"/>
      <c r="L432" s="41"/>
      <c r="M432" s="41"/>
      <c r="N432" s="41"/>
      <c r="O432" s="41"/>
      <c r="P432" s="41"/>
      <c r="Q432" s="41"/>
      <c r="R432" s="41"/>
      <c r="S432" s="41"/>
      <c r="T432" s="41"/>
      <c r="U432" s="41"/>
      <c r="V432" s="41"/>
      <c r="W432" s="41"/>
      <c r="X432" s="41"/>
      <c r="Y432" s="24"/>
      <c r="Z432" s="24"/>
      <c r="AA432" s="24"/>
      <c r="AB432" s="24"/>
      <c r="AC432" s="24"/>
      <c r="AD432" s="24"/>
      <c r="AE432" s="24"/>
      <c r="AF432" s="24"/>
      <c r="AG432" s="24"/>
      <c r="AH432" s="24"/>
      <c r="AI432" s="24"/>
      <c r="AJ432" s="24"/>
      <c r="AK432" s="24"/>
      <c r="AL432" s="24"/>
      <c r="AM432" s="24"/>
    </row>
    <row r="433" spans="1:39" ht="56.25" customHeight="1" x14ac:dyDescent="0.3">
      <c r="A433" s="24"/>
      <c r="B433" s="63"/>
      <c r="C433" s="64"/>
      <c r="D433" s="41"/>
      <c r="E433" s="41"/>
      <c r="F433" s="41"/>
      <c r="G433" s="41"/>
      <c r="H433" s="41"/>
      <c r="I433" s="65"/>
      <c r="J433" s="41"/>
      <c r="K433" s="41"/>
      <c r="L433" s="41"/>
      <c r="M433" s="41"/>
      <c r="N433" s="41"/>
      <c r="O433" s="41"/>
      <c r="P433" s="41"/>
      <c r="Q433" s="41"/>
      <c r="R433" s="41"/>
      <c r="S433" s="41"/>
      <c r="T433" s="41"/>
      <c r="U433" s="41"/>
      <c r="V433" s="41"/>
      <c r="W433" s="41"/>
      <c r="X433" s="41"/>
      <c r="Y433" s="24"/>
      <c r="Z433" s="24"/>
      <c r="AA433" s="24"/>
      <c r="AB433" s="24"/>
      <c r="AC433" s="24"/>
      <c r="AD433" s="24"/>
      <c r="AE433" s="24"/>
      <c r="AF433" s="24"/>
      <c r="AG433" s="24"/>
      <c r="AH433" s="24"/>
      <c r="AI433" s="24"/>
      <c r="AJ433" s="24"/>
      <c r="AK433" s="24"/>
      <c r="AL433" s="24"/>
      <c r="AM433" s="24"/>
    </row>
    <row r="434" spans="1:39" ht="56.25" customHeight="1" x14ac:dyDescent="0.3">
      <c r="A434" s="24"/>
      <c r="B434" s="63"/>
      <c r="C434" s="64"/>
      <c r="D434" s="41"/>
      <c r="E434" s="41"/>
      <c r="F434" s="41"/>
      <c r="G434" s="41"/>
      <c r="H434" s="41"/>
      <c r="I434" s="65"/>
      <c r="J434" s="41"/>
      <c r="K434" s="41"/>
      <c r="L434" s="41"/>
      <c r="M434" s="41"/>
      <c r="N434" s="41"/>
      <c r="O434" s="41"/>
      <c r="P434" s="41"/>
      <c r="Q434" s="41"/>
      <c r="R434" s="41"/>
      <c r="S434" s="41"/>
      <c r="T434" s="41"/>
      <c r="U434" s="41"/>
      <c r="V434" s="41"/>
      <c r="W434" s="41"/>
      <c r="X434" s="41"/>
      <c r="Y434" s="24"/>
      <c r="Z434" s="24"/>
      <c r="AA434" s="24"/>
      <c r="AB434" s="24"/>
      <c r="AC434" s="24"/>
      <c r="AD434" s="24"/>
      <c r="AE434" s="24"/>
      <c r="AF434" s="24"/>
      <c r="AG434" s="24"/>
      <c r="AH434" s="24"/>
      <c r="AI434" s="24"/>
      <c r="AJ434" s="24"/>
      <c r="AK434" s="24"/>
      <c r="AL434" s="24"/>
      <c r="AM434" s="24"/>
    </row>
    <row r="435" spans="1:39" ht="56.25" customHeight="1" x14ac:dyDescent="0.3">
      <c r="A435" s="24"/>
      <c r="B435" s="63"/>
      <c r="C435" s="64"/>
      <c r="D435" s="41"/>
      <c r="E435" s="41"/>
      <c r="F435" s="41"/>
      <c r="G435" s="41"/>
      <c r="H435" s="41"/>
      <c r="I435" s="65"/>
      <c r="J435" s="41"/>
      <c r="K435" s="41"/>
      <c r="L435" s="41"/>
      <c r="M435" s="41"/>
      <c r="N435" s="41"/>
      <c r="O435" s="41"/>
      <c r="P435" s="41"/>
      <c r="Q435" s="41"/>
      <c r="R435" s="41"/>
      <c r="S435" s="41"/>
      <c r="T435" s="41"/>
      <c r="U435" s="41"/>
      <c r="V435" s="41"/>
      <c r="W435" s="41"/>
      <c r="X435" s="41"/>
      <c r="Y435" s="24"/>
      <c r="Z435" s="24"/>
      <c r="AA435" s="24"/>
      <c r="AB435" s="24"/>
      <c r="AC435" s="24"/>
      <c r="AD435" s="24"/>
      <c r="AE435" s="24"/>
      <c r="AF435" s="24"/>
      <c r="AG435" s="24"/>
      <c r="AH435" s="24"/>
      <c r="AI435" s="24"/>
      <c r="AJ435" s="24"/>
      <c r="AK435" s="24"/>
      <c r="AL435" s="24"/>
      <c r="AM435" s="24"/>
    </row>
    <row r="436" spans="1:39" ht="56.25" customHeight="1" x14ac:dyDescent="0.3">
      <c r="A436" s="24"/>
      <c r="B436" s="63"/>
      <c r="C436" s="64"/>
      <c r="D436" s="41"/>
      <c r="E436" s="41"/>
      <c r="F436" s="41"/>
      <c r="G436" s="41"/>
      <c r="H436" s="41"/>
      <c r="I436" s="65"/>
      <c r="J436" s="41"/>
      <c r="K436" s="41"/>
      <c r="L436" s="41"/>
      <c r="M436" s="41"/>
      <c r="N436" s="41"/>
      <c r="O436" s="41"/>
      <c r="P436" s="41"/>
      <c r="Q436" s="41"/>
      <c r="R436" s="41"/>
      <c r="S436" s="41"/>
      <c r="T436" s="41"/>
      <c r="U436" s="41"/>
      <c r="V436" s="41"/>
      <c r="W436" s="41"/>
      <c r="X436" s="41"/>
      <c r="Y436" s="24"/>
      <c r="Z436" s="24"/>
      <c r="AA436" s="24"/>
      <c r="AB436" s="24"/>
      <c r="AC436" s="24"/>
      <c r="AD436" s="24"/>
      <c r="AE436" s="24"/>
      <c r="AF436" s="24"/>
      <c r="AG436" s="24"/>
      <c r="AH436" s="24"/>
      <c r="AI436" s="24"/>
      <c r="AJ436" s="24"/>
      <c r="AK436" s="24"/>
      <c r="AL436" s="24"/>
      <c r="AM436" s="24"/>
    </row>
    <row r="437" spans="1:39" ht="56.25" customHeight="1" x14ac:dyDescent="0.3">
      <c r="A437" s="24"/>
      <c r="B437" s="63"/>
      <c r="C437" s="64"/>
      <c r="D437" s="41"/>
      <c r="E437" s="41"/>
      <c r="F437" s="41"/>
      <c r="G437" s="41"/>
      <c r="H437" s="41"/>
      <c r="I437" s="65"/>
      <c r="J437" s="41"/>
      <c r="K437" s="41"/>
      <c r="L437" s="41"/>
      <c r="M437" s="41"/>
      <c r="N437" s="41"/>
      <c r="O437" s="41"/>
      <c r="P437" s="41"/>
      <c r="Q437" s="41"/>
      <c r="R437" s="41"/>
      <c r="S437" s="41"/>
      <c r="T437" s="41"/>
      <c r="U437" s="41"/>
      <c r="V437" s="41"/>
      <c r="W437" s="41"/>
      <c r="X437" s="41"/>
      <c r="Y437" s="24"/>
      <c r="Z437" s="24"/>
      <c r="AA437" s="24"/>
      <c r="AB437" s="24"/>
      <c r="AC437" s="24"/>
      <c r="AD437" s="24"/>
      <c r="AE437" s="24"/>
      <c r="AF437" s="24"/>
      <c r="AG437" s="24"/>
      <c r="AH437" s="24"/>
      <c r="AI437" s="24"/>
      <c r="AJ437" s="24"/>
      <c r="AK437" s="24"/>
      <c r="AL437" s="24"/>
      <c r="AM437" s="24"/>
    </row>
    <row r="438" spans="1:39" ht="56.25" customHeight="1" x14ac:dyDescent="0.3">
      <c r="A438" s="24"/>
      <c r="B438" s="63"/>
      <c r="C438" s="64"/>
      <c r="D438" s="41"/>
      <c r="E438" s="41"/>
      <c r="F438" s="41"/>
      <c r="G438" s="41"/>
      <c r="H438" s="41"/>
      <c r="I438" s="65"/>
      <c r="J438" s="41"/>
      <c r="K438" s="41"/>
      <c r="L438" s="41"/>
      <c r="M438" s="41"/>
      <c r="N438" s="41"/>
      <c r="O438" s="41"/>
      <c r="P438" s="41"/>
      <c r="Q438" s="41"/>
      <c r="R438" s="41"/>
      <c r="S438" s="41"/>
      <c r="T438" s="41"/>
      <c r="U438" s="41"/>
      <c r="V438" s="41"/>
      <c r="W438" s="41"/>
      <c r="X438" s="41"/>
      <c r="Y438" s="24"/>
      <c r="Z438" s="24"/>
      <c r="AA438" s="24"/>
      <c r="AB438" s="24"/>
      <c r="AC438" s="24"/>
      <c r="AD438" s="24"/>
      <c r="AE438" s="24"/>
      <c r="AF438" s="24"/>
      <c r="AG438" s="24"/>
      <c r="AH438" s="24"/>
      <c r="AI438" s="24"/>
      <c r="AJ438" s="24"/>
      <c r="AK438" s="24"/>
      <c r="AL438" s="24"/>
      <c r="AM438" s="24"/>
    </row>
    <row r="439" spans="1:39" ht="56.25" customHeight="1" x14ac:dyDescent="0.3">
      <c r="A439" s="24"/>
      <c r="B439" s="63"/>
      <c r="C439" s="64"/>
      <c r="D439" s="41"/>
      <c r="E439" s="41"/>
      <c r="F439" s="41"/>
      <c r="G439" s="41"/>
      <c r="H439" s="41"/>
      <c r="I439" s="65"/>
      <c r="J439" s="41"/>
      <c r="K439" s="41"/>
      <c r="L439" s="41"/>
      <c r="M439" s="41"/>
      <c r="N439" s="41"/>
      <c r="O439" s="41"/>
      <c r="P439" s="41"/>
      <c r="Q439" s="41"/>
      <c r="R439" s="41"/>
      <c r="S439" s="41"/>
      <c r="T439" s="41"/>
      <c r="U439" s="41"/>
      <c r="V439" s="41"/>
      <c r="W439" s="41"/>
      <c r="X439" s="41"/>
      <c r="Y439" s="24"/>
      <c r="Z439" s="24"/>
      <c r="AA439" s="24"/>
      <c r="AB439" s="24"/>
      <c r="AC439" s="24"/>
      <c r="AD439" s="24"/>
      <c r="AE439" s="24"/>
      <c r="AF439" s="24"/>
      <c r="AG439" s="24"/>
      <c r="AH439" s="24"/>
      <c r="AI439" s="24"/>
      <c r="AJ439" s="24"/>
      <c r="AK439" s="24"/>
      <c r="AL439" s="24"/>
      <c r="AM439" s="24"/>
    </row>
    <row r="440" spans="1:39" ht="56.25" customHeight="1" x14ac:dyDescent="0.3">
      <c r="A440" s="24"/>
      <c r="B440" s="63"/>
      <c r="C440" s="64"/>
      <c r="D440" s="41"/>
      <c r="E440" s="41"/>
      <c r="F440" s="41"/>
      <c r="G440" s="41"/>
      <c r="H440" s="41"/>
      <c r="I440" s="65"/>
      <c r="J440" s="41"/>
      <c r="K440" s="41"/>
      <c r="L440" s="41"/>
      <c r="M440" s="41"/>
      <c r="N440" s="41"/>
      <c r="O440" s="41"/>
      <c r="P440" s="41"/>
      <c r="Q440" s="41"/>
      <c r="R440" s="41"/>
      <c r="S440" s="41"/>
      <c r="T440" s="41"/>
      <c r="U440" s="41"/>
      <c r="V440" s="41"/>
      <c r="W440" s="41"/>
      <c r="X440" s="41"/>
      <c r="Y440" s="24"/>
      <c r="Z440" s="24"/>
      <c r="AA440" s="24"/>
      <c r="AB440" s="24"/>
      <c r="AC440" s="24"/>
      <c r="AD440" s="24"/>
      <c r="AE440" s="24"/>
      <c r="AF440" s="24"/>
      <c r="AG440" s="24"/>
      <c r="AH440" s="24"/>
      <c r="AI440" s="24"/>
      <c r="AJ440" s="24"/>
      <c r="AK440" s="24"/>
      <c r="AL440" s="24"/>
      <c r="AM440" s="24"/>
    </row>
    <row r="441" spans="1:39" ht="56.25" customHeight="1" x14ac:dyDescent="0.3">
      <c r="A441" s="24"/>
      <c r="B441" s="63"/>
      <c r="C441" s="64"/>
      <c r="D441" s="41"/>
      <c r="E441" s="41"/>
      <c r="F441" s="41"/>
      <c r="G441" s="41"/>
      <c r="H441" s="41"/>
      <c r="I441" s="65"/>
      <c r="J441" s="41"/>
      <c r="K441" s="41"/>
      <c r="L441" s="41"/>
      <c r="M441" s="41"/>
      <c r="N441" s="41"/>
      <c r="O441" s="41"/>
      <c r="P441" s="41"/>
      <c r="Q441" s="41"/>
      <c r="R441" s="41"/>
      <c r="S441" s="41"/>
      <c r="T441" s="41"/>
      <c r="U441" s="41"/>
      <c r="V441" s="41"/>
      <c r="W441" s="41"/>
      <c r="X441" s="41"/>
      <c r="Y441" s="24"/>
      <c r="Z441" s="24"/>
      <c r="AA441" s="24"/>
      <c r="AB441" s="24"/>
      <c r="AC441" s="24"/>
      <c r="AD441" s="24"/>
      <c r="AE441" s="24"/>
      <c r="AF441" s="24"/>
      <c r="AG441" s="24"/>
      <c r="AH441" s="24"/>
      <c r="AI441" s="24"/>
      <c r="AJ441" s="24"/>
      <c r="AK441" s="24"/>
      <c r="AL441" s="24"/>
      <c r="AM441" s="24"/>
    </row>
    <row r="442" spans="1:39" ht="56.25" customHeight="1" x14ac:dyDescent="0.3">
      <c r="A442" s="24"/>
      <c r="B442" s="63"/>
      <c r="C442" s="64"/>
      <c r="D442" s="41"/>
      <c r="E442" s="41"/>
      <c r="F442" s="41"/>
      <c r="G442" s="41"/>
      <c r="H442" s="41"/>
      <c r="I442" s="65"/>
      <c r="J442" s="41"/>
      <c r="K442" s="41"/>
      <c r="L442" s="41"/>
      <c r="M442" s="41"/>
      <c r="N442" s="41"/>
      <c r="O442" s="41"/>
      <c r="P442" s="41"/>
      <c r="Q442" s="41"/>
      <c r="R442" s="41"/>
      <c r="S442" s="41"/>
      <c r="T442" s="41"/>
      <c r="U442" s="41"/>
      <c r="V442" s="41"/>
      <c r="W442" s="41"/>
      <c r="X442" s="41"/>
      <c r="Y442" s="24"/>
      <c r="Z442" s="24"/>
      <c r="AA442" s="24"/>
      <c r="AB442" s="24"/>
      <c r="AC442" s="24"/>
      <c r="AD442" s="24"/>
      <c r="AE442" s="24"/>
      <c r="AF442" s="24"/>
      <c r="AG442" s="24"/>
      <c r="AH442" s="24"/>
      <c r="AI442" s="24"/>
      <c r="AJ442" s="24"/>
      <c r="AK442" s="24"/>
      <c r="AL442" s="24"/>
      <c r="AM442" s="24"/>
    </row>
    <row r="443" spans="1:39" ht="56.25" customHeight="1" x14ac:dyDescent="0.3">
      <c r="A443" s="24"/>
      <c r="B443" s="63"/>
      <c r="C443" s="64"/>
      <c r="D443" s="41"/>
      <c r="E443" s="41"/>
      <c r="F443" s="41"/>
      <c r="G443" s="41"/>
      <c r="H443" s="41"/>
      <c r="I443" s="65"/>
      <c r="J443" s="41"/>
      <c r="K443" s="41"/>
      <c r="L443" s="41"/>
      <c r="M443" s="41"/>
      <c r="N443" s="41"/>
      <c r="O443" s="41"/>
      <c r="P443" s="41"/>
      <c r="Q443" s="41"/>
      <c r="R443" s="41"/>
      <c r="S443" s="41"/>
      <c r="T443" s="41"/>
      <c r="U443" s="41"/>
      <c r="V443" s="41"/>
      <c r="W443" s="41"/>
      <c r="X443" s="41"/>
      <c r="Y443" s="24"/>
      <c r="Z443" s="24"/>
      <c r="AA443" s="24"/>
      <c r="AB443" s="24"/>
      <c r="AC443" s="24"/>
      <c r="AD443" s="24"/>
      <c r="AE443" s="24"/>
      <c r="AF443" s="24"/>
      <c r="AG443" s="24"/>
      <c r="AH443" s="24"/>
      <c r="AI443" s="24"/>
      <c r="AJ443" s="24"/>
      <c r="AK443" s="24"/>
      <c r="AL443" s="24"/>
      <c r="AM443" s="24"/>
    </row>
    <row r="444" spans="1:39" ht="56.25" customHeight="1" x14ac:dyDescent="0.3">
      <c r="A444" s="24"/>
      <c r="B444" s="63"/>
      <c r="C444" s="64"/>
      <c r="D444" s="41"/>
      <c r="E444" s="41"/>
      <c r="F444" s="41"/>
      <c r="G444" s="41"/>
      <c r="H444" s="41"/>
      <c r="I444" s="65"/>
      <c r="J444" s="41"/>
      <c r="K444" s="41"/>
      <c r="L444" s="41"/>
      <c r="M444" s="41"/>
      <c r="N444" s="41"/>
      <c r="O444" s="41"/>
      <c r="P444" s="41"/>
      <c r="Q444" s="41"/>
      <c r="R444" s="41"/>
      <c r="S444" s="41"/>
      <c r="T444" s="41"/>
      <c r="U444" s="41"/>
      <c r="V444" s="41"/>
      <c r="W444" s="41"/>
      <c r="X444" s="41"/>
      <c r="Y444" s="24"/>
      <c r="Z444" s="24"/>
      <c r="AA444" s="24"/>
      <c r="AB444" s="24"/>
      <c r="AC444" s="24"/>
      <c r="AD444" s="24"/>
      <c r="AE444" s="24"/>
      <c r="AF444" s="24"/>
      <c r="AG444" s="24"/>
      <c r="AH444" s="24"/>
      <c r="AI444" s="24"/>
      <c r="AJ444" s="24"/>
      <c r="AK444" s="24"/>
      <c r="AL444" s="24"/>
      <c r="AM444" s="24"/>
    </row>
    <row r="445" spans="1:39" ht="56.25" customHeight="1" x14ac:dyDescent="0.3">
      <c r="A445" s="24"/>
      <c r="B445" s="63"/>
      <c r="C445" s="64"/>
      <c r="D445" s="41"/>
      <c r="E445" s="41"/>
      <c r="F445" s="41"/>
      <c r="G445" s="41"/>
      <c r="H445" s="41"/>
      <c r="I445" s="65"/>
      <c r="J445" s="41"/>
      <c r="K445" s="41"/>
      <c r="L445" s="41"/>
      <c r="M445" s="41"/>
      <c r="N445" s="41"/>
      <c r="O445" s="41"/>
      <c r="P445" s="41"/>
      <c r="Q445" s="41"/>
      <c r="R445" s="41"/>
      <c r="S445" s="41"/>
      <c r="T445" s="41"/>
      <c r="U445" s="41"/>
      <c r="V445" s="41"/>
      <c r="W445" s="41"/>
      <c r="X445" s="41"/>
      <c r="Y445" s="24"/>
      <c r="Z445" s="24"/>
      <c r="AA445" s="24"/>
      <c r="AB445" s="24"/>
      <c r="AC445" s="24"/>
      <c r="AD445" s="24"/>
      <c r="AE445" s="24"/>
      <c r="AF445" s="24"/>
      <c r="AG445" s="24"/>
      <c r="AH445" s="24"/>
      <c r="AI445" s="24"/>
      <c r="AJ445" s="24"/>
      <c r="AK445" s="24"/>
      <c r="AL445" s="24"/>
      <c r="AM445" s="24"/>
    </row>
    <row r="446" spans="1:39" ht="56.25" customHeight="1" x14ac:dyDescent="0.3">
      <c r="A446" s="24"/>
      <c r="B446" s="63"/>
      <c r="C446" s="64"/>
      <c r="D446" s="41"/>
      <c r="E446" s="41"/>
      <c r="F446" s="41"/>
      <c r="G446" s="41"/>
      <c r="H446" s="41"/>
      <c r="I446" s="65"/>
      <c r="J446" s="41"/>
      <c r="K446" s="41"/>
      <c r="L446" s="41"/>
      <c r="M446" s="41"/>
      <c r="N446" s="41"/>
      <c r="O446" s="41"/>
      <c r="P446" s="41"/>
      <c r="Q446" s="41"/>
      <c r="R446" s="41"/>
      <c r="S446" s="41"/>
      <c r="T446" s="41"/>
      <c r="U446" s="41"/>
      <c r="V446" s="41"/>
      <c r="W446" s="41"/>
      <c r="X446" s="41"/>
      <c r="Y446" s="24"/>
      <c r="Z446" s="24"/>
      <c r="AA446" s="24"/>
      <c r="AB446" s="24"/>
      <c r="AC446" s="24"/>
      <c r="AD446" s="24"/>
      <c r="AE446" s="24"/>
      <c r="AF446" s="24"/>
      <c r="AG446" s="24"/>
      <c r="AH446" s="24"/>
      <c r="AI446" s="24"/>
      <c r="AJ446" s="24"/>
      <c r="AK446" s="24"/>
      <c r="AL446" s="24"/>
      <c r="AM446" s="24"/>
    </row>
    <row r="447" spans="1:39" ht="56.25" customHeight="1" x14ac:dyDescent="0.3">
      <c r="A447" s="24"/>
      <c r="B447" s="63"/>
      <c r="C447" s="64"/>
      <c r="D447" s="41"/>
      <c r="E447" s="41"/>
      <c r="F447" s="41"/>
      <c r="G447" s="41"/>
      <c r="H447" s="41"/>
      <c r="I447" s="65"/>
      <c r="J447" s="41"/>
      <c r="K447" s="41"/>
      <c r="L447" s="41"/>
      <c r="M447" s="41"/>
      <c r="N447" s="41"/>
      <c r="O447" s="41"/>
      <c r="P447" s="41"/>
      <c r="Q447" s="41"/>
      <c r="R447" s="41"/>
      <c r="S447" s="41"/>
      <c r="T447" s="41"/>
      <c r="U447" s="41"/>
      <c r="V447" s="41"/>
      <c r="W447" s="41"/>
      <c r="X447" s="41"/>
      <c r="Y447" s="24"/>
      <c r="Z447" s="24"/>
      <c r="AA447" s="24"/>
      <c r="AB447" s="24"/>
      <c r="AC447" s="24"/>
      <c r="AD447" s="24"/>
      <c r="AE447" s="24"/>
      <c r="AF447" s="24"/>
      <c r="AG447" s="24"/>
      <c r="AH447" s="24"/>
      <c r="AI447" s="24"/>
      <c r="AJ447" s="24"/>
      <c r="AK447" s="24"/>
      <c r="AL447" s="24"/>
      <c r="AM447" s="24"/>
    </row>
    <row r="448" spans="1:39" ht="56.25" customHeight="1" x14ac:dyDescent="0.3">
      <c r="A448" s="24"/>
      <c r="B448" s="63"/>
      <c r="C448" s="64"/>
      <c r="D448" s="41"/>
      <c r="E448" s="41"/>
      <c r="F448" s="41"/>
      <c r="G448" s="41"/>
      <c r="H448" s="41"/>
      <c r="I448" s="65"/>
      <c r="J448" s="41"/>
      <c r="K448" s="41"/>
      <c r="L448" s="41"/>
      <c r="M448" s="41"/>
      <c r="N448" s="41"/>
      <c r="O448" s="41"/>
      <c r="P448" s="41"/>
      <c r="Q448" s="41"/>
      <c r="R448" s="41"/>
      <c r="S448" s="41"/>
      <c r="T448" s="41"/>
      <c r="U448" s="41"/>
      <c r="V448" s="41"/>
      <c r="W448" s="41"/>
      <c r="X448" s="41"/>
      <c r="Y448" s="24"/>
      <c r="Z448" s="24"/>
      <c r="AA448" s="24"/>
      <c r="AB448" s="24"/>
      <c r="AC448" s="24"/>
      <c r="AD448" s="24"/>
      <c r="AE448" s="24"/>
      <c r="AF448" s="24"/>
      <c r="AG448" s="24"/>
      <c r="AH448" s="24"/>
      <c r="AI448" s="24"/>
      <c r="AJ448" s="24"/>
      <c r="AK448" s="24"/>
      <c r="AL448" s="24"/>
      <c r="AM448" s="24"/>
    </row>
    <row r="449" spans="1:39" ht="56.25" customHeight="1" x14ac:dyDescent="0.3">
      <c r="A449" s="24"/>
      <c r="B449" s="63"/>
      <c r="C449" s="64"/>
      <c r="D449" s="41"/>
      <c r="E449" s="41"/>
      <c r="F449" s="41"/>
      <c r="G449" s="41"/>
      <c r="H449" s="41"/>
      <c r="I449" s="65"/>
      <c r="J449" s="41"/>
      <c r="K449" s="41"/>
      <c r="L449" s="41"/>
      <c r="M449" s="41"/>
      <c r="N449" s="41"/>
      <c r="O449" s="41"/>
      <c r="P449" s="41"/>
      <c r="Q449" s="41"/>
      <c r="R449" s="41"/>
      <c r="S449" s="41"/>
      <c r="T449" s="41"/>
      <c r="U449" s="41"/>
      <c r="V449" s="41"/>
      <c r="W449" s="41"/>
      <c r="X449" s="41"/>
      <c r="Y449" s="24"/>
      <c r="Z449" s="24"/>
      <c r="AA449" s="24"/>
      <c r="AB449" s="24"/>
      <c r="AC449" s="24"/>
      <c r="AD449" s="24"/>
      <c r="AE449" s="24"/>
      <c r="AF449" s="24"/>
      <c r="AG449" s="24"/>
      <c r="AH449" s="24"/>
      <c r="AI449" s="24"/>
      <c r="AJ449" s="24"/>
      <c r="AK449" s="24"/>
      <c r="AL449" s="24"/>
      <c r="AM449" s="24"/>
    </row>
    <row r="450" spans="1:39" ht="56.25" customHeight="1" x14ac:dyDescent="0.3">
      <c r="A450" s="24"/>
      <c r="B450" s="63"/>
      <c r="C450" s="64"/>
      <c r="D450" s="41"/>
      <c r="E450" s="41"/>
      <c r="F450" s="41"/>
      <c r="G450" s="41"/>
      <c r="H450" s="41"/>
      <c r="I450" s="65"/>
      <c r="J450" s="41"/>
      <c r="K450" s="41"/>
      <c r="L450" s="41"/>
      <c r="M450" s="41"/>
      <c r="N450" s="41"/>
      <c r="O450" s="41"/>
      <c r="P450" s="41"/>
      <c r="Q450" s="41"/>
      <c r="R450" s="41"/>
      <c r="S450" s="41"/>
      <c r="T450" s="41"/>
      <c r="U450" s="41"/>
      <c r="V450" s="41"/>
      <c r="W450" s="41"/>
      <c r="X450" s="41"/>
      <c r="Y450" s="24"/>
      <c r="Z450" s="24"/>
      <c r="AA450" s="24"/>
      <c r="AB450" s="24"/>
      <c r="AC450" s="24"/>
      <c r="AD450" s="24"/>
      <c r="AE450" s="24"/>
      <c r="AF450" s="24"/>
      <c r="AG450" s="24"/>
      <c r="AH450" s="24"/>
      <c r="AI450" s="24"/>
      <c r="AJ450" s="24"/>
      <c r="AK450" s="24"/>
      <c r="AL450" s="24"/>
      <c r="AM450" s="24"/>
    </row>
    <row r="451" spans="1:39" ht="56.25" customHeight="1" x14ac:dyDescent="0.3">
      <c r="A451" s="24"/>
      <c r="B451" s="63"/>
      <c r="C451" s="64"/>
      <c r="D451" s="41"/>
      <c r="E451" s="41"/>
      <c r="F451" s="41"/>
      <c r="G451" s="41"/>
      <c r="H451" s="41"/>
      <c r="I451" s="65"/>
      <c r="J451" s="41"/>
      <c r="K451" s="41"/>
      <c r="L451" s="41"/>
      <c r="M451" s="41"/>
      <c r="N451" s="41"/>
      <c r="O451" s="41"/>
      <c r="P451" s="41"/>
      <c r="Q451" s="41"/>
      <c r="R451" s="41"/>
      <c r="S451" s="41"/>
      <c r="T451" s="41"/>
      <c r="U451" s="41"/>
      <c r="V451" s="41"/>
      <c r="W451" s="41"/>
      <c r="X451" s="41"/>
      <c r="Y451" s="24"/>
      <c r="Z451" s="24"/>
      <c r="AA451" s="24"/>
      <c r="AB451" s="24"/>
      <c r="AC451" s="24"/>
      <c r="AD451" s="24"/>
      <c r="AE451" s="24"/>
      <c r="AF451" s="24"/>
      <c r="AG451" s="24"/>
      <c r="AH451" s="24"/>
      <c r="AI451" s="24"/>
      <c r="AJ451" s="24"/>
      <c r="AK451" s="24"/>
      <c r="AL451" s="24"/>
      <c r="AM451" s="24"/>
    </row>
    <row r="452" spans="1:39" ht="56.25" customHeight="1" x14ac:dyDescent="0.3">
      <c r="A452" s="24"/>
      <c r="B452" s="63"/>
      <c r="C452" s="64"/>
      <c r="D452" s="41"/>
      <c r="E452" s="41"/>
      <c r="F452" s="41"/>
      <c r="G452" s="41"/>
      <c r="H452" s="41"/>
      <c r="I452" s="65"/>
      <c r="J452" s="41"/>
      <c r="K452" s="41"/>
      <c r="L452" s="41"/>
      <c r="M452" s="41"/>
      <c r="N452" s="41"/>
      <c r="O452" s="41"/>
      <c r="P452" s="41"/>
      <c r="Q452" s="41"/>
      <c r="R452" s="41"/>
      <c r="S452" s="41"/>
      <c r="T452" s="41"/>
      <c r="U452" s="41"/>
      <c r="V452" s="41"/>
      <c r="W452" s="41"/>
      <c r="X452" s="41"/>
      <c r="Y452" s="24"/>
      <c r="Z452" s="24"/>
      <c r="AA452" s="24"/>
      <c r="AB452" s="24"/>
      <c r="AC452" s="24"/>
      <c r="AD452" s="24"/>
      <c r="AE452" s="24"/>
      <c r="AF452" s="24"/>
      <c r="AG452" s="24"/>
      <c r="AH452" s="24"/>
      <c r="AI452" s="24"/>
      <c r="AJ452" s="24"/>
      <c r="AK452" s="24"/>
      <c r="AL452" s="24"/>
      <c r="AM452" s="24"/>
    </row>
    <row r="453" spans="1:39" ht="56.25" customHeight="1" x14ac:dyDescent="0.3">
      <c r="A453" s="24"/>
      <c r="B453" s="63"/>
      <c r="C453" s="64"/>
      <c r="D453" s="41"/>
      <c r="E453" s="41"/>
      <c r="F453" s="41"/>
      <c r="G453" s="41"/>
      <c r="H453" s="41"/>
      <c r="I453" s="65"/>
      <c r="J453" s="41"/>
      <c r="K453" s="41"/>
      <c r="L453" s="41"/>
      <c r="M453" s="41"/>
      <c r="N453" s="41"/>
      <c r="O453" s="41"/>
      <c r="P453" s="41"/>
      <c r="Q453" s="41"/>
      <c r="R453" s="41"/>
      <c r="S453" s="41"/>
      <c r="T453" s="41"/>
      <c r="U453" s="41"/>
      <c r="V453" s="41"/>
      <c r="W453" s="41"/>
      <c r="X453" s="41"/>
      <c r="Y453" s="24"/>
      <c r="Z453" s="24"/>
      <c r="AA453" s="24"/>
      <c r="AB453" s="24"/>
      <c r="AC453" s="24"/>
      <c r="AD453" s="24"/>
      <c r="AE453" s="24"/>
      <c r="AF453" s="24"/>
      <c r="AG453" s="24"/>
      <c r="AH453" s="24"/>
      <c r="AI453" s="24"/>
      <c r="AJ453" s="24"/>
      <c r="AK453" s="24"/>
      <c r="AL453" s="24"/>
      <c r="AM453" s="24"/>
    </row>
    <row r="454" spans="1:39" ht="56.25" customHeight="1" x14ac:dyDescent="0.3">
      <c r="A454" s="24"/>
      <c r="B454" s="63"/>
      <c r="C454" s="64"/>
      <c r="D454" s="41"/>
      <c r="E454" s="41"/>
      <c r="F454" s="41"/>
      <c r="G454" s="41"/>
      <c r="H454" s="41"/>
      <c r="I454" s="65"/>
      <c r="J454" s="41"/>
      <c r="K454" s="41"/>
      <c r="L454" s="41"/>
      <c r="M454" s="41"/>
      <c r="N454" s="41"/>
      <c r="O454" s="41"/>
      <c r="P454" s="41"/>
      <c r="Q454" s="41"/>
      <c r="R454" s="41"/>
      <c r="S454" s="41"/>
      <c r="T454" s="41"/>
      <c r="U454" s="41"/>
      <c r="V454" s="41"/>
      <c r="W454" s="41"/>
      <c r="X454" s="41"/>
      <c r="Y454" s="24"/>
      <c r="Z454" s="24"/>
      <c r="AA454" s="24"/>
      <c r="AB454" s="24"/>
      <c r="AC454" s="24"/>
      <c r="AD454" s="24"/>
      <c r="AE454" s="24"/>
      <c r="AF454" s="24"/>
      <c r="AG454" s="24"/>
      <c r="AH454" s="24"/>
      <c r="AI454" s="24"/>
      <c r="AJ454" s="24"/>
      <c r="AK454" s="24"/>
      <c r="AL454" s="24"/>
      <c r="AM454" s="24"/>
    </row>
    <row r="455" spans="1:39" ht="56.25" customHeight="1" x14ac:dyDescent="0.3">
      <c r="A455" s="24"/>
      <c r="B455" s="63"/>
      <c r="C455" s="64"/>
      <c r="D455" s="41"/>
      <c r="E455" s="41"/>
      <c r="F455" s="41"/>
      <c r="G455" s="41"/>
      <c r="H455" s="41"/>
      <c r="I455" s="65"/>
      <c r="J455" s="41"/>
      <c r="K455" s="41"/>
      <c r="L455" s="41"/>
      <c r="M455" s="41"/>
      <c r="N455" s="41"/>
      <c r="O455" s="41"/>
      <c r="P455" s="41"/>
      <c r="Q455" s="41"/>
      <c r="R455" s="41"/>
      <c r="S455" s="41"/>
      <c r="T455" s="41"/>
      <c r="U455" s="41"/>
      <c r="V455" s="41"/>
      <c r="W455" s="41"/>
      <c r="X455" s="41"/>
      <c r="Y455" s="24"/>
      <c r="Z455" s="24"/>
      <c r="AA455" s="24"/>
      <c r="AB455" s="24"/>
      <c r="AC455" s="24"/>
      <c r="AD455" s="24"/>
      <c r="AE455" s="24"/>
      <c r="AF455" s="24"/>
      <c r="AG455" s="24"/>
      <c r="AH455" s="24"/>
      <c r="AI455" s="24"/>
      <c r="AJ455" s="24"/>
      <c r="AK455" s="24"/>
      <c r="AL455" s="24"/>
      <c r="AM455" s="24"/>
    </row>
    <row r="456" spans="1:39" ht="56.25" customHeight="1" x14ac:dyDescent="0.3">
      <c r="A456" s="24"/>
      <c r="B456" s="63"/>
      <c r="C456" s="64"/>
      <c r="D456" s="41"/>
      <c r="E456" s="41"/>
      <c r="F456" s="41"/>
      <c r="G456" s="41"/>
      <c r="H456" s="41"/>
      <c r="I456" s="65"/>
      <c r="J456" s="41"/>
      <c r="K456" s="41"/>
      <c r="L456" s="41"/>
      <c r="M456" s="41"/>
      <c r="N456" s="41"/>
      <c r="O456" s="41"/>
      <c r="P456" s="41"/>
      <c r="Q456" s="41"/>
      <c r="R456" s="41"/>
      <c r="S456" s="41"/>
      <c r="T456" s="41"/>
      <c r="U456" s="41"/>
      <c r="V456" s="41"/>
      <c r="W456" s="41"/>
      <c r="X456" s="41"/>
      <c r="Y456" s="24"/>
      <c r="Z456" s="24"/>
      <c r="AA456" s="24"/>
      <c r="AB456" s="24"/>
      <c r="AC456" s="24"/>
      <c r="AD456" s="24"/>
      <c r="AE456" s="24"/>
      <c r="AF456" s="24"/>
      <c r="AG456" s="24"/>
      <c r="AH456" s="24"/>
      <c r="AI456" s="24"/>
      <c r="AJ456" s="24"/>
      <c r="AK456" s="24"/>
      <c r="AL456" s="24"/>
      <c r="AM456" s="24"/>
    </row>
    <row r="457" spans="1:39" ht="56.25" customHeight="1" x14ac:dyDescent="0.3">
      <c r="A457" s="24"/>
      <c r="B457" s="63"/>
      <c r="C457" s="64"/>
      <c r="D457" s="41"/>
      <c r="E457" s="41"/>
      <c r="F457" s="41"/>
      <c r="G457" s="41"/>
      <c r="H457" s="41"/>
      <c r="I457" s="65"/>
      <c r="J457" s="41"/>
      <c r="K457" s="41"/>
      <c r="L457" s="41"/>
      <c r="M457" s="41"/>
      <c r="N457" s="41"/>
      <c r="O457" s="41"/>
      <c r="P457" s="41"/>
      <c r="Q457" s="41"/>
      <c r="R457" s="41"/>
      <c r="S457" s="41"/>
      <c r="T457" s="41"/>
      <c r="U457" s="41"/>
      <c r="V457" s="41"/>
      <c r="W457" s="41"/>
      <c r="X457" s="41"/>
      <c r="Y457" s="24"/>
      <c r="Z457" s="24"/>
      <c r="AA457" s="24"/>
      <c r="AB457" s="24"/>
      <c r="AC457" s="24"/>
      <c r="AD457" s="24"/>
      <c r="AE457" s="24"/>
      <c r="AF457" s="24"/>
      <c r="AG457" s="24"/>
      <c r="AH457" s="24"/>
      <c r="AI457" s="24"/>
      <c r="AJ457" s="24"/>
      <c r="AK457" s="24"/>
      <c r="AL457" s="24"/>
      <c r="AM457" s="24"/>
    </row>
    <row r="458" spans="1:39" ht="56.25" customHeight="1" x14ac:dyDescent="0.3">
      <c r="A458" s="24"/>
      <c r="B458" s="63"/>
      <c r="C458" s="64"/>
      <c r="D458" s="41"/>
      <c r="E458" s="41"/>
      <c r="F458" s="41"/>
      <c r="G458" s="41"/>
      <c r="H458" s="41"/>
      <c r="I458" s="65"/>
      <c r="J458" s="41"/>
      <c r="K458" s="41"/>
      <c r="L458" s="41"/>
      <c r="M458" s="41"/>
      <c r="N458" s="41"/>
      <c r="O458" s="41"/>
      <c r="P458" s="41"/>
      <c r="Q458" s="41"/>
      <c r="R458" s="41"/>
      <c r="S458" s="41"/>
      <c r="T458" s="41"/>
      <c r="U458" s="41"/>
      <c r="V458" s="41"/>
      <c r="W458" s="41"/>
      <c r="X458" s="41"/>
      <c r="Y458" s="24"/>
      <c r="Z458" s="24"/>
      <c r="AA458" s="24"/>
      <c r="AB458" s="24"/>
      <c r="AC458" s="24"/>
      <c r="AD458" s="24"/>
      <c r="AE458" s="24"/>
      <c r="AF458" s="24"/>
      <c r="AG458" s="24"/>
      <c r="AH458" s="24"/>
      <c r="AI458" s="24"/>
      <c r="AJ458" s="24"/>
      <c r="AK458" s="24"/>
      <c r="AL458" s="24"/>
      <c r="AM458" s="24"/>
    </row>
    <row r="459" spans="1:39" ht="56.25" customHeight="1" x14ac:dyDescent="0.3">
      <c r="A459" s="24"/>
      <c r="B459" s="63"/>
      <c r="C459" s="64"/>
      <c r="D459" s="41"/>
      <c r="E459" s="41"/>
      <c r="F459" s="41"/>
      <c r="G459" s="41"/>
      <c r="H459" s="41"/>
      <c r="I459" s="65"/>
      <c r="J459" s="41"/>
      <c r="K459" s="41"/>
      <c r="L459" s="41"/>
      <c r="M459" s="41"/>
      <c r="N459" s="41"/>
      <c r="O459" s="41"/>
      <c r="P459" s="41"/>
      <c r="Q459" s="41"/>
      <c r="R459" s="41"/>
      <c r="S459" s="41"/>
      <c r="T459" s="41"/>
      <c r="U459" s="41"/>
      <c r="V459" s="41"/>
      <c r="W459" s="41"/>
      <c r="X459" s="41"/>
      <c r="Y459" s="24"/>
      <c r="Z459" s="24"/>
      <c r="AA459" s="24"/>
      <c r="AB459" s="24"/>
      <c r="AC459" s="24"/>
      <c r="AD459" s="24"/>
      <c r="AE459" s="24"/>
      <c r="AF459" s="24"/>
      <c r="AG459" s="24"/>
      <c r="AH459" s="24"/>
      <c r="AI459" s="24"/>
      <c r="AJ459" s="24"/>
      <c r="AK459" s="24"/>
      <c r="AL459" s="24"/>
      <c r="AM459" s="24"/>
    </row>
    <row r="460" spans="1:39" ht="56.25" customHeight="1" x14ac:dyDescent="0.3">
      <c r="A460" s="24"/>
      <c r="B460" s="63"/>
      <c r="C460" s="64"/>
      <c r="D460" s="41"/>
      <c r="E460" s="41"/>
      <c r="F460" s="41"/>
      <c r="G460" s="41"/>
      <c r="H460" s="41"/>
      <c r="I460" s="65"/>
      <c r="J460" s="41"/>
      <c r="K460" s="41"/>
      <c r="L460" s="41"/>
      <c r="M460" s="41"/>
      <c r="N460" s="41"/>
      <c r="O460" s="41"/>
      <c r="P460" s="41"/>
      <c r="Q460" s="41"/>
      <c r="R460" s="41"/>
      <c r="S460" s="41"/>
      <c r="T460" s="41"/>
      <c r="U460" s="41"/>
      <c r="V460" s="41"/>
      <c r="W460" s="41"/>
      <c r="X460" s="41"/>
      <c r="Y460" s="24"/>
      <c r="Z460" s="24"/>
      <c r="AA460" s="24"/>
      <c r="AB460" s="24"/>
      <c r="AC460" s="24"/>
      <c r="AD460" s="24"/>
      <c r="AE460" s="24"/>
      <c r="AF460" s="24"/>
      <c r="AG460" s="24"/>
      <c r="AH460" s="24"/>
      <c r="AI460" s="24"/>
      <c r="AJ460" s="24"/>
      <c r="AK460" s="24"/>
      <c r="AL460" s="24"/>
      <c r="AM460" s="24"/>
    </row>
    <row r="461" spans="1:39" ht="56.25" customHeight="1" x14ac:dyDescent="0.3">
      <c r="A461" s="24"/>
      <c r="B461" s="63"/>
      <c r="C461" s="64"/>
      <c r="D461" s="41"/>
      <c r="E461" s="41"/>
      <c r="F461" s="41"/>
      <c r="G461" s="41"/>
      <c r="H461" s="41"/>
      <c r="I461" s="65"/>
      <c r="J461" s="41"/>
      <c r="K461" s="41"/>
      <c r="L461" s="41"/>
      <c r="M461" s="41"/>
      <c r="N461" s="41"/>
      <c r="O461" s="41"/>
      <c r="P461" s="41"/>
      <c r="Q461" s="41"/>
      <c r="R461" s="41"/>
      <c r="S461" s="41"/>
      <c r="T461" s="41"/>
      <c r="U461" s="41"/>
      <c r="V461" s="41"/>
      <c r="W461" s="41"/>
      <c r="X461" s="41"/>
      <c r="Y461" s="24"/>
      <c r="Z461" s="24"/>
      <c r="AA461" s="24"/>
      <c r="AB461" s="24"/>
      <c r="AC461" s="24"/>
      <c r="AD461" s="24"/>
      <c r="AE461" s="24"/>
      <c r="AF461" s="24"/>
      <c r="AG461" s="24"/>
      <c r="AH461" s="24"/>
      <c r="AI461" s="24"/>
      <c r="AJ461" s="24"/>
      <c r="AK461" s="24"/>
      <c r="AL461" s="24"/>
      <c r="AM461" s="24"/>
    </row>
    <row r="462" spans="1:39" ht="56.25" customHeight="1" x14ac:dyDescent="0.3">
      <c r="A462" s="24"/>
      <c r="B462" s="63"/>
      <c r="C462" s="64"/>
      <c r="D462" s="41"/>
      <c r="E462" s="41"/>
      <c r="F462" s="41"/>
      <c r="G462" s="41"/>
      <c r="H462" s="41"/>
      <c r="I462" s="65"/>
      <c r="J462" s="41"/>
      <c r="K462" s="41"/>
      <c r="L462" s="41"/>
      <c r="M462" s="41"/>
      <c r="N462" s="41"/>
      <c r="O462" s="41"/>
      <c r="P462" s="41"/>
      <c r="Q462" s="41"/>
      <c r="R462" s="41"/>
      <c r="S462" s="41"/>
      <c r="T462" s="41"/>
      <c r="U462" s="41"/>
      <c r="V462" s="41"/>
      <c r="W462" s="41"/>
      <c r="X462" s="41"/>
      <c r="Y462" s="24"/>
      <c r="Z462" s="24"/>
      <c r="AA462" s="24"/>
      <c r="AB462" s="24"/>
      <c r="AC462" s="24"/>
      <c r="AD462" s="24"/>
      <c r="AE462" s="24"/>
      <c r="AF462" s="24"/>
      <c r="AG462" s="24"/>
      <c r="AH462" s="24"/>
      <c r="AI462" s="24"/>
      <c r="AJ462" s="24"/>
      <c r="AK462" s="24"/>
      <c r="AL462" s="24"/>
      <c r="AM462" s="24"/>
    </row>
    <row r="463" spans="1:39" ht="56.25" customHeight="1" x14ac:dyDescent="0.3">
      <c r="A463" s="24"/>
      <c r="B463" s="63"/>
      <c r="C463" s="64"/>
      <c r="D463" s="41"/>
      <c r="E463" s="41"/>
      <c r="F463" s="41"/>
      <c r="G463" s="41"/>
      <c r="H463" s="41"/>
      <c r="I463" s="65"/>
      <c r="J463" s="41"/>
      <c r="K463" s="41"/>
      <c r="L463" s="41"/>
      <c r="M463" s="41"/>
      <c r="N463" s="41"/>
      <c r="O463" s="41"/>
      <c r="P463" s="41"/>
      <c r="Q463" s="41"/>
      <c r="R463" s="41"/>
      <c r="S463" s="41"/>
      <c r="T463" s="41"/>
      <c r="U463" s="41"/>
      <c r="V463" s="41"/>
      <c r="W463" s="41"/>
      <c r="X463" s="41"/>
      <c r="Y463" s="24"/>
      <c r="Z463" s="24"/>
      <c r="AA463" s="24"/>
      <c r="AB463" s="24"/>
      <c r="AC463" s="24"/>
      <c r="AD463" s="24"/>
      <c r="AE463" s="24"/>
      <c r="AF463" s="24"/>
      <c r="AG463" s="24"/>
      <c r="AH463" s="24"/>
      <c r="AI463" s="24"/>
      <c r="AJ463" s="24"/>
      <c r="AK463" s="24"/>
      <c r="AL463" s="24"/>
      <c r="AM463" s="24"/>
    </row>
    <row r="464" spans="1:39" ht="56.25" customHeight="1" x14ac:dyDescent="0.3">
      <c r="A464" s="24"/>
      <c r="B464" s="63"/>
      <c r="C464" s="64"/>
      <c r="D464" s="41"/>
      <c r="E464" s="41"/>
      <c r="F464" s="41"/>
      <c r="G464" s="41"/>
      <c r="H464" s="41"/>
      <c r="I464" s="65"/>
      <c r="J464" s="41"/>
      <c r="K464" s="41"/>
      <c r="L464" s="41"/>
      <c r="M464" s="41"/>
      <c r="N464" s="41"/>
      <c r="O464" s="41"/>
      <c r="P464" s="41"/>
      <c r="Q464" s="41"/>
      <c r="R464" s="41"/>
      <c r="S464" s="41"/>
      <c r="T464" s="41"/>
      <c r="U464" s="41"/>
      <c r="V464" s="41"/>
      <c r="W464" s="41"/>
      <c r="X464" s="41"/>
      <c r="Y464" s="24"/>
      <c r="Z464" s="24"/>
      <c r="AA464" s="24"/>
      <c r="AB464" s="24"/>
      <c r="AC464" s="24"/>
      <c r="AD464" s="24"/>
      <c r="AE464" s="24"/>
      <c r="AF464" s="24"/>
      <c r="AG464" s="24"/>
      <c r="AH464" s="24"/>
      <c r="AI464" s="24"/>
      <c r="AJ464" s="24"/>
      <c r="AK464" s="24"/>
      <c r="AL464" s="24"/>
      <c r="AM464" s="24"/>
    </row>
    <row r="465" spans="1:39" ht="56.25" customHeight="1" x14ac:dyDescent="0.3">
      <c r="A465" s="24"/>
      <c r="B465" s="63"/>
      <c r="C465" s="64"/>
      <c r="D465" s="41"/>
      <c r="E465" s="41"/>
      <c r="F465" s="41"/>
      <c r="G465" s="41"/>
      <c r="H465" s="41"/>
      <c r="I465" s="65"/>
      <c r="J465" s="41"/>
      <c r="K465" s="41"/>
      <c r="L465" s="41"/>
      <c r="M465" s="41"/>
      <c r="N465" s="41"/>
      <c r="O465" s="41"/>
      <c r="P465" s="41"/>
      <c r="Q465" s="41"/>
      <c r="R465" s="41"/>
      <c r="S465" s="41"/>
      <c r="T465" s="41"/>
      <c r="U465" s="41"/>
      <c r="V465" s="41"/>
      <c r="W465" s="41"/>
      <c r="X465" s="41"/>
      <c r="Y465" s="24"/>
      <c r="Z465" s="24"/>
      <c r="AA465" s="24"/>
      <c r="AB465" s="24"/>
      <c r="AC465" s="24"/>
      <c r="AD465" s="24"/>
      <c r="AE465" s="24"/>
      <c r="AF465" s="24"/>
      <c r="AG465" s="24"/>
      <c r="AH465" s="24"/>
      <c r="AI465" s="24"/>
      <c r="AJ465" s="24"/>
      <c r="AK465" s="24"/>
      <c r="AL465" s="24"/>
      <c r="AM465" s="24"/>
    </row>
    <row r="466" spans="1:39" ht="56.25" customHeight="1" x14ac:dyDescent="0.3">
      <c r="A466" s="24"/>
      <c r="B466" s="63"/>
      <c r="C466" s="64"/>
      <c r="D466" s="41"/>
      <c r="E466" s="41"/>
      <c r="F466" s="41"/>
      <c r="G466" s="41"/>
      <c r="H466" s="41"/>
      <c r="I466" s="65"/>
      <c r="J466" s="41"/>
      <c r="K466" s="41"/>
      <c r="L466" s="41"/>
      <c r="M466" s="41"/>
      <c r="N466" s="41"/>
      <c r="O466" s="41"/>
      <c r="P466" s="41"/>
      <c r="Q466" s="41"/>
      <c r="R466" s="41"/>
      <c r="S466" s="41"/>
      <c r="T466" s="41"/>
      <c r="U466" s="41"/>
      <c r="V466" s="41"/>
      <c r="W466" s="41"/>
      <c r="X466" s="41"/>
      <c r="Y466" s="24"/>
      <c r="Z466" s="24"/>
      <c r="AA466" s="24"/>
      <c r="AB466" s="24"/>
      <c r="AC466" s="24"/>
      <c r="AD466" s="24"/>
      <c r="AE466" s="24"/>
      <c r="AF466" s="24"/>
      <c r="AG466" s="24"/>
      <c r="AH466" s="24"/>
      <c r="AI466" s="24"/>
      <c r="AJ466" s="24"/>
      <c r="AK466" s="24"/>
      <c r="AL466" s="24"/>
      <c r="AM466" s="24"/>
    </row>
    <row r="467" spans="1:39" ht="56.25" customHeight="1" x14ac:dyDescent="0.3">
      <c r="A467" s="24"/>
      <c r="B467" s="63"/>
      <c r="C467" s="64"/>
      <c r="D467" s="41"/>
      <c r="E467" s="41"/>
      <c r="F467" s="41"/>
      <c r="G467" s="41"/>
      <c r="H467" s="41"/>
      <c r="I467" s="65"/>
      <c r="J467" s="41"/>
      <c r="K467" s="41"/>
      <c r="L467" s="41"/>
      <c r="M467" s="41"/>
      <c r="N467" s="41"/>
      <c r="O467" s="41"/>
      <c r="P467" s="41"/>
      <c r="Q467" s="41"/>
      <c r="R467" s="41"/>
      <c r="S467" s="41"/>
      <c r="T467" s="41"/>
      <c r="U467" s="41"/>
      <c r="V467" s="41"/>
      <c r="W467" s="41"/>
      <c r="X467" s="41"/>
      <c r="Y467" s="24"/>
      <c r="Z467" s="24"/>
      <c r="AA467" s="24"/>
      <c r="AB467" s="24"/>
      <c r="AC467" s="24"/>
      <c r="AD467" s="24"/>
      <c r="AE467" s="24"/>
      <c r="AF467" s="24"/>
      <c r="AG467" s="24"/>
      <c r="AH467" s="24"/>
      <c r="AI467" s="24"/>
      <c r="AJ467" s="24"/>
      <c r="AK467" s="24"/>
      <c r="AL467" s="24"/>
      <c r="AM467" s="24"/>
    </row>
    <row r="468" spans="1:39" ht="56.25" customHeight="1" x14ac:dyDescent="0.3">
      <c r="A468" s="24"/>
      <c r="B468" s="63"/>
      <c r="C468" s="64"/>
      <c r="D468" s="41"/>
      <c r="E468" s="41"/>
      <c r="F468" s="41"/>
      <c r="G468" s="41"/>
      <c r="H468" s="41"/>
      <c r="I468" s="65"/>
      <c r="J468" s="41"/>
      <c r="K468" s="41"/>
      <c r="L468" s="41"/>
      <c r="M468" s="41"/>
      <c r="N468" s="41"/>
      <c r="O468" s="41"/>
      <c r="P468" s="41"/>
      <c r="Q468" s="41"/>
      <c r="R468" s="41"/>
      <c r="S468" s="41"/>
      <c r="T468" s="41"/>
      <c r="U468" s="41"/>
      <c r="V468" s="41"/>
      <c r="W468" s="41"/>
      <c r="X468" s="41"/>
      <c r="Y468" s="24"/>
      <c r="Z468" s="24"/>
      <c r="AA468" s="24"/>
      <c r="AB468" s="24"/>
      <c r="AC468" s="24"/>
      <c r="AD468" s="24"/>
      <c r="AE468" s="24"/>
      <c r="AF468" s="24"/>
      <c r="AG468" s="24"/>
      <c r="AH468" s="24"/>
      <c r="AI468" s="24"/>
      <c r="AJ468" s="24"/>
      <c r="AK468" s="24"/>
      <c r="AL468" s="24"/>
      <c r="AM468" s="24"/>
    </row>
    <row r="469" spans="1:39" ht="56.25" customHeight="1" x14ac:dyDescent="0.3">
      <c r="A469" s="24"/>
      <c r="B469" s="63"/>
      <c r="C469" s="64"/>
      <c r="D469" s="41"/>
      <c r="E469" s="41"/>
      <c r="F469" s="41"/>
      <c r="G469" s="41"/>
      <c r="H469" s="41"/>
      <c r="I469" s="65"/>
      <c r="J469" s="41"/>
      <c r="K469" s="41"/>
      <c r="L469" s="41"/>
      <c r="M469" s="41"/>
      <c r="N469" s="41"/>
      <c r="O469" s="41"/>
      <c r="P469" s="41"/>
      <c r="Q469" s="41"/>
      <c r="R469" s="41"/>
      <c r="S469" s="41"/>
      <c r="T469" s="41"/>
      <c r="U469" s="41"/>
      <c r="V469" s="41"/>
      <c r="W469" s="41"/>
      <c r="X469" s="41"/>
      <c r="Y469" s="24"/>
      <c r="Z469" s="24"/>
      <c r="AA469" s="24"/>
      <c r="AB469" s="24"/>
      <c r="AC469" s="24"/>
      <c r="AD469" s="24"/>
      <c r="AE469" s="24"/>
      <c r="AF469" s="24"/>
      <c r="AG469" s="24"/>
      <c r="AH469" s="24"/>
      <c r="AI469" s="24"/>
      <c r="AJ469" s="24"/>
      <c r="AK469" s="24"/>
      <c r="AL469" s="24"/>
      <c r="AM469" s="24"/>
    </row>
    <row r="470" spans="1:39" ht="56.25" customHeight="1" x14ac:dyDescent="0.3">
      <c r="A470" s="24"/>
      <c r="B470" s="63"/>
      <c r="C470" s="64"/>
      <c r="D470" s="41"/>
      <c r="E470" s="41"/>
      <c r="F470" s="41"/>
      <c r="G470" s="41"/>
      <c r="H470" s="41"/>
      <c r="I470" s="65"/>
      <c r="J470" s="41"/>
      <c r="K470" s="41"/>
      <c r="L470" s="41"/>
      <c r="M470" s="41"/>
      <c r="N470" s="41"/>
      <c r="O470" s="41"/>
      <c r="P470" s="41"/>
      <c r="Q470" s="41"/>
      <c r="R470" s="41"/>
      <c r="S470" s="41"/>
      <c r="T470" s="41"/>
      <c r="U470" s="41"/>
      <c r="V470" s="41"/>
      <c r="W470" s="41"/>
      <c r="X470" s="41"/>
      <c r="Y470" s="24"/>
      <c r="Z470" s="24"/>
      <c r="AA470" s="24"/>
      <c r="AB470" s="24"/>
      <c r="AC470" s="24"/>
      <c r="AD470" s="24"/>
      <c r="AE470" s="24"/>
      <c r="AF470" s="24"/>
      <c r="AG470" s="24"/>
      <c r="AH470" s="24"/>
      <c r="AI470" s="24"/>
      <c r="AJ470" s="24"/>
      <c r="AK470" s="24"/>
      <c r="AL470" s="24"/>
      <c r="AM470" s="24"/>
    </row>
    <row r="471" spans="1:39" ht="56.25" customHeight="1" x14ac:dyDescent="0.3">
      <c r="A471" s="24"/>
      <c r="B471" s="63"/>
      <c r="C471" s="64"/>
      <c r="D471" s="41"/>
      <c r="E471" s="41"/>
      <c r="F471" s="41"/>
      <c r="G471" s="41"/>
      <c r="H471" s="41"/>
      <c r="I471" s="65"/>
      <c r="J471" s="41"/>
      <c r="K471" s="41"/>
      <c r="L471" s="41"/>
      <c r="M471" s="41"/>
      <c r="N471" s="41"/>
      <c r="O471" s="41"/>
      <c r="P471" s="41"/>
      <c r="Q471" s="41"/>
      <c r="R471" s="41"/>
      <c r="S471" s="41"/>
      <c r="T471" s="41"/>
      <c r="U471" s="41"/>
      <c r="V471" s="41"/>
      <c r="W471" s="41"/>
      <c r="X471" s="41"/>
      <c r="Y471" s="24"/>
      <c r="Z471" s="24"/>
      <c r="AA471" s="24"/>
      <c r="AB471" s="24"/>
      <c r="AC471" s="24"/>
      <c r="AD471" s="24"/>
      <c r="AE471" s="24"/>
      <c r="AF471" s="24"/>
      <c r="AG471" s="24"/>
      <c r="AH471" s="24"/>
      <c r="AI471" s="24"/>
      <c r="AJ471" s="24"/>
      <c r="AK471" s="24"/>
      <c r="AL471" s="24"/>
      <c r="AM471" s="24"/>
    </row>
    <row r="472" spans="1:39" ht="56.25" customHeight="1" x14ac:dyDescent="0.3">
      <c r="A472" s="24"/>
      <c r="B472" s="63"/>
      <c r="C472" s="64"/>
      <c r="D472" s="41"/>
      <c r="E472" s="41"/>
      <c r="F472" s="41"/>
      <c r="G472" s="41"/>
      <c r="H472" s="41"/>
      <c r="I472" s="65"/>
      <c r="J472" s="41"/>
      <c r="K472" s="41"/>
      <c r="L472" s="41"/>
      <c r="M472" s="41"/>
      <c r="N472" s="41"/>
      <c r="O472" s="41"/>
      <c r="P472" s="41"/>
      <c r="Q472" s="41"/>
      <c r="R472" s="41"/>
      <c r="S472" s="41"/>
      <c r="T472" s="41"/>
      <c r="U472" s="41"/>
      <c r="V472" s="41"/>
      <c r="W472" s="41"/>
      <c r="X472" s="41"/>
      <c r="Y472" s="24"/>
      <c r="Z472" s="24"/>
      <c r="AA472" s="24"/>
      <c r="AB472" s="24"/>
      <c r="AC472" s="24"/>
      <c r="AD472" s="24"/>
      <c r="AE472" s="24"/>
      <c r="AF472" s="24"/>
      <c r="AG472" s="24"/>
      <c r="AH472" s="24"/>
      <c r="AI472" s="24"/>
      <c r="AJ472" s="24"/>
      <c r="AK472" s="24"/>
      <c r="AL472" s="24"/>
      <c r="AM472" s="24"/>
    </row>
    <row r="473" spans="1:39" ht="56.25" customHeight="1" x14ac:dyDescent="0.3">
      <c r="A473" s="24"/>
      <c r="B473" s="63"/>
      <c r="C473" s="64"/>
      <c r="D473" s="41"/>
      <c r="E473" s="41"/>
      <c r="F473" s="41"/>
      <c r="G473" s="41"/>
      <c r="H473" s="41"/>
      <c r="I473" s="65"/>
      <c r="J473" s="41"/>
      <c r="K473" s="41"/>
      <c r="L473" s="41"/>
      <c r="M473" s="41"/>
      <c r="N473" s="41"/>
      <c r="O473" s="41"/>
      <c r="P473" s="41"/>
      <c r="Q473" s="41"/>
      <c r="R473" s="41"/>
      <c r="S473" s="41"/>
      <c r="T473" s="41"/>
      <c r="U473" s="41"/>
      <c r="V473" s="41"/>
      <c r="W473" s="41"/>
      <c r="X473" s="41"/>
      <c r="Y473" s="24"/>
      <c r="Z473" s="24"/>
      <c r="AA473" s="24"/>
      <c r="AB473" s="24"/>
      <c r="AC473" s="24"/>
      <c r="AD473" s="24"/>
      <c r="AE473" s="24"/>
      <c r="AF473" s="24"/>
      <c r="AG473" s="24"/>
      <c r="AH473" s="24"/>
      <c r="AI473" s="24"/>
      <c r="AJ473" s="24"/>
      <c r="AK473" s="24"/>
      <c r="AL473" s="24"/>
      <c r="AM473" s="24"/>
    </row>
    <row r="474" spans="1:39" ht="56.25" customHeight="1" x14ac:dyDescent="0.3">
      <c r="A474" s="24"/>
      <c r="B474" s="63"/>
      <c r="C474" s="64"/>
      <c r="D474" s="41"/>
      <c r="E474" s="41"/>
      <c r="F474" s="41"/>
      <c r="G474" s="41"/>
      <c r="H474" s="41"/>
      <c r="I474" s="65"/>
      <c r="J474" s="41"/>
      <c r="K474" s="41"/>
      <c r="L474" s="41"/>
      <c r="M474" s="41"/>
      <c r="N474" s="41"/>
      <c r="O474" s="41"/>
      <c r="P474" s="41"/>
      <c r="Q474" s="41"/>
      <c r="R474" s="41"/>
      <c r="S474" s="41"/>
      <c r="T474" s="41"/>
      <c r="U474" s="41"/>
      <c r="V474" s="41"/>
      <c r="W474" s="41"/>
      <c r="X474" s="41"/>
      <c r="Y474" s="24"/>
      <c r="Z474" s="24"/>
      <c r="AA474" s="24"/>
      <c r="AB474" s="24"/>
      <c r="AC474" s="24"/>
      <c r="AD474" s="24"/>
      <c r="AE474" s="24"/>
      <c r="AF474" s="24"/>
      <c r="AG474" s="24"/>
      <c r="AH474" s="24"/>
      <c r="AI474" s="24"/>
      <c r="AJ474" s="24"/>
      <c r="AK474" s="24"/>
      <c r="AL474" s="24"/>
      <c r="AM474" s="24"/>
    </row>
    <row r="475" spans="1:39" ht="56.25" customHeight="1" x14ac:dyDescent="0.3">
      <c r="A475" s="24"/>
      <c r="B475" s="63"/>
      <c r="C475" s="64"/>
      <c r="D475" s="41"/>
      <c r="E475" s="41"/>
      <c r="F475" s="41"/>
      <c r="G475" s="41"/>
      <c r="H475" s="41"/>
      <c r="I475" s="65"/>
      <c r="J475" s="41"/>
      <c r="K475" s="41"/>
      <c r="L475" s="41"/>
      <c r="M475" s="41"/>
      <c r="N475" s="41"/>
      <c r="O475" s="41"/>
      <c r="P475" s="41"/>
      <c r="Q475" s="41"/>
      <c r="R475" s="41"/>
      <c r="S475" s="41"/>
      <c r="T475" s="41"/>
      <c r="U475" s="41"/>
      <c r="V475" s="41"/>
      <c r="W475" s="41"/>
      <c r="X475" s="41"/>
      <c r="Y475" s="24"/>
      <c r="Z475" s="24"/>
      <c r="AA475" s="24"/>
      <c r="AB475" s="24"/>
      <c r="AC475" s="24"/>
      <c r="AD475" s="24"/>
      <c r="AE475" s="24"/>
      <c r="AF475" s="24"/>
      <c r="AG475" s="24"/>
      <c r="AH475" s="24"/>
      <c r="AI475" s="24"/>
      <c r="AJ475" s="24"/>
      <c r="AK475" s="24"/>
      <c r="AL475" s="24"/>
      <c r="AM475" s="24"/>
    </row>
    <row r="476" spans="1:39" ht="56.25" customHeight="1" x14ac:dyDescent="0.3">
      <c r="A476" s="24"/>
      <c r="B476" s="63"/>
      <c r="C476" s="64"/>
      <c r="D476" s="41"/>
      <c r="E476" s="41"/>
      <c r="F476" s="41"/>
      <c r="G476" s="41"/>
      <c r="H476" s="41"/>
      <c r="I476" s="65"/>
      <c r="J476" s="41"/>
      <c r="K476" s="41"/>
      <c r="L476" s="41"/>
      <c r="M476" s="41"/>
      <c r="N476" s="41"/>
      <c r="O476" s="41"/>
      <c r="P476" s="41"/>
      <c r="Q476" s="41"/>
      <c r="R476" s="41"/>
      <c r="S476" s="41"/>
      <c r="T476" s="41"/>
      <c r="U476" s="41"/>
      <c r="V476" s="41"/>
      <c r="W476" s="41"/>
      <c r="X476" s="41"/>
      <c r="Y476" s="24"/>
      <c r="Z476" s="24"/>
      <c r="AA476" s="24"/>
      <c r="AB476" s="24"/>
      <c r="AC476" s="24"/>
      <c r="AD476" s="24"/>
      <c r="AE476" s="24"/>
      <c r="AF476" s="24"/>
      <c r="AG476" s="24"/>
      <c r="AH476" s="24"/>
      <c r="AI476" s="24"/>
      <c r="AJ476" s="24"/>
      <c r="AK476" s="24"/>
      <c r="AL476" s="24"/>
      <c r="AM476" s="24"/>
    </row>
    <row r="477" spans="1:39" ht="56.25" customHeight="1" x14ac:dyDescent="0.3">
      <c r="A477" s="24"/>
      <c r="B477" s="63"/>
      <c r="C477" s="64"/>
      <c r="D477" s="41"/>
      <c r="E477" s="41"/>
      <c r="F477" s="41"/>
      <c r="G477" s="41"/>
      <c r="H477" s="41"/>
      <c r="I477" s="65"/>
      <c r="J477" s="41"/>
      <c r="K477" s="41"/>
      <c r="L477" s="41"/>
      <c r="M477" s="41"/>
      <c r="N477" s="41"/>
      <c r="O477" s="41"/>
      <c r="P477" s="41"/>
      <c r="Q477" s="41"/>
      <c r="R477" s="41"/>
      <c r="S477" s="41"/>
      <c r="T477" s="41"/>
      <c r="U477" s="41"/>
      <c r="V477" s="41"/>
      <c r="W477" s="41"/>
      <c r="X477" s="41"/>
      <c r="Y477" s="24"/>
      <c r="Z477" s="24"/>
      <c r="AA477" s="24"/>
      <c r="AB477" s="24"/>
      <c r="AC477" s="24"/>
      <c r="AD477" s="24"/>
      <c r="AE477" s="24"/>
      <c r="AF477" s="24"/>
      <c r="AG477" s="24"/>
      <c r="AH477" s="24"/>
      <c r="AI477" s="24"/>
      <c r="AJ477" s="24"/>
      <c r="AK477" s="24"/>
      <c r="AL477" s="24"/>
      <c r="AM477" s="24"/>
    </row>
    <row r="478" spans="1:39" ht="56.25" customHeight="1" x14ac:dyDescent="0.3">
      <c r="A478" s="24"/>
      <c r="B478" s="63"/>
      <c r="C478" s="64"/>
      <c r="D478" s="41"/>
      <c r="E478" s="41"/>
      <c r="F478" s="41"/>
      <c r="G478" s="41"/>
      <c r="H478" s="41"/>
      <c r="I478" s="65"/>
      <c r="J478" s="41"/>
      <c r="K478" s="41"/>
      <c r="L478" s="41"/>
      <c r="M478" s="41"/>
      <c r="N478" s="41"/>
      <c r="O478" s="41"/>
      <c r="P478" s="41"/>
      <c r="Q478" s="41"/>
      <c r="R478" s="41"/>
      <c r="S478" s="41"/>
      <c r="T478" s="41"/>
      <c r="U478" s="41"/>
      <c r="V478" s="41"/>
      <c r="W478" s="41"/>
      <c r="X478" s="41"/>
      <c r="Y478" s="24"/>
      <c r="Z478" s="24"/>
      <c r="AA478" s="24"/>
      <c r="AB478" s="24"/>
      <c r="AC478" s="24"/>
      <c r="AD478" s="24"/>
      <c r="AE478" s="24"/>
      <c r="AF478" s="24"/>
      <c r="AG478" s="24"/>
      <c r="AH478" s="24"/>
      <c r="AI478" s="24"/>
      <c r="AJ478" s="24"/>
      <c r="AK478" s="24"/>
      <c r="AL478" s="24"/>
      <c r="AM478" s="24"/>
    </row>
    <row r="479" spans="1:39" ht="56.25" customHeight="1" x14ac:dyDescent="0.3">
      <c r="A479" s="24"/>
      <c r="B479" s="63"/>
      <c r="C479" s="64"/>
      <c r="D479" s="41"/>
      <c r="E479" s="41"/>
      <c r="F479" s="41"/>
      <c r="G479" s="41"/>
      <c r="H479" s="41"/>
      <c r="I479" s="65"/>
      <c r="J479" s="41"/>
      <c r="K479" s="41"/>
      <c r="L479" s="41"/>
      <c r="M479" s="41"/>
      <c r="N479" s="41"/>
      <c r="O479" s="41"/>
      <c r="P479" s="41"/>
      <c r="Q479" s="41"/>
      <c r="R479" s="41"/>
      <c r="S479" s="41"/>
      <c r="T479" s="41"/>
      <c r="U479" s="41"/>
      <c r="V479" s="41"/>
      <c r="W479" s="41"/>
      <c r="X479" s="41"/>
      <c r="Y479" s="24"/>
      <c r="Z479" s="24"/>
      <c r="AA479" s="24"/>
      <c r="AB479" s="24"/>
      <c r="AC479" s="24"/>
      <c r="AD479" s="24"/>
      <c r="AE479" s="24"/>
      <c r="AF479" s="24"/>
      <c r="AG479" s="24"/>
      <c r="AH479" s="24"/>
      <c r="AI479" s="24"/>
      <c r="AJ479" s="24"/>
      <c r="AK479" s="24"/>
      <c r="AL479" s="24"/>
      <c r="AM479" s="24"/>
    </row>
    <row r="480" spans="1:39" ht="56.25" customHeight="1" x14ac:dyDescent="0.3">
      <c r="A480" s="24"/>
      <c r="B480" s="63"/>
      <c r="C480" s="64"/>
      <c r="D480" s="41"/>
      <c r="E480" s="41"/>
      <c r="F480" s="41"/>
      <c r="G480" s="41"/>
      <c r="H480" s="41"/>
      <c r="I480" s="65"/>
      <c r="J480" s="41"/>
      <c r="K480" s="41"/>
      <c r="L480" s="41"/>
      <c r="M480" s="41"/>
      <c r="N480" s="41"/>
      <c r="O480" s="41"/>
      <c r="P480" s="41"/>
      <c r="Q480" s="41"/>
      <c r="R480" s="41"/>
      <c r="S480" s="41"/>
      <c r="T480" s="41"/>
      <c r="U480" s="41"/>
      <c r="V480" s="41"/>
      <c r="W480" s="41"/>
      <c r="X480" s="41"/>
      <c r="Y480" s="24"/>
      <c r="Z480" s="24"/>
      <c r="AA480" s="24"/>
      <c r="AB480" s="24"/>
      <c r="AC480" s="24"/>
      <c r="AD480" s="24"/>
      <c r="AE480" s="24"/>
      <c r="AF480" s="24"/>
      <c r="AG480" s="24"/>
      <c r="AH480" s="24"/>
      <c r="AI480" s="24"/>
      <c r="AJ480" s="24"/>
      <c r="AK480" s="24"/>
      <c r="AL480" s="24"/>
      <c r="AM480" s="24"/>
    </row>
    <row r="481" spans="1:39" ht="56.25" customHeight="1" x14ac:dyDescent="0.3">
      <c r="A481" s="24"/>
      <c r="B481" s="63"/>
      <c r="C481" s="64"/>
      <c r="D481" s="41"/>
      <c r="E481" s="41"/>
      <c r="F481" s="41"/>
      <c r="G481" s="41"/>
      <c r="H481" s="41"/>
      <c r="I481" s="65"/>
      <c r="J481" s="41"/>
      <c r="K481" s="41"/>
      <c r="L481" s="41"/>
      <c r="M481" s="41"/>
      <c r="N481" s="41"/>
      <c r="O481" s="41"/>
      <c r="P481" s="41"/>
      <c r="Q481" s="41"/>
      <c r="R481" s="41"/>
      <c r="S481" s="41"/>
      <c r="T481" s="41"/>
      <c r="U481" s="41"/>
      <c r="V481" s="41"/>
      <c r="W481" s="41"/>
      <c r="X481" s="41"/>
      <c r="Y481" s="24"/>
      <c r="Z481" s="24"/>
      <c r="AA481" s="24"/>
      <c r="AB481" s="24"/>
      <c r="AC481" s="24"/>
      <c r="AD481" s="24"/>
      <c r="AE481" s="24"/>
      <c r="AF481" s="24"/>
      <c r="AG481" s="24"/>
      <c r="AH481" s="24"/>
      <c r="AI481" s="24"/>
      <c r="AJ481" s="24"/>
      <c r="AK481" s="24"/>
      <c r="AL481" s="24"/>
      <c r="AM481" s="24"/>
    </row>
    <row r="482" spans="1:39" ht="56.25" customHeight="1" x14ac:dyDescent="0.3">
      <c r="A482" s="24"/>
      <c r="B482" s="63"/>
      <c r="C482" s="64"/>
      <c r="D482" s="41"/>
      <c r="E482" s="41"/>
      <c r="F482" s="41"/>
      <c r="G482" s="41"/>
      <c r="H482" s="41"/>
      <c r="I482" s="65"/>
      <c r="J482" s="41"/>
      <c r="K482" s="41"/>
      <c r="L482" s="41"/>
      <c r="M482" s="41"/>
      <c r="N482" s="41"/>
      <c r="O482" s="41"/>
      <c r="P482" s="41"/>
      <c r="Q482" s="41"/>
      <c r="R482" s="41"/>
      <c r="S482" s="41"/>
      <c r="T482" s="41"/>
      <c r="U482" s="41"/>
      <c r="V482" s="41"/>
      <c r="W482" s="41"/>
      <c r="X482" s="41"/>
      <c r="Y482" s="24"/>
      <c r="Z482" s="24"/>
      <c r="AA482" s="24"/>
      <c r="AB482" s="24"/>
      <c r="AC482" s="24"/>
      <c r="AD482" s="24"/>
      <c r="AE482" s="24"/>
      <c r="AF482" s="24"/>
      <c r="AG482" s="24"/>
      <c r="AH482" s="24"/>
      <c r="AI482" s="24"/>
      <c r="AJ482" s="24"/>
      <c r="AK482" s="24"/>
      <c r="AL482" s="24"/>
      <c r="AM482" s="24"/>
    </row>
    <row r="483" spans="1:39" ht="56.25" customHeight="1" x14ac:dyDescent="0.3">
      <c r="A483" s="24"/>
      <c r="B483" s="63"/>
      <c r="C483" s="64"/>
      <c r="D483" s="41"/>
      <c r="E483" s="41"/>
      <c r="F483" s="41"/>
      <c r="G483" s="41"/>
      <c r="H483" s="41"/>
      <c r="I483" s="65"/>
      <c r="J483" s="41"/>
      <c r="K483" s="41"/>
      <c r="L483" s="41"/>
      <c r="M483" s="41"/>
      <c r="N483" s="41"/>
      <c r="O483" s="41"/>
      <c r="P483" s="41"/>
      <c r="Q483" s="41"/>
      <c r="R483" s="41"/>
      <c r="S483" s="41"/>
      <c r="T483" s="41"/>
      <c r="U483" s="41"/>
      <c r="V483" s="41"/>
      <c r="W483" s="41"/>
      <c r="X483" s="41"/>
      <c r="Y483" s="24"/>
      <c r="Z483" s="24"/>
      <c r="AA483" s="24"/>
      <c r="AB483" s="24"/>
      <c r="AC483" s="24"/>
      <c r="AD483" s="24"/>
      <c r="AE483" s="24"/>
      <c r="AF483" s="24"/>
      <c r="AG483" s="24"/>
      <c r="AH483" s="24"/>
      <c r="AI483" s="24"/>
      <c r="AJ483" s="24"/>
      <c r="AK483" s="24"/>
      <c r="AL483" s="24"/>
      <c r="AM483" s="24"/>
    </row>
    <row r="484" spans="1:39" ht="56.25" customHeight="1" x14ac:dyDescent="0.3">
      <c r="A484" s="24"/>
      <c r="B484" s="63"/>
      <c r="C484" s="64"/>
      <c r="D484" s="41"/>
      <c r="E484" s="41"/>
      <c r="F484" s="41"/>
      <c r="G484" s="41"/>
      <c r="H484" s="41"/>
      <c r="I484" s="65"/>
      <c r="J484" s="41"/>
      <c r="K484" s="41"/>
      <c r="L484" s="41"/>
      <c r="M484" s="41"/>
      <c r="N484" s="41"/>
      <c r="O484" s="41"/>
      <c r="P484" s="41"/>
      <c r="Q484" s="41"/>
      <c r="R484" s="41"/>
      <c r="S484" s="41"/>
      <c r="T484" s="41"/>
      <c r="U484" s="41"/>
      <c r="V484" s="41"/>
      <c r="W484" s="41"/>
      <c r="X484" s="41"/>
      <c r="Y484" s="24"/>
      <c r="Z484" s="24"/>
      <c r="AA484" s="24"/>
      <c r="AB484" s="24"/>
      <c r="AC484" s="24"/>
      <c r="AD484" s="24"/>
      <c r="AE484" s="24"/>
      <c r="AF484" s="24"/>
      <c r="AG484" s="24"/>
      <c r="AH484" s="24"/>
      <c r="AI484" s="24"/>
      <c r="AJ484" s="24"/>
      <c r="AK484" s="24"/>
      <c r="AL484" s="24"/>
      <c r="AM484" s="24"/>
    </row>
    <row r="485" spans="1:39" ht="56.25" customHeight="1" x14ac:dyDescent="0.3">
      <c r="A485" s="24"/>
      <c r="B485" s="63"/>
      <c r="C485" s="64"/>
      <c r="D485" s="41"/>
      <c r="E485" s="41"/>
      <c r="F485" s="41"/>
      <c r="G485" s="41"/>
      <c r="H485" s="41"/>
      <c r="I485" s="65"/>
      <c r="J485" s="41"/>
      <c r="K485" s="41"/>
      <c r="L485" s="41"/>
      <c r="M485" s="41"/>
      <c r="N485" s="41"/>
      <c r="O485" s="41"/>
      <c r="P485" s="41"/>
      <c r="Q485" s="41"/>
      <c r="R485" s="41"/>
      <c r="S485" s="41"/>
      <c r="T485" s="41"/>
      <c r="U485" s="41"/>
      <c r="V485" s="41"/>
      <c r="W485" s="41"/>
      <c r="X485" s="41"/>
      <c r="Y485" s="24"/>
      <c r="Z485" s="24"/>
      <c r="AA485" s="24"/>
      <c r="AB485" s="24"/>
      <c r="AC485" s="24"/>
      <c r="AD485" s="24"/>
      <c r="AE485" s="24"/>
      <c r="AF485" s="24"/>
      <c r="AG485" s="24"/>
      <c r="AH485" s="24"/>
      <c r="AI485" s="24"/>
      <c r="AJ485" s="24"/>
      <c r="AK485" s="24"/>
      <c r="AL485" s="24"/>
      <c r="AM485" s="24"/>
    </row>
    <row r="486" spans="1:39" ht="56.25" customHeight="1" x14ac:dyDescent="0.3">
      <c r="A486" s="24"/>
      <c r="B486" s="63"/>
      <c r="C486" s="64"/>
      <c r="D486" s="41"/>
      <c r="E486" s="41"/>
      <c r="F486" s="41"/>
      <c r="G486" s="41"/>
      <c r="H486" s="41"/>
      <c r="I486" s="65"/>
      <c r="J486" s="41"/>
      <c r="K486" s="41"/>
      <c r="L486" s="41"/>
      <c r="M486" s="41"/>
      <c r="N486" s="41"/>
      <c r="O486" s="41"/>
      <c r="P486" s="41"/>
      <c r="Q486" s="41"/>
      <c r="R486" s="41"/>
      <c r="S486" s="41"/>
      <c r="T486" s="41"/>
      <c r="U486" s="41"/>
      <c r="V486" s="41"/>
      <c r="W486" s="41"/>
      <c r="X486" s="41"/>
      <c r="Y486" s="24"/>
      <c r="Z486" s="24"/>
      <c r="AA486" s="24"/>
      <c r="AB486" s="24"/>
      <c r="AC486" s="24"/>
      <c r="AD486" s="24"/>
      <c r="AE486" s="24"/>
      <c r="AF486" s="24"/>
      <c r="AG486" s="24"/>
      <c r="AH486" s="24"/>
      <c r="AI486" s="24"/>
      <c r="AJ486" s="24"/>
      <c r="AK486" s="24"/>
      <c r="AL486" s="24"/>
      <c r="AM486" s="24"/>
    </row>
    <row r="487" spans="1:39" ht="56.25" customHeight="1" x14ac:dyDescent="0.3">
      <c r="A487" s="24"/>
      <c r="B487" s="63"/>
      <c r="C487" s="64"/>
      <c r="D487" s="41"/>
      <c r="E487" s="41"/>
      <c r="F487" s="41"/>
      <c r="G487" s="41"/>
      <c r="H487" s="41"/>
      <c r="I487" s="65"/>
      <c r="J487" s="41"/>
      <c r="K487" s="41"/>
      <c r="L487" s="41"/>
      <c r="M487" s="41"/>
      <c r="N487" s="41"/>
      <c r="O487" s="41"/>
      <c r="P487" s="41"/>
      <c r="Q487" s="41"/>
      <c r="R487" s="41"/>
      <c r="S487" s="41"/>
      <c r="T487" s="41"/>
      <c r="U487" s="41"/>
      <c r="V487" s="41"/>
      <c r="W487" s="41"/>
      <c r="X487" s="41"/>
      <c r="Y487" s="24"/>
      <c r="Z487" s="24"/>
      <c r="AA487" s="24"/>
      <c r="AB487" s="24"/>
      <c r="AC487" s="24"/>
      <c r="AD487" s="24"/>
      <c r="AE487" s="24"/>
      <c r="AF487" s="24"/>
      <c r="AG487" s="24"/>
      <c r="AH487" s="24"/>
      <c r="AI487" s="24"/>
      <c r="AJ487" s="24"/>
      <c r="AK487" s="24"/>
      <c r="AL487" s="24"/>
      <c r="AM487" s="24"/>
    </row>
    <row r="488" spans="1:39" ht="56.25" customHeight="1" x14ac:dyDescent="0.3">
      <c r="A488" s="24"/>
      <c r="B488" s="63"/>
      <c r="C488" s="64"/>
      <c r="D488" s="41"/>
      <c r="E488" s="41"/>
      <c r="F488" s="41"/>
      <c r="G488" s="41"/>
      <c r="H488" s="41"/>
      <c r="I488" s="65"/>
      <c r="J488" s="41"/>
      <c r="K488" s="41"/>
      <c r="L488" s="41"/>
      <c r="M488" s="41"/>
      <c r="N488" s="41"/>
      <c r="O488" s="41"/>
      <c r="P488" s="41"/>
      <c r="Q488" s="41"/>
      <c r="R488" s="41"/>
      <c r="S488" s="41"/>
      <c r="T488" s="41"/>
      <c r="U488" s="41"/>
      <c r="V488" s="41"/>
      <c r="W488" s="41"/>
      <c r="X488" s="41"/>
      <c r="Y488" s="24"/>
      <c r="Z488" s="24"/>
      <c r="AA488" s="24"/>
      <c r="AB488" s="24"/>
      <c r="AC488" s="24"/>
      <c r="AD488" s="24"/>
      <c r="AE488" s="24"/>
      <c r="AF488" s="24"/>
      <c r="AG488" s="24"/>
      <c r="AH488" s="24"/>
      <c r="AI488" s="24"/>
      <c r="AJ488" s="24"/>
      <c r="AK488" s="24"/>
      <c r="AL488" s="24"/>
      <c r="AM488" s="24"/>
    </row>
    <row r="489" spans="1:39" ht="56.25" customHeight="1" x14ac:dyDescent="0.3">
      <c r="A489" s="24"/>
      <c r="B489" s="63"/>
      <c r="C489" s="64"/>
      <c r="D489" s="41"/>
      <c r="E489" s="41"/>
      <c r="F489" s="41"/>
      <c r="G489" s="41"/>
      <c r="H489" s="41"/>
      <c r="I489" s="65"/>
      <c r="J489" s="41"/>
      <c r="K489" s="41"/>
      <c r="L489" s="41"/>
      <c r="M489" s="41"/>
      <c r="N489" s="41"/>
      <c r="O489" s="41"/>
      <c r="P489" s="41"/>
      <c r="Q489" s="41"/>
      <c r="R489" s="41"/>
      <c r="S489" s="41"/>
      <c r="T489" s="41"/>
      <c r="U489" s="41"/>
      <c r="V489" s="41"/>
      <c r="W489" s="41"/>
      <c r="X489" s="41"/>
      <c r="Y489" s="24"/>
      <c r="Z489" s="24"/>
      <c r="AA489" s="24"/>
      <c r="AB489" s="24"/>
      <c r="AC489" s="24"/>
      <c r="AD489" s="24"/>
      <c r="AE489" s="24"/>
      <c r="AF489" s="24"/>
      <c r="AG489" s="24"/>
      <c r="AH489" s="24"/>
      <c r="AI489" s="24"/>
      <c r="AJ489" s="24"/>
      <c r="AK489" s="24"/>
      <c r="AL489" s="24"/>
      <c r="AM489" s="24"/>
    </row>
    <row r="490" spans="1:39" ht="56.25" customHeight="1" x14ac:dyDescent="0.3">
      <c r="A490" s="24"/>
      <c r="B490" s="63"/>
      <c r="C490" s="64"/>
      <c r="D490" s="41"/>
      <c r="E490" s="41"/>
      <c r="F490" s="41"/>
      <c r="G490" s="41"/>
      <c r="H490" s="41"/>
      <c r="I490" s="65"/>
      <c r="J490" s="41"/>
      <c r="K490" s="41"/>
      <c r="L490" s="41"/>
      <c r="M490" s="41"/>
      <c r="N490" s="41"/>
      <c r="O490" s="41"/>
      <c r="P490" s="41"/>
      <c r="Q490" s="41"/>
      <c r="R490" s="41"/>
      <c r="S490" s="41"/>
      <c r="T490" s="41"/>
      <c r="U490" s="41"/>
      <c r="V490" s="41"/>
      <c r="W490" s="41"/>
      <c r="X490" s="41"/>
      <c r="Y490" s="24"/>
      <c r="Z490" s="24"/>
      <c r="AA490" s="24"/>
      <c r="AB490" s="24"/>
      <c r="AC490" s="24"/>
      <c r="AD490" s="24"/>
      <c r="AE490" s="24"/>
      <c r="AF490" s="24"/>
      <c r="AG490" s="24"/>
      <c r="AH490" s="24"/>
      <c r="AI490" s="24"/>
      <c r="AJ490" s="24"/>
      <c r="AK490" s="24"/>
      <c r="AL490" s="24"/>
      <c r="AM490" s="24"/>
    </row>
    <row r="491" spans="1:39" ht="56.25" customHeight="1" x14ac:dyDescent="0.3">
      <c r="A491" s="24"/>
      <c r="B491" s="63"/>
      <c r="C491" s="64"/>
      <c r="D491" s="41"/>
      <c r="E491" s="41"/>
      <c r="F491" s="41"/>
      <c r="G491" s="41"/>
      <c r="H491" s="41"/>
      <c r="I491" s="65"/>
      <c r="J491" s="41"/>
      <c r="K491" s="41"/>
      <c r="L491" s="41"/>
      <c r="M491" s="41"/>
      <c r="N491" s="41"/>
      <c r="O491" s="41"/>
      <c r="P491" s="41"/>
      <c r="Q491" s="41"/>
      <c r="R491" s="41"/>
      <c r="S491" s="41"/>
      <c r="T491" s="41"/>
      <c r="U491" s="41"/>
      <c r="V491" s="41"/>
      <c r="W491" s="41"/>
      <c r="X491" s="41"/>
      <c r="Y491" s="24"/>
      <c r="Z491" s="24"/>
      <c r="AA491" s="24"/>
      <c r="AB491" s="24"/>
      <c r="AC491" s="24"/>
      <c r="AD491" s="24"/>
      <c r="AE491" s="24"/>
      <c r="AF491" s="24"/>
      <c r="AG491" s="24"/>
      <c r="AH491" s="24"/>
      <c r="AI491" s="24"/>
      <c r="AJ491" s="24"/>
      <c r="AK491" s="24"/>
      <c r="AL491" s="24"/>
      <c r="AM491" s="24"/>
    </row>
    <row r="492" spans="1:39" ht="56.25" customHeight="1" x14ac:dyDescent="0.3">
      <c r="A492" s="24"/>
      <c r="B492" s="63"/>
      <c r="C492" s="64"/>
      <c r="D492" s="41"/>
      <c r="E492" s="41"/>
      <c r="F492" s="41"/>
      <c r="G492" s="41"/>
      <c r="H492" s="41"/>
      <c r="I492" s="65"/>
      <c r="J492" s="41"/>
      <c r="K492" s="41"/>
      <c r="L492" s="41"/>
      <c r="M492" s="41"/>
      <c r="N492" s="41"/>
      <c r="O492" s="41"/>
      <c r="P492" s="41"/>
      <c r="Q492" s="41"/>
      <c r="R492" s="41"/>
      <c r="S492" s="41"/>
      <c r="T492" s="41"/>
      <c r="U492" s="41"/>
      <c r="V492" s="41"/>
      <c r="W492" s="41"/>
      <c r="X492" s="41"/>
      <c r="Y492" s="24"/>
      <c r="Z492" s="24"/>
      <c r="AA492" s="24"/>
      <c r="AB492" s="24"/>
      <c r="AC492" s="24"/>
      <c r="AD492" s="24"/>
      <c r="AE492" s="24"/>
      <c r="AF492" s="24"/>
      <c r="AG492" s="24"/>
      <c r="AH492" s="24"/>
      <c r="AI492" s="24"/>
      <c r="AJ492" s="24"/>
      <c r="AK492" s="24"/>
      <c r="AL492" s="24"/>
      <c r="AM492" s="24"/>
    </row>
    <row r="493" spans="1:39" ht="56.25" customHeight="1" x14ac:dyDescent="0.3">
      <c r="A493" s="24"/>
      <c r="B493" s="63"/>
      <c r="C493" s="64"/>
      <c r="D493" s="41"/>
      <c r="E493" s="41"/>
      <c r="F493" s="41"/>
      <c r="G493" s="41"/>
      <c r="H493" s="41"/>
      <c r="I493" s="65"/>
      <c r="J493" s="41"/>
      <c r="K493" s="41"/>
      <c r="L493" s="41"/>
      <c r="M493" s="41"/>
      <c r="N493" s="41"/>
      <c r="O493" s="41"/>
      <c r="P493" s="41"/>
      <c r="Q493" s="41"/>
      <c r="R493" s="41"/>
      <c r="S493" s="41"/>
      <c r="T493" s="41"/>
      <c r="U493" s="41"/>
      <c r="V493" s="41"/>
      <c r="W493" s="41"/>
      <c r="X493" s="41"/>
      <c r="Y493" s="24"/>
      <c r="Z493" s="24"/>
      <c r="AA493" s="24"/>
      <c r="AB493" s="24"/>
      <c r="AC493" s="24"/>
      <c r="AD493" s="24"/>
      <c r="AE493" s="24"/>
      <c r="AF493" s="24"/>
      <c r="AG493" s="24"/>
      <c r="AH493" s="24"/>
      <c r="AI493" s="24"/>
      <c r="AJ493" s="24"/>
      <c r="AK493" s="24"/>
      <c r="AL493" s="24"/>
      <c r="AM493" s="24"/>
    </row>
    <row r="494" spans="1:39" ht="56.25" customHeight="1" x14ac:dyDescent="0.3">
      <c r="A494" s="24"/>
      <c r="B494" s="63"/>
      <c r="C494" s="64"/>
      <c r="D494" s="41"/>
      <c r="E494" s="41"/>
      <c r="F494" s="41"/>
      <c r="G494" s="41"/>
      <c r="H494" s="41"/>
      <c r="I494" s="65"/>
      <c r="J494" s="41"/>
      <c r="K494" s="41"/>
      <c r="L494" s="41"/>
      <c r="M494" s="41"/>
      <c r="N494" s="41"/>
      <c r="O494" s="41"/>
      <c r="P494" s="41"/>
      <c r="Q494" s="41"/>
      <c r="R494" s="41"/>
      <c r="S494" s="41"/>
      <c r="T494" s="41"/>
      <c r="U494" s="41"/>
      <c r="V494" s="41"/>
      <c r="W494" s="41"/>
      <c r="X494" s="41"/>
      <c r="Y494" s="24"/>
      <c r="Z494" s="24"/>
      <c r="AA494" s="24"/>
      <c r="AB494" s="24"/>
      <c r="AC494" s="24"/>
      <c r="AD494" s="24"/>
      <c r="AE494" s="24"/>
      <c r="AF494" s="24"/>
      <c r="AG494" s="24"/>
      <c r="AH494" s="24"/>
      <c r="AI494" s="24"/>
      <c r="AJ494" s="24"/>
      <c r="AK494" s="24"/>
      <c r="AL494" s="24"/>
      <c r="AM494" s="24"/>
    </row>
    <row r="495" spans="1:39" ht="56.25" customHeight="1" x14ac:dyDescent="0.3">
      <c r="A495" s="24"/>
      <c r="B495" s="63"/>
      <c r="C495" s="64"/>
      <c r="D495" s="41"/>
      <c r="E495" s="41"/>
      <c r="F495" s="41"/>
      <c r="G495" s="41"/>
      <c r="H495" s="41"/>
      <c r="I495" s="65"/>
      <c r="J495" s="41"/>
      <c r="K495" s="41"/>
      <c r="L495" s="41"/>
      <c r="M495" s="41"/>
      <c r="N495" s="41"/>
      <c r="O495" s="41"/>
      <c r="P495" s="41"/>
      <c r="Q495" s="41"/>
      <c r="R495" s="41"/>
      <c r="S495" s="41"/>
      <c r="T495" s="41"/>
      <c r="U495" s="41"/>
      <c r="V495" s="41"/>
      <c r="W495" s="41"/>
      <c r="X495" s="41"/>
      <c r="Y495" s="24"/>
      <c r="Z495" s="24"/>
      <c r="AA495" s="24"/>
      <c r="AB495" s="24"/>
      <c r="AC495" s="24"/>
      <c r="AD495" s="24"/>
      <c r="AE495" s="24"/>
      <c r="AF495" s="24"/>
      <c r="AG495" s="24"/>
      <c r="AH495" s="24"/>
      <c r="AI495" s="24"/>
      <c r="AJ495" s="24"/>
      <c r="AK495" s="24"/>
      <c r="AL495" s="24"/>
      <c r="AM495" s="24"/>
    </row>
    <row r="496" spans="1:39" ht="56.25" customHeight="1" x14ac:dyDescent="0.3">
      <c r="A496" s="24"/>
      <c r="B496" s="63"/>
      <c r="C496" s="64"/>
      <c r="D496" s="41"/>
      <c r="E496" s="41"/>
      <c r="F496" s="41"/>
      <c r="G496" s="41"/>
      <c r="H496" s="41"/>
      <c r="I496" s="65"/>
      <c r="J496" s="41"/>
      <c r="K496" s="41"/>
      <c r="L496" s="41"/>
      <c r="M496" s="41"/>
      <c r="N496" s="41"/>
      <c r="O496" s="41"/>
      <c r="P496" s="41"/>
      <c r="Q496" s="41"/>
      <c r="R496" s="41"/>
      <c r="S496" s="41"/>
      <c r="T496" s="41"/>
      <c r="U496" s="41"/>
      <c r="V496" s="41"/>
      <c r="W496" s="41"/>
      <c r="X496" s="41"/>
      <c r="Y496" s="24"/>
      <c r="Z496" s="24"/>
      <c r="AA496" s="24"/>
      <c r="AB496" s="24"/>
      <c r="AC496" s="24"/>
      <c r="AD496" s="24"/>
      <c r="AE496" s="24"/>
      <c r="AF496" s="24"/>
      <c r="AG496" s="24"/>
      <c r="AH496" s="24"/>
      <c r="AI496" s="24"/>
      <c r="AJ496" s="24"/>
      <c r="AK496" s="24"/>
      <c r="AL496" s="24"/>
      <c r="AM496" s="24"/>
    </row>
    <row r="497" spans="1:39" ht="56.25" customHeight="1" x14ac:dyDescent="0.3">
      <c r="A497" s="24"/>
      <c r="B497" s="63"/>
      <c r="C497" s="64"/>
      <c r="D497" s="41"/>
      <c r="E497" s="41"/>
      <c r="F497" s="41"/>
      <c r="G497" s="41"/>
      <c r="H497" s="41"/>
      <c r="I497" s="65"/>
      <c r="J497" s="41"/>
      <c r="K497" s="41"/>
      <c r="L497" s="41"/>
      <c r="M497" s="41"/>
      <c r="N497" s="41"/>
      <c r="O497" s="41"/>
      <c r="P497" s="41"/>
      <c r="Q497" s="41"/>
      <c r="R497" s="41"/>
      <c r="S497" s="41"/>
      <c r="T497" s="41"/>
      <c r="U497" s="41"/>
      <c r="V497" s="41"/>
      <c r="W497" s="41"/>
      <c r="X497" s="41"/>
      <c r="Y497" s="24"/>
      <c r="Z497" s="24"/>
      <c r="AA497" s="24"/>
      <c r="AB497" s="24"/>
      <c r="AC497" s="24"/>
      <c r="AD497" s="24"/>
      <c r="AE497" s="24"/>
      <c r="AF497" s="24"/>
      <c r="AG497" s="24"/>
      <c r="AH497" s="24"/>
      <c r="AI497" s="24"/>
      <c r="AJ497" s="24"/>
      <c r="AK497" s="24"/>
      <c r="AL497" s="24"/>
      <c r="AM497" s="24"/>
    </row>
    <row r="498" spans="1:39" ht="56.25" customHeight="1" x14ac:dyDescent="0.3">
      <c r="A498" s="24"/>
      <c r="B498" s="63"/>
      <c r="C498" s="64"/>
      <c r="D498" s="41"/>
      <c r="E498" s="41"/>
      <c r="F498" s="41"/>
      <c r="G498" s="41"/>
      <c r="H498" s="41"/>
      <c r="I498" s="65"/>
      <c r="J498" s="41"/>
      <c r="K498" s="41"/>
      <c r="L498" s="41"/>
      <c r="M498" s="41"/>
      <c r="N498" s="41"/>
      <c r="O498" s="41"/>
      <c r="P498" s="41"/>
      <c r="Q498" s="41"/>
      <c r="R498" s="41"/>
      <c r="S498" s="41"/>
      <c r="T498" s="41"/>
      <c r="U498" s="41"/>
      <c r="V498" s="41"/>
      <c r="W498" s="41"/>
      <c r="X498" s="41"/>
      <c r="Y498" s="24"/>
      <c r="Z498" s="24"/>
      <c r="AA498" s="24"/>
      <c r="AB498" s="24"/>
      <c r="AC498" s="24"/>
      <c r="AD498" s="24"/>
      <c r="AE498" s="24"/>
      <c r="AF498" s="24"/>
      <c r="AG498" s="24"/>
      <c r="AH498" s="24"/>
      <c r="AI498" s="24"/>
      <c r="AJ498" s="24"/>
      <c r="AK498" s="24"/>
      <c r="AL498" s="24"/>
      <c r="AM498" s="24"/>
    </row>
    <row r="499" spans="1:39" ht="56.25" customHeight="1" x14ac:dyDescent="0.3">
      <c r="A499" s="24"/>
      <c r="B499" s="63"/>
      <c r="C499" s="64"/>
      <c r="D499" s="41"/>
      <c r="E499" s="41"/>
      <c r="F499" s="41"/>
      <c r="G499" s="41"/>
      <c r="H499" s="41"/>
      <c r="I499" s="65"/>
      <c r="J499" s="41"/>
      <c r="K499" s="41"/>
      <c r="L499" s="41"/>
      <c r="M499" s="41"/>
      <c r="N499" s="41"/>
      <c r="O499" s="41"/>
      <c r="P499" s="41"/>
      <c r="Q499" s="41"/>
      <c r="R499" s="41"/>
      <c r="S499" s="41"/>
      <c r="T499" s="41"/>
      <c r="U499" s="41"/>
      <c r="V499" s="41"/>
      <c r="W499" s="41"/>
      <c r="X499" s="41"/>
      <c r="Y499" s="24"/>
      <c r="Z499" s="24"/>
      <c r="AA499" s="24"/>
      <c r="AB499" s="24"/>
      <c r="AC499" s="24"/>
      <c r="AD499" s="24"/>
      <c r="AE499" s="24"/>
      <c r="AF499" s="24"/>
      <c r="AG499" s="24"/>
      <c r="AH499" s="24"/>
      <c r="AI499" s="24"/>
      <c r="AJ499" s="24"/>
      <c r="AK499" s="24"/>
      <c r="AL499" s="24"/>
      <c r="AM499" s="24"/>
    </row>
    <row r="500" spans="1:39" ht="56.25" customHeight="1" x14ac:dyDescent="0.3">
      <c r="A500" s="24"/>
      <c r="B500" s="63"/>
      <c r="C500" s="64"/>
      <c r="D500" s="41"/>
      <c r="E500" s="41"/>
      <c r="F500" s="41"/>
      <c r="G500" s="41"/>
      <c r="H500" s="41"/>
      <c r="I500" s="65"/>
      <c r="J500" s="41"/>
      <c r="K500" s="41"/>
      <c r="L500" s="41"/>
      <c r="M500" s="41"/>
      <c r="N500" s="41"/>
      <c r="O500" s="41"/>
      <c r="P500" s="41"/>
      <c r="Q500" s="41"/>
      <c r="R500" s="41"/>
      <c r="S500" s="41"/>
      <c r="T500" s="41"/>
      <c r="U500" s="41"/>
      <c r="V500" s="41"/>
      <c r="W500" s="41"/>
      <c r="X500" s="41"/>
      <c r="Y500" s="24"/>
      <c r="Z500" s="24"/>
      <c r="AA500" s="24"/>
      <c r="AB500" s="24"/>
      <c r="AC500" s="24"/>
      <c r="AD500" s="24"/>
      <c r="AE500" s="24"/>
      <c r="AF500" s="24"/>
      <c r="AG500" s="24"/>
      <c r="AH500" s="24"/>
      <c r="AI500" s="24"/>
      <c r="AJ500" s="24"/>
      <c r="AK500" s="24"/>
      <c r="AL500" s="24"/>
      <c r="AM500" s="24"/>
    </row>
    <row r="501" spans="1:39" ht="56.25" customHeight="1" x14ac:dyDescent="0.3">
      <c r="A501" s="24"/>
      <c r="B501" s="63"/>
      <c r="C501" s="64"/>
      <c r="D501" s="41"/>
      <c r="E501" s="41"/>
      <c r="F501" s="41"/>
      <c r="G501" s="41"/>
      <c r="H501" s="41"/>
      <c r="I501" s="65"/>
      <c r="J501" s="41"/>
      <c r="K501" s="41"/>
      <c r="L501" s="41"/>
      <c r="M501" s="41"/>
      <c r="N501" s="41"/>
      <c r="O501" s="41"/>
      <c r="P501" s="41"/>
      <c r="Q501" s="41"/>
      <c r="R501" s="41"/>
      <c r="S501" s="41"/>
      <c r="T501" s="41"/>
      <c r="U501" s="41"/>
      <c r="V501" s="41"/>
      <c r="W501" s="41"/>
      <c r="X501" s="41"/>
      <c r="Y501" s="24"/>
      <c r="Z501" s="24"/>
      <c r="AA501" s="24"/>
      <c r="AB501" s="24"/>
      <c r="AC501" s="24"/>
      <c r="AD501" s="24"/>
      <c r="AE501" s="24"/>
      <c r="AF501" s="24"/>
      <c r="AG501" s="24"/>
      <c r="AH501" s="24"/>
      <c r="AI501" s="24"/>
      <c r="AJ501" s="24"/>
      <c r="AK501" s="24"/>
      <c r="AL501" s="24"/>
      <c r="AM501" s="24"/>
    </row>
    <row r="502" spans="1:39" ht="56.25" customHeight="1" x14ac:dyDescent="0.3">
      <c r="A502" s="24"/>
      <c r="B502" s="63"/>
      <c r="C502" s="64"/>
      <c r="D502" s="41"/>
      <c r="E502" s="41"/>
      <c r="F502" s="41"/>
      <c r="G502" s="41"/>
      <c r="H502" s="41"/>
      <c r="I502" s="65"/>
      <c r="J502" s="41"/>
      <c r="K502" s="41"/>
      <c r="L502" s="41"/>
      <c r="M502" s="41"/>
      <c r="N502" s="41"/>
      <c r="O502" s="41"/>
      <c r="P502" s="41"/>
      <c r="Q502" s="41"/>
      <c r="R502" s="41"/>
      <c r="S502" s="41"/>
      <c r="T502" s="41"/>
      <c r="U502" s="41"/>
      <c r="V502" s="41"/>
      <c r="W502" s="41"/>
      <c r="X502" s="41"/>
      <c r="Y502" s="24"/>
      <c r="Z502" s="24"/>
      <c r="AA502" s="24"/>
      <c r="AB502" s="24"/>
      <c r="AC502" s="24"/>
      <c r="AD502" s="24"/>
      <c r="AE502" s="24"/>
      <c r="AF502" s="24"/>
      <c r="AG502" s="24"/>
      <c r="AH502" s="24"/>
      <c r="AI502" s="24"/>
      <c r="AJ502" s="24"/>
      <c r="AK502" s="24"/>
      <c r="AL502" s="24"/>
      <c r="AM502" s="24"/>
    </row>
    <row r="503" spans="1:39" ht="56.25" customHeight="1" x14ac:dyDescent="0.3">
      <c r="A503" s="24"/>
      <c r="B503" s="63"/>
      <c r="C503" s="64"/>
      <c r="D503" s="41"/>
      <c r="E503" s="41"/>
      <c r="F503" s="41"/>
      <c r="G503" s="41"/>
      <c r="H503" s="41"/>
      <c r="I503" s="65"/>
      <c r="J503" s="41"/>
      <c r="K503" s="41"/>
      <c r="L503" s="41"/>
      <c r="M503" s="41"/>
      <c r="N503" s="41"/>
      <c r="O503" s="41"/>
      <c r="P503" s="41"/>
      <c r="Q503" s="41"/>
      <c r="R503" s="41"/>
      <c r="S503" s="41"/>
      <c r="T503" s="41"/>
      <c r="U503" s="41"/>
      <c r="V503" s="41"/>
      <c r="W503" s="41"/>
      <c r="X503" s="41"/>
      <c r="Y503" s="24"/>
      <c r="Z503" s="24"/>
      <c r="AA503" s="24"/>
      <c r="AB503" s="24"/>
      <c r="AC503" s="24"/>
      <c r="AD503" s="24"/>
      <c r="AE503" s="24"/>
      <c r="AF503" s="24"/>
      <c r="AG503" s="24"/>
      <c r="AH503" s="24"/>
      <c r="AI503" s="24"/>
      <c r="AJ503" s="24"/>
      <c r="AK503" s="24"/>
      <c r="AL503" s="24"/>
      <c r="AM503" s="24"/>
    </row>
    <row r="504" spans="1:39" ht="56.25" customHeight="1" x14ac:dyDescent="0.3">
      <c r="A504" s="24"/>
      <c r="B504" s="63"/>
      <c r="C504" s="64"/>
      <c r="D504" s="41"/>
      <c r="E504" s="41"/>
      <c r="F504" s="41"/>
      <c r="G504" s="41"/>
      <c r="H504" s="41"/>
      <c r="I504" s="65"/>
      <c r="J504" s="41"/>
      <c r="K504" s="41"/>
      <c r="L504" s="41"/>
      <c r="M504" s="41"/>
      <c r="N504" s="41"/>
      <c r="O504" s="41"/>
      <c r="P504" s="41"/>
      <c r="Q504" s="41"/>
      <c r="R504" s="41"/>
      <c r="S504" s="41"/>
      <c r="T504" s="41"/>
      <c r="U504" s="41"/>
      <c r="V504" s="41"/>
      <c r="W504" s="41"/>
      <c r="X504" s="41"/>
      <c r="Y504" s="24"/>
      <c r="Z504" s="24"/>
      <c r="AA504" s="24"/>
      <c r="AB504" s="24"/>
      <c r="AC504" s="24"/>
      <c r="AD504" s="24"/>
      <c r="AE504" s="24"/>
      <c r="AF504" s="24"/>
      <c r="AG504" s="24"/>
      <c r="AH504" s="24"/>
      <c r="AI504" s="24"/>
      <c r="AJ504" s="24"/>
      <c r="AK504" s="24"/>
      <c r="AL504" s="24"/>
      <c r="AM504" s="24"/>
    </row>
    <row r="505" spans="1:39" ht="56.25" customHeight="1" x14ac:dyDescent="0.3">
      <c r="A505" s="24"/>
      <c r="B505" s="63"/>
      <c r="C505" s="64"/>
      <c r="D505" s="41"/>
      <c r="E505" s="41"/>
      <c r="F505" s="41"/>
      <c r="G505" s="41"/>
      <c r="H505" s="41"/>
      <c r="I505" s="65"/>
      <c r="J505" s="41"/>
      <c r="K505" s="41"/>
      <c r="L505" s="41"/>
      <c r="M505" s="41"/>
      <c r="N505" s="41"/>
      <c r="O505" s="41"/>
      <c r="P505" s="41"/>
      <c r="Q505" s="41"/>
      <c r="R505" s="41"/>
      <c r="S505" s="41"/>
      <c r="T505" s="41"/>
      <c r="U505" s="41"/>
      <c r="V505" s="41"/>
      <c r="W505" s="41"/>
      <c r="X505" s="41"/>
      <c r="Y505" s="24"/>
      <c r="Z505" s="24"/>
      <c r="AA505" s="24"/>
      <c r="AB505" s="24"/>
      <c r="AC505" s="24"/>
      <c r="AD505" s="24"/>
      <c r="AE505" s="24"/>
      <c r="AF505" s="24"/>
      <c r="AG505" s="24"/>
      <c r="AH505" s="24"/>
      <c r="AI505" s="24"/>
      <c r="AJ505" s="24"/>
      <c r="AK505" s="24"/>
      <c r="AL505" s="24"/>
      <c r="AM505" s="24"/>
    </row>
    <row r="506" spans="1:39" ht="56.25" customHeight="1" x14ac:dyDescent="0.3">
      <c r="A506" s="24"/>
      <c r="B506" s="63"/>
      <c r="C506" s="64"/>
      <c r="D506" s="41"/>
      <c r="E506" s="41"/>
      <c r="F506" s="41"/>
      <c r="G506" s="41"/>
      <c r="H506" s="41"/>
      <c r="I506" s="65"/>
      <c r="J506" s="41"/>
      <c r="K506" s="41"/>
      <c r="L506" s="41"/>
      <c r="M506" s="41"/>
      <c r="N506" s="41"/>
      <c r="O506" s="41"/>
      <c r="P506" s="41"/>
      <c r="Q506" s="41"/>
      <c r="R506" s="41"/>
      <c r="S506" s="41"/>
      <c r="T506" s="41"/>
      <c r="U506" s="41"/>
      <c r="V506" s="41"/>
      <c r="W506" s="41"/>
      <c r="X506" s="41"/>
      <c r="Y506" s="24"/>
      <c r="Z506" s="24"/>
      <c r="AA506" s="24"/>
      <c r="AB506" s="24"/>
      <c r="AC506" s="24"/>
      <c r="AD506" s="24"/>
      <c r="AE506" s="24"/>
      <c r="AF506" s="24"/>
      <c r="AG506" s="24"/>
      <c r="AH506" s="24"/>
      <c r="AI506" s="24"/>
      <c r="AJ506" s="24"/>
      <c r="AK506" s="24"/>
      <c r="AL506" s="24"/>
      <c r="AM506" s="24"/>
    </row>
    <row r="507" spans="1:39" ht="56.25" customHeight="1" x14ac:dyDescent="0.3">
      <c r="A507" s="24"/>
      <c r="B507" s="63"/>
      <c r="C507" s="64"/>
      <c r="D507" s="41"/>
      <c r="E507" s="41"/>
      <c r="F507" s="41"/>
      <c r="G507" s="41"/>
      <c r="H507" s="41"/>
      <c r="I507" s="65"/>
      <c r="J507" s="41"/>
      <c r="K507" s="41"/>
      <c r="L507" s="41"/>
      <c r="M507" s="41"/>
      <c r="N507" s="41"/>
      <c r="O507" s="41"/>
      <c r="P507" s="41"/>
      <c r="Q507" s="41"/>
      <c r="R507" s="41"/>
      <c r="S507" s="41"/>
      <c r="T507" s="41"/>
      <c r="U507" s="41"/>
      <c r="V507" s="41"/>
      <c r="W507" s="41"/>
      <c r="X507" s="41"/>
      <c r="Y507" s="24"/>
      <c r="Z507" s="24"/>
      <c r="AA507" s="24"/>
      <c r="AB507" s="24"/>
      <c r="AC507" s="24"/>
      <c r="AD507" s="24"/>
      <c r="AE507" s="24"/>
      <c r="AF507" s="24"/>
      <c r="AG507" s="24"/>
      <c r="AH507" s="24"/>
      <c r="AI507" s="24"/>
      <c r="AJ507" s="24"/>
      <c r="AK507" s="24"/>
      <c r="AL507" s="24"/>
      <c r="AM507" s="24"/>
    </row>
    <row r="508" spans="1:39" ht="56.25" customHeight="1" x14ac:dyDescent="0.3">
      <c r="A508" s="24"/>
      <c r="B508" s="63"/>
      <c r="C508" s="64"/>
      <c r="D508" s="41"/>
      <c r="E508" s="41"/>
      <c r="F508" s="41"/>
      <c r="G508" s="41"/>
      <c r="H508" s="41"/>
      <c r="I508" s="65"/>
      <c r="J508" s="41"/>
      <c r="K508" s="41"/>
      <c r="L508" s="41"/>
      <c r="M508" s="41"/>
      <c r="N508" s="41"/>
      <c r="O508" s="41"/>
      <c r="P508" s="41"/>
      <c r="Q508" s="41"/>
      <c r="R508" s="41"/>
      <c r="S508" s="41"/>
      <c r="T508" s="41"/>
      <c r="U508" s="41"/>
      <c r="V508" s="41"/>
      <c r="W508" s="41"/>
      <c r="X508" s="41"/>
      <c r="Y508" s="24"/>
      <c r="Z508" s="24"/>
      <c r="AA508" s="24"/>
      <c r="AB508" s="24"/>
      <c r="AC508" s="24"/>
      <c r="AD508" s="24"/>
      <c r="AE508" s="24"/>
      <c r="AF508" s="24"/>
      <c r="AG508" s="24"/>
      <c r="AH508" s="24"/>
      <c r="AI508" s="24"/>
      <c r="AJ508" s="24"/>
      <c r="AK508" s="24"/>
      <c r="AL508" s="24"/>
      <c r="AM508" s="24"/>
    </row>
    <row r="509" spans="1:39" ht="56.25" customHeight="1" x14ac:dyDescent="0.3">
      <c r="A509" s="24"/>
      <c r="B509" s="63"/>
      <c r="C509" s="64"/>
      <c r="D509" s="41"/>
      <c r="E509" s="41"/>
      <c r="F509" s="41"/>
      <c r="G509" s="41"/>
      <c r="H509" s="41"/>
      <c r="I509" s="65"/>
      <c r="J509" s="41"/>
      <c r="K509" s="41"/>
      <c r="L509" s="41"/>
      <c r="M509" s="41"/>
      <c r="N509" s="41"/>
      <c r="O509" s="41"/>
      <c r="P509" s="41"/>
      <c r="Q509" s="41"/>
      <c r="R509" s="41"/>
      <c r="S509" s="41"/>
      <c r="T509" s="41"/>
      <c r="U509" s="41"/>
      <c r="V509" s="41"/>
      <c r="W509" s="41"/>
      <c r="X509" s="41"/>
      <c r="Y509" s="24"/>
      <c r="Z509" s="24"/>
      <c r="AA509" s="24"/>
      <c r="AB509" s="24"/>
      <c r="AC509" s="24"/>
      <c r="AD509" s="24"/>
      <c r="AE509" s="24"/>
      <c r="AF509" s="24"/>
      <c r="AG509" s="24"/>
      <c r="AH509" s="24"/>
      <c r="AI509" s="24"/>
      <c r="AJ509" s="24"/>
      <c r="AK509" s="24"/>
      <c r="AL509" s="24"/>
      <c r="AM509" s="24"/>
    </row>
    <row r="510" spans="1:39" ht="56.25" customHeight="1" x14ac:dyDescent="0.3">
      <c r="A510" s="24"/>
      <c r="B510" s="63"/>
      <c r="C510" s="64"/>
      <c r="D510" s="41"/>
      <c r="E510" s="41"/>
      <c r="F510" s="41"/>
      <c r="G510" s="41"/>
      <c r="H510" s="41"/>
      <c r="I510" s="65"/>
      <c r="J510" s="41"/>
      <c r="K510" s="41"/>
      <c r="L510" s="41"/>
      <c r="M510" s="41"/>
      <c r="N510" s="41"/>
      <c r="O510" s="41"/>
      <c r="P510" s="41"/>
      <c r="Q510" s="41"/>
      <c r="R510" s="41"/>
      <c r="S510" s="41"/>
      <c r="T510" s="41"/>
      <c r="U510" s="41"/>
      <c r="V510" s="41"/>
      <c r="W510" s="41"/>
      <c r="X510" s="41"/>
      <c r="Y510" s="24"/>
      <c r="Z510" s="24"/>
      <c r="AA510" s="24"/>
      <c r="AB510" s="24"/>
      <c r="AC510" s="24"/>
      <c r="AD510" s="24"/>
      <c r="AE510" s="24"/>
      <c r="AF510" s="24"/>
      <c r="AG510" s="24"/>
      <c r="AH510" s="24"/>
      <c r="AI510" s="24"/>
      <c r="AJ510" s="24"/>
      <c r="AK510" s="24"/>
      <c r="AL510" s="24"/>
      <c r="AM510" s="24"/>
    </row>
    <row r="511" spans="1:39" ht="56.25" customHeight="1" x14ac:dyDescent="0.3">
      <c r="A511" s="24"/>
      <c r="B511" s="63"/>
      <c r="C511" s="64"/>
      <c r="D511" s="41"/>
      <c r="E511" s="41"/>
      <c r="F511" s="41"/>
      <c r="G511" s="41"/>
      <c r="H511" s="41"/>
      <c r="I511" s="65"/>
      <c r="J511" s="41"/>
      <c r="K511" s="41"/>
      <c r="L511" s="41"/>
      <c r="M511" s="41"/>
      <c r="N511" s="41"/>
      <c r="O511" s="41"/>
      <c r="P511" s="41"/>
      <c r="Q511" s="41"/>
      <c r="R511" s="41"/>
      <c r="S511" s="41"/>
      <c r="T511" s="41"/>
      <c r="U511" s="41"/>
      <c r="V511" s="41"/>
      <c r="W511" s="41"/>
      <c r="X511" s="41"/>
      <c r="Y511" s="24"/>
      <c r="Z511" s="24"/>
      <c r="AA511" s="24"/>
      <c r="AB511" s="24"/>
      <c r="AC511" s="24"/>
      <c r="AD511" s="24"/>
      <c r="AE511" s="24"/>
      <c r="AF511" s="24"/>
      <c r="AG511" s="24"/>
      <c r="AH511" s="24"/>
      <c r="AI511" s="24"/>
      <c r="AJ511" s="24"/>
      <c r="AK511" s="24"/>
      <c r="AL511" s="24"/>
      <c r="AM511" s="24"/>
    </row>
    <row r="512" spans="1:39" ht="56.25" customHeight="1" x14ac:dyDescent="0.3">
      <c r="A512" s="24"/>
      <c r="B512" s="63"/>
      <c r="C512" s="64"/>
      <c r="D512" s="41"/>
      <c r="E512" s="41"/>
      <c r="F512" s="41"/>
      <c r="G512" s="41"/>
      <c r="H512" s="41"/>
      <c r="I512" s="65"/>
      <c r="J512" s="41"/>
      <c r="K512" s="41"/>
      <c r="L512" s="41"/>
      <c r="M512" s="41"/>
      <c r="N512" s="41"/>
      <c r="O512" s="41"/>
      <c r="P512" s="41"/>
      <c r="Q512" s="41"/>
      <c r="R512" s="41"/>
      <c r="S512" s="41"/>
      <c r="T512" s="41"/>
      <c r="U512" s="41"/>
      <c r="V512" s="41"/>
      <c r="W512" s="41"/>
      <c r="X512" s="41"/>
      <c r="Y512" s="24"/>
      <c r="Z512" s="24"/>
      <c r="AA512" s="24"/>
      <c r="AB512" s="24"/>
      <c r="AC512" s="24"/>
      <c r="AD512" s="24"/>
      <c r="AE512" s="24"/>
      <c r="AF512" s="24"/>
      <c r="AG512" s="24"/>
      <c r="AH512" s="24"/>
      <c r="AI512" s="24"/>
      <c r="AJ512" s="24"/>
      <c r="AK512" s="24"/>
      <c r="AL512" s="24"/>
      <c r="AM512" s="24"/>
    </row>
    <row r="513" spans="1:39" ht="56.25" customHeight="1" x14ac:dyDescent="0.3">
      <c r="A513" s="24"/>
      <c r="B513" s="63"/>
      <c r="C513" s="64"/>
      <c r="D513" s="41"/>
      <c r="E513" s="41"/>
      <c r="F513" s="41"/>
      <c r="G513" s="41"/>
      <c r="H513" s="41"/>
      <c r="I513" s="65"/>
      <c r="J513" s="41"/>
      <c r="K513" s="41"/>
      <c r="L513" s="41"/>
      <c r="M513" s="41"/>
      <c r="N513" s="41"/>
      <c r="O513" s="41"/>
      <c r="P513" s="41"/>
      <c r="Q513" s="41"/>
      <c r="R513" s="41"/>
      <c r="S513" s="41"/>
      <c r="T513" s="41"/>
      <c r="U513" s="41"/>
      <c r="V513" s="41"/>
      <c r="W513" s="41"/>
      <c r="X513" s="41"/>
      <c r="Y513" s="24"/>
      <c r="Z513" s="24"/>
      <c r="AA513" s="24"/>
      <c r="AB513" s="24"/>
      <c r="AC513" s="24"/>
      <c r="AD513" s="24"/>
      <c r="AE513" s="24"/>
      <c r="AF513" s="24"/>
      <c r="AG513" s="24"/>
      <c r="AH513" s="24"/>
      <c r="AI513" s="24"/>
      <c r="AJ513" s="24"/>
      <c r="AK513" s="24"/>
      <c r="AL513" s="24"/>
      <c r="AM513" s="24"/>
    </row>
    <row r="514" spans="1:39" ht="56.25" customHeight="1" x14ac:dyDescent="0.3">
      <c r="A514" s="24"/>
      <c r="B514" s="63"/>
      <c r="C514" s="64"/>
      <c r="D514" s="41"/>
      <c r="E514" s="41"/>
      <c r="F514" s="41"/>
      <c r="G514" s="41"/>
      <c r="H514" s="41"/>
      <c r="I514" s="65"/>
      <c r="J514" s="41"/>
      <c r="K514" s="41"/>
      <c r="L514" s="41"/>
      <c r="M514" s="41"/>
      <c r="N514" s="41"/>
      <c r="O514" s="41"/>
      <c r="P514" s="41"/>
      <c r="Q514" s="41"/>
      <c r="R514" s="41"/>
      <c r="S514" s="41"/>
      <c r="T514" s="41"/>
      <c r="U514" s="41"/>
      <c r="V514" s="41"/>
      <c r="W514" s="41"/>
      <c r="X514" s="41"/>
      <c r="Y514" s="24"/>
      <c r="Z514" s="24"/>
      <c r="AA514" s="24"/>
      <c r="AB514" s="24"/>
      <c r="AC514" s="24"/>
      <c r="AD514" s="24"/>
      <c r="AE514" s="24"/>
      <c r="AF514" s="24"/>
      <c r="AG514" s="24"/>
      <c r="AH514" s="24"/>
      <c r="AI514" s="24"/>
      <c r="AJ514" s="24"/>
      <c r="AK514" s="24"/>
      <c r="AL514" s="24"/>
      <c r="AM514" s="24"/>
    </row>
    <row r="515" spans="1:39" ht="56.25" customHeight="1" x14ac:dyDescent="0.3">
      <c r="A515" s="24"/>
      <c r="B515" s="63"/>
      <c r="C515" s="64"/>
      <c r="D515" s="41"/>
      <c r="E515" s="41"/>
      <c r="F515" s="41"/>
      <c r="G515" s="41"/>
      <c r="H515" s="41"/>
      <c r="I515" s="65"/>
      <c r="J515" s="41"/>
      <c r="K515" s="41"/>
      <c r="L515" s="41"/>
      <c r="M515" s="41"/>
      <c r="N515" s="41"/>
      <c r="O515" s="41"/>
      <c r="P515" s="41"/>
      <c r="Q515" s="41"/>
      <c r="R515" s="41"/>
      <c r="S515" s="41"/>
      <c r="T515" s="41"/>
      <c r="U515" s="41"/>
      <c r="V515" s="41"/>
      <c r="W515" s="41"/>
      <c r="X515" s="41"/>
      <c r="Y515" s="24"/>
      <c r="Z515" s="24"/>
      <c r="AA515" s="24"/>
      <c r="AB515" s="24"/>
      <c r="AC515" s="24"/>
      <c r="AD515" s="24"/>
      <c r="AE515" s="24"/>
      <c r="AF515" s="24"/>
      <c r="AG515" s="24"/>
      <c r="AH515" s="24"/>
      <c r="AI515" s="24"/>
      <c r="AJ515" s="24"/>
      <c r="AK515" s="24"/>
      <c r="AL515" s="24"/>
      <c r="AM515" s="24"/>
    </row>
    <row r="516" spans="1:39" ht="56.25" customHeight="1" x14ac:dyDescent="0.3">
      <c r="A516" s="24"/>
      <c r="B516" s="63"/>
      <c r="C516" s="64"/>
      <c r="D516" s="41"/>
      <c r="E516" s="41"/>
      <c r="F516" s="41"/>
      <c r="G516" s="41"/>
      <c r="H516" s="41"/>
      <c r="I516" s="65"/>
      <c r="J516" s="41"/>
      <c r="K516" s="41"/>
      <c r="L516" s="41"/>
      <c r="M516" s="41"/>
      <c r="N516" s="41"/>
      <c r="O516" s="41"/>
      <c r="P516" s="41"/>
      <c r="Q516" s="41"/>
      <c r="R516" s="41"/>
      <c r="S516" s="41"/>
      <c r="T516" s="41"/>
      <c r="U516" s="41"/>
      <c r="V516" s="41"/>
      <c r="W516" s="41"/>
      <c r="X516" s="41"/>
      <c r="Y516" s="24"/>
      <c r="Z516" s="24"/>
      <c r="AA516" s="24"/>
      <c r="AB516" s="24"/>
      <c r="AC516" s="24"/>
      <c r="AD516" s="24"/>
      <c r="AE516" s="24"/>
      <c r="AF516" s="24"/>
      <c r="AG516" s="24"/>
      <c r="AH516" s="24"/>
      <c r="AI516" s="24"/>
      <c r="AJ516" s="24"/>
      <c r="AK516" s="24"/>
      <c r="AL516" s="24"/>
      <c r="AM516" s="24"/>
    </row>
    <row r="517" spans="1:39" ht="56.25" customHeight="1" x14ac:dyDescent="0.3">
      <c r="A517" s="24"/>
      <c r="B517" s="63"/>
      <c r="C517" s="64"/>
      <c r="D517" s="41"/>
      <c r="E517" s="41"/>
      <c r="F517" s="41"/>
      <c r="G517" s="41"/>
      <c r="H517" s="41"/>
      <c r="I517" s="65"/>
      <c r="J517" s="41"/>
      <c r="K517" s="41"/>
      <c r="L517" s="41"/>
      <c r="M517" s="41"/>
      <c r="N517" s="41"/>
      <c r="O517" s="41"/>
      <c r="P517" s="41"/>
      <c r="Q517" s="41"/>
      <c r="R517" s="41"/>
      <c r="S517" s="41"/>
      <c r="T517" s="41"/>
      <c r="U517" s="41"/>
      <c r="V517" s="41"/>
      <c r="W517" s="41"/>
      <c r="X517" s="41"/>
      <c r="Y517" s="24"/>
      <c r="Z517" s="24"/>
      <c r="AA517" s="24"/>
      <c r="AB517" s="24"/>
      <c r="AC517" s="24"/>
      <c r="AD517" s="24"/>
      <c r="AE517" s="24"/>
      <c r="AF517" s="24"/>
      <c r="AG517" s="24"/>
      <c r="AH517" s="24"/>
      <c r="AI517" s="24"/>
      <c r="AJ517" s="24"/>
      <c r="AK517" s="24"/>
      <c r="AL517" s="24"/>
      <c r="AM517" s="24"/>
    </row>
    <row r="518" spans="1:39" ht="56.25" customHeight="1" x14ac:dyDescent="0.3">
      <c r="A518" s="24"/>
      <c r="B518" s="63"/>
      <c r="C518" s="64"/>
      <c r="D518" s="41"/>
      <c r="E518" s="41"/>
      <c r="F518" s="41"/>
      <c r="G518" s="41"/>
      <c r="H518" s="41"/>
      <c r="I518" s="65"/>
      <c r="J518" s="41"/>
      <c r="K518" s="41"/>
      <c r="L518" s="41"/>
      <c r="M518" s="41"/>
      <c r="N518" s="41"/>
      <c r="O518" s="41"/>
      <c r="P518" s="41"/>
      <c r="Q518" s="41"/>
      <c r="R518" s="41"/>
      <c r="S518" s="41"/>
      <c r="T518" s="41"/>
      <c r="U518" s="41"/>
      <c r="V518" s="41"/>
      <c r="W518" s="41"/>
      <c r="X518" s="41"/>
      <c r="Y518" s="24"/>
      <c r="Z518" s="24"/>
      <c r="AA518" s="24"/>
      <c r="AB518" s="24"/>
      <c r="AC518" s="24"/>
      <c r="AD518" s="24"/>
      <c r="AE518" s="24"/>
      <c r="AF518" s="24"/>
      <c r="AG518" s="24"/>
      <c r="AH518" s="24"/>
      <c r="AI518" s="24"/>
      <c r="AJ518" s="24"/>
      <c r="AK518" s="24"/>
      <c r="AL518" s="24"/>
      <c r="AM518" s="24"/>
    </row>
    <row r="519" spans="1:39" ht="56.25" customHeight="1" x14ac:dyDescent="0.3">
      <c r="A519" s="24"/>
      <c r="B519" s="63"/>
      <c r="C519" s="64"/>
      <c r="D519" s="41"/>
      <c r="E519" s="41"/>
      <c r="F519" s="41"/>
      <c r="G519" s="41"/>
      <c r="H519" s="41"/>
      <c r="I519" s="65"/>
      <c r="J519" s="41"/>
      <c r="K519" s="41"/>
      <c r="L519" s="41"/>
      <c r="M519" s="41"/>
      <c r="N519" s="41"/>
      <c r="O519" s="41"/>
      <c r="P519" s="41"/>
      <c r="Q519" s="41"/>
      <c r="R519" s="41"/>
      <c r="S519" s="41"/>
      <c r="T519" s="41"/>
      <c r="U519" s="41"/>
      <c r="V519" s="41"/>
      <c r="W519" s="41"/>
      <c r="X519" s="41"/>
      <c r="Y519" s="24"/>
      <c r="Z519" s="24"/>
      <c r="AA519" s="24"/>
      <c r="AB519" s="24"/>
      <c r="AC519" s="24"/>
      <c r="AD519" s="24"/>
      <c r="AE519" s="24"/>
      <c r="AF519" s="24"/>
      <c r="AG519" s="24"/>
      <c r="AH519" s="24"/>
      <c r="AI519" s="24"/>
      <c r="AJ519" s="24"/>
      <c r="AK519" s="24"/>
      <c r="AL519" s="24"/>
      <c r="AM519" s="24"/>
    </row>
    <row r="520" spans="1:39" ht="56.25" customHeight="1" x14ac:dyDescent="0.3">
      <c r="A520" s="24"/>
      <c r="B520" s="63"/>
      <c r="C520" s="64"/>
      <c r="D520" s="41"/>
      <c r="E520" s="41"/>
      <c r="F520" s="41"/>
      <c r="G520" s="41"/>
      <c r="H520" s="41"/>
      <c r="I520" s="65"/>
      <c r="J520" s="41"/>
      <c r="K520" s="41"/>
      <c r="L520" s="41"/>
      <c r="M520" s="41"/>
      <c r="N520" s="41"/>
      <c r="O520" s="41"/>
      <c r="P520" s="41"/>
      <c r="Q520" s="41"/>
      <c r="R520" s="41"/>
      <c r="S520" s="41"/>
      <c r="T520" s="41"/>
      <c r="U520" s="41"/>
      <c r="V520" s="41"/>
      <c r="W520" s="41"/>
      <c r="X520" s="41"/>
      <c r="Y520" s="24"/>
      <c r="Z520" s="24"/>
      <c r="AA520" s="24"/>
      <c r="AB520" s="24"/>
      <c r="AC520" s="24"/>
      <c r="AD520" s="24"/>
      <c r="AE520" s="24"/>
      <c r="AF520" s="24"/>
      <c r="AG520" s="24"/>
      <c r="AH520" s="24"/>
      <c r="AI520" s="24"/>
      <c r="AJ520" s="24"/>
      <c r="AK520" s="24"/>
      <c r="AL520" s="24"/>
      <c r="AM520" s="24"/>
    </row>
    <row r="521" spans="1:39" ht="56.25" customHeight="1" x14ac:dyDescent="0.3">
      <c r="A521" s="24"/>
      <c r="B521" s="63"/>
      <c r="C521" s="64"/>
      <c r="D521" s="41"/>
      <c r="E521" s="41"/>
      <c r="F521" s="41"/>
      <c r="G521" s="41"/>
      <c r="H521" s="41"/>
      <c r="I521" s="65"/>
      <c r="J521" s="41"/>
      <c r="K521" s="41"/>
      <c r="L521" s="41"/>
      <c r="M521" s="41"/>
      <c r="N521" s="41"/>
      <c r="O521" s="41"/>
      <c r="P521" s="41"/>
      <c r="Q521" s="41"/>
      <c r="R521" s="41"/>
      <c r="S521" s="41"/>
      <c r="T521" s="41"/>
      <c r="U521" s="41"/>
      <c r="V521" s="41"/>
      <c r="W521" s="41"/>
      <c r="X521" s="41"/>
      <c r="Y521" s="24"/>
      <c r="Z521" s="24"/>
      <c r="AA521" s="24"/>
      <c r="AB521" s="24"/>
      <c r="AC521" s="24"/>
      <c r="AD521" s="24"/>
      <c r="AE521" s="24"/>
      <c r="AF521" s="24"/>
      <c r="AG521" s="24"/>
      <c r="AH521" s="24"/>
      <c r="AI521" s="24"/>
      <c r="AJ521" s="24"/>
      <c r="AK521" s="24"/>
      <c r="AL521" s="24"/>
      <c r="AM521" s="24"/>
    </row>
    <row r="522" spans="1:39" ht="56.25" customHeight="1" x14ac:dyDescent="0.3">
      <c r="A522" s="24"/>
      <c r="B522" s="63"/>
      <c r="C522" s="64"/>
      <c r="D522" s="41"/>
      <c r="E522" s="41"/>
      <c r="F522" s="41"/>
      <c r="G522" s="41"/>
      <c r="H522" s="41"/>
      <c r="I522" s="65"/>
      <c r="J522" s="41"/>
      <c r="K522" s="41"/>
      <c r="L522" s="41"/>
      <c r="M522" s="41"/>
      <c r="N522" s="41"/>
      <c r="O522" s="41"/>
      <c r="P522" s="41"/>
      <c r="Q522" s="41"/>
      <c r="R522" s="41"/>
      <c r="S522" s="41"/>
      <c r="T522" s="41"/>
      <c r="U522" s="41"/>
      <c r="V522" s="41"/>
      <c r="W522" s="41"/>
      <c r="X522" s="41"/>
      <c r="Y522" s="24"/>
      <c r="Z522" s="24"/>
      <c r="AA522" s="24"/>
      <c r="AB522" s="24"/>
      <c r="AC522" s="24"/>
      <c r="AD522" s="24"/>
      <c r="AE522" s="24"/>
      <c r="AF522" s="24"/>
      <c r="AG522" s="24"/>
      <c r="AH522" s="24"/>
      <c r="AI522" s="24"/>
      <c r="AJ522" s="24"/>
      <c r="AK522" s="24"/>
      <c r="AL522" s="24"/>
      <c r="AM522" s="24"/>
    </row>
    <row r="523" spans="1:39" ht="56.25" customHeight="1" x14ac:dyDescent="0.3">
      <c r="A523" s="24"/>
      <c r="B523" s="63"/>
      <c r="C523" s="64"/>
      <c r="D523" s="41"/>
      <c r="E523" s="41"/>
      <c r="F523" s="41"/>
      <c r="G523" s="41"/>
      <c r="H523" s="41"/>
      <c r="I523" s="65"/>
      <c r="J523" s="41"/>
      <c r="K523" s="41"/>
      <c r="L523" s="41"/>
      <c r="M523" s="41"/>
      <c r="N523" s="41"/>
      <c r="O523" s="41"/>
      <c r="P523" s="41"/>
      <c r="Q523" s="41"/>
      <c r="R523" s="41"/>
      <c r="S523" s="41"/>
      <c r="T523" s="41"/>
      <c r="U523" s="41"/>
      <c r="V523" s="41"/>
      <c r="W523" s="41"/>
      <c r="X523" s="41"/>
      <c r="Y523" s="24"/>
      <c r="Z523" s="24"/>
      <c r="AA523" s="24"/>
      <c r="AB523" s="24"/>
      <c r="AC523" s="24"/>
      <c r="AD523" s="24"/>
      <c r="AE523" s="24"/>
      <c r="AF523" s="24"/>
      <c r="AG523" s="24"/>
      <c r="AH523" s="24"/>
      <c r="AI523" s="24"/>
      <c r="AJ523" s="24"/>
      <c r="AK523" s="24"/>
      <c r="AL523" s="24"/>
      <c r="AM523" s="24"/>
    </row>
  </sheetData>
  <mergeCells count="8">
    <mergeCell ref="A137:Y137"/>
    <mergeCell ref="U1:X1"/>
    <mergeCell ref="A2:T2"/>
    <mergeCell ref="U2:X2"/>
    <mergeCell ref="A3:I3"/>
    <mergeCell ref="J3:N3"/>
    <mergeCell ref="O3:T3"/>
    <mergeCell ref="U3:X3"/>
  </mergeCells>
  <phoneticPr fontId="42" type="noConversion"/>
  <hyperlinks>
    <hyperlink ref="X138" r:id="rId1" xr:uid="{00000000-0004-0000-0300-000000000000}"/>
  </hyperlinks>
  <pageMargins left="0.7" right="0.7" top="0.75" bottom="0.75" header="0" footer="0"/>
  <pageSetup scale="28" fitToHeight="0" orientation="landscape"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6"/>
  <dimension ref="A1:H1000"/>
  <sheetViews>
    <sheetView workbookViewId="0">
      <selection activeCell="F7" sqref="F7"/>
    </sheetView>
  </sheetViews>
  <sheetFormatPr baseColWidth="10" defaultColWidth="12.625" defaultRowHeight="15" customHeight="1" x14ac:dyDescent="0.2"/>
  <cols>
    <col min="1" max="1" width="20.25" customWidth="1"/>
    <col min="2" max="2" width="33" customWidth="1"/>
    <col min="3" max="3" width="16" customWidth="1"/>
    <col min="4" max="4" width="15.25" customWidth="1"/>
    <col min="5" max="5" width="23.625" customWidth="1"/>
    <col min="6" max="6" width="50.625" customWidth="1"/>
    <col min="7" max="8" width="34.375" customWidth="1"/>
  </cols>
  <sheetData>
    <row r="1" spans="1:8" ht="14.25" x14ac:dyDescent="0.2">
      <c r="A1" s="72" t="s">
        <v>336</v>
      </c>
      <c r="B1" s="72" t="s">
        <v>421</v>
      </c>
      <c r="C1" s="71" t="s">
        <v>422</v>
      </c>
      <c r="D1" s="75" t="s">
        <v>280</v>
      </c>
      <c r="E1" s="71" t="s">
        <v>342</v>
      </c>
      <c r="F1" s="76" t="s">
        <v>290</v>
      </c>
      <c r="G1" s="77" t="s">
        <v>423</v>
      </c>
      <c r="H1" s="78" t="s">
        <v>424</v>
      </c>
    </row>
    <row r="2" spans="1:8" x14ac:dyDescent="0.25">
      <c r="A2" s="79" t="s">
        <v>382</v>
      </c>
      <c r="B2" s="79" t="s">
        <v>425</v>
      </c>
      <c r="C2" s="74" t="s">
        <v>426</v>
      </c>
      <c r="D2" s="10" t="s">
        <v>427</v>
      </c>
      <c r="E2" s="80" t="s">
        <v>428</v>
      </c>
      <c r="F2" s="81" t="s">
        <v>366</v>
      </c>
      <c r="G2" s="10" t="s">
        <v>429</v>
      </c>
      <c r="H2" s="10" t="s">
        <v>430</v>
      </c>
    </row>
    <row r="3" spans="1:8" ht="24" x14ac:dyDescent="0.25">
      <c r="A3" s="9" t="s">
        <v>360</v>
      </c>
      <c r="B3" s="9" t="s">
        <v>376</v>
      </c>
      <c r="C3" s="74" t="s">
        <v>431</v>
      </c>
      <c r="D3" s="10" t="s">
        <v>432</v>
      </c>
      <c r="E3" s="80" t="s">
        <v>311</v>
      </c>
      <c r="F3" s="82" t="s">
        <v>433</v>
      </c>
      <c r="G3" s="10" t="s">
        <v>271</v>
      </c>
      <c r="H3" s="10" t="s">
        <v>434</v>
      </c>
    </row>
    <row r="4" spans="1:8" x14ac:dyDescent="0.25">
      <c r="A4" s="9" t="s">
        <v>267</v>
      </c>
      <c r="B4" s="9" t="s">
        <v>287</v>
      </c>
      <c r="C4" s="74" t="s">
        <v>435</v>
      </c>
      <c r="D4" s="10" t="s">
        <v>281</v>
      </c>
      <c r="E4" s="80" t="s">
        <v>387</v>
      </c>
      <c r="F4" s="82" t="s">
        <v>391</v>
      </c>
      <c r="G4" s="10" t="s">
        <v>436</v>
      </c>
      <c r="H4" s="10"/>
    </row>
    <row r="5" spans="1:8" x14ac:dyDescent="0.25">
      <c r="A5" s="9" t="s">
        <v>389</v>
      </c>
      <c r="B5" s="9" t="s">
        <v>374</v>
      </c>
      <c r="C5" s="74" t="s">
        <v>437</v>
      </c>
      <c r="D5" s="16" t="s">
        <v>438</v>
      </c>
      <c r="E5" s="80" t="s">
        <v>378</v>
      </c>
      <c r="F5" s="82" t="s">
        <v>286</v>
      </c>
      <c r="G5" s="10" t="s">
        <v>439</v>
      </c>
      <c r="H5" s="10"/>
    </row>
    <row r="6" spans="1:8" x14ac:dyDescent="0.25">
      <c r="A6" s="9" t="s">
        <v>375</v>
      </c>
      <c r="B6" s="9" t="s">
        <v>355</v>
      </c>
      <c r="C6" s="74" t="s">
        <v>316</v>
      </c>
      <c r="D6" s="16" t="s">
        <v>440</v>
      </c>
      <c r="E6" s="80" t="s">
        <v>441</v>
      </c>
      <c r="F6" s="82" t="s">
        <v>362</v>
      </c>
      <c r="G6" s="10" t="s">
        <v>279</v>
      </c>
      <c r="H6" s="10"/>
    </row>
    <row r="7" spans="1:8" ht="24" x14ac:dyDescent="0.25">
      <c r="A7" s="9" t="s">
        <v>354</v>
      </c>
      <c r="B7" s="9" t="s">
        <v>361</v>
      </c>
      <c r="C7" s="74" t="s">
        <v>442</v>
      </c>
      <c r="D7" s="10"/>
      <c r="E7" s="80" t="s">
        <v>443</v>
      </c>
      <c r="F7" s="82" t="s">
        <v>377</v>
      </c>
      <c r="G7" s="10" t="s">
        <v>444</v>
      </c>
      <c r="H7" s="10"/>
    </row>
    <row r="8" spans="1:8" ht="24" x14ac:dyDescent="0.2">
      <c r="A8" s="9" t="s">
        <v>365</v>
      </c>
      <c r="B8" s="9" t="s">
        <v>372</v>
      </c>
      <c r="C8" s="10"/>
      <c r="D8" s="10"/>
      <c r="E8" s="80" t="s">
        <v>445</v>
      </c>
      <c r="F8" s="82" t="s">
        <v>356</v>
      </c>
      <c r="G8" s="10"/>
      <c r="H8" s="10"/>
    </row>
    <row r="9" spans="1:8" x14ac:dyDescent="0.25">
      <c r="A9" s="9" t="s">
        <v>367</v>
      </c>
      <c r="B9" s="9" t="s">
        <v>380</v>
      </c>
      <c r="C9" s="10"/>
      <c r="D9" s="10"/>
      <c r="E9" s="4"/>
      <c r="F9" s="82" t="s">
        <v>370</v>
      </c>
      <c r="G9" s="10"/>
      <c r="H9" s="10"/>
    </row>
    <row r="10" spans="1:8" ht="14.25" x14ac:dyDescent="0.2">
      <c r="A10" s="9" t="s">
        <v>371</v>
      </c>
      <c r="B10" s="83" t="s">
        <v>472</v>
      </c>
      <c r="C10" s="10"/>
      <c r="D10" s="10"/>
      <c r="E10" s="80" t="s">
        <v>446</v>
      </c>
      <c r="F10" s="82" t="s">
        <v>364</v>
      </c>
      <c r="G10" s="10"/>
      <c r="H10" s="10"/>
    </row>
    <row r="11" spans="1:8" ht="14.25" x14ac:dyDescent="0.2">
      <c r="A11" s="9" t="s">
        <v>392</v>
      </c>
      <c r="B11" s="120" t="s">
        <v>475</v>
      </c>
      <c r="C11" s="10"/>
      <c r="D11" s="10"/>
      <c r="E11" s="10"/>
      <c r="F11" s="82" t="s">
        <v>381</v>
      </c>
      <c r="G11" s="10"/>
      <c r="H11" s="10"/>
    </row>
    <row r="12" spans="1:8" ht="14.25" x14ac:dyDescent="0.2">
      <c r="A12" s="83" t="s">
        <v>473</v>
      </c>
      <c r="B12" s="16"/>
      <c r="C12" s="10"/>
      <c r="D12" s="10"/>
      <c r="E12" s="10"/>
      <c r="F12" s="82" t="s">
        <v>368</v>
      </c>
      <c r="G12" s="10"/>
      <c r="H12" s="10"/>
    </row>
    <row r="13" spans="1:8" ht="14.25" x14ac:dyDescent="0.2">
      <c r="A13" s="120" t="s">
        <v>476</v>
      </c>
      <c r="B13" s="16"/>
      <c r="C13" s="10"/>
      <c r="D13" s="10"/>
      <c r="E13" s="10"/>
      <c r="F13" s="82" t="s">
        <v>447</v>
      </c>
      <c r="G13" s="10"/>
      <c r="H13" s="10"/>
    </row>
    <row r="14" spans="1:8" ht="14.25" x14ac:dyDescent="0.2">
      <c r="A14" s="120" t="s">
        <v>477</v>
      </c>
      <c r="B14" s="16"/>
      <c r="C14" s="10"/>
      <c r="D14" s="10"/>
      <c r="E14" s="10"/>
      <c r="F14" s="82" t="s">
        <v>369</v>
      </c>
      <c r="G14" s="10"/>
      <c r="H14" s="10"/>
    </row>
    <row r="15" spans="1:8" ht="14.25" x14ac:dyDescent="0.2">
      <c r="A15" s="120" t="s">
        <v>474</v>
      </c>
      <c r="B15" s="16"/>
      <c r="C15" s="10"/>
      <c r="D15" s="10"/>
      <c r="E15" s="10"/>
      <c r="F15" s="82" t="s">
        <v>448</v>
      </c>
      <c r="G15" s="10"/>
      <c r="H15" s="10"/>
    </row>
    <row r="16" spans="1:8" ht="14.25" x14ac:dyDescent="0.2">
      <c r="A16" s="120" t="s">
        <v>486</v>
      </c>
      <c r="B16" s="16"/>
      <c r="C16" s="10"/>
      <c r="D16" s="10"/>
      <c r="E16" s="10"/>
      <c r="F16" s="82" t="s">
        <v>386</v>
      </c>
      <c r="G16" s="10"/>
      <c r="H16" s="10"/>
    </row>
    <row r="17" spans="1:8" ht="14.25" x14ac:dyDescent="0.2">
      <c r="A17" s="16"/>
      <c r="B17" s="16"/>
      <c r="C17" s="10"/>
      <c r="D17" s="10"/>
      <c r="E17" s="10"/>
      <c r="F17" s="82"/>
      <c r="G17" s="10"/>
      <c r="H17" s="10"/>
    </row>
    <row r="18" spans="1:8" ht="14.25" x14ac:dyDescent="0.2">
      <c r="A18" s="16"/>
      <c r="B18" s="16"/>
      <c r="C18" s="10"/>
      <c r="D18" s="10"/>
      <c r="E18" s="84"/>
      <c r="F18" s="10"/>
      <c r="G18" s="10"/>
      <c r="H18" s="10"/>
    </row>
    <row r="19" spans="1:8" ht="14.25" x14ac:dyDescent="0.2">
      <c r="A19" s="9"/>
      <c r="B19" s="16"/>
      <c r="C19" s="10"/>
      <c r="D19" s="10"/>
      <c r="E19" s="10"/>
      <c r="F19" s="10"/>
      <c r="G19" s="10"/>
      <c r="H19" s="10"/>
    </row>
    <row r="20" spans="1:8" ht="14.25" x14ac:dyDescent="0.2">
      <c r="A20" s="9"/>
      <c r="B20" s="10"/>
      <c r="C20" s="10"/>
      <c r="D20" s="10"/>
      <c r="E20" s="10"/>
      <c r="F20" s="10"/>
      <c r="G20" s="10"/>
      <c r="H20" s="10"/>
    </row>
    <row r="21" spans="1:8" ht="15.75" customHeight="1" x14ac:dyDescent="0.2">
      <c r="A21" s="9"/>
      <c r="B21" s="10"/>
      <c r="C21" s="10"/>
      <c r="D21" s="10"/>
      <c r="E21" s="10"/>
      <c r="F21" s="10"/>
      <c r="G21" s="10"/>
      <c r="H21" s="10"/>
    </row>
    <row r="22" spans="1:8" ht="15.75" customHeight="1" x14ac:dyDescent="0.2">
      <c r="A22" s="9"/>
      <c r="B22" s="9"/>
      <c r="C22" s="10"/>
      <c r="D22" s="10"/>
      <c r="E22" s="10"/>
      <c r="F22" s="10"/>
      <c r="G22" s="10"/>
      <c r="H22" s="10"/>
    </row>
    <row r="23" spans="1:8" ht="15.75" customHeight="1" x14ac:dyDescent="0.2">
      <c r="A23" s="9"/>
      <c r="B23" s="10"/>
      <c r="C23" s="10"/>
      <c r="D23" s="10"/>
      <c r="E23" s="10"/>
      <c r="F23" s="10"/>
      <c r="G23" s="10"/>
      <c r="H23" s="10"/>
    </row>
    <row r="24" spans="1:8" ht="15.75" customHeight="1" x14ac:dyDescent="0.2">
      <c r="A24" s="15"/>
      <c r="B24" s="73"/>
      <c r="C24" s="73"/>
      <c r="D24" s="73"/>
      <c r="E24" s="73"/>
      <c r="F24" s="73"/>
      <c r="G24" s="16"/>
      <c r="H24" s="16"/>
    </row>
    <row r="25" spans="1:8" ht="15.75" customHeight="1" x14ac:dyDescent="0.3">
      <c r="A25" s="85"/>
      <c r="B25" s="74"/>
      <c r="C25" s="74"/>
      <c r="D25" s="74"/>
      <c r="E25" s="74"/>
      <c r="F25" s="74"/>
    </row>
    <row r="26" spans="1:8" ht="15.75" customHeight="1" x14ac:dyDescent="0.3">
      <c r="A26" s="85"/>
      <c r="B26" s="74"/>
      <c r="C26" s="74"/>
      <c r="D26" s="74"/>
      <c r="E26" s="74"/>
      <c r="F26" s="74"/>
    </row>
    <row r="27" spans="1:8" ht="15.75" customHeight="1" x14ac:dyDescent="0.25">
      <c r="A27" s="74"/>
      <c r="B27" s="74"/>
      <c r="C27" s="74"/>
      <c r="D27" s="74"/>
      <c r="E27" s="74"/>
      <c r="F27" s="74"/>
    </row>
    <row r="28" spans="1:8" ht="15.75" customHeight="1" x14ac:dyDescent="0.25">
      <c r="A28" s="74"/>
      <c r="B28" s="74"/>
      <c r="C28" s="74"/>
      <c r="D28" s="74"/>
      <c r="E28" s="74"/>
      <c r="F28" s="74"/>
    </row>
    <row r="29" spans="1:8" ht="15.75" customHeight="1" x14ac:dyDescent="0.25">
      <c r="A29" s="74"/>
      <c r="B29" s="74"/>
      <c r="C29" s="74"/>
      <c r="D29" s="74"/>
      <c r="E29" s="74"/>
      <c r="F29" s="74"/>
    </row>
    <row r="30" spans="1:8" ht="15.75" customHeight="1" x14ac:dyDescent="0.25">
      <c r="A30" s="74"/>
      <c r="B30" s="74"/>
      <c r="C30" s="74"/>
      <c r="D30" s="74"/>
      <c r="E30" s="74"/>
      <c r="F30" s="74"/>
    </row>
    <row r="31" spans="1:8" ht="15.75" customHeight="1" x14ac:dyDescent="0.25">
      <c r="A31" s="74"/>
      <c r="B31" s="74"/>
      <c r="C31" s="74"/>
      <c r="D31" s="74"/>
      <c r="E31" s="74"/>
      <c r="F31" s="74"/>
    </row>
    <row r="32" spans="1:8" ht="15.75" customHeight="1" x14ac:dyDescent="0.25">
      <c r="A32" s="74"/>
      <c r="B32" s="74"/>
      <c r="C32" s="74"/>
      <c r="D32" s="74"/>
      <c r="E32" s="74"/>
      <c r="F32" s="74"/>
    </row>
    <row r="33" spans="1:6" ht="15.75" customHeight="1" x14ac:dyDescent="0.25">
      <c r="A33" s="74"/>
      <c r="B33" s="74"/>
      <c r="C33" s="74"/>
      <c r="D33" s="74"/>
      <c r="E33" s="74"/>
      <c r="F33" s="74"/>
    </row>
    <row r="34" spans="1:6" ht="15.75" customHeight="1" x14ac:dyDescent="0.25">
      <c r="A34" s="74"/>
      <c r="B34" s="74"/>
      <c r="C34" s="74"/>
      <c r="D34" s="74"/>
      <c r="E34" s="74"/>
      <c r="F34" s="74"/>
    </row>
    <row r="35" spans="1:6" ht="15.75" customHeight="1" x14ac:dyDescent="0.25">
      <c r="A35" s="74"/>
      <c r="B35" s="74"/>
      <c r="C35" s="74"/>
      <c r="D35" s="74"/>
      <c r="E35" s="74"/>
      <c r="F35" s="74"/>
    </row>
    <row r="36" spans="1:6" ht="15.75" customHeight="1" x14ac:dyDescent="0.25">
      <c r="A36" s="74"/>
      <c r="B36" s="74"/>
      <c r="C36" s="74"/>
      <c r="D36" s="74"/>
      <c r="E36" s="74"/>
      <c r="F36" s="74"/>
    </row>
    <row r="37" spans="1:6" ht="15.75" customHeight="1" x14ac:dyDescent="0.25">
      <c r="A37" s="74"/>
      <c r="B37" s="74"/>
      <c r="C37" s="74"/>
      <c r="D37" s="74"/>
      <c r="E37" s="74"/>
      <c r="F37" s="74"/>
    </row>
    <row r="38" spans="1:6" ht="15.75" customHeight="1" x14ac:dyDescent="0.25">
      <c r="A38" s="74"/>
      <c r="B38" s="74"/>
      <c r="C38" s="74"/>
      <c r="D38" s="74"/>
      <c r="E38" s="74"/>
      <c r="F38" s="74"/>
    </row>
    <row r="39" spans="1:6" ht="15.75" customHeight="1" x14ac:dyDescent="0.25">
      <c r="A39" s="74"/>
      <c r="B39" s="74"/>
      <c r="C39" s="74"/>
      <c r="D39" s="74"/>
      <c r="E39" s="74"/>
      <c r="F39" s="74"/>
    </row>
    <row r="40" spans="1:6" ht="15.75" customHeight="1" x14ac:dyDescent="0.25">
      <c r="A40" s="74"/>
      <c r="B40" s="74"/>
      <c r="C40" s="74"/>
      <c r="D40" s="74"/>
      <c r="E40" s="74"/>
      <c r="F40" s="74"/>
    </row>
    <row r="41" spans="1:6" ht="15.75" customHeight="1" x14ac:dyDescent="0.25">
      <c r="A41" s="74"/>
      <c r="B41" s="74"/>
      <c r="C41" s="74"/>
      <c r="D41" s="74"/>
      <c r="E41" s="74"/>
      <c r="F41" s="74"/>
    </row>
    <row r="42" spans="1:6" ht="15.75" customHeight="1" x14ac:dyDescent="0.25">
      <c r="A42" s="74"/>
      <c r="B42" s="74"/>
      <c r="C42" s="74"/>
      <c r="D42" s="74"/>
      <c r="E42" s="74"/>
      <c r="F42" s="74"/>
    </row>
    <row r="43" spans="1:6" ht="15.75" customHeight="1" x14ac:dyDescent="0.25">
      <c r="A43" s="74"/>
      <c r="B43" s="74"/>
      <c r="C43" s="74"/>
      <c r="D43" s="74"/>
      <c r="E43" s="74"/>
      <c r="F43" s="74"/>
    </row>
    <row r="44" spans="1:6" ht="15.75" customHeight="1" x14ac:dyDescent="0.25">
      <c r="A44" s="74"/>
      <c r="B44" s="74"/>
      <c r="C44" s="74"/>
      <c r="D44" s="74"/>
      <c r="E44" s="74"/>
      <c r="F44" s="74"/>
    </row>
    <row r="45" spans="1:6" ht="15.75" customHeight="1" x14ac:dyDescent="0.25">
      <c r="A45" s="74"/>
      <c r="B45" s="74"/>
      <c r="C45" s="74"/>
      <c r="D45" s="74"/>
      <c r="E45" s="74"/>
      <c r="F45" s="74"/>
    </row>
    <row r="46" spans="1:6" ht="15.75" customHeight="1" x14ac:dyDescent="0.25">
      <c r="A46" s="74"/>
      <c r="B46" s="74"/>
      <c r="C46" s="74"/>
      <c r="D46" s="74"/>
      <c r="E46" s="74"/>
      <c r="F46" s="74"/>
    </row>
    <row r="47" spans="1:6" ht="15.75" customHeight="1" x14ac:dyDescent="0.25">
      <c r="A47" s="74"/>
      <c r="B47" s="74"/>
      <c r="C47" s="74"/>
      <c r="D47" s="74"/>
      <c r="E47" s="74"/>
      <c r="F47" s="74"/>
    </row>
    <row r="48" spans="1:6" ht="15.75" customHeight="1" x14ac:dyDescent="0.25">
      <c r="A48" s="74"/>
      <c r="B48" s="74"/>
      <c r="C48" s="74"/>
      <c r="D48" s="74"/>
      <c r="E48" s="74"/>
      <c r="F48" s="74"/>
    </row>
    <row r="49" spans="1:6" ht="15.75" customHeight="1" x14ac:dyDescent="0.25">
      <c r="A49" s="74"/>
      <c r="B49" s="74"/>
      <c r="C49" s="74"/>
      <c r="D49" s="74"/>
      <c r="E49" s="74"/>
      <c r="F49" s="74"/>
    </row>
    <row r="50" spans="1:6" ht="15.75" customHeight="1" x14ac:dyDescent="0.25">
      <c r="A50" s="74"/>
      <c r="B50" s="74"/>
      <c r="C50" s="74"/>
      <c r="D50" s="74"/>
      <c r="E50" s="74"/>
      <c r="F50" s="74"/>
    </row>
    <row r="51" spans="1:6" ht="15.75" customHeight="1" x14ac:dyDescent="0.25">
      <c r="A51" s="74"/>
      <c r="B51" s="74"/>
      <c r="C51" s="74"/>
      <c r="D51" s="74"/>
      <c r="E51" s="74"/>
      <c r="F51" s="74"/>
    </row>
    <row r="52" spans="1:6" ht="15.75" customHeight="1" x14ac:dyDescent="0.25">
      <c r="A52" s="74"/>
      <c r="B52" s="74"/>
      <c r="C52" s="74"/>
      <c r="D52" s="74"/>
      <c r="E52" s="74"/>
      <c r="F52" s="74"/>
    </row>
    <row r="53" spans="1:6" ht="15.75" customHeight="1" x14ac:dyDescent="0.25">
      <c r="A53" s="74"/>
      <c r="B53" s="74"/>
      <c r="C53" s="74"/>
      <c r="D53" s="74"/>
      <c r="E53" s="74"/>
      <c r="F53" s="74"/>
    </row>
    <row r="54" spans="1:6" ht="15.75" customHeight="1" x14ac:dyDescent="0.25">
      <c r="A54" s="74"/>
      <c r="B54" s="74"/>
      <c r="C54" s="74"/>
      <c r="D54" s="74"/>
      <c r="E54" s="74"/>
      <c r="F54" s="74"/>
    </row>
    <row r="55" spans="1:6" ht="15.75" customHeight="1" x14ac:dyDescent="0.25">
      <c r="A55" s="74"/>
      <c r="B55" s="74"/>
      <c r="C55" s="74"/>
      <c r="D55" s="74"/>
      <c r="E55" s="74"/>
      <c r="F55" s="74"/>
    </row>
    <row r="56" spans="1:6" ht="15.75" customHeight="1" x14ac:dyDescent="0.25">
      <c r="A56" s="74"/>
      <c r="B56" s="74"/>
      <c r="C56" s="74"/>
      <c r="D56" s="74"/>
      <c r="E56" s="74"/>
      <c r="F56" s="74"/>
    </row>
    <row r="57" spans="1:6" ht="15.75" customHeight="1" x14ac:dyDescent="0.25">
      <c r="A57" s="74"/>
      <c r="B57" s="74"/>
      <c r="C57" s="74"/>
      <c r="D57" s="74"/>
      <c r="E57" s="74"/>
      <c r="F57" s="74"/>
    </row>
    <row r="58" spans="1:6" ht="15.75" customHeight="1" x14ac:dyDescent="0.25">
      <c r="A58" s="74"/>
      <c r="B58" s="74"/>
      <c r="C58" s="74"/>
      <c r="D58" s="74"/>
      <c r="E58" s="74"/>
      <c r="F58" s="74"/>
    </row>
    <row r="59" spans="1:6" ht="15.75" customHeight="1" x14ac:dyDescent="0.25">
      <c r="A59" s="74"/>
      <c r="B59" s="74"/>
      <c r="C59" s="74"/>
      <c r="D59" s="74"/>
      <c r="E59" s="74"/>
      <c r="F59" s="74"/>
    </row>
    <row r="60" spans="1:6" ht="15.75" customHeight="1" x14ac:dyDescent="0.25">
      <c r="A60" s="74"/>
      <c r="B60" s="74"/>
      <c r="C60" s="74"/>
      <c r="D60" s="74"/>
      <c r="E60" s="74"/>
      <c r="F60" s="74"/>
    </row>
    <row r="61" spans="1:6" ht="15.75" customHeight="1" x14ac:dyDescent="0.25">
      <c r="A61" s="74"/>
      <c r="B61" s="74"/>
      <c r="C61" s="74"/>
      <c r="D61" s="74"/>
      <c r="E61" s="74"/>
      <c r="F61" s="74"/>
    </row>
    <row r="62" spans="1:6" ht="15.75" customHeight="1" x14ac:dyDescent="0.25">
      <c r="A62" s="74"/>
      <c r="B62" s="74"/>
      <c r="C62" s="74"/>
      <c r="D62" s="74"/>
      <c r="E62" s="74"/>
      <c r="F62" s="74"/>
    </row>
    <row r="63" spans="1:6" ht="15.75" customHeight="1" x14ac:dyDescent="0.25">
      <c r="A63" s="74"/>
      <c r="B63" s="74"/>
      <c r="C63" s="74"/>
      <c r="D63" s="74"/>
      <c r="E63" s="74"/>
      <c r="F63" s="74"/>
    </row>
    <row r="64" spans="1:6" ht="15.75" customHeight="1" x14ac:dyDescent="0.25">
      <c r="A64" s="74"/>
      <c r="B64" s="74"/>
      <c r="C64" s="74"/>
      <c r="D64" s="74"/>
      <c r="E64" s="74"/>
      <c r="F64" s="74"/>
    </row>
    <row r="65" spans="1:6" ht="15.75" customHeight="1" x14ac:dyDescent="0.25">
      <c r="A65" s="74"/>
      <c r="B65" s="74"/>
      <c r="C65" s="74"/>
      <c r="D65" s="74"/>
      <c r="E65" s="74"/>
      <c r="F65" s="74"/>
    </row>
    <row r="66" spans="1:6" ht="15.75" customHeight="1" x14ac:dyDescent="0.25">
      <c r="A66" s="74"/>
      <c r="B66" s="74"/>
      <c r="C66" s="74"/>
      <c r="D66" s="74"/>
      <c r="E66" s="74"/>
      <c r="F66" s="74"/>
    </row>
    <row r="67" spans="1:6" ht="15.75" customHeight="1" x14ac:dyDescent="0.25">
      <c r="A67" s="74"/>
      <c r="B67" s="74"/>
      <c r="C67" s="74"/>
      <c r="D67" s="74"/>
      <c r="E67" s="74"/>
      <c r="F67" s="74"/>
    </row>
    <row r="68" spans="1:6" ht="15.75" customHeight="1" x14ac:dyDescent="0.25">
      <c r="A68" s="74"/>
      <c r="B68" s="74"/>
      <c r="C68" s="74"/>
      <c r="D68" s="74"/>
      <c r="E68" s="74"/>
      <c r="F68" s="74"/>
    </row>
    <row r="69" spans="1:6" ht="15.75" customHeight="1" x14ac:dyDescent="0.25">
      <c r="A69" s="74"/>
      <c r="B69" s="74"/>
      <c r="C69" s="74"/>
      <c r="D69" s="74"/>
      <c r="E69" s="74"/>
      <c r="F69" s="74"/>
    </row>
    <row r="70" spans="1:6" ht="15.75" customHeight="1" x14ac:dyDescent="0.25">
      <c r="A70" s="74"/>
      <c r="B70" s="74"/>
      <c r="C70" s="74"/>
      <c r="D70" s="74"/>
      <c r="E70" s="74"/>
      <c r="F70" s="74"/>
    </row>
    <row r="71" spans="1:6" ht="15.75" customHeight="1" x14ac:dyDescent="0.25">
      <c r="A71" s="74"/>
      <c r="B71" s="74"/>
      <c r="C71" s="74"/>
      <c r="D71" s="74"/>
      <c r="E71" s="74"/>
      <c r="F71" s="74"/>
    </row>
    <row r="72" spans="1:6" ht="15.75" customHeight="1" x14ac:dyDescent="0.25">
      <c r="A72" s="74"/>
      <c r="B72" s="74"/>
      <c r="C72" s="74"/>
      <c r="D72" s="74"/>
      <c r="E72" s="74"/>
      <c r="F72" s="74"/>
    </row>
    <row r="73" spans="1:6" ht="15.75" customHeight="1" x14ac:dyDescent="0.25">
      <c r="A73" s="74"/>
      <c r="B73" s="74"/>
      <c r="C73" s="74"/>
      <c r="D73" s="74"/>
      <c r="E73" s="74"/>
      <c r="F73" s="74"/>
    </row>
    <row r="74" spans="1:6" ht="15.75" customHeight="1" x14ac:dyDescent="0.25">
      <c r="A74" s="74"/>
      <c r="B74" s="74"/>
      <c r="C74" s="74"/>
      <c r="D74" s="74"/>
      <c r="E74" s="74"/>
      <c r="F74" s="74"/>
    </row>
    <row r="75" spans="1:6" ht="15.75" customHeight="1" x14ac:dyDescent="0.25">
      <c r="A75" s="74"/>
      <c r="B75" s="74"/>
      <c r="C75" s="74"/>
      <c r="D75" s="74"/>
      <c r="E75" s="74"/>
      <c r="F75" s="74"/>
    </row>
    <row r="76" spans="1:6" ht="15.75" customHeight="1" x14ac:dyDescent="0.25">
      <c r="A76" s="74"/>
      <c r="B76" s="74"/>
      <c r="C76" s="74"/>
      <c r="D76" s="74"/>
      <c r="E76" s="74"/>
      <c r="F76" s="74"/>
    </row>
    <row r="77" spans="1:6" ht="15.75" customHeight="1" x14ac:dyDescent="0.25">
      <c r="A77" s="74"/>
      <c r="B77" s="74"/>
      <c r="C77" s="74"/>
      <c r="D77" s="74"/>
      <c r="E77" s="74"/>
      <c r="F77" s="74"/>
    </row>
    <row r="78" spans="1:6" ht="15.75" customHeight="1" x14ac:dyDescent="0.25">
      <c r="A78" s="74"/>
      <c r="B78" s="74"/>
      <c r="C78" s="74"/>
      <c r="D78" s="74"/>
      <c r="E78" s="74"/>
      <c r="F78" s="74"/>
    </row>
    <row r="79" spans="1:6" ht="15.75" customHeight="1" x14ac:dyDescent="0.25">
      <c r="A79" s="74"/>
      <c r="B79" s="74"/>
      <c r="C79" s="74"/>
      <c r="D79" s="74"/>
      <c r="E79" s="74"/>
      <c r="F79" s="74"/>
    </row>
    <row r="80" spans="1:6" ht="15.75" customHeight="1" x14ac:dyDescent="0.25">
      <c r="A80" s="74"/>
      <c r="B80" s="74"/>
      <c r="C80" s="74"/>
      <c r="D80" s="74"/>
      <c r="E80" s="74"/>
      <c r="F80" s="74"/>
    </row>
    <row r="81" spans="1:6" ht="15.75" customHeight="1" x14ac:dyDescent="0.25">
      <c r="A81" s="74"/>
      <c r="B81" s="74"/>
      <c r="C81" s="74"/>
      <c r="D81" s="74"/>
      <c r="E81" s="74"/>
      <c r="F81" s="74"/>
    </row>
    <row r="82" spans="1:6" ht="15.75" customHeight="1" x14ac:dyDescent="0.25">
      <c r="A82" s="74"/>
      <c r="B82" s="74"/>
      <c r="C82" s="74"/>
      <c r="D82" s="74"/>
      <c r="E82" s="74"/>
      <c r="F82" s="74"/>
    </row>
    <row r="83" spans="1:6" ht="15.75" customHeight="1" x14ac:dyDescent="0.25">
      <c r="A83" s="74"/>
      <c r="B83" s="74"/>
      <c r="C83" s="74"/>
      <c r="D83" s="74"/>
      <c r="E83" s="74"/>
      <c r="F83" s="74"/>
    </row>
    <row r="84" spans="1:6" ht="15.75" customHeight="1" x14ac:dyDescent="0.25">
      <c r="A84" s="74"/>
      <c r="B84" s="74"/>
      <c r="C84" s="74"/>
      <c r="D84" s="74"/>
      <c r="E84" s="74"/>
      <c r="F84" s="74"/>
    </row>
    <row r="85" spans="1:6" ht="15.75" customHeight="1" x14ac:dyDescent="0.25">
      <c r="A85" s="74"/>
      <c r="B85" s="74"/>
      <c r="C85" s="74"/>
      <c r="D85" s="74"/>
      <c r="E85" s="74"/>
      <c r="F85" s="74"/>
    </row>
    <row r="86" spans="1:6" ht="15.75" customHeight="1" x14ac:dyDescent="0.25">
      <c r="A86" s="74"/>
      <c r="B86" s="74"/>
      <c r="C86" s="74"/>
      <c r="D86" s="74"/>
      <c r="E86" s="74"/>
      <c r="F86" s="74"/>
    </row>
    <row r="87" spans="1:6" ht="15.75" customHeight="1" x14ac:dyDescent="0.25">
      <c r="A87" s="74"/>
      <c r="B87" s="74"/>
      <c r="C87" s="74"/>
      <c r="D87" s="74"/>
      <c r="E87" s="74"/>
      <c r="F87" s="74"/>
    </row>
    <row r="88" spans="1:6" ht="15.75" customHeight="1" x14ac:dyDescent="0.25">
      <c r="A88" s="74"/>
      <c r="B88" s="74"/>
      <c r="C88" s="74"/>
      <c r="D88" s="74"/>
      <c r="E88" s="74"/>
      <c r="F88" s="74"/>
    </row>
    <row r="89" spans="1:6" ht="15.75" customHeight="1" x14ac:dyDescent="0.25">
      <c r="A89" s="74"/>
      <c r="B89" s="74"/>
      <c r="C89" s="74"/>
      <c r="D89" s="74"/>
      <c r="E89" s="74"/>
      <c r="F89" s="74"/>
    </row>
    <row r="90" spans="1:6" ht="15.75" customHeight="1" x14ac:dyDescent="0.25">
      <c r="A90" s="74"/>
      <c r="B90" s="74"/>
      <c r="C90" s="74"/>
      <c r="D90" s="74"/>
      <c r="E90" s="74"/>
      <c r="F90" s="74"/>
    </row>
    <row r="91" spans="1:6" ht="15.75" customHeight="1" x14ac:dyDescent="0.25">
      <c r="A91" s="74"/>
      <c r="B91" s="74"/>
      <c r="C91" s="74"/>
      <c r="D91" s="74"/>
      <c r="E91" s="74"/>
      <c r="F91" s="74"/>
    </row>
    <row r="92" spans="1:6" ht="15.75" customHeight="1" x14ac:dyDescent="0.25">
      <c r="A92" s="74"/>
      <c r="B92" s="74"/>
      <c r="C92" s="74"/>
      <c r="D92" s="74"/>
      <c r="E92" s="74"/>
      <c r="F92" s="74"/>
    </row>
    <row r="93" spans="1:6" ht="15.75" customHeight="1" x14ac:dyDescent="0.25">
      <c r="A93" s="74"/>
      <c r="B93" s="74"/>
      <c r="C93" s="74"/>
      <c r="D93" s="74"/>
      <c r="E93" s="74"/>
      <c r="F93" s="74"/>
    </row>
    <row r="94" spans="1:6" ht="15.75" customHeight="1" x14ac:dyDescent="0.25">
      <c r="A94" s="74"/>
      <c r="B94" s="74"/>
      <c r="C94" s="74"/>
      <c r="D94" s="74"/>
      <c r="E94" s="74"/>
      <c r="F94" s="74"/>
    </row>
    <row r="95" spans="1:6" ht="15.75" customHeight="1" x14ac:dyDescent="0.25">
      <c r="A95" s="74"/>
      <c r="B95" s="74"/>
      <c r="C95" s="74"/>
      <c r="D95" s="74"/>
      <c r="F95" s="74"/>
    </row>
    <row r="96" spans="1: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1:B1000"/>
  <sheetViews>
    <sheetView topLeftCell="A13" workbookViewId="0">
      <selection activeCell="B14" sqref="B14"/>
    </sheetView>
  </sheetViews>
  <sheetFormatPr baseColWidth="10" defaultColWidth="12.625" defaultRowHeight="15" customHeight="1" x14ac:dyDescent="0.2"/>
  <cols>
    <col min="1" max="1" width="41.75" customWidth="1"/>
    <col min="2" max="2" width="59" customWidth="1"/>
    <col min="3" max="6" width="34.375" customWidth="1"/>
  </cols>
  <sheetData>
    <row r="1" spans="1:2" ht="36.75" customHeight="1" x14ac:dyDescent="0.2">
      <c r="A1" s="71" t="s">
        <v>296</v>
      </c>
      <c r="B1" s="72" t="s">
        <v>393</v>
      </c>
    </row>
    <row r="2" spans="1:2" ht="36.75" customHeight="1" x14ac:dyDescent="0.2">
      <c r="A2" s="9" t="s">
        <v>394</v>
      </c>
      <c r="B2" s="9" t="s">
        <v>395</v>
      </c>
    </row>
    <row r="3" spans="1:2" ht="36.75" customHeight="1" x14ac:dyDescent="0.2">
      <c r="A3" s="9" t="s">
        <v>455</v>
      </c>
      <c r="B3" s="9" t="s">
        <v>483</v>
      </c>
    </row>
    <row r="4" spans="1:2" ht="36.75" customHeight="1" x14ac:dyDescent="0.2">
      <c r="A4" s="9" t="s">
        <v>456</v>
      </c>
      <c r="B4" s="10" t="s">
        <v>458</v>
      </c>
    </row>
    <row r="5" spans="1:2" ht="36.75" customHeight="1" x14ac:dyDescent="0.2">
      <c r="A5" s="9" t="s">
        <v>396</v>
      </c>
      <c r="B5" s="9" t="s">
        <v>397</v>
      </c>
    </row>
    <row r="6" spans="1:2" ht="36.75" customHeight="1" x14ac:dyDescent="0.2">
      <c r="A6" s="9" t="s">
        <v>398</v>
      </c>
      <c r="B6" s="9" t="s">
        <v>399</v>
      </c>
    </row>
    <row r="7" spans="1:2" ht="36.75" customHeight="1" x14ac:dyDescent="0.2">
      <c r="A7" s="9" t="s">
        <v>373</v>
      </c>
      <c r="B7" s="9" t="s">
        <v>400</v>
      </c>
    </row>
    <row r="8" spans="1:2" ht="36.75" customHeight="1" x14ac:dyDescent="0.2">
      <c r="A8" s="9" t="s">
        <v>401</v>
      </c>
      <c r="B8" s="9" t="s">
        <v>402</v>
      </c>
    </row>
    <row r="9" spans="1:2" ht="36.75" customHeight="1" x14ac:dyDescent="0.2">
      <c r="A9" s="9" t="s">
        <v>403</v>
      </c>
      <c r="B9" s="9" t="s">
        <v>404</v>
      </c>
    </row>
    <row r="10" spans="1:2" ht="36.75" customHeight="1" x14ac:dyDescent="0.2">
      <c r="A10" s="9" t="s">
        <v>313</v>
      </c>
      <c r="B10" s="9" t="s">
        <v>498</v>
      </c>
    </row>
    <row r="11" spans="1:2" ht="36.75" customHeight="1" x14ac:dyDescent="0.2">
      <c r="A11" s="9" t="s">
        <v>405</v>
      </c>
      <c r="B11" s="9" t="s">
        <v>484</v>
      </c>
    </row>
    <row r="12" spans="1:2" ht="36.75" customHeight="1" x14ac:dyDescent="0.2">
      <c r="A12" s="9" t="s">
        <v>383</v>
      </c>
      <c r="B12" s="9" t="s">
        <v>406</v>
      </c>
    </row>
    <row r="13" spans="1:2" ht="36.75" customHeight="1" x14ac:dyDescent="0.2">
      <c r="A13" s="121" t="s">
        <v>379</v>
      </c>
      <c r="B13" s="9" t="s">
        <v>407</v>
      </c>
    </row>
    <row r="14" spans="1:2" ht="36.75" customHeight="1" x14ac:dyDescent="0.2">
      <c r="A14" s="9" t="s">
        <v>775</v>
      </c>
      <c r="B14" s="9" t="s">
        <v>408</v>
      </c>
    </row>
    <row r="15" spans="1:2" ht="36.75" customHeight="1" x14ac:dyDescent="0.2">
      <c r="A15" s="9" t="s">
        <v>460</v>
      </c>
      <c r="B15" s="9" t="s">
        <v>409</v>
      </c>
    </row>
    <row r="16" spans="1:2" ht="36.75" customHeight="1" x14ac:dyDescent="0.2">
      <c r="A16" s="9" t="s">
        <v>385</v>
      </c>
      <c r="B16" s="9" t="s">
        <v>410</v>
      </c>
    </row>
    <row r="17" spans="1:2" ht="36.75" customHeight="1" x14ac:dyDescent="0.2">
      <c r="A17" s="9" t="s">
        <v>363</v>
      </c>
      <c r="B17" s="9" t="s">
        <v>411</v>
      </c>
    </row>
    <row r="18" spans="1:2" ht="36.75" customHeight="1" x14ac:dyDescent="0.2">
      <c r="A18" s="9" t="s">
        <v>384</v>
      </c>
      <c r="B18" s="9" t="s">
        <v>412</v>
      </c>
    </row>
    <row r="19" spans="1:2" ht="36.75" customHeight="1" x14ac:dyDescent="0.2">
      <c r="A19" s="9" t="s">
        <v>388</v>
      </c>
      <c r="B19" s="9" t="s">
        <v>413</v>
      </c>
    </row>
    <row r="20" spans="1:2" ht="36.75" customHeight="1" x14ac:dyDescent="0.2">
      <c r="A20" s="9" t="s">
        <v>390</v>
      </c>
      <c r="B20" s="9" t="s">
        <v>414</v>
      </c>
    </row>
    <row r="21" spans="1:2" ht="36.75" customHeight="1" x14ac:dyDescent="0.2">
      <c r="A21" s="9" t="s">
        <v>415</v>
      </c>
      <c r="B21" s="10" t="s">
        <v>416</v>
      </c>
    </row>
    <row r="22" spans="1:2" ht="36.75" customHeight="1" x14ac:dyDescent="0.2">
      <c r="A22" s="9" t="s">
        <v>417</v>
      </c>
      <c r="B22" s="9" t="s">
        <v>418</v>
      </c>
    </row>
    <row r="23" spans="1:2" ht="36.75" customHeight="1" x14ac:dyDescent="0.2">
      <c r="A23" s="3" t="s">
        <v>499</v>
      </c>
      <c r="B23" s="9" t="s">
        <v>500</v>
      </c>
    </row>
    <row r="24" spans="1:2" ht="36.75" customHeight="1" x14ac:dyDescent="0.2">
      <c r="A24" s="15" t="s">
        <v>457</v>
      </c>
      <c r="B24" s="73" t="s">
        <v>419</v>
      </c>
    </row>
    <row r="25" spans="1:2" ht="36.75" customHeight="1" x14ac:dyDescent="0.2">
      <c r="A25" s="15" t="s">
        <v>501</v>
      </c>
      <c r="B25" s="9" t="s">
        <v>502</v>
      </c>
    </row>
    <row r="26" spans="1:2" ht="36.75" customHeight="1" x14ac:dyDescent="0.25">
      <c r="A26" s="74" t="s">
        <v>503</v>
      </c>
      <c r="B26" s="74" t="s">
        <v>420</v>
      </c>
    </row>
    <row r="27" spans="1:2" ht="36.75" customHeight="1" x14ac:dyDescent="0.25">
      <c r="A27" s="74" t="s">
        <v>470</v>
      </c>
      <c r="B27" s="74" t="s">
        <v>471</v>
      </c>
    </row>
    <row r="28" spans="1:2" ht="36.75" customHeight="1" x14ac:dyDescent="0.25">
      <c r="A28" s="74" t="s">
        <v>504</v>
      </c>
      <c r="B28" s="74" t="s">
        <v>505</v>
      </c>
    </row>
    <row r="29" spans="1:2" ht="36.75" customHeight="1" x14ac:dyDescent="0.3">
      <c r="A29" s="74" t="s">
        <v>608</v>
      </c>
      <c r="B29" s="241" t="s">
        <v>609</v>
      </c>
    </row>
    <row r="30" spans="1:2" ht="36.75" customHeight="1" x14ac:dyDescent="0.25">
      <c r="A30" s="74"/>
      <c r="B30" s="74"/>
    </row>
    <row r="31" spans="1:2" ht="36.75" customHeight="1" x14ac:dyDescent="0.25">
      <c r="A31" s="74"/>
      <c r="B31" s="74"/>
    </row>
    <row r="32" spans="1:2" ht="36.75" customHeight="1" x14ac:dyDescent="0.25">
      <c r="A32" s="74"/>
      <c r="B32" s="74"/>
    </row>
    <row r="33" spans="1:2" ht="36.75" customHeight="1" x14ac:dyDescent="0.25">
      <c r="A33" s="74"/>
      <c r="B33" s="74"/>
    </row>
    <row r="34" spans="1:2" ht="36.75" customHeight="1" x14ac:dyDescent="0.25">
      <c r="A34" s="74"/>
      <c r="B34" s="74"/>
    </row>
    <row r="35" spans="1:2" ht="36.75" customHeight="1" x14ac:dyDescent="0.25">
      <c r="A35" s="74"/>
      <c r="B35" s="74"/>
    </row>
    <row r="36" spans="1:2" ht="36.75" customHeight="1" x14ac:dyDescent="0.25">
      <c r="A36" s="74"/>
      <c r="B36" s="74"/>
    </row>
    <row r="37" spans="1:2" ht="36.75" customHeight="1" x14ac:dyDescent="0.25">
      <c r="A37" s="74"/>
      <c r="B37" s="74"/>
    </row>
    <row r="38" spans="1:2" ht="36.75" customHeight="1" x14ac:dyDescent="0.25">
      <c r="A38" s="74"/>
      <c r="B38" s="74"/>
    </row>
    <row r="39" spans="1:2" ht="36.75" customHeight="1" x14ac:dyDescent="0.25">
      <c r="A39" s="74"/>
      <c r="B39" s="74"/>
    </row>
    <row r="40" spans="1:2" ht="36.75" customHeight="1" x14ac:dyDescent="0.25">
      <c r="A40" s="74"/>
      <c r="B40" s="74"/>
    </row>
    <row r="41" spans="1:2" ht="36.75" customHeight="1" x14ac:dyDescent="0.25">
      <c r="A41" s="74"/>
      <c r="B41" s="74"/>
    </row>
    <row r="42" spans="1:2" ht="36.75" customHeight="1" x14ac:dyDescent="0.25">
      <c r="A42" s="74"/>
      <c r="B42" s="74"/>
    </row>
    <row r="43" spans="1:2" ht="36.75" customHeight="1" x14ac:dyDescent="0.25">
      <c r="A43" s="74"/>
      <c r="B43" s="74"/>
    </row>
    <row r="44" spans="1:2" ht="36.75" customHeight="1" x14ac:dyDescent="0.25">
      <c r="A44" s="74"/>
      <c r="B44" s="74"/>
    </row>
    <row r="45" spans="1:2" ht="36.75" customHeight="1" x14ac:dyDescent="0.25">
      <c r="A45" s="74"/>
      <c r="B45" s="74"/>
    </row>
    <row r="46" spans="1:2" ht="36.75" customHeight="1" x14ac:dyDescent="0.25">
      <c r="A46" s="74"/>
      <c r="B46" s="74"/>
    </row>
    <row r="47" spans="1:2" ht="36.75" customHeight="1" x14ac:dyDescent="0.25">
      <c r="A47" s="74"/>
      <c r="B47" s="74"/>
    </row>
    <row r="48" spans="1:2" ht="36.75" customHeight="1" x14ac:dyDescent="0.25">
      <c r="A48" s="74"/>
      <c r="B48" s="74"/>
    </row>
    <row r="49" spans="1:2" ht="36.75" customHeight="1" x14ac:dyDescent="0.25">
      <c r="A49" s="74"/>
      <c r="B49" s="74"/>
    </row>
    <row r="50" spans="1:2" ht="36.75" customHeight="1" x14ac:dyDescent="0.25">
      <c r="A50" s="74"/>
      <c r="B50" s="74"/>
    </row>
    <row r="51" spans="1:2" ht="36.75" customHeight="1" x14ac:dyDescent="0.25">
      <c r="A51" s="74"/>
      <c r="B51" s="74"/>
    </row>
    <row r="52" spans="1:2" ht="36.75" customHeight="1" x14ac:dyDescent="0.25">
      <c r="A52" s="74"/>
      <c r="B52" s="74"/>
    </row>
    <row r="53" spans="1:2" ht="36.75" customHeight="1" x14ac:dyDescent="0.25">
      <c r="A53" s="74"/>
      <c r="B53" s="74"/>
    </row>
    <row r="54" spans="1:2" ht="36.75" customHeight="1" x14ac:dyDescent="0.25">
      <c r="A54" s="74"/>
      <c r="B54" s="74"/>
    </row>
    <row r="55" spans="1:2" ht="36.75" customHeight="1" x14ac:dyDescent="0.25">
      <c r="A55" s="74"/>
      <c r="B55" s="74"/>
    </row>
    <row r="56" spans="1:2" ht="36.75" customHeight="1" x14ac:dyDescent="0.25">
      <c r="A56" s="74"/>
      <c r="B56" s="74"/>
    </row>
    <row r="57" spans="1:2" ht="36.75" customHeight="1" x14ac:dyDescent="0.25">
      <c r="A57" s="74"/>
      <c r="B57" s="74"/>
    </row>
    <row r="58" spans="1:2" ht="36.75" customHeight="1" x14ac:dyDescent="0.25">
      <c r="A58" s="74"/>
      <c r="B58" s="74"/>
    </row>
    <row r="59" spans="1:2" ht="36.75" customHeight="1" x14ac:dyDescent="0.25">
      <c r="A59" s="74"/>
      <c r="B59" s="74"/>
    </row>
    <row r="60" spans="1:2" ht="36.75" customHeight="1" x14ac:dyDescent="0.25">
      <c r="A60" s="74"/>
      <c r="B60" s="74"/>
    </row>
    <row r="61" spans="1:2" ht="36.75" customHeight="1" x14ac:dyDescent="0.25">
      <c r="A61" s="74"/>
      <c r="B61" s="74"/>
    </row>
    <row r="62" spans="1:2" ht="36.75" customHeight="1" x14ac:dyDescent="0.25">
      <c r="A62" s="74"/>
      <c r="B62" s="74"/>
    </row>
    <row r="63" spans="1:2" ht="36.75" customHeight="1" x14ac:dyDescent="0.25">
      <c r="A63" s="74"/>
      <c r="B63" s="74"/>
    </row>
    <row r="64" spans="1:2" ht="36.75" customHeight="1" x14ac:dyDescent="0.25">
      <c r="A64" s="74"/>
      <c r="B64" s="74"/>
    </row>
    <row r="65" spans="1:2" ht="36.75" customHeight="1" x14ac:dyDescent="0.25">
      <c r="A65" s="74"/>
      <c r="B65" s="74"/>
    </row>
    <row r="66" spans="1:2" ht="36.75" customHeight="1" x14ac:dyDescent="0.25">
      <c r="A66" s="74"/>
      <c r="B66" s="74"/>
    </row>
    <row r="67" spans="1:2" ht="36.75" customHeight="1" x14ac:dyDescent="0.25">
      <c r="A67" s="74"/>
      <c r="B67" s="74"/>
    </row>
    <row r="68" spans="1:2" ht="36.75" customHeight="1" x14ac:dyDescent="0.25">
      <c r="A68" s="74"/>
      <c r="B68" s="74"/>
    </row>
    <row r="69" spans="1:2" ht="36.75" customHeight="1" x14ac:dyDescent="0.25">
      <c r="A69" s="74"/>
      <c r="B69" s="74"/>
    </row>
    <row r="70" spans="1:2" ht="36.75" customHeight="1" x14ac:dyDescent="0.25">
      <c r="A70" s="74"/>
      <c r="B70" s="74"/>
    </row>
    <row r="71" spans="1:2" ht="36.75" customHeight="1" x14ac:dyDescent="0.25">
      <c r="A71" s="74"/>
      <c r="B71" s="74"/>
    </row>
    <row r="72" spans="1:2" ht="36.75" customHeight="1" x14ac:dyDescent="0.25">
      <c r="A72" s="74"/>
      <c r="B72" s="74"/>
    </row>
    <row r="73" spans="1:2" ht="36.75" customHeight="1" x14ac:dyDescent="0.25">
      <c r="A73" s="74"/>
      <c r="B73" s="74"/>
    </row>
    <row r="74" spans="1:2" ht="36.75" customHeight="1" x14ac:dyDescent="0.25">
      <c r="A74" s="74"/>
      <c r="B74" s="74"/>
    </row>
    <row r="75" spans="1:2" ht="36.75" customHeight="1" x14ac:dyDescent="0.25">
      <c r="A75" s="74"/>
      <c r="B75" s="74"/>
    </row>
    <row r="76" spans="1:2" ht="36.75" customHeight="1" x14ac:dyDescent="0.25">
      <c r="A76" s="74"/>
      <c r="B76" s="74"/>
    </row>
    <row r="77" spans="1:2" ht="36.75" customHeight="1" x14ac:dyDescent="0.25">
      <c r="A77" s="74"/>
      <c r="B77" s="74"/>
    </row>
    <row r="78" spans="1:2" ht="36.75" customHeight="1" x14ac:dyDescent="0.25">
      <c r="A78" s="74"/>
      <c r="B78" s="74"/>
    </row>
    <row r="79" spans="1:2" ht="36.75" customHeight="1" x14ac:dyDescent="0.25">
      <c r="A79" s="74"/>
      <c r="B79" s="74"/>
    </row>
    <row r="80" spans="1:2" ht="36.75" customHeight="1" x14ac:dyDescent="0.25">
      <c r="A80" s="74"/>
      <c r="B80" s="74"/>
    </row>
    <row r="81" spans="1:2" ht="36.75" customHeight="1" x14ac:dyDescent="0.25">
      <c r="A81" s="74"/>
      <c r="B81" s="74"/>
    </row>
    <row r="82" spans="1:2" ht="36.75" customHeight="1" x14ac:dyDescent="0.25">
      <c r="A82" s="74"/>
      <c r="B82" s="74"/>
    </row>
    <row r="83" spans="1:2" ht="36.75" customHeight="1" x14ac:dyDescent="0.25">
      <c r="A83" s="74"/>
      <c r="B83" s="74"/>
    </row>
    <row r="84" spans="1:2" ht="36.75" customHeight="1" x14ac:dyDescent="0.25">
      <c r="A84" s="74"/>
      <c r="B84" s="74"/>
    </row>
    <row r="85" spans="1:2" ht="36.75" customHeight="1" x14ac:dyDescent="0.25">
      <c r="A85" s="74"/>
      <c r="B85" s="74"/>
    </row>
    <row r="86" spans="1:2" ht="36.75" customHeight="1" x14ac:dyDescent="0.25">
      <c r="A86" s="74"/>
      <c r="B86" s="74"/>
    </row>
    <row r="87" spans="1:2" ht="36.75" customHeight="1" x14ac:dyDescent="0.25">
      <c r="A87" s="74"/>
      <c r="B87" s="74"/>
    </row>
    <row r="88" spans="1:2" ht="36.75" customHeight="1" x14ac:dyDescent="0.25">
      <c r="A88" s="74"/>
      <c r="B88" s="74"/>
    </row>
    <row r="89" spans="1:2" ht="36.75" customHeight="1" x14ac:dyDescent="0.25">
      <c r="A89" s="74"/>
      <c r="B89" s="74"/>
    </row>
    <row r="90" spans="1:2" ht="36.75" customHeight="1" x14ac:dyDescent="0.25">
      <c r="A90" s="74"/>
      <c r="B90" s="74"/>
    </row>
    <row r="91" spans="1:2" ht="36.75" customHeight="1" x14ac:dyDescent="0.25">
      <c r="A91" s="74"/>
      <c r="B91" s="74"/>
    </row>
    <row r="92" spans="1:2" ht="36.75" customHeight="1" x14ac:dyDescent="0.25">
      <c r="A92" s="74"/>
      <c r="B92" s="74"/>
    </row>
    <row r="93" spans="1:2" ht="36.75" customHeight="1" x14ac:dyDescent="0.2"/>
    <row r="94" spans="1:2" ht="36.75" customHeight="1" x14ac:dyDescent="0.2"/>
    <row r="95" spans="1:2" ht="36.75" customHeight="1" x14ac:dyDescent="0.2"/>
    <row r="96" spans="1:2" ht="36.75" customHeight="1" x14ac:dyDescent="0.2"/>
    <row r="97" ht="36.75" customHeight="1" x14ac:dyDescent="0.2"/>
    <row r="98" ht="36.75" customHeight="1" x14ac:dyDescent="0.2"/>
    <row r="99" ht="36.75" customHeight="1" x14ac:dyDescent="0.2"/>
    <row r="100" ht="36.75" customHeight="1" x14ac:dyDescent="0.2"/>
    <row r="101" ht="36.75" customHeight="1" x14ac:dyDescent="0.2"/>
    <row r="102" ht="36.75" customHeight="1" x14ac:dyDescent="0.2"/>
    <row r="103" ht="36.75" customHeight="1" x14ac:dyDescent="0.2"/>
    <row r="104" ht="36.75" customHeight="1" x14ac:dyDescent="0.2"/>
    <row r="105" ht="36.75" customHeight="1" x14ac:dyDescent="0.2"/>
    <row r="106" ht="36.75" customHeight="1" x14ac:dyDescent="0.2"/>
    <row r="107" ht="36.75" customHeight="1" x14ac:dyDescent="0.2"/>
    <row r="108" ht="36.75" customHeight="1" x14ac:dyDescent="0.2"/>
    <row r="109" ht="36.75" customHeight="1" x14ac:dyDescent="0.2"/>
    <row r="110" ht="36.75" customHeight="1" x14ac:dyDescent="0.2"/>
    <row r="111" ht="36.75" customHeight="1" x14ac:dyDescent="0.2"/>
    <row r="112" ht="36.75" customHeight="1" x14ac:dyDescent="0.2"/>
    <row r="113" ht="36.75" customHeight="1" x14ac:dyDescent="0.2"/>
    <row r="114" ht="36.75" customHeight="1" x14ac:dyDescent="0.2"/>
    <row r="115" ht="36.75" customHeight="1" x14ac:dyDescent="0.2"/>
    <row r="116" ht="36.75" customHeight="1" x14ac:dyDescent="0.2"/>
    <row r="117" ht="36.75" customHeight="1" x14ac:dyDescent="0.2"/>
    <row r="118" ht="36.75" customHeight="1" x14ac:dyDescent="0.2"/>
    <row r="119" ht="36.75" customHeight="1" x14ac:dyDescent="0.2"/>
    <row r="120" ht="36.75" customHeight="1" x14ac:dyDescent="0.2"/>
    <row r="121" ht="36.75" customHeight="1" x14ac:dyDescent="0.2"/>
    <row r="122" ht="36.75" customHeight="1" x14ac:dyDescent="0.2"/>
    <row r="123" ht="36.75" customHeight="1" x14ac:dyDescent="0.2"/>
    <row r="124" ht="36.75" customHeight="1" x14ac:dyDescent="0.2"/>
    <row r="125" ht="36.75" customHeight="1" x14ac:dyDescent="0.2"/>
    <row r="126" ht="36.75" customHeight="1" x14ac:dyDescent="0.2"/>
    <row r="127" ht="36.75" customHeight="1" x14ac:dyDescent="0.2"/>
    <row r="128" ht="36.75" customHeight="1" x14ac:dyDescent="0.2"/>
    <row r="129" ht="36.75" customHeight="1" x14ac:dyDescent="0.2"/>
    <row r="130" ht="36.75" customHeight="1" x14ac:dyDescent="0.2"/>
    <row r="131" ht="36.75" customHeight="1" x14ac:dyDescent="0.2"/>
    <row r="132" ht="36.75" customHeight="1" x14ac:dyDescent="0.2"/>
    <row r="133" ht="36.75" customHeight="1" x14ac:dyDescent="0.2"/>
    <row r="134" ht="36.75" customHeight="1" x14ac:dyDescent="0.2"/>
    <row r="135" ht="36.75" customHeight="1" x14ac:dyDescent="0.2"/>
    <row r="136" ht="36.75" customHeight="1" x14ac:dyDescent="0.2"/>
    <row r="137" ht="36.75" customHeight="1" x14ac:dyDescent="0.2"/>
    <row r="138" ht="36.75" customHeight="1" x14ac:dyDescent="0.2"/>
    <row r="139" ht="36.75" customHeight="1" x14ac:dyDescent="0.2"/>
    <row r="140" ht="36.75" customHeight="1" x14ac:dyDescent="0.2"/>
    <row r="141" ht="36.75" customHeight="1" x14ac:dyDescent="0.2"/>
    <row r="142" ht="36.75" customHeight="1" x14ac:dyDescent="0.2"/>
    <row r="143" ht="36.75" customHeight="1" x14ac:dyDescent="0.2"/>
    <row r="144" ht="36.75" customHeight="1" x14ac:dyDescent="0.2"/>
    <row r="145" ht="36.75" customHeight="1" x14ac:dyDescent="0.2"/>
    <row r="146" ht="36.75" customHeight="1" x14ac:dyDescent="0.2"/>
    <row r="147" ht="36.75" customHeight="1" x14ac:dyDescent="0.2"/>
    <row r="148" ht="36.75" customHeight="1" x14ac:dyDescent="0.2"/>
    <row r="149" ht="36.75" customHeight="1" x14ac:dyDescent="0.2"/>
    <row r="150" ht="36.75" customHeight="1" x14ac:dyDescent="0.2"/>
    <row r="151" ht="36.75" customHeight="1" x14ac:dyDescent="0.2"/>
    <row r="152" ht="36.75" customHeight="1" x14ac:dyDescent="0.2"/>
    <row r="153" ht="36.75" customHeight="1" x14ac:dyDescent="0.2"/>
    <row r="154" ht="36.75" customHeight="1" x14ac:dyDescent="0.2"/>
    <row r="155" ht="36.75" customHeight="1" x14ac:dyDescent="0.2"/>
    <row r="156" ht="36.75" customHeight="1" x14ac:dyDescent="0.2"/>
    <row r="157" ht="36.75" customHeight="1" x14ac:dyDescent="0.2"/>
    <row r="158" ht="36.75" customHeight="1" x14ac:dyDescent="0.2"/>
    <row r="159" ht="36.75" customHeight="1" x14ac:dyDescent="0.2"/>
    <row r="160" ht="36.75" customHeight="1" x14ac:dyDescent="0.2"/>
    <row r="161" ht="36.75" customHeight="1" x14ac:dyDescent="0.2"/>
    <row r="162" ht="36.75" customHeight="1" x14ac:dyDescent="0.2"/>
    <row r="163" ht="36.75" customHeight="1" x14ac:dyDescent="0.2"/>
    <row r="164" ht="36.75" customHeight="1" x14ac:dyDescent="0.2"/>
    <row r="165" ht="36.75" customHeight="1" x14ac:dyDescent="0.2"/>
    <row r="166" ht="36.75" customHeight="1" x14ac:dyDescent="0.2"/>
    <row r="167" ht="36.75" customHeight="1" x14ac:dyDescent="0.2"/>
    <row r="168" ht="36.75" customHeight="1" x14ac:dyDescent="0.2"/>
    <row r="169" ht="36.75" customHeight="1" x14ac:dyDescent="0.2"/>
    <row r="170" ht="36.75" customHeight="1" x14ac:dyDescent="0.2"/>
    <row r="171" ht="36.75" customHeight="1" x14ac:dyDescent="0.2"/>
    <row r="172" ht="36.75" customHeight="1" x14ac:dyDescent="0.2"/>
    <row r="173" ht="36.75" customHeight="1" x14ac:dyDescent="0.2"/>
    <row r="174" ht="36.75" customHeight="1" x14ac:dyDescent="0.2"/>
    <row r="175" ht="36.75" customHeight="1" x14ac:dyDescent="0.2"/>
    <row r="176" ht="36.75" customHeight="1" x14ac:dyDescent="0.2"/>
    <row r="177" ht="36.75" customHeight="1" x14ac:dyDescent="0.2"/>
    <row r="178" ht="36.75" customHeight="1" x14ac:dyDescent="0.2"/>
    <row r="179" ht="36.75" customHeight="1" x14ac:dyDescent="0.2"/>
    <row r="180" ht="36.75" customHeight="1" x14ac:dyDescent="0.2"/>
    <row r="181" ht="36.75" customHeight="1" x14ac:dyDescent="0.2"/>
    <row r="182" ht="36.75" customHeight="1" x14ac:dyDescent="0.2"/>
    <row r="183" ht="36.75" customHeight="1" x14ac:dyDescent="0.2"/>
    <row r="184" ht="36.75" customHeight="1" x14ac:dyDescent="0.2"/>
    <row r="185" ht="36.75" customHeight="1" x14ac:dyDescent="0.2"/>
    <row r="186" ht="36.75" customHeight="1" x14ac:dyDescent="0.2"/>
    <row r="187" ht="36.75" customHeight="1" x14ac:dyDescent="0.2"/>
    <row r="188" ht="36.75" customHeight="1" x14ac:dyDescent="0.2"/>
    <row r="189" ht="36.75" customHeight="1" x14ac:dyDescent="0.2"/>
    <row r="190" ht="36.75" customHeight="1" x14ac:dyDescent="0.2"/>
    <row r="191" ht="36.75" customHeight="1" x14ac:dyDescent="0.2"/>
    <row r="192" ht="36.75" customHeight="1" x14ac:dyDescent="0.2"/>
    <row r="193" ht="36.75" customHeight="1" x14ac:dyDescent="0.2"/>
    <row r="194" ht="36.75" customHeight="1" x14ac:dyDescent="0.2"/>
    <row r="195" ht="36.75" customHeight="1" x14ac:dyDescent="0.2"/>
    <row r="196" ht="36.75" customHeight="1" x14ac:dyDescent="0.2"/>
    <row r="197" ht="36.75" customHeight="1" x14ac:dyDescent="0.2"/>
    <row r="198" ht="36.75" customHeight="1" x14ac:dyDescent="0.2"/>
    <row r="199" ht="36.75" customHeight="1" x14ac:dyDescent="0.2"/>
    <row r="200" ht="36.75" customHeight="1" x14ac:dyDescent="0.2"/>
    <row r="201" ht="36.75" customHeight="1" x14ac:dyDescent="0.2"/>
    <row r="202" ht="36.75" customHeight="1" x14ac:dyDescent="0.2"/>
    <row r="203" ht="36.75" customHeight="1" x14ac:dyDescent="0.2"/>
    <row r="204" ht="36.75" customHeight="1" x14ac:dyDescent="0.2"/>
    <row r="205" ht="36.75" customHeight="1" x14ac:dyDescent="0.2"/>
    <row r="206" ht="36.75" customHeight="1" x14ac:dyDescent="0.2"/>
    <row r="207" ht="36.75" customHeight="1" x14ac:dyDescent="0.2"/>
    <row r="208" ht="36.75" customHeight="1" x14ac:dyDescent="0.2"/>
    <row r="209" ht="36.75" customHeight="1" x14ac:dyDescent="0.2"/>
    <row r="210" ht="36.75" customHeight="1" x14ac:dyDescent="0.2"/>
    <row r="211" ht="36.75" customHeight="1" x14ac:dyDescent="0.2"/>
    <row r="212" ht="36.75" customHeight="1" x14ac:dyDescent="0.2"/>
    <row r="213" ht="36.75" customHeight="1" x14ac:dyDescent="0.2"/>
    <row r="214" ht="36.75" customHeight="1" x14ac:dyDescent="0.2"/>
    <row r="215" ht="36.75" customHeight="1" x14ac:dyDescent="0.2"/>
    <row r="216" ht="36.75" customHeight="1" x14ac:dyDescent="0.2"/>
    <row r="217" ht="36.75" customHeight="1" x14ac:dyDescent="0.2"/>
    <row r="218" ht="36.75" customHeight="1" x14ac:dyDescent="0.2"/>
    <row r="219" ht="36.75" customHeight="1" x14ac:dyDescent="0.2"/>
    <row r="220" ht="36.75" customHeight="1" x14ac:dyDescent="0.2"/>
    <row r="221" ht="36.75" customHeight="1" x14ac:dyDescent="0.2"/>
    <row r="222" ht="36.75" customHeight="1" x14ac:dyDescent="0.2"/>
    <row r="223" ht="36.75" customHeight="1" x14ac:dyDescent="0.2"/>
    <row r="224" ht="36.75" customHeight="1" x14ac:dyDescent="0.2"/>
    <row r="225" ht="36.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autoFilter ref="A1:B28" xr:uid="{00000000-0009-0000-0000-000004000000}"/>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8</vt:i4>
      </vt:variant>
    </vt:vector>
  </HeadingPairs>
  <TitlesOfParts>
    <vt:vector size="14" baseType="lpstr">
      <vt:lpstr>CLIENTES</vt:lpstr>
      <vt:lpstr>ATENCION </vt:lpstr>
      <vt:lpstr>ANALISIS</vt:lpstr>
      <vt:lpstr>LISTADO MAESTRO</vt:lpstr>
      <vt:lpstr>OTROS</vt:lpstr>
      <vt:lpstr>RESPONSABLE </vt:lpstr>
      <vt:lpstr>ANALISIS!Área_de_impresión</vt:lpstr>
      <vt:lpstr>'ATENCION '!Área_de_impresión</vt:lpstr>
      <vt:lpstr>'ATENCION '!Z_6B998466_73A3_49B0_90A4_8357F5811908_.wvu.Cols</vt:lpstr>
      <vt:lpstr>'ATENCION '!Z_6B998466_73A3_49B0_90A4_8357F5811908_.wvu.PrintArea</vt:lpstr>
      <vt:lpstr>'ATENCION '!Z_6B998466_73A3_49B0_90A4_8357F5811908_.wvu.Rows</vt:lpstr>
      <vt:lpstr>'ATENCION '!Z_CCFA1E90_53A4_4356_91C1_949E68A601D1_.wvu.Cols</vt:lpstr>
      <vt:lpstr>'ATENCION '!Z_CCFA1E90_53A4_4356_91C1_949E68A601D1_.wvu.PrintArea</vt:lpstr>
      <vt:lpstr>'ATENCION '!Z_CCFA1E90_53A4_4356_91C1_949E68A601D1_.wvu.Rows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 Pineda</dc:creator>
  <cp:lastModifiedBy>Flor Pineda</cp:lastModifiedBy>
  <cp:lastPrinted>2025-12-04T21:16:53Z</cp:lastPrinted>
  <dcterms:created xsi:type="dcterms:W3CDTF">2020-08-25T15:55:31Z</dcterms:created>
  <dcterms:modified xsi:type="dcterms:W3CDTF">2026-04-14T14:19:48Z</dcterms:modified>
</cp:coreProperties>
</file>