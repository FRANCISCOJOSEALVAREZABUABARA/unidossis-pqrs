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dossis-my.sharepoint.com/personal/francisco_alvarez_unidossis_onmicrosoft_com/Documents/PQRS/2024/SHAIO/162/"/>
    </mc:Choice>
  </mc:AlternateContent>
  <xr:revisionPtr revIDLastSave="1" documentId="8_{22E463B6-806A-484C-803D-342367AB8D5D}" xr6:coauthVersionLast="47" xr6:coauthVersionMax="47" xr10:uidLastSave="{BB4361D9-2305-4E15-86B5-FC880C8AFF1B}"/>
  <bookViews>
    <workbookView xWindow="-28920" yWindow="-60" windowWidth="29040" windowHeight="15720" activeTab="1" xr2:uid="{4C09DEA7-EBCC-465D-BDBA-77A5323858DF}"/>
  </bookViews>
  <sheets>
    <sheet name="ATENCION " sheetId="1" r:id="rId1"/>
    <sheet name="ANALISIS" sheetId="2" r:id="rId2"/>
  </sheets>
  <externalReferences>
    <externalReference r:id="rId3"/>
    <externalReference r:id="rId4"/>
    <externalReference r:id="rId5"/>
  </externalReferences>
  <definedNames>
    <definedName name="afsfasfad" localSheetId="1">'[1]Coleta de Dados'!#REF!</definedName>
    <definedName name="afsfasfad">'[2]Coleta de Dados'!#REF!</definedName>
    <definedName name="Cabine15" localSheetId="1">'[1]Coleta de Dados'!$BF$7:$BF$1129</definedName>
    <definedName name="Cabine15">'[2]Coleta de Dados'!$BF$7:$BF$1129</definedName>
    <definedName name="Cabine32" localSheetId="1">'[1]Coleta de Dados'!$BL$7:$BL$1129</definedName>
    <definedName name="Cabine32">'[2]Coleta de Dados'!$BL$7:$BL$1129</definedName>
    <definedName name="Cabine85" localSheetId="1">'[1]Coleta de Dados'!$BG$7:$BG$1129</definedName>
    <definedName name="Cabine85">'[2]Coleta de Dados'!$BG$7:$BG$1129</definedName>
    <definedName name="CentrosdeCustos" localSheetId="1">[1]Consulta!$A$2:$E$30</definedName>
    <definedName name="CentrosdeCustos">[2]Consulta!$A$2:$E$30</definedName>
    <definedName name="Compressores" localSheetId="1">'[1]Coleta de Dados'!$BR$7:$BR$1129</definedName>
    <definedName name="Compressores">'[2]Coleta de Dados'!$BR$7:$BR$1129</definedName>
    <definedName name="Dados" localSheetId="1">'[1]Coleta de Dados'!$C$7:$Y$1129</definedName>
    <definedName name="Dados">'[2]Coleta de Dados'!$C$7:$Y$1129</definedName>
    <definedName name="DataTérmino" localSheetId="1">'[1]Coleta de Dados'!$W$7:$W$1129</definedName>
    <definedName name="DataTérmino">'[2]Coleta de Dados'!$W$7:$W$1129</definedName>
    <definedName name="DimecoConectores" localSheetId="1">'[1]Coleta de Dados'!$BV$7:$BV$1129</definedName>
    <definedName name="DimecoConectores">'[2]Coleta de Dados'!$BV$7:$BV$1129</definedName>
    <definedName name="DimecoTravesanos" localSheetId="1">'[1]Coleta de Dados'!$BI$7:$BI$1129</definedName>
    <definedName name="DimecoTravesanos">'[2]Coleta de Dados'!$BI$7:$BI$1129</definedName>
    <definedName name="DobradeiraSorg" localSheetId="1">'[1]Coleta de Dados'!$BU$7:$BU$1129</definedName>
    <definedName name="DobradeiraSorg">'[2]Coleta de Dados'!$BU$7:$BU$1129</definedName>
    <definedName name="Emissão" localSheetId="1">'[1]Coleta de Dados'!$AD$1:$AD$65536</definedName>
    <definedName name="Emissão">'[2]Coleta de Dados'!$AD$1:$AD$65536</definedName>
    <definedName name="Empilhadeiraelet" localSheetId="1">'[1]Coleta de Dados'!$CC$7:$CC$1129</definedName>
    <definedName name="Empilhadeiraelet">'[2]Coleta de Dados'!$CC$7:$CC$1129</definedName>
    <definedName name="Entradas" localSheetId="1">'[1]Coleta de Dados'!$F$7:$F$1129</definedName>
    <definedName name="Entradas">'[2]Coleta de Dados'!$F$7:$F$1129</definedName>
    <definedName name="Equipamentos" localSheetId="1">'[1]Coleta de Dados'!$H$7:$H$1129</definedName>
    <definedName name="Equipamentos">'[2]Coleta de Dados'!$H$7:$H$1129</definedName>
    <definedName name="Esmerilhadeira" localSheetId="1">'[1]Coleta de Dados'!$CD$7:$CD$1129</definedName>
    <definedName name="Esmerilhadeira">'[2]Coleta de Dados'!$CD$7:$CD$1129</definedName>
    <definedName name="FagorLargueros" localSheetId="1">'[1]Coleta de Dados'!$BM$7:$BM$1129</definedName>
    <definedName name="FagorLargueros">'[2]Coleta de Dados'!$BM$7:$BM$1129</definedName>
    <definedName name="FagorMontantes" localSheetId="1">'[1]Coleta de Dados'!$BJ$7:$BJ$1129</definedName>
    <definedName name="FagorMontantes">'[2]Coleta de Dados'!$BJ$7:$BJ$1129</definedName>
    <definedName name="Fresadora" localSheetId="1">'[1]Coleta de Dados'!$BT$7:$BT$1129</definedName>
    <definedName name="Fresadora">'[2]Coleta de Dados'!$BT$7:$BT$1129</definedName>
    <definedName name="FuradeiraColuna" localSheetId="1">'[1]Coleta de Dados'!$BS$7:$BS$1129</definedName>
    <definedName name="FuradeiraColuna">'[2]Coleta de Dados'!$BS$7:$BS$1129</definedName>
    <definedName name="Gasparini" localSheetId="1">'[1]Coleta de Dados'!$BN$7:$BN$1129</definedName>
    <definedName name="Gasparini">'[2]Coleta de Dados'!$BN$7:$BN$1129</definedName>
    <definedName name="GuilhotinaSorg" localSheetId="1">'[1]Coleta de Dados'!$BK$7:$BK$1129</definedName>
    <definedName name="GuilhotinaSorg">'[2]Coleta de Dados'!$BK$7:$BK$1129</definedName>
    <definedName name="imp" localSheetId="1">'[1]Coleta de Dados'!#REF!</definedName>
    <definedName name="imp">'[2]Coleta de Dados'!#REF!</definedName>
    <definedName name="Impressora" localSheetId="1">'[1]Coleta de Dados'!#REF!</definedName>
    <definedName name="Impressora">'[2]Coleta de Dados'!#REF!</definedName>
    <definedName name="LUIS" localSheetId="1">'[1]Coleta de Dados'!#REF!</definedName>
    <definedName name="LUIS">'[2]Coleta de Dados'!#REF!</definedName>
    <definedName name="MáqEmbalar" localSheetId="1">'[1]Coleta de Dados'!$CA$7:$CA$1129</definedName>
    <definedName name="MáqEmbalar">'[2]Coleta de Dados'!$CA$7:$CA$1129</definedName>
    <definedName name="Mês" localSheetId="1">'[1]Coleta de Dados'!$AB$7:$AB$1129</definedName>
    <definedName name="Mês">'[2]Coleta de Dados'!$AB$7:$AB$1129</definedName>
    <definedName name="MêsI" localSheetId="1">'[1]Coleta de Dados'!$AB$7:$AB$1129</definedName>
    <definedName name="MêsI">'[2]Coleta de Dados'!$AB$7:$AB$1129</definedName>
    <definedName name="MêsT" localSheetId="1">'[1]Coleta de Dados'!$AC$7:$AC$1129</definedName>
    <definedName name="MêsT">'[2]Coleta de Dados'!$AC$7:$AC$1129</definedName>
    <definedName name="PrensaJundiaí" localSheetId="1">'[1]Coleta de Dados'!$BO$7:$BO$1129</definedName>
    <definedName name="PrensaJundiaí">'[2]Coleta de Dados'!$BO$7:$BO$1129</definedName>
    <definedName name="Retífica" localSheetId="1">'[1]Coleta de Dados'!$BY$7:$BY$1129</definedName>
    <definedName name="Retífica">'[2]Coleta de Dados'!$BY$7:$BY$1129</definedName>
    <definedName name="RobôAuto" localSheetId="1">'[1]Coleta de Dados'!$BX$7:$BX$1129</definedName>
    <definedName name="RobôAuto">'[2]Coleta de Dados'!$BX$7:$BX$1129</definedName>
    <definedName name="RobôManual" localSheetId="1">'[1]Coleta de Dados'!$BP$7:$BP$1129</definedName>
    <definedName name="RobôManual">'[2]Coleta de Dados'!$BP$7:$BP$1129</definedName>
    <definedName name="Saídas" localSheetId="1">'[1]Coleta de Dados'!$V$7:$V$1129</definedName>
    <definedName name="Saídas">'[2]Coleta de Dados'!$V$7:$V$1129</definedName>
    <definedName name="Serra_Elétrica_Circular" localSheetId="1">'[1]Coleta de Dados'!$CB$7:$CB$1129</definedName>
    <definedName name="Serra_Elétrica_Circular">'[2]Coleta de Dados'!$CB$7:$CB$1129</definedName>
    <definedName name="SerraFita" localSheetId="1">'[1]Coleta de Dados'!$BZ$7:$BZ$1129</definedName>
    <definedName name="SerraFita">'[2]Coleta de Dados'!$BZ$7:$BZ$1129</definedName>
    <definedName name="SoldaMIG" localSheetId="1">'[1]Coleta de Dados'!$BH$7:$BH$1129</definedName>
    <definedName name="SoldaMIG">'[2]Coleta de Dados'!$BH$7:$BH$1129</definedName>
    <definedName name="Torno" localSheetId="1">'[1]Coleta de Dados'!$BQ$7:$BQ$1129</definedName>
    <definedName name="Torno">'[2]Coleta de Dados'!$BQ$7:$BQ$1129</definedName>
    <definedName name="TotalManut" localSheetId="1">'[1]Coleta de Dados'!$Y$7:$Y$1129</definedName>
    <definedName name="TotalManut">'[2]Coleta de Dados'!$Y$7:$Y$1129</definedName>
    <definedName name="TotalParada" localSheetId="1">'[1]Coleta de Dados'!$X$7:$X$1129</definedName>
    <definedName name="TotalParada">'[2]Coleta de Dados'!$X$7:$X$1129</definedName>
    <definedName name="Urgente" localSheetId="1">'[1]Coleta de Dados'!$L$7:$L$1129</definedName>
    <definedName name="Urgente">'[2]Coleta de Dados'!$L$7:$L$1129</definedName>
    <definedName name="Z_6B998466_73A3_49B0_90A4_8357F5811908_.wvu.Cols" localSheetId="0">'ATENCION '!$N:$N</definedName>
    <definedName name="Z_6B998466_73A3_49B0_90A4_8357F5811908_.wvu.PrintArea" localSheetId="0">'ATENCION '!$B$1:$M$54</definedName>
    <definedName name="Z_6B998466_73A3_49B0_90A4_8357F5811908_.wvu.Rows" localSheetId="0">'ATENCION '!$43:$46</definedName>
    <definedName name="Z_CCFA1E90_53A4_4356_91C1_949E68A601D1_.wvu.Cols" localSheetId="0">'ATENCION '!$N:$N</definedName>
    <definedName name="Z_CCFA1E90_53A4_4356_91C1_949E68A601D1_.wvu.PrintArea" localSheetId="0">'ATENCION '!$B$1:$M$54</definedName>
    <definedName name="Z_CCFA1E90_53A4_4356_91C1_949E68A601D1_.wvu.Rows" localSheetId="0">'ATENCION '!$43:$46</definedName>
    <definedName name="Zikeli" localSheetId="1">'[1]Coleta de Dados'!$BW$7:$BW$1129</definedName>
    <definedName name="Zikeli">'[2]Coleta de Dados'!$BW$7:$BW$1129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0" i="2"/>
  <c r="J6" i="2"/>
  <c r="G6" i="2"/>
  <c r="D6" i="2"/>
  <c r="G48" i="1"/>
</calcChain>
</file>

<file path=xl/sharedStrings.xml><?xml version="1.0" encoding="utf-8"?>
<sst xmlns="http://schemas.openxmlformats.org/spreadsheetml/2006/main" count="84" uniqueCount="74">
  <si>
    <t>Pagina 1 de 1</t>
  </si>
  <si>
    <t>ATENCIÓN Y SEGUIMIENTO DE PQRS</t>
  </si>
  <si>
    <t>CÓDIGO:                                                  AC-FR-054-03</t>
  </si>
  <si>
    <t>DATOS DE RECEPCIÓN DE PQRS</t>
  </si>
  <si>
    <t>Fecha PQRS:</t>
  </si>
  <si>
    <t>Regional:</t>
  </si>
  <si>
    <t>CUNDINAMARCA</t>
  </si>
  <si>
    <t>Solicitud N°:</t>
  </si>
  <si>
    <t>Hora de recepción</t>
  </si>
  <si>
    <t>Medio de la queja</t>
  </si>
  <si>
    <t>TELEFONO</t>
  </si>
  <si>
    <t>Carta, E-mail, Telefono, Web, Personal</t>
  </si>
  <si>
    <t>Nombre del receptor de la PQRS</t>
  </si>
  <si>
    <t>SERVICIO AL CLIENTE</t>
  </si>
  <si>
    <t>DATOS DEL SOLICITANTE</t>
  </si>
  <si>
    <t>CLIENTE</t>
  </si>
  <si>
    <t>FUNDACION ABOOD SHAIO EN REESTRUCTURACION</t>
  </si>
  <si>
    <t>INSTITUCION</t>
  </si>
  <si>
    <t>FUND SHAIO</t>
  </si>
  <si>
    <t>CIUDAD</t>
  </si>
  <si>
    <t>BOGOTA</t>
  </si>
  <si>
    <t>NOMBRE Y CARGO DEL SOLICITANTE</t>
  </si>
  <si>
    <t xml:space="preserve">                                                                    
</t>
  </si>
  <si>
    <t>CORREO ELECTRONICO</t>
  </si>
  <si>
    <t>TIPO DE SOLICITUD</t>
  </si>
  <si>
    <t>QUEJA</t>
  </si>
  <si>
    <t>Sugerencia,  Pregunta, Queja,  Reclamo ,  Felicitación</t>
  </si>
  <si>
    <t xml:space="preserve">PROCESO RELACIONADO </t>
  </si>
  <si>
    <t>,</t>
  </si>
  <si>
    <t>Tecnica</t>
  </si>
  <si>
    <t>ERROR EN ETIQUETA/CODIFICADO</t>
  </si>
  <si>
    <t>ESTERILES</t>
  </si>
  <si>
    <t>Servicio</t>
  </si>
  <si>
    <t>x</t>
  </si>
  <si>
    <t>TIPIFICACION</t>
  </si>
  <si>
    <t>Línea</t>
  </si>
  <si>
    <t>(NPT, Estériles, Oncología, No Esteriles, Magistral)</t>
  </si>
  <si>
    <t>DESCRIPCIÓN DE LA SOLICITUD</t>
  </si>
  <si>
    <t>Describa la situación citando hechos y datos ( Lote, Fecha, ID), teniendo en cuenta las siguientes preguntas: Qué? Quién? Dónde? Cuándo?</t>
  </si>
  <si>
    <t xml:space="preserve">Buenas tardes, 
Por medio de la presente me permito informar que presentamos un evento de seguridad asociado al etiquetado de las dosis de estériles con el trimetroprim + sulfametoxazol. Como se evidencia en las fotografías adjuntas la etiqueta no cuenta con la información completa para identificar de forma segura el medicamento, en cuanto al DCI solo se visualiza "TRIMETROPRIM +"  en lugar de "TRIMETROPRIM + SULFAMETOXAZOL", además los laterales de las etiquetas salen también cortados, en el costado derecho impide conocer las unidades de medida de la concentración y en el costado izquierdo no sale el nombre completo del paciente y las jefes de enfermería asumieron que "o:" correspondía a orden, no a dosis, lo cual generó confusiones importantes, ante la incertidumbre enfermería toma la decisión de no administrar el medicamento, por lo que se pierden 4 dosis de trimetroprim + sulfametoxazol. </t>
  </si>
  <si>
    <t>FECHA</t>
  </si>
  <si>
    <t>RESPONSABLE</t>
  </si>
  <si>
    <t>OBSERVACIONES</t>
  </si>
  <si>
    <t>Acuse de recibo de la queja al reclamante</t>
  </si>
  <si>
    <t>Evaluación e investigación de la queja</t>
  </si>
  <si>
    <t>Solución de la queja</t>
  </si>
  <si>
    <t>Información al reclamante</t>
  </si>
  <si>
    <t>Verificación de las acciones</t>
  </si>
  <si>
    <t>La respuesta fue satisfactoria            si                                        no</t>
  </si>
  <si>
    <t>Cierre de la queja</t>
  </si>
  <si>
    <t>ANÁLISIS E INVESTIGACIÓN DE PQRS</t>
  </si>
  <si>
    <t>CÓDIGO:                                                AC-FR-055-03</t>
  </si>
  <si>
    <t>(dd/mm/aa)</t>
  </si>
  <si>
    <t xml:space="preserve"> </t>
  </si>
  <si>
    <t>INVESTIGACION</t>
  </si>
  <si>
    <t>Cliente / Institución</t>
  </si>
  <si>
    <t>Área o Proceso Involucrado en la investigación de la PQRS</t>
  </si>
  <si>
    <t>PRODUCCIÓN Y DIRECCIÓN TÉCNICA</t>
  </si>
  <si>
    <t>Responsable de la Investigación</t>
  </si>
  <si>
    <t>FRANCISCO  ALVAREZ</t>
  </si>
  <si>
    <t>Cargo</t>
  </si>
  <si>
    <t>CLASIFICACIÓN DE LA QUEJA</t>
  </si>
  <si>
    <t>IMPORTANTE</t>
  </si>
  <si>
    <t xml:space="preserve">TÉCNICA : </t>
  </si>
  <si>
    <t xml:space="preserve">Critico,   Mayor , Menor </t>
  </si>
  <si>
    <t>X</t>
  </si>
  <si>
    <t xml:space="preserve"> POR SERVICIO: </t>
  </si>
  <si>
    <t>Imprescindible,  Importante,  Normal</t>
  </si>
  <si>
    <t>Causa del problema</t>
  </si>
  <si>
    <t>Que acción se va a realizar</t>
  </si>
  <si>
    <t>Quién será el responsable</t>
  </si>
  <si>
    <t>Fecha de Implementación</t>
  </si>
  <si>
    <t>FECHA ENTREGA FORMATO</t>
  </si>
  <si>
    <t>VoBo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</si>
</sst>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2"/>
      <color rgb="FF1F497D"/>
      <name val="Arial"/>
      <family val="2"/>
    </font>
    <font>
      <b/>
      <sz val="12"/>
      <color rgb="FF1F497D"/>
      <name val="Arial"/>
      <family val="2"/>
    </font>
    <font>
      <b/>
      <sz val="11"/>
      <color theme="1"/>
      <name val="Arial"/>
      <family val="2"/>
    </font>
    <font>
      <b/>
      <i/>
      <sz val="12"/>
      <color rgb="FF17365D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99594"/>
        <bgColor rgb="FFD99594"/>
      </patternFill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221">
    <xf numFmtId="0" fontId="0" fillId="0" borderId="0" xfId="0"/>
    <xf numFmtId="0" fontId="2" fillId="0" borderId="0" xfId="0" applyFont="1"/>
    <xf numFmtId="0" fontId="2" fillId="2" borderId="1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12" xfId="0" applyFont="1" applyBorder="1"/>
    <xf numFmtId="0" fontId="2" fillId="4" borderId="11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2" fillId="4" borderId="12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right" vertical="center"/>
    </xf>
    <xf numFmtId="164" fontId="2" fillId="0" borderId="14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1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0" xfId="0" applyFont="1" applyFill="1"/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2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49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  <xf numFmtId="0" fontId="3" fillId="4" borderId="11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12" xfId="0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right" vertical="center"/>
    </xf>
    <xf numFmtId="0" fontId="2" fillId="4" borderId="0" xfId="0" applyFont="1" applyFill="1" applyAlignment="1">
      <alignment vertical="top"/>
    </xf>
    <xf numFmtId="0" fontId="3" fillId="5" borderId="8" xfId="0" applyFont="1" applyFill="1" applyBorder="1" applyAlignment="1">
      <alignment horizontal="left" vertical="top" wrapText="1"/>
    </xf>
    <xf numFmtId="0" fontId="2" fillId="0" borderId="14" xfId="0" applyFont="1" applyBorder="1"/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8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2" fillId="0" borderId="0" xfId="2" applyFont="1"/>
    <xf numFmtId="0" fontId="9" fillId="0" borderId="0" xfId="2" applyFont="1"/>
    <xf numFmtId="0" fontId="1" fillId="0" borderId="0" xfId="2"/>
    <xf numFmtId="0" fontId="3" fillId="0" borderId="11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0" borderId="12" xfId="2" applyFont="1" applyBorder="1" applyAlignment="1">
      <alignment horizontal="center" vertical="center" wrapText="1"/>
    </xf>
    <xf numFmtId="0" fontId="2" fillId="4" borderId="11" xfId="2" applyFont="1" applyFill="1" applyBorder="1" applyAlignment="1">
      <alignment vertical="center"/>
    </xf>
    <xf numFmtId="0" fontId="2" fillId="4" borderId="0" xfId="2" applyFont="1" applyFill="1" applyAlignment="1">
      <alignment vertical="center"/>
    </xf>
    <xf numFmtId="0" fontId="3" fillId="4" borderId="0" xfId="2" applyFont="1" applyFill="1" applyAlignment="1">
      <alignment horizontal="center" vertical="center"/>
    </xf>
    <xf numFmtId="0" fontId="2" fillId="4" borderId="12" xfId="2" applyFont="1" applyFill="1" applyBorder="1" applyAlignment="1">
      <alignment vertical="center"/>
    </xf>
    <xf numFmtId="165" fontId="2" fillId="0" borderId="14" xfId="2" applyNumberFormat="1" applyFont="1" applyBorder="1" applyAlignment="1">
      <alignment horizontal="center" vertical="center" wrapText="1"/>
    </xf>
    <xf numFmtId="0" fontId="2" fillId="4" borderId="12" xfId="2" applyFont="1" applyFill="1" applyBorder="1" applyAlignment="1">
      <alignment horizontal="center" vertical="center"/>
    </xf>
    <xf numFmtId="0" fontId="2" fillId="4" borderId="0" xfId="2" applyFont="1" applyFill="1" applyAlignment="1">
      <alignment horizontal="center" vertical="center"/>
    </xf>
    <xf numFmtId="0" fontId="10" fillId="0" borderId="0" xfId="2" applyFont="1"/>
    <xf numFmtId="0" fontId="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3" fillId="0" borderId="11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3" fillId="2" borderId="11" xfId="2" applyFont="1" applyFill="1" applyBorder="1" applyAlignment="1">
      <alignment horizontal="center" vertical="center"/>
    </xf>
    <xf numFmtId="0" fontId="3" fillId="2" borderId="12" xfId="2" applyFont="1" applyFill="1" applyBorder="1" applyAlignment="1">
      <alignment horizontal="center" vertical="center"/>
    </xf>
    <xf numFmtId="0" fontId="2" fillId="2" borderId="11" xfId="2" applyFont="1" applyFill="1" applyBorder="1" applyAlignment="1">
      <alignment vertical="center"/>
    </xf>
    <xf numFmtId="0" fontId="3" fillId="2" borderId="0" xfId="2" applyFont="1" applyFill="1" applyAlignment="1">
      <alignment vertical="center"/>
    </xf>
    <xf numFmtId="0" fontId="2" fillId="2" borderId="12" xfId="2" applyFont="1" applyFill="1" applyBorder="1" applyAlignment="1">
      <alignment vertical="center"/>
    </xf>
    <xf numFmtId="0" fontId="3" fillId="2" borderId="0" xfId="2" applyFont="1" applyFill="1" applyAlignment="1">
      <alignment horizontal="left" vertical="center"/>
    </xf>
    <xf numFmtId="0" fontId="11" fillId="0" borderId="0" xfId="2" applyFont="1" applyAlignment="1">
      <alignment vertical="top" wrapText="1"/>
    </xf>
    <xf numFmtId="0" fontId="12" fillId="0" borderId="0" xfId="2" applyFont="1" applyAlignment="1">
      <alignment vertical="top" wrapText="1"/>
    </xf>
    <xf numFmtId="0" fontId="2" fillId="2" borderId="0" xfId="2" applyFont="1" applyFill="1" applyAlignment="1">
      <alignment vertical="center"/>
    </xf>
    <xf numFmtId="0" fontId="3" fillId="4" borderId="11" xfId="2" applyFont="1" applyFill="1" applyBorder="1" applyAlignment="1">
      <alignment horizontal="center" vertical="center"/>
    </xf>
    <xf numFmtId="0" fontId="3" fillId="0" borderId="36" xfId="2" applyFont="1" applyBorder="1" applyAlignment="1">
      <alignment horizontal="center" vertical="center"/>
    </xf>
    <xf numFmtId="0" fontId="3" fillId="4" borderId="0" xfId="2" applyFont="1" applyFill="1" applyAlignment="1">
      <alignment vertical="center"/>
    </xf>
    <xf numFmtId="0" fontId="3" fillId="4" borderId="0" xfId="2" applyFont="1" applyFill="1" applyAlignment="1">
      <alignment horizontal="left"/>
    </xf>
    <xf numFmtId="0" fontId="3" fillId="0" borderId="37" xfId="2" applyFont="1" applyBorder="1" applyAlignment="1">
      <alignment horizontal="center" vertical="center"/>
    </xf>
    <xf numFmtId="0" fontId="3" fillId="4" borderId="12" xfId="2" applyFont="1" applyFill="1" applyBorder="1" applyAlignment="1">
      <alignment vertical="center"/>
    </xf>
    <xf numFmtId="0" fontId="3" fillId="4" borderId="11" xfId="2" applyFont="1" applyFill="1" applyBorder="1" applyAlignment="1">
      <alignment vertical="center"/>
    </xf>
    <xf numFmtId="0" fontId="2" fillId="4" borderId="12" xfId="2" applyFont="1" applyFill="1" applyBorder="1" applyAlignment="1">
      <alignment horizontal="left" vertical="center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center" vertical="top"/>
    </xf>
    <xf numFmtId="0" fontId="2" fillId="0" borderId="11" xfId="2" applyFont="1" applyBorder="1" applyAlignment="1">
      <alignment vertical="center"/>
    </xf>
    <xf numFmtId="0" fontId="2" fillId="0" borderId="12" xfId="2" applyFont="1" applyBorder="1" applyAlignment="1">
      <alignment vertical="center"/>
    </xf>
    <xf numFmtId="164" fontId="2" fillId="0" borderId="9" xfId="2" applyNumberFormat="1" applyFont="1" applyBorder="1" applyAlignment="1">
      <alignment horizontal="center" vertical="center"/>
    </xf>
    <xf numFmtId="0" fontId="9" fillId="0" borderId="8" xfId="2" applyFont="1" applyBorder="1"/>
    <xf numFmtId="0" fontId="2" fillId="0" borderId="16" xfId="2" applyFont="1" applyBorder="1" applyAlignment="1">
      <alignment vertical="center"/>
    </xf>
    <xf numFmtId="0" fontId="2" fillId="0" borderId="17" xfId="2" applyFont="1" applyBorder="1" applyAlignment="1">
      <alignment vertical="center"/>
    </xf>
    <xf numFmtId="0" fontId="2" fillId="0" borderId="18" xfId="2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2" fillId="0" borderId="9" xfId="0" applyFont="1" applyBorder="1" applyAlignment="1">
      <alignment horizontal="center" vertical="center" wrapText="1"/>
    </xf>
    <xf numFmtId="0" fontId="4" fillId="0" borderId="10" xfId="0" applyFont="1" applyBorder="1"/>
    <xf numFmtId="0" fontId="3" fillId="3" borderId="6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4" fillId="0" borderId="22" xfId="0" applyFont="1" applyBorder="1"/>
    <xf numFmtId="0" fontId="4" fillId="0" borderId="24" xfId="0" applyFont="1" applyBorder="1"/>
    <xf numFmtId="0" fontId="2" fillId="0" borderId="25" xfId="0" applyFont="1" applyBorder="1" applyAlignment="1">
      <alignment horizontal="center" vertical="top" wrapText="1"/>
    </xf>
    <xf numFmtId="0" fontId="4" fillId="0" borderId="26" xfId="0" applyFont="1" applyBorder="1"/>
    <xf numFmtId="0" fontId="4" fillId="0" borderId="27" xfId="0" applyFont="1" applyBorder="1"/>
    <xf numFmtId="0" fontId="4" fillId="0" borderId="11" xfId="0" applyFont="1" applyBorder="1"/>
    <xf numFmtId="0" fontId="0" fillId="0" borderId="0" xfId="0"/>
    <xf numFmtId="0" fontId="4" fillId="0" borderId="12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3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top"/>
    </xf>
    <xf numFmtId="0" fontId="4" fillId="0" borderId="0" xfId="0" applyFont="1"/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5" fillId="0" borderId="19" xfId="1" applyBorder="1" applyAlignment="1">
      <alignment horizontal="center" vertical="center" wrapText="1"/>
    </xf>
    <xf numFmtId="0" fontId="5" fillId="0" borderId="20" xfId="1" applyBorder="1" applyAlignment="1">
      <alignment horizontal="center" vertical="center" wrapText="1"/>
    </xf>
    <xf numFmtId="0" fontId="5" fillId="0" borderId="21" xfId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4" borderId="11" xfId="0" applyFont="1" applyFill="1" applyBorder="1" applyAlignment="1">
      <alignment horizontal="right" vertical="center" wrapText="1"/>
    </xf>
    <xf numFmtId="0" fontId="4" fillId="0" borderId="13" xfId="0" applyFont="1" applyBorder="1"/>
    <xf numFmtId="0" fontId="3" fillId="4" borderId="15" xfId="0" applyFont="1" applyFill="1" applyBorder="1" applyAlignment="1">
      <alignment horizontal="right" vertical="center" wrapText="1"/>
    </xf>
    <xf numFmtId="0" fontId="2" fillId="4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/>
    </xf>
    <xf numFmtId="0" fontId="4" fillId="0" borderId="5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horizontal="right" vertical="center"/>
    </xf>
    <xf numFmtId="0" fontId="14" fillId="0" borderId="42" xfId="2" applyFont="1" applyBorder="1" applyAlignment="1">
      <alignment horizontal="center" vertical="center" wrapText="1"/>
    </xf>
    <xf numFmtId="0" fontId="4" fillId="0" borderId="34" xfId="2" applyFont="1" applyBorder="1"/>
    <xf numFmtId="0" fontId="4" fillId="0" borderId="35" xfId="2" applyFont="1" applyBorder="1"/>
    <xf numFmtId="0" fontId="15" fillId="4" borderId="0" xfId="2" applyFont="1" applyFill="1" applyAlignment="1">
      <alignment horizontal="center" vertical="center"/>
    </xf>
    <xf numFmtId="0" fontId="4" fillId="0" borderId="0" xfId="2" applyFont="1"/>
    <xf numFmtId="0" fontId="2" fillId="0" borderId="43" xfId="2" applyFont="1" applyBorder="1" applyAlignment="1">
      <alignment horizontal="center" vertical="center"/>
    </xf>
    <xf numFmtId="0" fontId="4" fillId="0" borderId="44" xfId="2" applyFont="1" applyBorder="1"/>
    <xf numFmtId="0" fontId="9" fillId="0" borderId="9" xfId="2" applyFont="1" applyBorder="1" applyAlignment="1">
      <alignment horizontal="center" vertical="top" wrapText="1"/>
    </xf>
    <xf numFmtId="0" fontId="4" fillId="0" borderId="7" xfId="2" applyFont="1" applyBorder="1"/>
    <xf numFmtId="0" fontId="4" fillId="0" borderId="8" xfId="2" applyFont="1" applyBorder="1"/>
    <xf numFmtId="0" fontId="2" fillId="0" borderId="9" xfId="2" applyFont="1" applyBorder="1" applyAlignment="1">
      <alignment horizontal="center" vertical="center" wrapText="1"/>
    </xf>
    <xf numFmtId="164" fontId="2" fillId="0" borderId="9" xfId="2" applyNumberFormat="1" applyFont="1" applyBorder="1" applyAlignment="1">
      <alignment horizontal="center" vertical="center" wrapText="1"/>
    </xf>
    <xf numFmtId="0" fontId="13" fillId="0" borderId="40" xfId="2" applyFont="1" applyBorder="1" applyAlignment="1">
      <alignment horizontal="center" vertical="top" wrapText="1"/>
    </xf>
    <xf numFmtId="0" fontId="4" fillId="0" borderId="29" xfId="2" applyFont="1" applyBorder="1"/>
    <xf numFmtId="0" fontId="4" fillId="0" borderId="41" xfId="2" applyFont="1" applyBorder="1"/>
    <xf numFmtId="0" fontId="3" fillId="4" borderId="6" xfId="2" applyFont="1" applyFill="1" applyBorder="1" applyAlignment="1">
      <alignment horizontal="center" vertical="center"/>
    </xf>
    <xf numFmtId="0" fontId="4" fillId="0" borderId="10" xfId="2" applyFont="1" applyBorder="1"/>
    <xf numFmtId="0" fontId="3" fillId="4" borderId="23" xfId="2" applyFont="1" applyFill="1" applyBorder="1" applyAlignment="1">
      <alignment horizontal="center" vertical="center" wrapText="1"/>
    </xf>
    <xf numFmtId="0" fontId="4" fillId="0" borderId="22" xfId="2" applyFont="1" applyBorder="1"/>
    <xf numFmtId="0" fontId="4" fillId="0" borderId="38" xfId="2" applyFont="1" applyBorder="1"/>
    <xf numFmtId="0" fontId="3" fillId="4" borderId="39" xfId="2" applyFont="1" applyFill="1" applyBorder="1" applyAlignment="1">
      <alignment horizontal="center" vertical="center" wrapText="1"/>
    </xf>
    <xf numFmtId="0" fontId="4" fillId="0" borderId="24" xfId="2" applyFont="1" applyBorder="1"/>
    <xf numFmtId="0" fontId="9" fillId="0" borderId="39" xfId="2" applyFont="1" applyBorder="1" applyAlignment="1">
      <alignment horizontal="center" vertical="center" wrapText="1"/>
    </xf>
    <xf numFmtId="0" fontId="4" fillId="0" borderId="40" xfId="2" applyFont="1" applyBorder="1"/>
    <xf numFmtId="0" fontId="9" fillId="0" borderId="39" xfId="2" applyFont="1" applyBorder="1" applyAlignment="1">
      <alignment horizontal="center" vertical="top" wrapText="1"/>
    </xf>
    <xf numFmtId="0" fontId="2" fillId="0" borderId="39" xfId="2" applyFont="1" applyBorder="1" applyAlignment="1">
      <alignment horizontal="center" vertical="center" wrapText="1"/>
    </xf>
    <xf numFmtId="164" fontId="2" fillId="0" borderId="39" xfId="2" applyNumberFormat="1" applyFont="1" applyBorder="1" applyAlignment="1">
      <alignment horizontal="center" vertical="center" wrapText="1"/>
    </xf>
    <xf numFmtId="0" fontId="4" fillId="0" borderId="15" xfId="2" applyFont="1" applyBorder="1"/>
    <xf numFmtId="0" fontId="4" fillId="0" borderId="13" xfId="2" applyFont="1" applyBorder="1"/>
    <xf numFmtId="0" fontId="2" fillId="2" borderId="9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4" borderId="11" xfId="2" applyFont="1" applyFill="1" applyBorder="1" applyAlignment="1">
      <alignment horizontal="center" vertical="center"/>
    </xf>
    <xf numFmtId="0" fontId="4" fillId="0" borderId="12" xfId="2" applyFont="1" applyBorder="1"/>
    <xf numFmtId="0" fontId="3" fillId="0" borderId="9" xfId="2" applyFont="1" applyBorder="1" applyAlignment="1">
      <alignment horizontal="center" vertical="center"/>
    </xf>
    <xf numFmtId="0" fontId="3" fillId="4" borderId="0" xfId="2" applyFont="1" applyFill="1" applyAlignment="1">
      <alignment horizontal="center"/>
    </xf>
    <xf numFmtId="0" fontId="3" fillId="2" borderId="9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left" vertical="center"/>
    </xf>
    <xf numFmtId="0" fontId="2" fillId="4" borderId="0" xfId="2" applyFont="1" applyFill="1" applyAlignment="1">
      <alignment horizontal="center" vertical="center"/>
    </xf>
    <xf numFmtId="0" fontId="3" fillId="0" borderId="23" xfId="2" applyFont="1" applyBorder="1" applyAlignment="1">
      <alignment horizontal="center" vertical="center" wrapText="1"/>
    </xf>
    <xf numFmtId="164" fontId="2" fillId="0" borderId="25" xfId="2" applyNumberFormat="1" applyFont="1" applyBorder="1" applyAlignment="1">
      <alignment horizontal="center" vertical="top" wrapText="1"/>
    </xf>
    <xf numFmtId="0" fontId="4" fillId="0" borderId="26" xfId="2" applyFont="1" applyBorder="1"/>
    <xf numFmtId="0" fontId="4" fillId="0" borderId="27" xfId="2" applyFont="1" applyBorder="1"/>
    <xf numFmtId="0" fontId="4" fillId="0" borderId="11" xfId="2" applyFont="1" applyBorder="1"/>
    <xf numFmtId="0" fontId="1" fillId="0" borderId="0" xfId="2"/>
    <xf numFmtId="0" fontId="4" fillId="0" borderId="16" xfId="2" applyFont="1" applyBorder="1"/>
    <xf numFmtId="0" fontId="4" fillId="0" borderId="17" xfId="2" applyFont="1" applyBorder="1"/>
    <xf numFmtId="0" fontId="4" fillId="0" borderId="18" xfId="2" applyFont="1" applyBorder="1"/>
    <xf numFmtId="0" fontId="3" fillId="0" borderId="1" xfId="2" applyFont="1" applyBorder="1" applyAlignment="1">
      <alignment horizontal="center" vertical="top" wrapText="1"/>
    </xf>
    <xf numFmtId="0" fontId="4" fillId="0" borderId="2" xfId="2" applyFont="1" applyBorder="1"/>
    <xf numFmtId="0" fontId="4" fillId="0" borderId="5" xfId="2" applyFont="1" applyBorder="1"/>
    <xf numFmtId="0" fontId="3" fillId="0" borderId="1" xfId="2" applyFont="1" applyBorder="1" applyAlignment="1">
      <alignment horizontal="center" vertical="center" wrapText="1"/>
    </xf>
    <xf numFmtId="0" fontId="4" fillId="0" borderId="3" xfId="2" applyFont="1" applyBorder="1"/>
    <xf numFmtId="0" fontId="2" fillId="0" borderId="4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164" fontId="3" fillId="0" borderId="9" xfId="2" applyNumberFormat="1" applyFont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2" xfId="2" xr:uid="{84EF46F7-9B0E-4E6D-9AB8-A2039A450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52</xdr:row>
      <xdr:rowOff>28575</xdr:rowOff>
    </xdr:from>
    <xdr:ext cx="371475" cy="2476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05478A0-A6CE-4A45-BF32-3408FFCC02C2}"/>
            </a:ext>
          </a:extLst>
        </xdr:cNvPr>
        <xdr:cNvSpPr/>
      </xdr:nvSpPr>
      <xdr:spPr>
        <a:xfrm>
          <a:off x="2886075" y="14649450"/>
          <a:ext cx="371475" cy="247650"/>
        </a:xfrm>
        <a:prstGeom prst="rect">
          <a:avLst/>
        </a:prstGeom>
        <a:solidFill>
          <a:schemeClr val="l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285750</xdr:colOff>
      <xdr:row>52</xdr:row>
      <xdr:rowOff>19050</xdr:rowOff>
    </xdr:from>
    <xdr:ext cx="409575" cy="2667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93A73AA3-729D-43A0-975A-879196DE9B8D}"/>
            </a:ext>
          </a:extLst>
        </xdr:cNvPr>
        <xdr:cNvSpPr/>
      </xdr:nvSpPr>
      <xdr:spPr>
        <a:xfrm>
          <a:off x="4533900" y="14639925"/>
          <a:ext cx="409575" cy="266700"/>
        </a:xfrm>
        <a:prstGeom prst="rect">
          <a:avLst/>
        </a:prstGeom>
        <a:solidFill>
          <a:schemeClr val="l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0</xdr:row>
      <xdr:rowOff>123825</xdr:rowOff>
    </xdr:from>
    <xdr:ext cx="1047750" cy="314325"/>
    <xdr:pic>
      <xdr:nvPicPr>
        <xdr:cNvPr id="4" name="image1.png">
          <a:extLst>
            <a:ext uri="{FF2B5EF4-FFF2-40B4-BE49-F238E27FC236}">
              <a16:creationId xmlns:a16="http://schemas.microsoft.com/office/drawing/2014/main" id="{CB520B73-99E0-458D-A762-2C6D7513E6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0" y="123825"/>
          <a:ext cx="1047750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3028950" cy="0"/>
    <xdr:pic>
      <xdr:nvPicPr>
        <xdr:cNvPr id="5" name="image2.jpg" descr="IMG_20210510_102408.jpg">
          <a:extLst>
            <a:ext uri="{FF2B5EF4-FFF2-40B4-BE49-F238E27FC236}">
              <a16:creationId xmlns:a16="http://schemas.microsoft.com/office/drawing/2014/main" id="{A992CFBE-1A1D-4290-8ED8-F8E06796158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7175" y="10972800"/>
          <a:ext cx="3028950" cy="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266700</xdr:colOff>
      <xdr:row>0</xdr:row>
      <xdr:rowOff>114300</xdr:rowOff>
    </xdr:from>
    <xdr:ext cx="1047750" cy="314325"/>
    <xdr:pic>
      <xdr:nvPicPr>
        <xdr:cNvPr id="2" name="image1.png">
          <a:extLst>
            <a:ext uri="{FF2B5EF4-FFF2-40B4-BE49-F238E27FC236}">
              <a16:creationId xmlns:a16="http://schemas.microsoft.com/office/drawing/2014/main" id="{6979A3C3-356B-4CCF-961E-B18D898ED3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19650" y="114300"/>
          <a:ext cx="1047750" cy="3143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4.11.2\Payak\users\Foro\Manuten&#231;&#227;o%20Qualidade\Controle%20de%20OS%20de%20Manuten&#231;&#227;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yak\users\Foro\Manuten&#231;&#227;o%20Qualidade\Controle%20de%20OS%20de%20Manuten&#231;&#227;o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44.11.2\Direccion%20Tecnica\1.3.%20PQRS\2024\AC-FR-056%20LISTADO%20MAESTRO%20DE%20PQRS%202024.xlsx" TargetMode="External"/><Relationship Id="rId1" Type="http://schemas.openxmlformats.org/officeDocument/2006/relationships/externalLinkPath" Target="/1.3.%20PQRS/2024/AC-FR-056%20LISTADO%20MAESTRO%20DE%20PQRS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órico de Manutenção"/>
      <sheetName val="Coleta de Dados"/>
      <sheetName val="Abril a Agosto"/>
      <sheetName val="Gráficos Abril a Agosto"/>
      <sheetName val="Setembro"/>
      <sheetName val="Gráficos (Setembro)"/>
      <sheetName val="Outubro"/>
      <sheetName val="Gráficos (Outubro)"/>
      <sheetName val="Total"/>
      <sheetName val="Gráficos (Total)"/>
      <sheetName val="Divulgação"/>
      <sheetName val="Consulta"/>
      <sheetName val="Consulta e Referência"/>
      <sheetName val="Filtragem"/>
      <sheetName val="Máquinas Mês a Mês"/>
      <sheetName val="Causas Raiz Mês a Mês"/>
      <sheetName val="gráfico"/>
    </sheetNames>
    <sheetDataSet>
      <sheetData sheetId="0"/>
      <sheetData sheetId="1">
        <row r="5">
          <cell r="AD5">
            <v>37712</v>
          </cell>
        </row>
        <row r="6">
          <cell r="AD6" t="str">
            <v>S/N</v>
          </cell>
        </row>
        <row r="7">
          <cell r="C7">
            <v>37712</v>
          </cell>
          <cell r="D7">
            <v>37718</v>
          </cell>
          <cell r="E7">
            <v>37718</v>
          </cell>
          <cell r="F7">
            <v>0.40625</v>
          </cell>
          <cell r="G7" t="str">
            <v>Guilhotina Sorg</v>
          </cell>
          <cell r="H7" t="str">
            <v>Falha no comando</v>
          </cell>
          <cell r="I7" t="str">
            <v>Corretiva</v>
          </cell>
          <cell r="J7" t="str">
            <v>Não</v>
          </cell>
          <cell r="K7" t="str">
            <v>Elétrica</v>
          </cell>
          <cell r="L7" t="str">
            <v>Ajuste / Regulagem</v>
          </cell>
          <cell r="M7" t="str">
            <v>Falha de Regulagem / Configuração / Dimensionamento</v>
          </cell>
          <cell r="N7">
            <v>37722</v>
          </cell>
          <cell r="O7">
            <v>0.41666666666666669</v>
          </cell>
          <cell r="P7">
            <v>37722</v>
          </cell>
          <cell r="Q7">
            <v>0.41666666666666669</v>
          </cell>
          <cell r="T7">
            <v>37722</v>
          </cell>
          <cell r="U7">
            <v>0.5</v>
          </cell>
          <cell r="V7">
            <v>37722</v>
          </cell>
          <cell r="W7">
            <v>0.5</v>
          </cell>
          <cell r="X7">
            <v>8.3333333333333315E-2</v>
          </cell>
          <cell r="Y7">
            <v>8.3333333333333315E-2</v>
          </cell>
          <cell r="AB7">
            <v>4</v>
          </cell>
          <cell r="AC7">
            <v>4</v>
          </cell>
          <cell r="AD7" t="str">
            <v>N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4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</row>
        <row r="8">
          <cell r="C8">
            <v>37712</v>
          </cell>
          <cell r="D8">
            <v>37725</v>
          </cell>
          <cell r="E8">
            <v>37725</v>
          </cell>
          <cell r="F8">
            <v>0.47222222222222227</v>
          </cell>
          <cell r="G8" t="str">
            <v>Prensa Jundiaí</v>
          </cell>
          <cell r="H8" t="str">
            <v>Martelo travado</v>
          </cell>
          <cell r="I8" t="str">
            <v>Corretiva</v>
          </cell>
          <cell r="J8" t="str">
            <v>Sim</v>
          </cell>
          <cell r="K8" t="str">
            <v>Elétrica</v>
          </cell>
          <cell r="L8" t="str">
            <v>Destravamento dos Componentes</v>
          </cell>
          <cell r="M8" t="str">
            <v>Travamento de Componente</v>
          </cell>
          <cell r="N8">
            <v>37725</v>
          </cell>
          <cell r="O8">
            <v>0.47569444444444442</v>
          </cell>
          <cell r="P8">
            <v>37725</v>
          </cell>
          <cell r="Q8">
            <v>0.47569444444444442</v>
          </cell>
          <cell r="T8">
            <v>37725</v>
          </cell>
          <cell r="U8">
            <v>0.4861111111111111</v>
          </cell>
          <cell r="V8">
            <v>37725</v>
          </cell>
          <cell r="W8">
            <v>0.4861111111111111</v>
          </cell>
          <cell r="X8">
            <v>1.0416666666666685E-2</v>
          </cell>
          <cell r="Y8">
            <v>1.0416666665049812E-2</v>
          </cell>
          <cell r="AB8">
            <v>4</v>
          </cell>
          <cell r="AC8">
            <v>4</v>
          </cell>
          <cell r="AD8" t="str">
            <v>S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4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</row>
        <row r="9">
          <cell r="C9">
            <v>37712</v>
          </cell>
          <cell r="D9">
            <v>37728</v>
          </cell>
          <cell r="E9">
            <v>37727</v>
          </cell>
          <cell r="F9">
            <v>0.66666666666666663</v>
          </cell>
          <cell r="G9" t="str">
            <v>Guilhotina Sorg</v>
          </cell>
          <cell r="H9" t="str">
            <v>Suporte para chapas está solto;  fazer um stop p/ peças longas; mudar a localização da régua de esquadro</v>
          </cell>
          <cell r="I9" t="str">
            <v>Corretiva</v>
          </cell>
          <cell r="J9" t="str">
            <v>Não</v>
          </cell>
          <cell r="K9" t="str">
            <v>Mecânica</v>
          </cell>
          <cell r="L9" t="str">
            <v>Melhoria no Sistema de Fixação</v>
          </cell>
          <cell r="M9" t="str">
            <v>Melhoria Técnica</v>
          </cell>
          <cell r="N9">
            <v>37728</v>
          </cell>
          <cell r="O9">
            <v>0.53125</v>
          </cell>
          <cell r="P9">
            <v>37728</v>
          </cell>
          <cell r="Q9">
            <v>0.57291666666666663</v>
          </cell>
          <cell r="R9">
            <v>37729</v>
          </cell>
          <cell r="S9">
            <v>0.33333333333333331</v>
          </cell>
          <cell r="T9">
            <v>37729</v>
          </cell>
          <cell r="U9">
            <v>0.41666666666666669</v>
          </cell>
          <cell r="V9">
            <v>0</v>
          </cell>
          <cell r="W9">
            <v>0.125</v>
          </cell>
          <cell r="X9">
            <v>0.125</v>
          </cell>
          <cell r="Y9">
            <v>0.125</v>
          </cell>
          <cell r="AB9">
            <v>4</v>
          </cell>
          <cell r="AC9">
            <v>4</v>
          </cell>
          <cell r="AD9" t="str">
            <v>N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4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</row>
        <row r="10">
          <cell r="C10">
            <v>37712</v>
          </cell>
          <cell r="D10">
            <v>37736</v>
          </cell>
          <cell r="E10">
            <v>37735</v>
          </cell>
          <cell r="F10">
            <v>0.75</v>
          </cell>
          <cell r="G10" t="str">
            <v>Guilhotina Sorg</v>
          </cell>
          <cell r="H10" t="str">
            <v>Defeito no Sistema Hidráulico</v>
          </cell>
          <cell r="I10" t="str">
            <v>Corretiva</v>
          </cell>
          <cell r="J10" t="str">
            <v>Sim</v>
          </cell>
          <cell r="K10" t="str">
            <v>Mecânica</v>
          </cell>
          <cell r="L10" t="str">
            <v>Regulagem no Sistema Hidráulico e Elétrico</v>
          </cell>
          <cell r="M10" t="str">
            <v>Falha de Regulagem / Configuração / Dimensionamento</v>
          </cell>
          <cell r="N10">
            <v>37735</v>
          </cell>
          <cell r="O10">
            <v>0.8125</v>
          </cell>
          <cell r="P10">
            <v>37735</v>
          </cell>
          <cell r="Q10">
            <v>0.83333333333333337</v>
          </cell>
          <cell r="R10">
            <v>37736</v>
          </cell>
          <cell r="S10">
            <v>0.33333333333333331</v>
          </cell>
          <cell r="T10">
            <v>37736</v>
          </cell>
          <cell r="U10">
            <v>0.41666666666666669</v>
          </cell>
          <cell r="V10">
            <v>6.25E-2</v>
          </cell>
          <cell r="W10">
            <v>0.16666666666666674</v>
          </cell>
          <cell r="X10">
            <v>0.10416666666666674</v>
          </cell>
          <cell r="Y10">
            <v>0.10416666666666674</v>
          </cell>
          <cell r="AB10">
            <v>4</v>
          </cell>
          <cell r="AC10">
            <v>4</v>
          </cell>
          <cell r="AD10" t="str">
            <v>S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4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</row>
        <row r="11">
          <cell r="C11">
            <v>37712</v>
          </cell>
          <cell r="D11">
            <v>37763</v>
          </cell>
          <cell r="E11">
            <v>37761</v>
          </cell>
          <cell r="F11">
            <v>0.61805555555555558</v>
          </cell>
          <cell r="G11" t="str">
            <v>Dobradeira Sorg</v>
          </cell>
          <cell r="H11" t="str">
            <v>Capa de Proteção do Motor está solta</v>
          </cell>
          <cell r="I11" t="str">
            <v>Corretiva</v>
          </cell>
          <cell r="J11" t="str">
            <v>Não</v>
          </cell>
          <cell r="K11" t="str">
            <v>Mecânica</v>
          </cell>
          <cell r="L11" t="str">
            <v>Reparo</v>
          </cell>
          <cell r="M11" t="str">
            <v>Vibração</v>
          </cell>
          <cell r="N11">
            <v>37762</v>
          </cell>
          <cell r="O11">
            <v>0.375</v>
          </cell>
          <cell r="P11">
            <v>37762</v>
          </cell>
          <cell r="Q11">
            <v>0.375</v>
          </cell>
          <cell r="T11">
            <v>37762</v>
          </cell>
          <cell r="U11">
            <v>0.4375</v>
          </cell>
          <cell r="V11">
            <v>37762</v>
          </cell>
          <cell r="W11">
            <v>0.4375</v>
          </cell>
          <cell r="X11">
            <v>6.25E-2</v>
          </cell>
          <cell r="Y11">
            <v>6.25E-2</v>
          </cell>
          <cell r="AB11">
            <v>5</v>
          </cell>
          <cell r="AC11">
            <v>4</v>
          </cell>
          <cell r="AD11">
            <v>0</v>
          </cell>
          <cell r="BF11">
            <v>0</v>
          </cell>
          <cell r="BG11">
            <v>0</v>
          </cell>
          <cell r="BH11">
            <v>5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</row>
        <row r="12">
          <cell r="C12">
            <v>37712</v>
          </cell>
          <cell r="I12">
            <v>0</v>
          </cell>
          <cell r="N12">
            <v>0</v>
          </cell>
          <cell r="P12">
            <v>0</v>
          </cell>
          <cell r="T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AB12">
            <v>0</v>
          </cell>
          <cell r="AC12">
            <v>4</v>
          </cell>
          <cell r="AD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</row>
        <row r="13">
          <cell r="C13">
            <v>37712</v>
          </cell>
          <cell r="D13">
            <v>37819</v>
          </cell>
          <cell r="E13">
            <v>37772</v>
          </cell>
          <cell r="F13">
            <v>0.58333333333333337</v>
          </cell>
          <cell r="G13" t="str">
            <v>Prensa Jundiaí</v>
          </cell>
          <cell r="H13" t="str">
            <v>Capa do fio do painel bimanual escapou</v>
          </cell>
          <cell r="I13" t="str">
            <v>Corretiva</v>
          </cell>
          <cell r="J13" t="str">
            <v>Não</v>
          </cell>
          <cell r="K13" t="str">
            <v>Elétrica</v>
          </cell>
          <cell r="L13" t="str">
            <v>Reparo</v>
          </cell>
          <cell r="M13" t="str">
            <v>Causa não especificada</v>
          </cell>
          <cell r="N13">
            <v>37774</v>
          </cell>
          <cell r="O13">
            <v>0.375</v>
          </cell>
          <cell r="P13">
            <v>37774</v>
          </cell>
          <cell r="Q13">
            <v>0.375</v>
          </cell>
          <cell r="T13">
            <v>37774</v>
          </cell>
          <cell r="U13">
            <v>0.39930555555555558</v>
          </cell>
          <cell r="V13">
            <v>37774</v>
          </cell>
          <cell r="W13">
            <v>0.39930555555555558</v>
          </cell>
          <cell r="X13">
            <v>2.4305555554747116E-2</v>
          </cell>
          <cell r="Y13">
            <v>2.4305555554747116E-2</v>
          </cell>
          <cell r="AB13">
            <v>6</v>
          </cell>
          <cell r="AC13">
            <v>4</v>
          </cell>
          <cell r="AD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6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</row>
        <row r="14">
          <cell r="C14">
            <v>37712</v>
          </cell>
          <cell r="D14">
            <v>37785</v>
          </cell>
          <cell r="E14">
            <v>37770</v>
          </cell>
          <cell r="F14">
            <v>0.72916666666666663</v>
          </cell>
          <cell r="G14" t="str">
            <v>Dobradeira Sorg</v>
          </cell>
          <cell r="H14" t="str">
            <v>Travamento dos movimentos</v>
          </cell>
          <cell r="I14" t="str">
            <v>Corretiva</v>
          </cell>
          <cell r="J14" t="str">
            <v>Sim</v>
          </cell>
          <cell r="K14" t="str">
            <v>Elétrica</v>
          </cell>
          <cell r="L14" t="str">
            <v>Substituição do(s) Componente(s)</v>
          </cell>
          <cell r="M14" t="str">
            <v>Desgaste / Fadiga</v>
          </cell>
          <cell r="N14">
            <v>37770</v>
          </cell>
          <cell r="O14">
            <v>0.72916666666666663</v>
          </cell>
          <cell r="P14">
            <v>37770</v>
          </cell>
          <cell r="Q14">
            <v>0.72916666666666663</v>
          </cell>
          <cell r="T14">
            <v>37771</v>
          </cell>
          <cell r="U14">
            <v>0.4375</v>
          </cell>
          <cell r="V14">
            <v>37771</v>
          </cell>
          <cell r="W14">
            <v>0.4375</v>
          </cell>
          <cell r="X14">
            <v>0.125</v>
          </cell>
          <cell r="Y14">
            <v>0.125</v>
          </cell>
          <cell r="AB14">
            <v>5</v>
          </cell>
          <cell r="AC14">
            <v>4</v>
          </cell>
          <cell r="AD14">
            <v>0</v>
          </cell>
          <cell r="BF14">
            <v>0</v>
          </cell>
          <cell r="BG14">
            <v>0</v>
          </cell>
          <cell r="BH14">
            <v>5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</row>
        <row r="15">
          <cell r="C15">
            <v>37712</v>
          </cell>
          <cell r="D15">
            <v>37803</v>
          </cell>
          <cell r="E15">
            <v>37777</v>
          </cell>
          <cell r="F15">
            <v>0.74305555555555547</v>
          </cell>
          <cell r="G15" t="str">
            <v>Guilhotina Sorg</v>
          </cell>
          <cell r="H15" t="str">
            <v>Máquina não referencia</v>
          </cell>
          <cell r="I15" t="str">
            <v>Corretiva</v>
          </cell>
          <cell r="J15" t="str">
            <v>Sim</v>
          </cell>
          <cell r="K15" t="str">
            <v>Elétrica</v>
          </cell>
          <cell r="L15" t="str">
            <v>Regulagem e Referência da Máquina</v>
          </cell>
          <cell r="M15" t="str">
            <v>Falha de Comando / Sistema</v>
          </cell>
          <cell r="N15">
            <v>37777</v>
          </cell>
          <cell r="O15">
            <v>0.74305555555555547</v>
          </cell>
          <cell r="P15">
            <v>37777</v>
          </cell>
          <cell r="Q15">
            <v>0.72916666666666663</v>
          </cell>
          <cell r="T15">
            <v>37777</v>
          </cell>
          <cell r="U15">
            <v>0.8125</v>
          </cell>
          <cell r="V15">
            <v>37777</v>
          </cell>
          <cell r="W15">
            <v>0.8125</v>
          </cell>
          <cell r="X15">
            <v>8.333333333333337E-2</v>
          </cell>
          <cell r="Y15">
            <v>8.333333333333337E-2</v>
          </cell>
          <cell r="AB15">
            <v>6</v>
          </cell>
          <cell r="AC15">
            <v>4</v>
          </cell>
          <cell r="AD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6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</row>
        <row r="16">
          <cell r="C16">
            <v>37712</v>
          </cell>
          <cell r="D16">
            <v>37803</v>
          </cell>
          <cell r="E16">
            <v>37798</v>
          </cell>
          <cell r="F16">
            <v>0.5</v>
          </cell>
          <cell r="G16" t="str">
            <v>Guilhotina Sorg</v>
          </cell>
          <cell r="H16" t="str">
            <v>Vazamento no fluido Hidráulico</v>
          </cell>
          <cell r="I16" t="str">
            <v>Corretiva</v>
          </cell>
          <cell r="J16" t="str">
            <v>Sim</v>
          </cell>
          <cell r="K16" t="str">
            <v>Mecânica</v>
          </cell>
          <cell r="L16" t="str">
            <v>Retirado vazamento de óleo mediante reaperto</v>
          </cell>
          <cell r="M16" t="str">
            <v>Falha de Regulagem / Configuração / Dimensionamento</v>
          </cell>
          <cell r="N16">
            <v>37798</v>
          </cell>
          <cell r="O16">
            <v>0.5</v>
          </cell>
          <cell r="P16">
            <v>37798</v>
          </cell>
          <cell r="Q16">
            <v>0.5</v>
          </cell>
          <cell r="T16">
            <v>37798</v>
          </cell>
          <cell r="U16">
            <v>0.51388888888888895</v>
          </cell>
          <cell r="V16">
            <v>37798</v>
          </cell>
          <cell r="W16">
            <v>0.51388888888888895</v>
          </cell>
          <cell r="X16">
            <v>1.3888888888888951E-2</v>
          </cell>
          <cell r="Y16">
            <v>1.3888888890505768E-2</v>
          </cell>
          <cell r="AB16">
            <v>6</v>
          </cell>
          <cell r="AC16">
            <v>4</v>
          </cell>
          <cell r="AD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6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</row>
        <row r="17">
          <cell r="C17">
            <v>37712</v>
          </cell>
          <cell r="D17">
            <v>37721</v>
          </cell>
          <cell r="E17">
            <v>37721</v>
          </cell>
          <cell r="F17">
            <v>0.42499999999999999</v>
          </cell>
          <cell r="G17" t="str">
            <v>Perfiladora Dimeco Travesaños</v>
          </cell>
          <cell r="H17" t="str">
            <v>Alimentador com Defeito</v>
          </cell>
          <cell r="I17" t="str">
            <v>Corretiva</v>
          </cell>
          <cell r="J17" t="str">
            <v>Sim</v>
          </cell>
          <cell r="K17" t="str">
            <v>Mecânica</v>
          </cell>
          <cell r="L17" t="str">
            <v>Regulagem do eixo do alimentador</v>
          </cell>
          <cell r="M17" t="str">
            <v>Desgaste / Fadiga</v>
          </cell>
          <cell r="N17">
            <v>37721</v>
          </cell>
          <cell r="O17">
            <v>0.42499999999999999</v>
          </cell>
          <cell r="P17">
            <v>37721</v>
          </cell>
          <cell r="Q17">
            <v>0.42499999999999999</v>
          </cell>
          <cell r="T17">
            <v>37721</v>
          </cell>
          <cell r="U17">
            <v>0.43402777777777773</v>
          </cell>
          <cell r="V17">
            <v>37721</v>
          </cell>
          <cell r="W17">
            <v>0.43402777777777773</v>
          </cell>
          <cell r="X17">
            <v>9.0277777777777457E-3</v>
          </cell>
          <cell r="Y17">
            <v>9.0277777810115478E-3</v>
          </cell>
          <cell r="AB17">
            <v>4</v>
          </cell>
          <cell r="AC17">
            <v>4</v>
          </cell>
          <cell r="AD17" t="str">
            <v>S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4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</row>
        <row r="18">
          <cell r="C18">
            <v>37712</v>
          </cell>
          <cell r="D18">
            <v>37727</v>
          </cell>
          <cell r="E18">
            <v>37726</v>
          </cell>
          <cell r="F18">
            <v>0.41666666666666669</v>
          </cell>
          <cell r="G18" t="str">
            <v>Perfiladora Dimeco Travesaños</v>
          </cell>
          <cell r="H18" t="str">
            <v>Pistão do Encoder torto</v>
          </cell>
          <cell r="I18" t="str">
            <v>Corretiva</v>
          </cell>
          <cell r="J18" t="str">
            <v>Não</v>
          </cell>
          <cell r="K18" t="str">
            <v>Mecânica</v>
          </cell>
          <cell r="L18" t="str">
            <v>Substituição do(s) Componente(s)</v>
          </cell>
          <cell r="M18" t="str">
            <v>Falha Operacional</v>
          </cell>
          <cell r="N18">
            <v>37762</v>
          </cell>
          <cell r="O18">
            <v>0.60416666666666663</v>
          </cell>
          <cell r="P18">
            <v>37762</v>
          </cell>
          <cell r="Q18">
            <v>0.60416666666666663</v>
          </cell>
          <cell r="T18">
            <v>37762</v>
          </cell>
          <cell r="U18">
            <v>0.6875</v>
          </cell>
          <cell r="V18">
            <v>37762</v>
          </cell>
          <cell r="W18">
            <v>0.6875</v>
          </cell>
          <cell r="X18">
            <v>8.333333333333337E-2</v>
          </cell>
          <cell r="Y18">
            <v>8.333333333333337E-2</v>
          </cell>
          <cell r="AB18">
            <v>5</v>
          </cell>
          <cell r="AC18">
            <v>4</v>
          </cell>
          <cell r="AD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5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</row>
        <row r="19">
          <cell r="C19">
            <v>37712</v>
          </cell>
          <cell r="D19">
            <v>37733</v>
          </cell>
          <cell r="E19">
            <v>37733</v>
          </cell>
          <cell r="F19">
            <v>0.34375</v>
          </cell>
          <cell r="G19" t="str">
            <v>Perfiladora Dimeco Travesaños</v>
          </cell>
          <cell r="H19" t="str">
            <v>Pino Guia Quebrado</v>
          </cell>
          <cell r="I19" t="str">
            <v>Corretiva</v>
          </cell>
          <cell r="J19" t="str">
            <v>Sim</v>
          </cell>
          <cell r="K19" t="str">
            <v>Mecânica</v>
          </cell>
          <cell r="L19" t="str">
            <v>O pino danificado foi substituído por um novo, confeccionado internamente (Ferramentaria)</v>
          </cell>
          <cell r="M19" t="str">
            <v>Defeito de Fabricação</v>
          </cell>
          <cell r="N19">
            <v>37733</v>
          </cell>
          <cell r="O19">
            <v>0.34375</v>
          </cell>
          <cell r="P19">
            <v>37733</v>
          </cell>
          <cell r="Q19">
            <v>0.34375</v>
          </cell>
          <cell r="T19">
            <v>37733</v>
          </cell>
          <cell r="U19">
            <v>0.375</v>
          </cell>
          <cell r="V19">
            <v>37733</v>
          </cell>
          <cell r="W19">
            <v>0.375</v>
          </cell>
          <cell r="X19">
            <v>3.125E-2</v>
          </cell>
          <cell r="Y19">
            <v>3.125E-2</v>
          </cell>
          <cell r="AB19">
            <v>4</v>
          </cell>
          <cell r="AC19">
            <v>4</v>
          </cell>
          <cell r="AD19" t="str">
            <v>S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4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</row>
        <row r="20">
          <cell r="C20">
            <v>37712</v>
          </cell>
          <cell r="D20">
            <v>37810</v>
          </cell>
          <cell r="E20">
            <v>37756</v>
          </cell>
          <cell r="F20">
            <v>0.44097222222222227</v>
          </cell>
          <cell r="G20" t="str">
            <v>Perfiladora Dimeco Travesaños</v>
          </cell>
          <cell r="H20" t="str">
            <v>Máquina não liga</v>
          </cell>
          <cell r="I20" t="str">
            <v>Corretiva</v>
          </cell>
          <cell r="J20" t="str">
            <v>Sim</v>
          </cell>
          <cell r="K20" t="str">
            <v>Elétrica</v>
          </cell>
          <cell r="L20" t="str">
            <v>Substituição do(s) Componente(s)</v>
          </cell>
          <cell r="M20" t="str">
            <v>Causa não especificada</v>
          </cell>
          <cell r="N20">
            <v>37756</v>
          </cell>
          <cell r="O20">
            <v>0.44097222222222227</v>
          </cell>
          <cell r="P20">
            <v>37756</v>
          </cell>
          <cell r="Q20">
            <v>0.44097222222222227</v>
          </cell>
          <cell r="T20">
            <v>37757</v>
          </cell>
          <cell r="U20">
            <v>0.45833333333333331</v>
          </cell>
          <cell r="V20">
            <v>37757</v>
          </cell>
          <cell r="W20">
            <v>0.45833333333333331</v>
          </cell>
          <cell r="X20">
            <v>0.5590277777777779</v>
          </cell>
          <cell r="Y20">
            <v>0.55902777778020307</v>
          </cell>
          <cell r="AB20">
            <v>5</v>
          </cell>
          <cell r="AC20">
            <v>4</v>
          </cell>
          <cell r="AD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5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</row>
        <row r="21">
          <cell r="C21">
            <v>37712</v>
          </cell>
          <cell r="D21">
            <v>37763</v>
          </cell>
          <cell r="E21">
            <v>37756</v>
          </cell>
          <cell r="F21">
            <v>0.41666666666666669</v>
          </cell>
          <cell r="G21" t="str">
            <v>Perfiladora Dimeco Travesaños</v>
          </cell>
          <cell r="H21" t="str">
            <v>Trocar filtro de óleo hidráulico; Eliminar vazamento; Arrumar guia dos mordentes</v>
          </cell>
          <cell r="I21" t="str">
            <v>Corretiva</v>
          </cell>
          <cell r="J21" t="str">
            <v>Não</v>
          </cell>
          <cell r="K21" t="str">
            <v>Mecânica</v>
          </cell>
          <cell r="L21" t="str">
            <v>Trocado filtro hidráulico novo; retirado vazamento e arrumadas as guias dos mordentes</v>
          </cell>
          <cell r="M21" t="str">
            <v>Desgaste / Fadiga</v>
          </cell>
          <cell r="N21">
            <v>37756</v>
          </cell>
          <cell r="O21">
            <v>0.41666666666666669</v>
          </cell>
          <cell r="P21">
            <v>37756</v>
          </cell>
          <cell r="Q21">
            <v>0.41666666666666669</v>
          </cell>
          <cell r="T21">
            <v>37756</v>
          </cell>
          <cell r="U21">
            <v>0.75</v>
          </cell>
          <cell r="V21">
            <v>37756</v>
          </cell>
          <cell r="W21">
            <v>0.75</v>
          </cell>
          <cell r="X21">
            <v>0.33333333333333331</v>
          </cell>
          <cell r="Y21">
            <v>0.33333333333333331</v>
          </cell>
          <cell r="AB21">
            <v>5</v>
          </cell>
          <cell r="AC21">
            <v>4</v>
          </cell>
          <cell r="AD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5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</row>
        <row r="22">
          <cell r="C22">
            <v>37712</v>
          </cell>
          <cell r="D22">
            <v>37776</v>
          </cell>
          <cell r="E22">
            <v>37775</v>
          </cell>
          <cell r="F22">
            <v>0.83333333333333337</v>
          </cell>
          <cell r="G22" t="str">
            <v>Perfiladora Dimeco Travesaños</v>
          </cell>
          <cell r="H22" t="str">
            <v>Disco de Serra danificado</v>
          </cell>
          <cell r="I22" t="str">
            <v>Corretiva</v>
          </cell>
          <cell r="J22" t="str">
            <v>Sim</v>
          </cell>
          <cell r="K22" t="str">
            <v>Mecânica</v>
          </cell>
          <cell r="L22" t="str">
            <v>Substituição do(s) Componente(s)</v>
          </cell>
          <cell r="M22" t="str">
            <v>Desgaste / Fadiga</v>
          </cell>
          <cell r="N22">
            <v>37775</v>
          </cell>
          <cell r="O22">
            <v>0.83333333333333337</v>
          </cell>
          <cell r="P22">
            <v>37775</v>
          </cell>
          <cell r="Q22">
            <v>0.83333333333333337</v>
          </cell>
          <cell r="T22">
            <v>37775</v>
          </cell>
          <cell r="U22">
            <v>0.91666666666666663</v>
          </cell>
          <cell r="V22">
            <v>37775</v>
          </cell>
          <cell r="W22">
            <v>0.91666666666666663</v>
          </cell>
          <cell r="X22">
            <v>8.3333333333333259E-2</v>
          </cell>
          <cell r="Y22">
            <v>8.3333333330907977E-2</v>
          </cell>
          <cell r="AB22">
            <v>6</v>
          </cell>
          <cell r="AC22">
            <v>4</v>
          </cell>
          <cell r="AD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6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</row>
        <row r="23">
          <cell r="C23">
            <v>37712</v>
          </cell>
          <cell r="D23">
            <v>37783</v>
          </cell>
          <cell r="E23">
            <v>37777</v>
          </cell>
          <cell r="F23">
            <v>0.45624999999999999</v>
          </cell>
          <cell r="G23" t="str">
            <v>Perfiladora Dimeco Travesaños</v>
          </cell>
          <cell r="H23" t="str">
            <v>Disco de serra causa excesso de rebarbas no material</v>
          </cell>
          <cell r="I23" t="str">
            <v>Corretiva</v>
          </cell>
          <cell r="J23" t="str">
            <v>Sim</v>
          </cell>
          <cell r="K23" t="str">
            <v>Mecânica</v>
          </cell>
          <cell r="L23" t="str">
            <v>Substituição do(s) Componente(s)</v>
          </cell>
          <cell r="M23" t="str">
            <v>Desgaste / Fadiga</v>
          </cell>
          <cell r="N23">
            <v>37777</v>
          </cell>
          <cell r="O23">
            <v>0.45624999999999999</v>
          </cell>
          <cell r="P23">
            <v>37777</v>
          </cell>
          <cell r="Q23">
            <v>0.45624999999999999</v>
          </cell>
          <cell r="T23">
            <v>37777</v>
          </cell>
          <cell r="U23">
            <v>0.47083333333333338</v>
          </cell>
          <cell r="V23">
            <v>37777</v>
          </cell>
          <cell r="W23">
            <v>0.47083333333333338</v>
          </cell>
          <cell r="X23">
            <v>1.4583333333333393E-2</v>
          </cell>
          <cell r="Y23">
            <v>1.4583333332848281E-2</v>
          </cell>
          <cell r="AB23">
            <v>6</v>
          </cell>
          <cell r="AC23">
            <v>4</v>
          </cell>
          <cell r="AD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6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</row>
        <row r="24">
          <cell r="C24">
            <v>37712</v>
          </cell>
          <cell r="D24">
            <v>37810</v>
          </cell>
          <cell r="E24">
            <v>37778</v>
          </cell>
          <cell r="F24">
            <v>0.39583333333333331</v>
          </cell>
          <cell r="G24" t="str">
            <v>Perfiladora Dimeco Travesaños</v>
          </cell>
          <cell r="H24" t="str">
            <v>Mordente da serra está travando</v>
          </cell>
          <cell r="I24" t="str">
            <v>Corretiva</v>
          </cell>
          <cell r="J24" t="str">
            <v>Sim</v>
          </cell>
          <cell r="K24" t="str">
            <v>Elétrica</v>
          </cell>
          <cell r="L24" t="str">
            <v>Substituição do(s) Componente(s)</v>
          </cell>
          <cell r="M24" t="str">
            <v>Desgaste / Fadiga</v>
          </cell>
          <cell r="N24">
            <v>37778</v>
          </cell>
          <cell r="O24">
            <v>0.39583333333333331</v>
          </cell>
          <cell r="P24">
            <v>37778</v>
          </cell>
          <cell r="Q24">
            <v>0.39583333333333331</v>
          </cell>
          <cell r="T24">
            <v>37779</v>
          </cell>
          <cell r="U24">
            <v>0.52777777777777779</v>
          </cell>
          <cell r="V24">
            <v>37779</v>
          </cell>
          <cell r="W24">
            <v>0.52777777777777779</v>
          </cell>
          <cell r="X24">
            <v>1.1319444444444444</v>
          </cell>
          <cell r="Y24">
            <v>1.1319444444476783</v>
          </cell>
          <cell r="AB24">
            <v>6</v>
          </cell>
          <cell r="AC24">
            <v>4</v>
          </cell>
          <cell r="AD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6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</row>
        <row r="25">
          <cell r="C25">
            <v>37712</v>
          </cell>
          <cell r="D25">
            <v>37810</v>
          </cell>
          <cell r="E25">
            <v>37778</v>
          </cell>
          <cell r="F25">
            <v>0.39583333333333331</v>
          </cell>
          <cell r="G25" t="str">
            <v>Perfiladora Dimeco Travesaños</v>
          </cell>
          <cell r="H25" t="str">
            <v>Serrote da mordaça com problema</v>
          </cell>
          <cell r="I25" t="str">
            <v>Corretiva</v>
          </cell>
          <cell r="J25" t="str">
            <v>Sim</v>
          </cell>
          <cell r="K25" t="str">
            <v>Mecânica</v>
          </cell>
          <cell r="L25" t="str">
            <v>Regulagem no sistema Hidráulico e Elétrico</v>
          </cell>
          <cell r="M25" t="str">
            <v>Desgaste / Fadiga</v>
          </cell>
          <cell r="N25">
            <v>37778</v>
          </cell>
          <cell r="O25">
            <v>0.39583333333333331</v>
          </cell>
          <cell r="P25">
            <v>37778</v>
          </cell>
          <cell r="Q25">
            <v>0.39583333333333331</v>
          </cell>
          <cell r="T25">
            <v>37778</v>
          </cell>
          <cell r="U25">
            <v>0.47916666666666669</v>
          </cell>
          <cell r="V25">
            <v>37778</v>
          </cell>
          <cell r="W25">
            <v>0.47916666666666669</v>
          </cell>
          <cell r="X25">
            <v>8.333333333333337E-2</v>
          </cell>
          <cell r="Y25">
            <v>8.3333333330908033E-2</v>
          </cell>
          <cell r="AB25">
            <v>6</v>
          </cell>
          <cell r="AC25">
            <v>4</v>
          </cell>
          <cell r="AD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6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</row>
        <row r="26">
          <cell r="C26">
            <v>37712</v>
          </cell>
          <cell r="D26">
            <v>37721</v>
          </cell>
          <cell r="E26">
            <v>37720</v>
          </cell>
          <cell r="F26">
            <v>0.47916666666666669</v>
          </cell>
          <cell r="G26" t="str">
            <v>Perfiladora Dimeco Travesaños</v>
          </cell>
          <cell r="H26" t="str">
            <v>Problema no sistema hidráulico da Prensa Gijón</v>
          </cell>
          <cell r="I26" t="str">
            <v>Corretiva</v>
          </cell>
          <cell r="J26" t="str">
            <v>Sim</v>
          </cell>
          <cell r="K26" t="str">
            <v>Mecânica</v>
          </cell>
          <cell r="L26" t="str">
            <v>Regulagem do Sistema Hidráulico e ajustes na Máquina</v>
          </cell>
          <cell r="M26" t="str">
            <v>Desgaste / Fadiga</v>
          </cell>
          <cell r="N26">
            <v>37720</v>
          </cell>
          <cell r="O26">
            <v>0.47916666666666669</v>
          </cell>
          <cell r="P26">
            <v>37720</v>
          </cell>
          <cell r="Q26">
            <v>0.47916666666666669</v>
          </cell>
          <cell r="T26">
            <v>37720</v>
          </cell>
          <cell r="U26">
            <v>0.5</v>
          </cell>
          <cell r="V26">
            <v>37720</v>
          </cell>
          <cell r="W26">
            <v>0.5</v>
          </cell>
          <cell r="X26">
            <v>2.0833333333333315E-2</v>
          </cell>
          <cell r="Y26">
            <v>2.0833333333333315E-2</v>
          </cell>
          <cell r="AB26">
            <v>4</v>
          </cell>
          <cell r="AC26">
            <v>4</v>
          </cell>
          <cell r="AD26" t="str">
            <v>S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4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</row>
        <row r="27">
          <cell r="C27">
            <v>37718</v>
          </cell>
          <cell r="D27">
            <v>37858</v>
          </cell>
          <cell r="E27">
            <v>37806</v>
          </cell>
          <cell r="F27">
            <v>0.63888888888888895</v>
          </cell>
          <cell r="G27" t="str">
            <v>Células de Solda Manual</v>
          </cell>
          <cell r="H27" t="str">
            <v>A fresa de limpeza da tocha não está jogando óleo (anti-respingos)</v>
          </cell>
          <cell r="I27" t="str">
            <v>Corretiva</v>
          </cell>
          <cell r="J27" t="str">
            <v>Não</v>
          </cell>
          <cell r="K27" t="str">
            <v>Mecânica</v>
          </cell>
          <cell r="L27" t="str">
            <v>Limpeza do Equipamento / Componente</v>
          </cell>
          <cell r="M27" t="str">
            <v>Sujeira em excesso</v>
          </cell>
          <cell r="N27">
            <v>37844</v>
          </cell>
          <cell r="O27">
            <v>0.33333333333333331</v>
          </cell>
          <cell r="P27">
            <v>37844</v>
          </cell>
          <cell r="Q27">
            <v>0.33333333333333331</v>
          </cell>
          <cell r="T27">
            <v>37844</v>
          </cell>
          <cell r="U27">
            <v>0.375</v>
          </cell>
          <cell r="V27">
            <v>37844</v>
          </cell>
          <cell r="W27">
            <v>0.375</v>
          </cell>
          <cell r="X27">
            <v>4.1666666666666685E-2</v>
          </cell>
          <cell r="Y27">
            <v>4.1666666666666685E-2</v>
          </cell>
          <cell r="AB27">
            <v>8</v>
          </cell>
          <cell r="AC27">
            <v>4</v>
          </cell>
          <cell r="AD27">
            <v>0</v>
          </cell>
          <cell r="BF27">
            <v>0</v>
          </cell>
          <cell r="BG27">
            <v>8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</row>
        <row r="28">
          <cell r="C28">
            <v>37718</v>
          </cell>
          <cell r="D28">
            <v>37718</v>
          </cell>
          <cell r="E28">
            <v>37718</v>
          </cell>
          <cell r="F28">
            <v>0.62847222222222221</v>
          </cell>
          <cell r="G28" t="str">
            <v>Máquina de Solda MIG</v>
          </cell>
          <cell r="H28" t="str">
            <v>Plug incompatível com a tomada da linha da Solda Manual</v>
          </cell>
          <cell r="I28" t="str">
            <v>Corretiva</v>
          </cell>
          <cell r="J28" t="str">
            <v>Sim</v>
          </cell>
          <cell r="K28" t="str">
            <v>Elétrica</v>
          </cell>
          <cell r="L28" t="str">
            <v>Substituição do(s) Componente(s)</v>
          </cell>
          <cell r="M28" t="str">
            <v>Alteração na Localização da Máquina</v>
          </cell>
          <cell r="N28">
            <v>37718</v>
          </cell>
          <cell r="O28">
            <v>0.65625</v>
          </cell>
          <cell r="P28">
            <v>37718</v>
          </cell>
          <cell r="Q28">
            <v>0.65625</v>
          </cell>
          <cell r="T28">
            <v>37718</v>
          </cell>
          <cell r="U28">
            <v>0.66527777777777775</v>
          </cell>
          <cell r="V28">
            <v>37718</v>
          </cell>
          <cell r="W28">
            <v>0.66527777777777775</v>
          </cell>
          <cell r="X28">
            <v>9.0277777777777457E-3</v>
          </cell>
          <cell r="Y28">
            <v>9.0277777781011537E-3</v>
          </cell>
          <cell r="AB28">
            <v>4</v>
          </cell>
          <cell r="AC28">
            <v>4</v>
          </cell>
          <cell r="AD28" t="str">
            <v>S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4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</row>
        <row r="29">
          <cell r="C29">
            <v>37718</v>
          </cell>
          <cell r="D29">
            <v>37727</v>
          </cell>
          <cell r="E29">
            <v>37727</v>
          </cell>
          <cell r="F29">
            <v>0.5</v>
          </cell>
          <cell r="G29" t="str">
            <v>Células de Solda Manual</v>
          </cell>
          <cell r="H29" t="str">
            <v>A fresa de limpeza da tocha não está jogando óleo (anti-respingos)</v>
          </cell>
          <cell r="I29" t="str">
            <v>Corretiva</v>
          </cell>
          <cell r="J29" t="str">
            <v>Não</v>
          </cell>
          <cell r="K29" t="str">
            <v>Mecânica</v>
          </cell>
          <cell r="L29" t="str">
            <v>Limpeza do Equipamento / Componente</v>
          </cell>
          <cell r="M29" t="str">
            <v>Sujeira em excesso</v>
          </cell>
          <cell r="N29">
            <v>37727</v>
          </cell>
          <cell r="O29">
            <v>0.54166666666666663</v>
          </cell>
          <cell r="P29">
            <v>37727</v>
          </cell>
          <cell r="Q29">
            <v>0.54166666666666663</v>
          </cell>
          <cell r="T29">
            <v>37727</v>
          </cell>
          <cell r="U29">
            <v>0.5625</v>
          </cell>
          <cell r="V29">
            <v>37727</v>
          </cell>
          <cell r="W29">
            <v>0.5625</v>
          </cell>
          <cell r="X29">
            <v>2.083333333333337E-2</v>
          </cell>
          <cell r="Y29">
            <v>2.083333333333337E-2</v>
          </cell>
          <cell r="AB29">
            <v>4</v>
          </cell>
          <cell r="AC29">
            <v>4</v>
          </cell>
          <cell r="AD29" t="str">
            <v>N</v>
          </cell>
          <cell r="BF29">
            <v>0</v>
          </cell>
          <cell r="BG29">
            <v>4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</row>
        <row r="30">
          <cell r="C30">
            <v>37718</v>
          </cell>
          <cell r="D30">
            <v>37767</v>
          </cell>
          <cell r="E30">
            <v>37767</v>
          </cell>
          <cell r="F30">
            <v>0.46250000000000002</v>
          </cell>
          <cell r="G30" t="str">
            <v>Células de Solda Manual</v>
          </cell>
          <cell r="H30" t="str">
            <v>Mau contato no bocal da tocha</v>
          </cell>
          <cell r="I30" t="str">
            <v>Corretiva</v>
          </cell>
          <cell r="J30" t="str">
            <v>Não</v>
          </cell>
          <cell r="K30" t="str">
            <v>Mecânica</v>
          </cell>
          <cell r="L30" t="str">
            <v>Substituição do(s) Componente(s)</v>
          </cell>
          <cell r="M30" t="str">
            <v>Desgaste / Fadiga</v>
          </cell>
          <cell r="N30">
            <v>37767</v>
          </cell>
          <cell r="O30">
            <v>0.47222222222222227</v>
          </cell>
          <cell r="P30">
            <v>37767</v>
          </cell>
          <cell r="Q30">
            <v>0.47222222222222227</v>
          </cell>
          <cell r="T30">
            <v>37767</v>
          </cell>
          <cell r="U30">
            <v>0.5</v>
          </cell>
          <cell r="V30">
            <v>37767</v>
          </cell>
          <cell r="W30">
            <v>0.5</v>
          </cell>
          <cell r="X30">
            <v>2.7777777777777735E-2</v>
          </cell>
          <cell r="Y30">
            <v>2.7777777777777735E-2</v>
          </cell>
          <cell r="AB30">
            <v>5</v>
          </cell>
          <cell r="AC30">
            <v>4</v>
          </cell>
          <cell r="AD30">
            <v>0</v>
          </cell>
          <cell r="BF30">
            <v>0</v>
          </cell>
          <cell r="BG30">
            <v>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</row>
        <row r="31">
          <cell r="C31">
            <v>37718</v>
          </cell>
          <cell r="D31">
            <v>37735</v>
          </cell>
          <cell r="E31">
            <v>37734</v>
          </cell>
          <cell r="F31">
            <v>0.45833333333333331</v>
          </cell>
          <cell r="G31" t="str">
            <v>Células de Solda Manual</v>
          </cell>
          <cell r="H31" t="str">
            <v>Condutor elétrico (conduite) entupido</v>
          </cell>
          <cell r="I31" t="str">
            <v>Corretiva</v>
          </cell>
          <cell r="J31" t="str">
            <v>Sim</v>
          </cell>
          <cell r="K31" t="str">
            <v>Mecânica</v>
          </cell>
          <cell r="L31" t="str">
            <v>Substituição do(s) Componente(s)</v>
          </cell>
          <cell r="M31" t="str">
            <v>Desgaste / Fadiga</v>
          </cell>
          <cell r="N31">
            <v>37734</v>
          </cell>
          <cell r="O31">
            <v>0.45833333333333331</v>
          </cell>
          <cell r="P31">
            <v>37734</v>
          </cell>
          <cell r="Q31">
            <v>0.45833333333333331</v>
          </cell>
          <cell r="T31">
            <v>37734</v>
          </cell>
          <cell r="U31">
            <v>0.47916666666666669</v>
          </cell>
          <cell r="V31">
            <v>37734</v>
          </cell>
          <cell r="W31">
            <v>0.47916666666666669</v>
          </cell>
          <cell r="X31">
            <v>2.083333333333337E-2</v>
          </cell>
          <cell r="Y31">
            <v>2.0833333330908033E-2</v>
          </cell>
          <cell r="AB31">
            <v>4</v>
          </cell>
          <cell r="AC31">
            <v>4</v>
          </cell>
          <cell r="AD31" t="str">
            <v>S</v>
          </cell>
          <cell r="BF31">
            <v>0</v>
          </cell>
          <cell r="BG31">
            <v>4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</row>
        <row r="32">
          <cell r="C32">
            <v>37718</v>
          </cell>
          <cell r="D32">
            <v>37776</v>
          </cell>
          <cell r="E32">
            <v>37776</v>
          </cell>
          <cell r="F32">
            <v>0.40277777777777773</v>
          </cell>
          <cell r="G32" t="str">
            <v>Células de Solda Manual</v>
          </cell>
          <cell r="H32" t="str">
            <v>Bocal Danificado</v>
          </cell>
          <cell r="I32" t="str">
            <v>Corretiva</v>
          </cell>
          <cell r="J32" t="str">
            <v>Sim</v>
          </cell>
          <cell r="K32" t="str">
            <v>Mecânica</v>
          </cell>
          <cell r="L32" t="str">
            <v>Substituição do(s) Componente(s)</v>
          </cell>
          <cell r="M32" t="str">
            <v>Desgaste / Fadiga</v>
          </cell>
          <cell r="N32">
            <v>37776</v>
          </cell>
          <cell r="O32">
            <v>0.42708333333333331</v>
          </cell>
          <cell r="P32">
            <v>37776</v>
          </cell>
          <cell r="Q32">
            <v>0.42708333333333331</v>
          </cell>
          <cell r="T32">
            <v>37776</v>
          </cell>
          <cell r="U32">
            <v>0.4375</v>
          </cell>
          <cell r="V32">
            <v>37776</v>
          </cell>
          <cell r="W32">
            <v>0.4375</v>
          </cell>
          <cell r="X32">
            <v>1.0416666666666685E-2</v>
          </cell>
          <cell r="Y32">
            <v>1.0416666666666685E-2</v>
          </cell>
          <cell r="AB32">
            <v>6</v>
          </cell>
          <cell r="AC32">
            <v>4</v>
          </cell>
          <cell r="AD32">
            <v>0</v>
          </cell>
          <cell r="BF32">
            <v>0</v>
          </cell>
          <cell r="BG32">
            <v>6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</row>
        <row r="33">
          <cell r="C33">
            <v>37718</v>
          </cell>
          <cell r="D33">
            <v>37722</v>
          </cell>
          <cell r="E33">
            <v>37722</v>
          </cell>
          <cell r="F33">
            <v>0.41666666666666669</v>
          </cell>
          <cell r="G33" t="str">
            <v>Máquina de Solda MIG</v>
          </cell>
          <cell r="H33" t="str">
            <v>Plug incompatível com a tomada da linha da Solda Manual</v>
          </cell>
          <cell r="I33" t="str">
            <v>Corretiva</v>
          </cell>
          <cell r="J33" t="str">
            <v>Sim</v>
          </cell>
          <cell r="K33" t="str">
            <v>Elétrica</v>
          </cell>
          <cell r="L33" t="str">
            <v>Substituição do(s) Componente(s)</v>
          </cell>
          <cell r="M33" t="str">
            <v>Alteração na Localização da Máquina</v>
          </cell>
          <cell r="N33">
            <v>37722</v>
          </cell>
          <cell r="O33">
            <v>0.41666666666666669</v>
          </cell>
          <cell r="P33">
            <v>37722</v>
          </cell>
          <cell r="Q33">
            <v>0.41666666666666669</v>
          </cell>
          <cell r="T33">
            <v>37722</v>
          </cell>
          <cell r="U33">
            <v>0.42708333333333331</v>
          </cell>
          <cell r="V33">
            <v>37722</v>
          </cell>
          <cell r="W33">
            <v>0.42708333333333331</v>
          </cell>
          <cell r="X33">
            <v>1.041666666666663E-2</v>
          </cell>
          <cell r="Y33">
            <v>1.0416666669091967E-2</v>
          </cell>
          <cell r="AB33">
            <v>4</v>
          </cell>
          <cell r="AC33">
            <v>4</v>
          </cell>
          <cell r="AD33" t="str">
            <v>S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4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</row>
        <row r="34">
          <cell r="C34">
            <v>37718</v>
          </cell>
          <cell r="I34">
            <v>0</v>
          </cell>
          <cell r="N34">
            <v>0</v>
          </cell>
          <cell r="P34">
            <v>0</v>
          </cell>
          <cell r="T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B34">
            <v>0</v>
          </cell>
          <cell r="AC34">
            <v>4</v>
          </cell>
          <cell r="AD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</row>
        <row r="35">
          <cell r="C35">
            <v>37718</v>
          </cell>
          <cell r="D35">
            <v>37846</v>
          </cell>
          <cell r="E35">
            <v>37820</v>
          </cell>
          <cell r="F35">
            <v>0.61805555555555558</v>
          </cell>
          <cell r="G35" t="str">
            <v>Máquina de Solda MIG</v>
          </cell>
          <cell r="H35" t="str">
            <v>Cabo de alimentação com mau contato / Isolador Quebrado</v>
          </cell>
          <cell r="I35" t="str">
            <v>Corretiva</v>
          </cell>
          <cell r="J35" t="str">
            <v>Sim</v>
          </cell>
          <cell r="K35" t="str">
            <v>Elétrica</v>
          </cell>
          <cell r="L35" t="str">
            <v>Reparo</v>
          </cell>
          <cell r="M35" t="str">
            <v>Falha de Comando / Sistema</v>
          </cell>
          <cell r="N35">
            <v>37820</v>
          </cell>
          <cell r="O35">
            <v>0.625</v>
          </cell>
          <cell r="P35">
            <v>37820</v>
          </cell>
          <cell r="Q35">
            <v>0.625</v>
          </cell>
          <cell r="T35">
            <v>37820</v>
          </cell>
          <cell r="U35">
            <v>0.63541666666666663</v>
          </cell>
          <cell r="V35">
            <v>37820</v>
          </cell>
          <cell r="W35">
            <v>0.63541666666666663</v>
          </cell>
          <cell r="X35">
            <v>1.041666666666663E-2</v>
          </cell>
          <cell r="Y35">
            <v>1.0416666664241347E-2</v>
          </cell>
          <cell r="AB35">
            <v>7</v>
          </cell>
          <cell r="AC35">
            <v>4</v>
          </cell>
          <cell r="AD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7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</row>
        <row r="36">
          <cell r="C36">
            <v>37718</v>
          </cell>
          <cell r="D36">
            <v>37838</v>
          </cell>
          <cell r="E36">
            <v>37825</v>
          </cell>
          <cell r="F36">
            <v>0.45833333333333331</v>
          </cell>
          <cell r="G36" t="str">
            <v>Células de Solda Manual</v>
          </cell>
          <cell r="H36" t="str">
            <v>A fresa de limpeza da tocha não está jogando óleo (anti-respingos)</v>
          </cell>
          <cell r="I36" t="str">
            <v>Corretiva</v>
          </cell>
          <cell r="J36" t="str">
            <v>Não</v>
          </cell>
          <cell r="K36" t="str">
            <v>Mecânica</v>
          </cell>
          <cell r="L36" t="str">
            <v>Limpeza do Equipamento / Componente</v>
          </cell>
          <cell r="M36" t="str">
            <v>Sujeira em excesso</v>
          </cell>
          <cell r="N36">
            <v>37834</v>
          </cell>
          <cell r="O36">
            <v>0.33333333333333331</v>
          </cell>
          <cell r="P36">
            <v>37834</v>
          </cell>
          <cell r="Q36">
            <v>0.33333333333333331</v>
          </cell>
          <cell r="T36">
            <v>37834</v>
          </cell>
          <cell r="U36">
            <v>0.4375</v>
          </cell>
          <cell r="V36">
            <v>37834</v>
          </cell>
          <cell r="W36">
            <v>0.4375</v>
          </cell>
          <cell r="X36">
            <v>0.10416666666666669</v>
          </cell>
          <cell r="Y36">
            <v>0.10416666666666669</v>
          </cell>
          <cell r="AB36">
            <v>8</v>
          </cell>
          <cell r="AC36">
            <v>4</v>
          </cell>
          <cell r="AD36">
            <v>0</v>
          </cell>
          <cell r="BF36">
            <v>0</v>
          </cell>
          <cell r="BG36">
            <v>8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</row>
        <row r="37">
          <cell r="C37">
            <v>37718</v>
          </cell>
          <cell r="D37">
            <v>37719</v>
          </cell>
          <cell r="E37">
            <v>37719</v>
          </cell>
          <cell r="F37">
            <v>0.62152777777777779</v>
          </cell>
          <cell r="G37" t="str">
            <v>Linha de Pintura 8,5m</v>
          </cell>
          <cell r="H37" t="str">
            <v>Travamento na Corrente de Carga e Descarga</v>
          </cell>
          <cell r="I37" t="str">
            <v>Corretiva</v>
          </cell>
          <cell r="J37" t="str">
            <v>Sim</v>
          </cell>
          <cell r="K37" t="str">
            <v>Mecânica</v>
          </cell>
          <cell r="L37" t="str">
            <v>Reaperto dos componentes</v>
          </cell>
          <cell r="M37" t="str">
            <v>Vibração</v>
          </cell>
          <cell r="N37">
            <v>37719</v>
          </cell>
          <cell r="O37">
            <v>0.62152777777777779</v>
          </cell>
          <cell r="P37">
            <v>37719</v>
          </cell>
          <cell r="Q37">
            <v>0.62152777777777779</v>
          </cell>
          <cell r="T37">
            <v>37719</v>
          </cell>
          <cell r="U37">
            <v>0.68055555555555547</v>
          </cell>
          <cell r="V37">
            <v>37719</v>
          </cell>
          <cell r="W37">
            <v>0.68055555555555547</v>
          </cell>
          <cell r="X37">
            <v>5.9027777777777679E-2</v>
          </cell>
          <cell r="Y37">
            <v>5.9027777776969326E-2</v>
          </cell>
          <cell r="AB37">
            <v>4</v>
          </cell>
          <cell r="AC37">
            <v>4</v>
          </cell>
          <cell r="AD37" t="str">
            <v>S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4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</row>
        <row r="38">
          <cell r="C38">
            <v>37718</v>
          </cell>
          <cell r="D38">
            <v>37726</v>
          </cell>
          <cell r="E38">
            <v>37726</v>
          </cell>
          <cell r="F38">
            <v>0.34027777777777773</v>
          </cell>
          <cell r="G38" t="str">
            <v>Linha de Pintura 8,5m</v>
          </cell>
          <cell r="H38" t="str">
            <v>Máquina não liga</v>
          </cell>
          <cell r="I38" t="str">
            <v>Corretiva</v>
          </cell>
          <cell r="J38" t="str">
            <v>Sim</v>
          </cell>
          <cell r="K38" t="str">
            <v>Elétrica</v>
          </cell>
          <cell r="L38" t="str">
            <v>Substituição do(s) Componente(s)</v>
          </cell>
          <cell r="M38" t="str">
            <v>Sobrecarga</v>
          </cell>
          <cell r="N38">
            <v>37726</v>
          </cell>
          <cell r="O38">
            <v>0.34027777777777773</v>
          </cell>
          <cell r="P38">
            <v>37726</v>
          </cell>
          <cell r="Q38">
            <v>0.34027777777777773</v>
          </cell>
          <cell r="T38">
            <v>37726</v>
          </cell>
          <cell r="U38">
            <v>0.4375</v>
          </cell>
          <cell r="V38">
            <v>37726</v>
          </cell>
          <cell r="W38">
            <v>0.4375</v>
          </cell>
          <cell r="X38">
            <v>9.7222222222222265E-2</v>
          </cell>
          <cell r="Y38">
            <v>9.7222222222222265E-2</v>
          </cell>
          <cell r="AB38">
            <v>4</v>
          </cell>
          <cell r="AC38">
            <v>4</v>
          </cell>
          <cell r="AD38" t="str">
            <v>S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4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</row>
        <row r="39">
          <cell r="C39">
            <v>37718</v>
          </cell>
          <cell r="D39">
            <v>37736</v>
          </cell>
          <cell r="E39">
            <v>37735</v>
          </cell>
          <cell r="F39">
            <v>0.75</v>
          </cell>
          <cell r="G39" t="str">
            <v>Linha de Pintura 8,5m</v>
          </cell>
          <cell r="H39" t="str">
            <v>Transportador Catalunha (linha mais rápida) não funciona</v>
          </cell>
          <cell r="I39" t="str">
            <v>Corretiva</v>
          </cell>
          <cell r="J39" t="str">
            <v>Sim</v>
          </cell>
          <cell r="K39" t="str">
            <v>Mecânica</v>
          </cell>
          <cell r="L39" t="str">
            <v>Substituição do(s) Componente(s)</v>
          </cell>
          <cell r="M39" t="str">
            <v>Desgaste / Fadiga</v>
          </cell>
          <cell r="N39">
            <v>37735</v>
          </cell>
          <cell r="O39">
            <v>0.75</v>
          </cell>
          <cell r="P39">
            <v>37735</v>
          </cell>
          <cell r="Q39">
            <v>0.75</v>
          </cell>
          <cell r="T39">
            <v>37735</v>
          </cell>
          <cell r="U39">
            <v>0.8125</v>
          </cell>
          <cell r="V39">
            <v>37735</v>
          </cell>
          <cell r="W39">
            <v>0.8125</v>
          </cell>
          <cell r="X39">
            <v>6.25E-2</v>
          </cell>
          <cell r="Y39">
            <v>6.25E-2</v>
          </cell>
          <cell r="AB39">
            <v>4</v>
          </cell>
          <cell r="AC39">
            <v>4</v>
          </cell>
          <cell r="AD39" t="str">
            <v>S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4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</row>
        <row r="40">
          <cell r="C40">
            <v>37718</v>
          </cell>
          <cell r="D40">
            <v>37753</v>
          </cell>
          <cell r="E40">
            <v>37753</v>
          </cell>
          <cell r="F40">
            <v>0.52083333333333337</v>
          </cell>
          <cell r="G40" t="str">
            <v>Linha de Pintura 8,5m</v>
          </cell>
          <cell r="H40" t="str">
            <v>A porca que segura o pistão de entrada do secador está solta</v>
          </cell>
          <cell r="I40" t="str">
            <v>Corretiva</v>
          </cell>
          <cell r="J40" t="str">
            <v>Sim</v>
          </cell>
          <cell r="K40" t="str">
            <v>Mecânica</v>
          </cell>
          <cell r="L40" t="str">
            <v>Reparo</v>
          </cell>
          <cell r="M40" t="str">
            <v>Vibração</v>
          </cell>
          <cell r="N40">
            <v>37753</v>
          </cell>
          <cell r="O40">
            <v>0.52083333333333337</v>
          </cell>
          <cell r="P40">
            <v>37753</v>
          </cell>
          <cell r="Q40">
            <v>0.52083333333333337</v>
          </cell>
          <cell r="T40">
            <v>37753</v>
          </cell>
          <cell r="U40">
            <v>0.53125</v>
          </cell>
          <cell r="V40">
            <v>37753</v>
          </cell>
          <cell r="W40">
            <v>0.53125</v>
          </cell>
          <cell r="X40">
            <v>1.041666666666663E-2</v>
          </cell>
          <cell r="Y40">
            <v>1.041666666666663E-2</v>
          </cell>
          <cell r="AB40">
            <v>5</v>
          </cell>
          <cell r="AC40">
            <v>4</v>
          </cell>
          <cell r="AD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</row>
        <row r="41">
          <cell r="C41">
            <v>37718</v>
          </cell>
          <cell r="D41">
            <v>37746</v>
          </cell>
          <cell r="E41">
            <v>37741</v>
          </cell>
          <cell r="F41">
            <v>0.70833333333333337</v>
          </cell>
          <cell r="G41" t="str">
            <v>Linha de Pintura 8,5m</v>
          </cell>
          <cell r="H41" t="str">
            <v>Parô com o pino quebrado</v>
          </cell>
          <cell r="I41" t="str">
            <v>Corretiva</v>
          </cell>
          <cell r="J41" t="str">
            <v>Não</v>
          </cell>
          <cell r="K41" t="str">
            <v>Mecânica</v>
          </cell>
          <cell r="L41" t="str">
            <v>Ajuste / Regulagem</v>
          </cell>
          <cell r="M41" t="str">
            <v>Falha de Regulagem / Configuração / Dimensionamento</v>
          </cell>
          <cell r="N41">
            <v>37747</v>
          </cell>
          <cell r="O41">
            <v>0.53125</v>
          </cell>
          <cell r="P41">
            <v>37747</v>
          </cell>
          <cell r="Q41">
            <v>0.53125</v>
          </cell>
          <cell r="T41">
            <v>37747</v>
          </cell>
          <cell r="U41">
            <v>0.57291666666666663</v>
          </cell>
          <cell r="V41">
            <v>37747</v>
          </cell>
          <cell r="W41">
            <v>0.57291666666666663</v>
          </cell>
          <cell r="X41">
            <v>4.1666666664241347E-2</v>
          </cell>
          <cell r="Y41">
            <v>4.1666666664241347E-2</v>
          </cell>
          <cell r="AB41">
            <v>5</v>
          </cell>
          <cell r="AC41">
            <v>4</v>
          </cell>
          <cell r="AD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</row>
        <row r="42">
          <cell r="C42">
            <v>37718</v>
          </cell>
          <cell r="D42">
            <v>37740</v>
          </cell>
          <cell r="E42">
            <v>37739</v>
          </cell>
          <cell r="F42">
            <v>37739</v>
          </cell>
          <cell r="G42" t="str">
            <v>Linha de Pintura 8,5m</v>
          </cell>
          <cell r="H42" t="str">
            <v>Cabine de Pintura 8,5m</v>
          </cell>
          <cell r="I42" t="str">
            <v>EI32205801</v>
          </cell>
          <cell r="J42" t="str">
            <v>Sim</v>
          </cell>
          <cell r="K42" t="str">
            <v>Corretiva</v>
          </cell>
          <cell r="L42" t="str">
            <v>Sim</v>
          </cell>
          <cell r="M42" t="str">
            <v>Elétrica</v>
          </cell>
          <cell r="N42">
            <v>0</v>
          </cell>
          <cell r="P42">
            <v>0</v>
          </cell>
          <cell r="T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AB42">
            <v>0</v>
          </cell>
          <cell r="AC42">
            <v>4</v>
          </cell>
          <cell r="AD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1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</row>
        <row r="43">
          <cell r="C43">
            <v>37718</v>
          </cell>
          <cell r="D43">
            <v>37736</v>
          </cell>
          <cell r="E43">
            <v>37734</v>
          </cell>
          <cell r="F43">
            <v>0.33333333333333331</v>
          </cell>
          <cell r="G43" t="str">
            <v>Equipamentos diversos</v>
          </cell>
          <cell r="H43" t="str">
            <v>Máquina não traciona a fita</v>
          </cell>
          <cell r="I43" t="str">
            <v>Corretiva</v>
          </cell>
          <cell r="J43" t="str">
            <v>Sim</v>
          </cell>
          <cell r="K43" t="str">
            <v>Mecânica</v>
          </cell>
          <cell r="L43" t="str">
            <v>Ajuste / Regulagem</v>
          </cell>
          <cell r="M43" t="str">
            <v>Causa não especificada</v>
          </cell>
          <cell r="N43">
            <v>37734</v>
          </cell>
          <cell r="O43">
            <v>0.33333333333333331</v>
          </cell>
          <cell r="P43">
            <v>37734</v>
          </cell>
          <cell r="Q43">
            <v>0.33333333333333331</v>
          </cell>
          <cell r="T43">
            <v>37734</v>
          </cell>
          <cell r="U43">
            <v>0.45833333333333331</v>
          </cell>
          <cell r="V43">
            <v>37734</v>
          </cell>
          <cell r="W43">
            <v>0.45833333333333331</v>
          </cell>
          <cell r="X43">
            <v>0.125</v>
          </cell>
          <cell r="Y43">
            <v>0.12500000000242534</v>
          </cell>
          <cell r="AB43">
            <v>4</v>
          </cell>
          <cell r="AC43">
            <v>4</v>
          </cell>
          <cell r="AD43" t="str">
            <v>S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4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</row>
        <row r="44">
          <cell r="C44">
            <v>37718</v>
          </cell>
          <cell r="D44">
            <v>37733</v>
          </cell>
          <cell r="E44">
            <v>37728</v>
          </cell>
          <cell r="F44">
            <v>0.70833333333333337</v>
          </cell>
          <cell r="G44" t="str">
            <v>Linha de Pintura 8,5m</v>
          </cell>
          <cell r="H44" t="str">
            <v>Verificar o sistema de recuperação de pó</v>
          </cell>
          <cell r="I44" t="str">
            <v>Melhoria</v>
          </cell>
          <cell r="J44" t="str">
            <v>Não</v>
          </cell>
          <cell r="K44" t="str">
            <v>Mecânica</v>
          </cell>
          <cell r="L44" t="str">
            <v>Ajuste / Regulagem</v>
          </cell>
          <cell r="M44" t="str">
            <v>Melhoria Técnica</v>
          </cell>
          <cell r="N44">
            <v>37733</v>
          </cell>
          <cell r="O44">
            <v>0.45833333333333331</v>
          </cell>
          <cell r="P44">
            <v>37733</v>
          </cell>
          <cell r="Q44">
            <v>0.45833333333333331</v>
          </cell>
          <cell r="T44">
            <v>37733</v>
          </cell>
          <cell r="U44">
            <v>0.5</v>
          </cell>
          <cell r="V44">
            <v>37733</v>
          </cell>
          <cell r="W44">
            <v>0.5</v>
          </cell>
          <cell r="X44">
            <v>4.1666666666666685E-2</v>
          </cell>
          <cell r="Y44">
            <v>4.1666666666666685E-2</v>
          </cell>
          <cell r="AB44">
            <v>4</v>
          </cell>
          <cell r="AC44">
            <v>4</v>
          </cell>
          <cell r="AD44" t="str">
            <v>N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4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</row>
        <row r="45">
          <cell r="C45">
            <v>37718</v>
          </cell>
          <cell r="D45">
            <v>37722</v>
          </cell>
          <cell r="E45">
            <v>37722</v>
          </cell>
          <cell r="F45">
            <v>0.47916666666666669</v>
          </cell>
          <cell r="G45" t="str">
            <v>Linha de Pintura 8,5m</v>
          </cell>
          <cell r="H45" t="str">
            <v>Mau funcionamento no Painel de Controle de Pistola no. 05</v>
          </cell>
          <cell r="I45" t="str">
            <v>Corretiva</v>
          </cell>
          <cell r="J45" t="str">
            <v>Sim</v>
          </cell>
          <cell r="K45" t="str">
            <v>Elétrica</v>
          </cell>
          <cell r="L45" t="str">
            <v>Verificação dos terminais e soldas, e correção das falhas</v>
          </cell>
          <cell r="M45" t="str">
            <v>Mau contato</v>
          </cell>
          <cell r="N45">
            <v>37722</v>
          </cell>
          <cell r="O45">
            <v>0.47916666666666669</v>
          </cell>
          <cell r="P45">
            <v>37722</v>
          </cell>
          <cell r="Q45">
            <v>0.47916666666666669</v>
          </cell>
          <cell r="T45">
            <v>37722</v>
          </cell>
          <cell r="U45">
            <v>0.625</v>
          </cell>
          <cell r="V45">
            <v>37722</v>
          </cell>
          <cell r="W45">
            <v>0.625</v>
          </cell>
          <cell r="X45">
            <v>0.14583333333333331</v>
          </cell>
          <cell r="Y45">
            <v>0.14583333333333331</v>
          </cell>
          <cell r="AB45">
            <v>4</v>
          </cell>
          <cell r="AC45">
            <v>4</v>
          </cell>
          <cell r="AD45" t="str">
            <v>S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4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</row>
        <row r="46">
          <cell r="C46">
            <v>37718</v>
          </cell>
          <cell r="D46">
            <v>37721</v>
          </cell>
          <cell r="E46">
            <v>37720</v>
          </cell>
          <cell r="F46">
            <v>0.375</v>
          </cell>
          <cell r="G46" t="str">
            <v>Linha de Pintura 8,5m</v>
          </cell>
          <cell r="H46" t="str">
            <v>Elevador de Pintura no. 04 - Fusível Queimado</v>
          </cell>
          <cell r="I46" t="str">
            <v>Corretiva</v>
          </cell>
          <cell r="J46" t="str">
            <v>Sim</v>
          </cell>
          <cell r="K46" t="str">
            <v>Elétrica</v>
          </cell>
          <cell r="L46" t="str">
            <v>Substituição do(s) Componente(s)</v>
          </cell>
          <cell r="M46" t="str">
            <v>Travamento de Componente</v>
          </cell>
          <cell r="N46">
            <v>37720</v>
          </cell>
          <cell r="O46">
            <v>0.375</v>
          </cell>
          <cell r="P46">
            <v>37720</v>
          </cell>
          <cell r="Q46">
            <v>0.375</v>
          </cell>
          <cell r="T46">
            <v>37720</v>
          </cell>
          <cell r="U46">
            <v>0.38194444444444442</v>
          </cell>
          <cell r="V46">
            <v>37720</v>
          </cell>
          <cell r="W46">
            <v>0.38194444444444442</v>
          </cell>
          <cell r="X46">
            <v>6.9444444444444198E-3</v>
          </cell>
          <cell r="Y46">
            <v>6.9444444452528842E-3</v>
          </cell>
          <cell r="AB46">
            <v>4</v>
          </cell>
          <cell r="AC46">
            <v>4</v>
          </cell>
          <cell r="AD46" t="str">
            <v>S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4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</row>
        <row r="47">
          <cell r="C47">
            <v>37718</v>
          </cell>
          <cell r="D47">
            <v>37719</v>
          </cell>
          <cell r="E47">
            <v>37719</v>
          </cell>
          <cell r="F47">
            <v>0.625</v>
          </cell>
          <cell r="G47" t="str">
            <v>Perfiladora Gasparini</v>
          </cell>
          <cell r="H47" t="str">
            <v>Alarme</v>
          </cell>
          <cell r="I47" t="str">
            <v>Corretiva</v>
          </cell>
          <cell r="J47" t="str">
            <v>Sim</v>
          </cell>
          <cell r="K47" t="str">
            <v>Elétrica</v>
          </cell>
          <cell r="L47" t="str">
            <v>Verificação dos Relés e disjuntores de alimentação de comando</v>
          </cell>
          <cell r="M47" t="str">
            <v>Falha Operacional</v>
          </cell>
          <cell r="N47">
            <v>37719</v>
          </cell>
          <cell r="O47">
            <v>0.625</v>
          </cell>
          <cell r="P47">
            <v>37719</v>
          </cell>
          <cell r="Q47">
            <v>0.625</v>
          </cell>
          <cell r="T47">
            <v>37719</v>
          </cell>
          <cell r="U47">
            <v>0.69444444444444453</v>
          </cell>
          <cell r="V47">
            <v>37719</v>
          </cell>
          <cell r="W47">
            <v>0.69444444444444453</v>
          </cell>
          <cell r="X47">
            <v>6.9444444444444531E-2</v>
          </cell>
          <cell r="Y47">
            <v>6.9444444445252884E-2</v>
          </cell>
          <cell r="AB47">
            <v>4</v>
          </cell>
          <cell r="AC47">
            <v>4</v>
          </cell>
          <cell r="AD47" t="str">
            <v>S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4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</row>
        <row r="48">
          <cell r="C48">
            <v>37718</v>
          </cell>
          <cell r="D48">
            <v>37722</v>
          </cell>
          <cell r="E48">
            <v>37722</v>
          </cell>
          <cell r="F48">
            <v>0.58333333333333337</v>
          </cell>
          <cell r="G48" t="str">
            <v>Perfiladora Gasparini</v>
          </cell>
          <cell r="H48" t="str">
            <v>Reparar Cerâmica - Máquina de Solda</v>
          </cell>
          <cell r="I48" t="str">
            <v>Corretiva</v>
          </cell>
          <cell r="J48" t="str">
            <v>Não</v>
          </cell>
          <cell r="K48" t="str">
            <v>Mecânica</v>
          </cell>
          <cell r="L48" t="str">
            <v>Substituição do(s) Componente(s)</v>
          </cell>
          <cell r="M48" t="str">
            <v>Falha Operacional</v>
          </cell>
          <cell r="N48">
            <v>37720</v>
          </cell>
          <cell r="O48">
            <v>0.58333333333333337</v>
          </cell>
          <cell r="P48">
            <v>37720</v>
          </cell>
          <cell r="Q48">
            <v>0.58333333333333337</v>
          </cell>
          <cell r="R48">
            <v>37725</v>
          </cell>
          <cell r="S48">
            <v>0.625</v>
          </cell>
          <cell r="T48">
            <v>37725</v>
          </cell>
          <cell r="U48">
            <v>0.63888888888888895</v>
          </cell>
          <cell r="V48">
            <v>0</v>
          </cell>
          <cell r="W48">
            <v>1.3888888888888951E-2</v>
          </cell>
          <cell r="X48">
            <v>1.3888888888888951E-2</v>
          </cell>
          <cell r="Y48">
            <v>1.3888888888888951E-2</v>
          </cell>
          <cell r="AB48">
            <v>4</v>
          </cell>
          <cell r="AC48">
            <v>4</v>
          </cell>
          <cell r="AD48" t="str">
            <v>N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4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</row>
        <row r="49">
          <cell r="C49">
            <v>37718</v>
          </cell>
          <cell r="D49">
            <v>37775</v>
          </cell>
          <cell r="E49">
            <v>37770</v>
          </cell>
          <cell r="F49">
            <v>0.45833333333333331</v>
          </cell>
          <cell r="G49" t="str">
            <v>Perfiladora Gasparini</v>
          </cell>
          <cell r="H49" t="str">
            <v>Reparar mesa de coleta do perfil</v>
          </cell>
          <cell r="I49" t="str">
            <v>Corretiva</v>
          </cell>
          <cell r="J49" t="str">
            <v>Sim</v>
          </cell>
          <cell r="K49" t="str">
            <v>Mecânica</v>
          </cell>
          <cell r="L49" t="str">
            <v>Ajuste / Regulagem</v>
          </cell>
          <cell r="M49" t="str">
            <v>Desgaste / Fadiga</v>
          </cell>
          <cell r="N49">
            <v>37770</v>
          </cell>
          <cell r="O49">
            <v>0.45833333333333331</v>
          </cell>
          <cell r="P49">
            <v>37770</v>
          </cell>
          <cell r="Q49">
            <v>0.45833333333333331</v>
          </cell>
          <cell r="T49">
            <v>37770</v>
          </cell>
          <cell r="U49">
            <v>0.47916666666666669</v>
          </cell>
          <cell r="V49">
            <v>37770</v>
          </cell>
          <cell r="W49">
            <v>0.47916666666666669</v>
          </cell>
          <cell r="X49">
            <v>2.083333333333337E-2</v>
          </cell>
          <cell r="Y49">
            <v>2.0833333330908033E-2</v>
          </cell>
          <cell r="AB49">
            <v>5</v>
          </cell>
          <cell r="AC49">
            <v>4</v>
          </cell>
          <cell r="AD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5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</row>
        <row r="50">
          <cell r="C50">
            <v>37718</v>
          </cell>
          <cell r="D50">
            <v>37775</v>
          </cell>
          <cell r="E50">
            <v>37770</v>
          </cell>
          <cell r="F50">
            <v>0.39583333333333331</v>
          </cell>
          <cell r="G50" t="str">
            <v>Perfiladora Gasparini</v>
          </cell>
          <cell r="H50" t="str">
            <v>Vazamento de óleo da prensa</v>
          </cell>
          <cell r="I50" t="str">
            <v>Corretiva</v>
          </cell>
          <cell r="J50" t="str">
            <v>Sim</v>
          </cell>
          <cell r="K50" t="str">
            <v>Mecânica</v>
          </cell>
          <cell r="L50" t="str">
            <v>Contenção do vazamento</v>
          </cell>
          <cell r="M50" t="str">
            <v>Defeito de Fabricação</v>
          </cell>
          <cell r="N50">
            <v>37770</v>
          </cell>
          <cell r="O50">
            <v>0.39583333333333331</v>
          </cell>
          <cell r="P50">
            <v>37770</v>
          </cell>
          <cell r="Q50">
            <v>0.39583333333333331</v>
          </cell>
          <cell r="T50">
            <v>37770</v>
          </cell>
          <cell r="U50">
            <v>0.57986111111111105</v>
          </cell>
          <cell r="V50">
            <v>37770</v>
          </cell>
          <cell r="W50">
            <v>0.57986111111111105</v>
          </cell>
          <cell r="X50">
            <v>0.18402777777777773</v>
          </cell>
          <cell r="Y50">
            <v>0.18402777777616092</v>
          </cell>
          <cell r="AB50">
            <v>5</v>
          </cell>
          <cell r="AC50">
            <v>4</v>
          </cell>
          <cell r="AD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5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</row>
        <row r="51">
          <cell r="C51">
            <v>37718</v>
          </cell>
          <cell r="D51">
            <v>37775</v>
          </cell>
          <cell r="E51">
            <v>37769</v>
          </cell>
          <cell r="F51">
            <v>0.61458333333333337</v>
          </cell>
          <cell r="G51" t="str">
            <v>Perfiladora Gasparini</v>
          </cell>
          <cell r="H51" t="str">
            <v>Substituir cerâmica da Máquina de Solda</v>
          </cell>
          <cell r="I51" t="str">
            <v>Corretiva</v>
          </cell>
          <cell r="J51" t="str">
            <v>Sim</v>
          </cell>
          <cell r="K51" t="str">
            <v>Mecânica</v>
          </cell>
          <cell r="L51" t="str">
            <v>Substituição do(s) Componente(s)</v>
          </cell>
          <cell r="M51" t="str">
            <v>Causa não especificada</v>
          </cell>
          <cell r="N51">
            <v>37769</v>
          </cell>
          <cell r="O51">
            <v>0.61458333333333337</v>
          </cell>
          <cell r="P51">
            <v>37769</v>
          </cell>
          <cell r="Q51">
            <v>0.61458333333333337</v>
          </cell>
          <cell r="T51">
            <v>37769</v>
          </cell>
          <cell r="U51">
            <v>0.625</v>
          </cell>
          <cell r="V51">
            <v>37769</v>
          </cell>
          <cell r="W51">
            <v>0.625</v>
          </cell>
          <cell r="X51">
            <v>1.041666666666663E-2</v>
          </cell>
          <cell r="Y51">
            <v>1.041666666666663E-2</v>
          </cell>
          <cell r="AB51">
            <v>5</v>
          </cell>
          <cell r="AC51">
            <v>4</v>
          </cell>
          <cell r="AD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5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</row>
        <row r="52">
          <cell r="C52">
            <v>37718</v>
          </cell>
          <cell r="D52">
            <v>37831</v>
          </cell>
          <cell r="E52" t="str">
            <v>Márcio</v>
          </cell>
          <cell r="I52">
            <v>0</v>
          </cell>
          <cell r="M52" t="str">
            <v>OS Cancelada</v>
          </cell>
          <cell r="N52">
            <v>0</v>
          </cell>
          <cell r="O52" t="str">
            <v>OS Cancelada</v>
          </cell>
          <cell r="P52">
            <v>0</v>
          </cell>
          <cell r="T52">
            <v>37831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AB52">
            <v>7</v>
          </cell>
          <cell r="AC52">
            <v>4</v>
          </cell>
          <cell r="AD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</row>
        <row r="53">
          <cell r="C53">
            <v>37718</v>
          </cell>
          <cell r="D53">
            <v>37831</v>
          </cell>
          <cell r="E53" t="str">
            <v>Márcio</v>
          </cell>
          <cell r="I53">
            <v>0</v>
          </cell>
          <cell r="M53" t="str">
            <v>OS Cancelada</v>
          </cell>
          <cell r="N53">
            <v>0</v>
          </cell>
          <cell r="O53" t="str">
            <v>OS Cancelada</v>
          </cell>
          <cell r="P53">
            <v>0</v>
          </cell>
          <cell r="T53">
            <v>37831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AB53">
            <v>7</v>
          </cell>
          <cell r="AC53">
            <v>4</v>
          </cell>
          <cell r="AD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</row>
        <row r="54">
          <cell r="C54">
            <v>37718</v>
          </cell>
          <cell r="D54">
            <v>37831</v>
          </cell>
          <cell r="E54" t="str">
            <v>Márcio</v>
          </cell>
          <cell r="I54">
            <v>0</v>
          </cell>
          <cell r="M54" t="str">
            <v>OS Cancelada</v>
          </cell>
          <cell r="N54">
            <v>0</v>
          </cell>
          <cell r="O54" t="str">
            <v>OS Cancelada</v>
          </cell>
          <cell r="P54">
            <v>0</v>
          </cell>
          <cell r="T54">
            <v>37831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AB54">
            <v>7</v>
          </cell>
          <cell r="AC54">
            <v>4</v>
          </cell>
          <cell r="AD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</row>
        <row r="55">
          <cell r="C55">
            <v>37718</v>
          </cell>
          <cell r="D55">
            <v>37785</v>
          </cell>
          <cell r="E55">
            <v>37774</v>
          </cell>
          <cell r="F55">
            <v>0.375</v>
          </cell>
          <cell r="G55" t="str">
            <v>Perfiladora Gasparini</v>
          </cell>
          <cell r="H55" t="str">
            <v>Esteira não funciona (evacuação Viruta)</v>
          </cell>
          <cell r="I55" t="str">
            <v>Corretiva</v>
          </cell>
          <cell r="J55" t="str">
            <v>Sim</v>
          </cell>
          <cell r="K55" t="str">
            <v>Mecânica</v>
          </cell>
          <cell r="L55" t="str">
            <v>Limpeza do Equipamento / Componente</v>
          </cell>
          <cell r="M55" t="str">
            <v>Sujeira em excesso</v>
          </cell>
          <cell r="N55">
            <v>37774</v>
          </cell>
          <cell r="O55">
            <v>0.375</v>
          </cell>
          <cell r="P55">
            <v>37774</v>
          </cell>
          <cell r="Q55">
            <v>0.375</v>
          </cell>
          <cell r="T55">
            <v>37774</v>
          </cell>
          <cell r="U55">
            <v>0.39930555555555558</v>
          </cell>
          <cell r="V55">
            <v>37774</v>
          </cell>
          <cell r="W55">
            <v>0.39930555555555558</v>
          </cell>
          <cell r="X55">
            <v>2.430555555555558E-2</v>
          </cell>
          <cell r="Y55">
            <v>2.4305555554747116E-2</v>
          </cell>
          <cell r="AB55">
            <v>6</v>
          </cell>
          <cell r="AC55">
            <v>4</v>
          </cell>
          <cell r="AD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6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</row>
        <row r="56">
          <cell r="C56">
            <v>37718</v>
          </cell>
          <cell r="D56">
            <v>37785</v>
          </cell>
          <cell r="E56">
            <v>37774</v>
          </cell>
          <cell r="F56">
            <v>0.6875</v>
          </cell>
          <cell r="G56" t="str">
            <v>Perfiladora Gasparini</v>
          </cell>
          <cell r="H56" t="str">
            <v>Esteira danificada (evacuação Viruta)</v>
          </cell>
          <cell r="I56" t="str">
            <v>Corretiva</v>
          </cell>
          <cell r="J56" t="str">
            <v>Sim</v>
          </cell>
          <cell r="K56" t="str">
            <v>Elétrica</v>
          </cell>
          <cell r="L56" t="str">
            <v>Regulagem do comando da máquina</v>
          </cell>
          <cell r="M56" t="str">
            <v>Falha de Comando / Sistema</v>
          </cell>
          <cell r="N56">
            <v>37774</v>
          </cell>
          <cell r="O56">
            <v>0.6875</v>
          </cell>
          <cell r="P56">
            <v>37774</v>
          </cell>
          <cell r="Q56">
            <v>0.6875</v>
          </cell>
          <cell r="T56">
            <v>37774</v>
          </cell>
          <cell r="U56">
            <v>0.74305555555555547</v>
          </cell>
          <cell r="V56">
            <v>37774</v>
          </cell>
          <cell r="W56">
            <v>0.74305555555555547</v>
          </cell>
          <cell r="X56">
            <v>5.5555555555555469E-2</v>
          </cell>
          <cell r="Y56">
            <v>5.5555555554747116E-2</v>
          </cell>
          <cell r="AB56">
            <v>6</v>
          </cell>
          <cell r="AC56">
            <v>4</v>
          </cell>
          <cell r="AD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6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</row>
        <row r="57">
          <cell r="C57">
            <v>37718</v>
          </cell>
          <cell r="D57">
            <v>37727</v>
          </cell>
          <cell r="E57">
            <v>37725</v>
          </cell>
          <cell r="F57">
            <v>0.66666666666666663</v>
          </cell>
          <cell r="G57" t="str">
            <v>Linha de Pintura 3,2m</v>
          </cell>
          <cell r="H57" t="str">
            <v>Necessidade de melhoria quanto à regulagem de ar para a máquina de embalar e para o Revólver</v>
          </cell>
          <cell r="I57" t="str">
            <v>Melhoria</v>
          </cell>
          <cell r="J57" t="str">
            <v>Não</v>
          </cell>
          <cell r="K57" t="str">
            <v>Mecânica</v>
          </cell>
          <cell r="L57" t="str">
            <v>Foi instalada uma conexão tipo "T", de forma que apenas o revólver possua regulagem</v>
          </cell>
          <cell r="M57" t="str">
            <v>Melhoria Técnica</v>
          </cell>
          <cell r="N57">
            <v>37726</v>
          </cell>
          <cell r="O57">
            <v>0.53472222222222221</v>
          </cell>
          <cell r="P57">
            <v>37726</v>
          </cell>
          <cell r="Q57">
            <v>0.53472222222222221</v>
          </cell>
          <cell r="T57">
            <v>37726</v>
          </cell>
          <cell r="U57">
            <v>0.55555555555555558</v>
          </cell>
          <cell r="V57">
            <v>37726</v>
          </cell>
          <cell r="W57">
            <v>0.55555555555555558</v>
          </cell>
          <cell r="X57">
            <v>2.0833333332524906E-2</v>
          </cell>
          <cell r="Y57">
            <v>2.0833333332524906E-2</v>
          </cell>
          <cell r="AB57">
            <v>4</v>
          </cell>
          <cell r="AC57">
            <v>4</v>
          </cell>
          <cell r="AD57" t="str">
            <v>N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4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</row>
        <row r="58">
          <cell r="C58">
            <v>37718</v>
          </cell>
          <cell r="I58">
            <v>0</v>
          </cell>
          <cell r="N58">
            <v>0</v>
          </cell>
          <cell r="P58">
            <v>0</v>
          </cell>
          <cell r="T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AB58">
            <v>0</v>
          </cell>
          <cell r="AC58">
            <v>4</v>
          </cell>
          <cell r="AD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</row>
        <row r="59">
          <cell r="C59">
            <v>37718</v>
          </cell>
          <cell r="D59">
            <v>37746</v>
          </cell>
          <cell r="E59">
            <v>37741</v>
          </cell>
          <cell r="F59">
            <v>0.71527777777777779</v>
          </cell>
          <cell r="G59" t="str">
            <v>Linha de Pintura 3,2m</v>
          </cell>
          <cell r="H59" t="str">
            <v>Mau posicionamento das pistolas da cabine 02. Necessidade de mudança de posicionamento</v>
          </cell>
          <cell r="I59" t="str">
            <v>Melhoria</v>
          </cell>
          <cell r="J59" t="str">
            <v>Não</v>
          </cell>
          <cell r="K59" t="str">
            <v>Mecânica</v>
          </cell>
          <cell r="L59" t="str">
            <v>Mudança e fixação das pistolas e suporte do lado oposto da cabine</v>
          </cell>
          <cell r="M59" t="str">
            <v>Melhoria Técnica</v>
          </cell>
          <cell r="N59">
            <v>37743</v>
          </cell>
          <cell r="O59">
            <v>0.33333333333333331</v>
          </cell>
          <cell r="P59">
            <v>37743</v>
          </cell>
          <cell r="Q59">
            <v>0.33333333333333331</v>
          </cell>
          <cell r="T59">
            <v>37743</v>
          </cell>
          <cell r="U59">
            <v>0.70833333333333337</v>
          </cell>
          <cell r="V59">
            <v>37743</v>
          </cell>
          <cell r="W59">
            <v>0.70833333333333337</v>
          </cell>
          <cell r="X59">
            <v>0.37500000000242534</v>
          </cell>
          <cell r="Y59">
            <v>0.37500000000242534</v>
          </cell>
          <cell r="AB59">
            <v>5</v>
          </cell>
          <cell r="AC59">
            <v>4</v>
          </cell>
          <cell r="AD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5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</row>
        <row r="60">
          <cell r="C60">
            <v>37718</v>
          </cell>
          <cell r="D60">
            <v>37756</v>
          </cell>
          <cell r="E60">
            <v>37746</v>
          </cell>
          <cell r="F60">
            <v>0.52083333333333337</v>
          </cell>
          <cell r="G60" t="str">
            <v>Linha de Pintura 15m</v>
          </cell>
          <cell r="H60" t="str">
            <v>Anomalias no elevador 02 e na pistola 10</v>
          </cell>
          <cell r="I60" t="str">
            <v>Corretiva</v>
          </cell>
          <cell r="J60" t="str">
            <v>Sim</v>
          </cell>
          <cell r="K60" t="str">
            <v>Elétrica</v>
          </cell>
          <cell r="L60" t="str">
            <v>Substituição do(s) Componente(s)</v>
          </cell>
          <cell r="M60" t="str">
            <v>Falha de Comando / Sistema</v>
          </cell>
          <cell r="N60">
            <v>37747</v>
          </cell>
          <cell r="O60">
            <v>0.58333333333333337</v>
          </cell>
          <cell r="P60">
            <v>37747</v>
          </cell>
          <cell r="Q60">
            <v>0.58333333333333337</v>
          </cell>
          <cell r="T60">
            <v>37747</v>
          </cell>
          <cell r="U60">
            <v>0.67708333333333337</v>
          </cell>
          <cell r="V60">
            <v>37747</v>
          </cell>
          <cell r="W60">
            <v>0.67708333333333337</v>
          </cell>
          <cell r="X60">
            <v>9.375E-2</v>
          </cell>
          <cell r="Y60">
            <v>9.3750000002425282E-2</v>
          </cell>
          <cell r="AB60">
            <v>5</v>
          </cell>
          <cell r="AC60">
            <v>4</v>
          </cell>
          <cell r="AD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5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</row>
        <row r="61">
          <cell r="C61">
            <v>37718</v>
          </cell>
          <cell r="D61">
            <v>37747</v>
          </cell>
          <cell r="E61">
            <v>37747</v>
          </cell>
          <cell r="F61">
            <v>0.4375</v>
          </cell>
          <cell r="G61" t="str">
            <v>Linha de Pintura 3,2m</v>
          </cell>
          <cell r="H61" t="str">
            <v>A alça da tampa do tanque de fosfato quebrou-se</v>
          </cell>
          <cell r="I61" t="str">
            <v>Corretiva</v>
          </cell>
          <cell r="J61" t="str">
            <v>Não</v>
          </cell>
          <cell r="K61" t="str">
            <v>Mecânica</v>
          </cell>
          <cell r="L61" t="str">
            <v>Refeita nova alça de metal, mais resistente ao calor que a anterior</v>
          </cell>
          <cell r="M61" t="str">
            <v>Defeito de Fabricação</v>
          </cell>
          <cell r="N61">
            <v>37747</v>
          </cell>
          <cell r="O61">
            <v>0.4375</v>
          </cell>
          <cell r="P61">
            <v>37747</v>
          </cell>
          <cell r="Q61">
            <v>0.4375</v>
          </cell>
          <cell r="R61">
            <v>37763</v>
          </cell>
          <cell r="S61">
            <v>0.60416666666666663</v>
          </cell>
          <cell r="T61">
            <v>37763</v>
          </cell>
          <cell r="U61">
            <v>0.66666666666666663</v>
          </cell>
          <cell r="V61">
            <v>0</v>
          </cell>
          <cell r="W61">
            <v>6.25E-2</v>
          </cell>
          <cell r="X61">
            <v>6.25E-2</v>
          </cell>
          <cell r="Y61">
            <v>6.25E-2</v>
          </cell>
          <cell r="AB61">
            <v>5</v>
          </cell>
          <cell r="AC61">
            <v>4</v>
          </cell>
          <cell r="AD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5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</row>
        <row r="62">
          <cell r="C62">
            <v>37718</v>
          </cell>
          <cell r="D62">
            <v>37900</v>
          </cell>
          <cell r="E62">
            <v>37875</v>
          </cell>
          <cell r="F62">
            <v>0.5</v>
          </cell>
          <cell r="G62" t="str">
            <v>Linha de Pintura 3,2m</v>
          </cell>
          <cell r="H62" t="str">
            <v>Revólver de Retoque (Líquido) entupido</v>
          </cell>
          <cell r="I62" t="str">
            <v>Corretiva</v>
          </cell>
          <cell r="J62" t="str">
            <v>Não</v>
          </cell>
          <cell r="K62" t="str">
            <v>Mecânica</v>
          </cell>
          <cell r="L62" t="str">
            <v>Limpeza e troca do Kit de Reparo</v>
          </cell>
          <cell r="M62" t="str">
            <v>Desgaste / Fadiga</v>
          </cell>
          <cell r="N62">
            <v>37887</v>
          </cell>
          <cell r="O62">
            <v>0.375</v>
          </cell>
          <cell r="P62">
            <v>37887</v>
          </cell>
          <cell r="Q62">
            <v>0.375</v>
          </cell>
          <cell r="T62">
            <v>37887</v>
          </cell>
          <cell r="U62">
            <v>0.625</v>
          </cell>
          <cell r="V62">
            <v>37887</v>
          </cell>
          <cell r="W62">
            <v>0.625</v>
          </cell>
          <cell r="X62">
            <v>0.25</v>
          </cell>
          <cell r="Y62">
            <v>0.25</v>
          </cell>
          <cell r="AB62">
            <v>9</v>
          </cell>
          <cell r="AC62">
            <v>4</v>
          </cell>
          <cell r="AD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9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</row>
        <row r="63">
          <cell r="C63">
            <v>37718</v>
          </cell>
          <cell r="D63">
            <v>37902</v>
          </cell>
          <cell r="E63">
            <v>37890</v>
          </cell>
          <cell r="F63">
            <v>0.41666666666666669</v>
          </cell>
          <cell r="G63" t="str">
            <v>Linha de Pintura 3,2m</v>
          </cell>
          <cell r="H63" t="str">
            <v>A alça da tampa do tanque de enxague quebrou-se</v>
          </cell>
          <cell r="I63" t="str">
            <v>Corretiva</v>
          </cell>
          <cell r="J63" t="str">
            <v>Não</v>
          </cell>
          <cell r="K63" t="str">
            <v>Mecânica</v>
          </cell>
          <cell r="L63" t="str">
            <v>Substituição do(s) Componente(s)</v>
          </cell>
          <cell r="M63" t="str">
            <v>Falha de Projeto</v>
          </cell>
          <cell r="N63">
            <v>37897</v>
          </cell>
          <cell r="O63">
            <v>0.47916666666666669</v>
          </cell>
          <cell r="P63">
            <v>37897</v>
          </cell>
          <cell r="Q63">
            <v>0.47916666666666669</v>
          </cell>
          <cell r="T63">
            <v>37897</v>
          </cell>
          <cell r="U63">
            <v>0.625</v>
          </cell>
          <cell r="V63">
            <v>37897</v>
          </cell>
          <cell r="W63">
            <v>0.625</v>
          </cell>
          <cell r="X63">
            <v>0.14583333333333331</v>
          </cell>
          <cell r="Y63">
            <v>0.14583333333333331</v>
          </cell>
          <cell r="AB63">
            <v>10</v>
          </cell>
          <cell r="AC63">
            <v>4</v>
          </cell>
          <cell r="AD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10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</row>
        <row r="64">
          <cell r="C64">
            <v>37718</v>
          </cell>
          <cell r="D64">
            <v>37902</v>
          </cell>
          <cell r="E64">
            <v>37890</v>
          </cell>
          <cell r="F64">
            <v>0.27083333333333331</v>
          </cell>
          <cell r="G64" t="str">
            <v>Linha de Pintura 3,2m</v>
          </cell>
          <cell r="H64" t="str">
            <v>Queimador do tanque de fosfato não funciona</v>
          </cell>
          <cell r="I64" t="str">
            <v>Corretiva</v>
          </cell>
          <cell r="J64" t="str">
            <v>Sim</v>
          </cell>
          <cell r="K64" t="str">
            <v>Elétrica</v>
          </cell>
          <cell r="L64" t="str">
            <v>Reparo</v>
          </cell>
          <cell r="M64" t="str">
            <v>Desgaste / Fadiga</v>
          </cell>
          <cell r="N64">
            <v>37890</v>
          </cell>
          <cell r="O64">
            <v>0.33333333333333331</v>
          </cell>
          <cell r="P64">
            <v>37890</v>
          </cell>
          <cell r="Q64">
            <v>0.33333333333333331</v>
          </cell>
          <cell r="T64">
            <v>37890</v>
          </cell>
          <cell r="U64">
            <v>0.52777777777777779</v>
          </cell>
          <cell r="V64">
            <v>37890</v>
          </cell>
          <cell r="W64">
            <v>0.52777777777777779</v>
          </cell>
          <cell r="X64">
            <v>0.19444444444444448</v>
          </cell>
          <cell r="Y64">
            <v>0.19444444444767822</v>
          </cell>
          <cell r="AB64">
            <v>9</v>
          </cell>
          <cell r="AC64">
            <v>4</v>
          </cell>
          <cell r="AD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9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</row>
        <row r="65">
          <cell r="C65">
            <v>37718</v>
          </cell>
          <cell r="D65">
            <v>37902</v>
          </cell>
          <cell r="E65">
            <v>37894</v>
          </cell>
          <cell r="F65">
            <v>0.41666666666666669</v>
          </cell>
          <cell r="G65" t="str">
            <v>Linha de Pintura 3,2m</v>
          </cell>
          <cell r="H65" t="str">
            <v>Vazamento no solenóide do fosfato</v>
          </cell>
          <cell r="I65" t="str">
            <v>Corretiva</v>
          </cell>
          <cell r="J65" t="str">
            <v>Não</v>
          </cell>
          <cell r="K65" t="str">
            <v>Elétrica</v>
          </cell>
          <cell r="L65" t="str">
            <v>Contenção do vazamento</v>
          </cell>
          <cell r="M65" t="str">
            <v>Falha de Montagem / Preparação</v>
          </cell>
          <cell r="N65">
            <v>37897</v>
          </cell>
          <cell r="O65">
            <v>0.375</v>
          </cell>
          <cell r="P65">
            <v>37897</v>
          </cell>
          <cell r="Q65">
            <v>0.375</v>
          </cell>
          <cell r="T65">
            <v>37897</v>
          </cell>
          <cell r="U65">
            <v>0.47916666666666669</v>
          </cell>
          <cell r="V65">
            <v>37897</v>
          </cell>
          <cell r="W65">
            <v>0.47916666666666669</v>
          </cell>
          <cell r="X65">
            <v>0.10416666666424135</v>
          </cell>
          <cell r="Y65">
            <v>0.10416666666424135</v>
          </cell>
          <cell r="AB65">
            <v>10</v>
          </cell>
          <cell r="AC65">
            <v>4</v>
          </cell>
          <cell r="AD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10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</row>
        <row r="66">
          <cell r="C66">
            <v>37718</v>
          </cell>
          <cell r="D66">
            <v>37970</v>
          </cell>
          <cell r="E66">
            <v>37923</v>
          </cell>
          <cell r="F66">
            <v>37923</v>
          </cell>
          <cell r="G66">
            <v>0.65625</v>
          </cell>
          <cell r="H66" t="str">
            <v>Braço do Robô está com problemas de movimentação</v>
          </cell>
          <cell r="I66" t="str">
            <v>Corretiva</v>
          </cell>
          <cell r="J66" t="str">
            <v>Sim</v>
          </cell>
          <cell r="K66" t="str">
            <v>Elétrica</v>
          </cell>
          <cell r="L66" t="str">
            <v>Sim</v>
          </cell>
          <cell r="M66" t="str">
            <v>Mau contato</v>
          </cell>
          <cell r="N66">
            <v>37923</v>
          </cell>
          <cell r="O66">
            <v>0.65625</v>
          </cell>
          <cell r="P66">
            <v>37923</v>
          </cell>
          <cell r="Q66">
            <v>0.65625</v>
          </cell>
          <cell r="T66">
            <v>37923</v>
          </cell>
          <cell r="U66">
            <v>0.66666666666666663</v>
          </cell>
          <cell r="V66">
            <v>37923</v>
          </cell>
          <cell r="W66">
            <v>0.66666666666666663</v>
          </cell>
          <cell r="X66">
            <v>1.041666666666663E-2</v>
          </cell>
          <cell r="Y66">
            <v>1.0416666664241347E-2</v>
          </cell>
          <cell r="AB66">
            <v>10</v>
          </cell>
          <cell r="AC66">
            <v>4</v>
          </cell>
          <cell r="AD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10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</row>
        <row r="67">
          <cell r="C67">
            <v>37718</v>
          </cell>
          <cell r="D67">
            <v>37756</v>
          </cell>
          <cell r="E67">
            <v>37754</v>
          </cell>
          <cell r="F67">
            <v>0.625</v>
          </cell>
          <cell r="G67" t="str">
            <v>Linha de Pintura 8,5m</v>
          </cell>
          <cell r="H67" t="str">
            <v>Pistola de Pintura eletrostática não está funcionando</v>
          </cell>
          <cell r="I67" t="str">
            <v>Corretiva</v>
          </cell>
          <cell r="J67" t="str">
            <v>Sim</v>
          </cell>
          <cell r="K67" t="str">
            <v>Elétrica</v>
          </cell>
          <cell r="L67" t="str">
            <v>Soldagem da fiação interna da pistola e limpeza interna da mesma</v>
          </cell>
          <cell r="M67" t="str">
            <v>Sujeira em excesso</v>
          </cell>
          <cell r="N67">
            <v>37754</v>
          </cell>
          <cell r="O67">
            <v>0.625</v>
          </cell>
          <cell r="P67">
            <v>37754</v>
          </cell>
          <cell r="Q67">
            <v>0.625</v>
          </cell>
          <cell r="T67">
            <v>37754</v>
          </cell>
          <cell r="U67">
            <v>0.66666666666666663</v>
          </cell>
          <cell r="V67">
            <v>37754</v>
          </cell>
          <cell r="W67">
            <v>0.66666666666666663</v>
          </cell>
          <cell r="X67">
            <v>4.166666666666663E-2</v>
          </cell>
          <cell r="Y67">
            <v>4.1666666664241347E-2</v>
          </cell>
          <cell r="AB67">
            <v>5</v>
          </cell>
          <cell r="AC67">
            <v>4</v>
          </cell>
          <cell r="AD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5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</row>
        <row r="68">
          <cell r="C68">
            <v>37718</v>
          </cell>
          <cell r="I68">
            <v>0</v>
          </cell>
          <cell r="N68">
            <v>0</v>
          </cell>
          <cell r="P68">
            <v>0</v>
          </cell>
          <cell r="T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AB68">
            <v>0</v>
          </cell>
          <cell r="AC68">
            <v>4</v>
          </cell>
          <cell r="AD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</row>
        <row r="69">
          <cell r="C69">
            <v>37718</v>
          </cell>
          <cell r="I69">
            <v>0</v>
          </cell>
          <cell r="N69">
            <v>0</v>
          </cell>
          <cell r="P69">
            <v>0</v>
          </cell>
          <cell r="T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AB69">
            <v>0</v>
          </cell>
          <cell r="AC69">
            <v>4</v>
          </cell>
          <cell r="AD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</row>
        <row r="70">
          <cell r="C70">
            <v>37718</v>
          </cell>
          <cell r="I70">
            <v>0</v>
          </cell>
          <cell r="N70">
            <v>0</v>
          </cell>
          <cell r="P70">
            <v>0</v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AB70">
            <v>0</v>
          </cell>
          <cell r="AC70">
            <v>4</v>
          </cell>
          <cell r="AD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</row>
        <row r="71">
          <cell r="C71">
            <v>37718</v>
          </cell>
          <cell r="D71">
            <v>37722</v>
          </cell>
          <cell r="E71">
            <v>37722</v>
          </cell>
          <cell r="F71">
            <v>0.33333333333333331</v>
          </cell>
          <cell r="G71" t="str">
            <v>Sala dos Compressores</v>
          </cell>
          <cell r="H71" t="str">
            <v>Luminária não acende</v>
          </cell>
          <cell r="I71" t="str">
            <v>Corretiva</v>
          </cell>
          <cell r="J71" t="str">
            <v>Não</v>
          </cell>
          <cell r="K71" t="str">
            <v>Elétrica</v>
          </cell>
          <cell r="L71" t="str">
            <v>Correção de mau contato</v>
          </cell>
          <cell r="M71" t="str">
            <v>Sujeira em excesso</v>
          </cell>
          <cell r="N71">
            <v>37726</v>
          </cell>
          <cell r="O71">
            <v>0.41666666666666669</v>
          </cell>
          <cell r="P71">
            <v>37726</v>
          </cell>
          <cell r="Q71">
            <v>0.41666666666666669</v>
          </cell>
          <cell r="T71">
            <v>37726</v>
          </cell>
          <cell r="U71">
            <v>0.43055555555555558</v>
          </cell>
          <cell r="V71">
            <v>37726</v>
          </cell>
          <cell r="W71">
            <v>0.43055555555555558</v>
          </cell>
          <cell r="X71">
            <v>1.3888888888080431E-2</v>
          </cell>
          <cell r="Y71">
            <v>1.3888888888080431E-2</v>
          </cell>
          <cell r="AB71">
            <v>4</v>
          </cell>
          <cell r="AC71">
            <v>4</v>
          </cell>
          <cell r="AD71" t="str">
            <v>N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4</v>
          </cell>
          <cell r="CC71">
            <v>0</v>
          </cell>
          <cell r="CD71">
            <v>0</v>
          </cell>
        </row>
        <row r="72">
          <cell r="C72">
            <v>37718</v>
          </cell>
          <cell r="D72">
            <v>37727</v>
          </cell>
          <cell r="E72">
            <v>37722</v>
          </cell>
          <cell r="F72">
            <v>0.6875</v>
          </cell>
          <cell r="G72" t="str">
            <v>Prensa Jundiaí</v>
          </cell>
          <cell r="H72" t="str">
            <v>Vazamento de Óleo na tampa lateral da Máquina</v>
          </cell>
          <cell r="I72" t="str">
            <v>Corretiva</v>
          </cell>
          <cell r="J72" t="str">
            <v>Não</v>
          </cell>
          <cell r="K72" t="str">
            <v>Mecânica</v>
          </cell>
          <cell r="L72" t="str">
            <v>Reparo</v>
          </cell>
          <cell r="M72" t="str">
            <v>Vibração</v>
          </cell>
          <cell r="N72">
            <v>37723</v>
          </cell>
          <cell r="O72">
            <v>0.41666666666666669</v>
          </cell>
          <cell r="P72">
            <v>37723</v>
          </cell>
          <cell r="Q72">
            <v>0.41666666666666669</v>
          </cell>
          <cell r="T72">
            <v>37723</v>
          </cell>
          <cell r="U72">
            <v>0.4375</v>
          </cell>
          <cell r="V72">
            <v>37723</v>
          </cell>
          <cell r="W72">
            <v>0.4375</v>
          </cell>
          <cell r="X72">
            <v>2.0833333333333315E-2</v>
          </cell>
          <cell r="Y72">
            <v>2.0833333333333315E-2</v>
          </cell>
          <cell r="AB72">
            <v>4</v>
          </cell>
          <cell r="AC72">
            <v>4</v>
          </cell>
          <cell r="AD72" t="str">
            <v>N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4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</row>
        <row r="73">
          <cell r="C73">
            <v>37718</v>
          </cell>
          <cell r="D73">
            <v>37727</v>
          </cell>
          <cell r="E73">
            <v>37722</v>
          </cell>
          <cell r="F73">
            <v>0.6875</v>
          </cell>
          <cell r="G73" t="str">
            <v>Perfiladora Fagor Largueros</v>
          </cell>
          <cell r="H73" t="str">
            <v>Acoplamento do Servomotor encontra-se com 03 dos 06 parafusos quebrados</v>
          </cell>
          <cell r="I73" t="str">
            <v>Corretiva</v>
          </cell>
          <cell r="J73" t="str">
            <v>Não</v>
          </cell>
          <cell r="K73" t="str">
            <v>Mecânica</v>
          </cell>
          <cell r="L73" t="str">
            <v>Reparo</v>
          </cell>
          <cell r="M73" t="str">
            <v>Falha de Regulagem / Configuração / Dimensionamento</v>
          </cell>
          <cell r="N73">
            <v>37723</v>
          </cell>
          <cell r="O73">
            <v>0.4375</v>
          </cell>
          <cell r="P73">
            <v>37723</v>
          </cell>
          <cell r="Q73">
            <v>0.4375</v>
          </cell>
          <cell r="T73">
            <v>37723</v>
          </cell>
          <cell r="U73">
            <v>0.47916666666666669</v>
          </cell>
          <cell r="V73">
            <v>37723</v>
          </cell>
          <cell r="W73">
            <v>0.47916666666666669</v>
          </cell>
          <cell r="X73">
            <v>4.1666666664241347E-2</v>
          </cell>
          <cell r="Y73">
            <v>4.1666666664241347E-2</v>
          </cell>
          <cell r="AB73">
            <v>4</v>
          </cell>
          <cell r="AC73">
            <v>4</v>
          </cell>
          <cell r="AD73" t="str">
            <v>N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4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</row>
        <row r="74">
          <cell r="C74">
            <v>37718</v>
          </cell>
          <cell r="D74">
            <v>37746</v>
          </cell>
          <cell r="E74">
            <v>37744</v>
          </cell>
          <cell r="F74">
            <v>0.33333333333333331</v>
          </cell>
          <cell r="G74" t="str">
            <v>Linha de Pintura 15m</v>
          </cell>
          <cell r="H74" t="str">
            <v>Fazer instalação de ar comprimido dos 02 lados para a cabine ser usada nas linhas de 8,5 e 15m</v>
          </cell>
          <cell r="I74" t="str">
            <v>Melhoria</v>
          </cell>
          <cell r="J74" t="str">
            <v>Não</v>
          </cell>
          <cell r="K74" t="str">
            <v>Mecânica</v>
          </cell>
          <cell r="L74" t="str">
            <v>Montagem / Instalação</v>
          </cell>
          <cell r="M74" t="str">
            <v>Melhoria Técnica</v>
          </cell>
          <cell r="N74">
            <v>37744</v>
          </cell>
          <cell r="O74">
            <v>0.34930555555555554</v>
          </cell>
          <cell r="P74">
            <v>37744</v>
          </cell>
          <cell r="Q74">
            <v>0.34930555555555554</v>
          </cell>
          <cell r="T74">
            <v>37744</v>
          </cell>
          <cell r="U74">
            <v>0.68263888888888891</v>
          </cell>
          <cell r="V74">
            <v>37744</v>
          </cell>
          <cell r="W74">
            <v>0.68263888888888891</v>
          </cell>
          <cell r="X74">
            <v>0.33333333333203985</v>
          </cell>
          <cell r="Y74">
            <v>0.33333333333203985</v>
          </cell>
          <cell r="AB74">
            <v>5</v>
          </cell>
          <cell r="AC74">
            <v>4</v>
          </cell>
          <cell r="AD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5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</row>
        <row r="75">
          <cell r="C75">
            <v>37718</v>
          </cell>
          <cell r="D75">
            <v>37746</v>
          </cell>
          <cell r="E75">
            <v>37746</v>
          </cell>
          <cell r="F75">
            <v>0.33333333333333331</v>
          </cell>
          <cell r="G75" t="str">
            <v>Linha de Pintura 3,2m</v>
          </cell>
          <cell r="H75" t="str">
            <v>Instalar parte elétrica das pistolas já instaladas conforme OS 068/03</v>
          </cell>
          <cell r="I75" t="str">
            <v>Melhoria</v>
          </cell>
          <cell r="J75" t="str">
            <v>Não</v>
          </cell>
          <cell r="K75" t="str">
            <v>Elétrica</v>
          </cell>
          <cell r="L75" t="str">
            <v>Montagem / Instalação</v>
          </cell>
          <cell r="M75" t="str">
            <v>Melhoria Técnica</v>
          </cell>
          <cell r="N75">
            <v>37746</v>
          </cell>
          <cell r="O75">
            <v>0.33333333333333331</v>
          </cell>
          <cell r="P75">
            <v>37746</v>
          </cell>
          <cell r="Q75">
            <v>0.33333333333333331</v>
          </cell>
          <cell r="R75">
            <v>37792</v>
          </cell>
          <cell r="S75">
            <v>0.66666666666666663</v>
          </cell>
          <cell r="T75">
            <v>37792</v>
          </cell>
          <cell r="U75">
            <v>0.6875</v>
          </cell>
          <cell r="V75">
            <v>0</v>
          </cell>
          <cell r="W75">
            <v>2.083333333333337E-2</v>
          </cell>
          <cell r="X75">
            <v>2.083333333333337E-2</v>
          </cell>
          <cell r="Y75">
            <v>2.083333333333337E-2</v>
          </cell>
          <cell r="AB75">
            <v>6</v>
          </cell>
          <cell r="AC75">
            <v>4</v>
          </cell>
          <cell r="AD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6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</row>
        <row r="76">
          <cell r="C76">
            <v>37718</v>
          </cell>
          <cell r="D76">
            <v>37748</v>
          </cell>
          <cell r="E76">
            <v>37747</v>
          </cell>
          <cell r="F76">
            <v>0.33333333333333331</v>
          </cell>
          <cell r="G76" t="str">
            <v>Células de Solda Automática</v>
          </cell>
          <cell r="H76" t="str">
            <v>Eixo do Pistão de stop final da esteira está torto</v>
          </cell>
          <cell r="I76" t="str">
            <v>Melhoria</v>
          </cell>
          <cell r="J76" t="str">
            <v>Não</v>
          </cell>
          <cell r="K76" t="str">
            <v>Mecânica</v>
          </cell>
          <cell r="L76" t="str">
            <v>O Pistão foi substituído por uma chapa</v>
          </cell>
          <cell r="M76" t="str">
            <v>Melhoria Técnica</v>
          </cell>
          <cell r="N76">
            <v>37747</v>
          </cell>
          <cell r="O76">
            <v>0.41666666666666669</v>
          </cell>
          <cell r="P76">
            <v>37747</v>
          </cell>
          <cell r="Q76">
            <v>0.41666666666666669</v>
          </cell>
          <cell r="T76">
            <v>37747</v>
          </cell>
          <cell r="U76">
            <v>0.53125</v>
          </cell>
          <cell r="V76">
            <v>37747</v>
          </cell>
          <cell r="W76">
            <v>0.53125</v>
          </cell>
          <cell r="X76">
            <v>0.11458333333333331</v>
          </cell>
          <cell r="Y76">
            <v>0.11458333333333331</v>
          </cell>
          <cell r="AB76">
            <v>5</v>
          </cell>
          <cell r="AC76">
            <v>4</v>
          </cell>
          <cell r="AD76">
            <v>0</v>
          </cell>
          <cell r="BF76">
            <v>5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</row>
        <row r="77">
          <cell r="C77">
            <v>37718</v>
          </cell>
          <cell r="D77">
            <v>37727</v>
          </cell>
          <cell r="E77">
            <v>37726</v>
          </cell>
          <cell r="F77">
            <v>0.625</v>
          </cell>
          <cell r="G77" t="str">
            <v>Linha de Pintura 15m</v>
          </cell>
          <cell r="H77" t="str">
            <v>Mau contato no cabo da Pistola</v>
          </cell>
          <cell r="I77" t="str">
            <v>Corretiva</v>
          </cell>
          <cell r="J77" t="str">
            <v>Não</v>
          </cell>
          <cell r="K77" t="str">
            <v>Elétrica</v>
          </cell>
          <cell r="L77" t="str">
            <v>Substituição do(s) Componente(s)</v>
          </cell>
          <cell r="M77" t="str">
            <v>Defeito de Fabricação</v>
          </cell>
          <cell r="N77">
            <v>37726</v>
          </cell>
          <cell r="O77">
            <v>0.65625</v>
          </cell>
          <cell r="P77">
            <v>37726</v>
          </cell>
          <cell r="Q77">
            <v>0.65625</v>
          </cell>
          <cell r="T77">
            <v>37726</v>
          </cell>
          <cell r="U77">
            <v>0.6875</v>
          </cell>
          <cell r="V77">
            <v>37726</v>
          </cell>
          <cell r="W77">
            <v>0.6875</v>
          </cell>
          <cell r="X77">
            <v>3.125E-2</v>
          </cell>
          <cell r="Y77">
            <v>3.125E-2</v>
          </cell>
          <cell r="AB77">
            <v>4</v>
          </cell>
          <cell r="AC77">
            <v>4</v>
          </cell>
          <cell r="AD77" t="str">
            <v>N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4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</row>
        <row r="78">
          <cell r="C78">
            <v>37718</v>
          </cell>
          <cell r="D78">
            <v>37727</v>
          </cell>
          <cell r="E78">
            <v>37727</v>
          </cell>
          <cell r="F78">
            <v>0.375</v>
          </cell>
          <cell r="G78" t="str">
            <v>Linha de Pintura 15m</v>
          </cell>
          <cell r="H78" t="str">
            <v>Furo no Pulmão</v>
          </cell>
          <cell r="I78" t="str">
            <v>Corretiva</v>
          </cell>
          <cell r="J78" t="str">
            <v>Sim</v>
          </cell>
          <cell r="K78" t="str">
            <v>Mecânica</v>
          </cell>
          <cell r="L78" t="str">
            <v>Soldagem da Caixa do Pulmão</v>
          </cell>
          <cell r="M78" t="str">
            <v>Defeito de Fabricação</v>
          </cell>
          <cell r="N78">
            <v>37727</v>
          </cell>
          <cell r="O78">
            <v>0.375</v>
          </cell>
          <cell r="P78">
            <v>37727</v>
          </cell>
          <cell r="Q78">
            <v>0.375</v>
          </cell>
          <cell r="T78">
            <v>37727</v>
          </cell>
          <cell r="U78">
            <v>0.40277777777777773</v>
          </cell>
          <cell r="V78">
            <v>37727</v>
          </cell>
          <cell r="W78">
            <v>0.40277777777777773</v>
          </cell>
          <cell r="X78">
            <v>2.7777777777777735E-2</v>
          </cell>
          <cell r="Y78">
            <v>2.7777777781011537E-2</v>
          </cell>
          <cell r="AB78">
            <v>4</v>
          </cell>
          <cell r="AC78">
            <v>4</v>
          </cell>
          <cell r="AD78" t="str">
            <v>S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4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</row>
        <row r="79">
          <cell r="C79">
            <v>37718</v>
          </cell>
          <cell r="I79">
            <v>0</v>
          </cell>
          <cell r="N79">
            <v>0</v>
          </cell>
          <cell r="P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AB79">
            <v>0</v>
          </cell>
          <cell r="AC79">
            <v>4</v>
          </cell>
          <cell r="AD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</row>
        <row r="80">
          <cell r="C80">
            <v>37718</v>
          </cell>
          <cell r="D80">
            <v>37733</v>
          </cell>
          <cell r="E80">
            <v>37728</v>
          </cell>
          <cell r="F80">
            <v>0.33333333333333331</v>
          </cell>
          <cell r="G80" t="str">
            <v>Linha de Pintura 15m</v>
          </cell>
          <cell r="H80" t="str">
            <v>Parada constante no bastidor da entrada da secagem</v>
          </cell>
          <cell r="I80" t="str">
            <v>Corretiva</v>
          </cell>
          <cell r="J80" t="str">
            <v>Não</v>
          </cell>
          <cell r="K80" t="str">
            <v>Mecânica</v>
          </cell>
          <cell r="L80" t="str">
            <v>Ajuste / Regulagem</v>
          </cell>
          <cell r="M80" t="str">
            <v>Falha de Montagem / Preparação</v>
          </cell>
          <cell r="N80">
            <v>37728</v>
          </cell>
          <cell r="O80">
            <v>0.33333333333333331</v>
          </cell>
          <cell r="P80">
            <v>37728</v>
          </cell>
          <cell r="Q80">
            <v>0.33333333333333331</v>
          </cell>
          <cell r="T80">
            <v>37728</v>
          </cell>
          <cell r="U80">
            <v>0.375</v>
          </cell>
          <cell r="V80">
            <v>37728</v>
          </cell>
          <cell r="W80">
            <v>0.375</v>
          </cell>
          <cell r="X80">
            <v>4.1666666666666685E-2</v>
          </cell>
          <cell r="Y80">
            <v>4.1666666666666685E-2</v>
          </cell>
          <cell r="AB80">
            <v>4</v>
          </cell>
          <cell r="AC80">
            <v>4</v>
          </cell>
          <cell r="AD80" t="str">
            <v>N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4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</row>
        <row r="81">
          <cell r="C81">
            <v>37718</v>
          </cell>
          <cell r="D81">
            <v>37733</v>
          </cell>
          <cell r="E81">
            <v>37733</v>
          </cell>
          <cell r="F81">
            <v>0.375</v>
          </cell>
          <cell r="G81" t="str">
            <v>Linha de Pintura 15m</v>
          </cell>
          <cell r="H81" t="str">
            <v>Vazamento de ar no pulmão</v>
          </cell>
          <cell r="I81" t="str">
            <v>Corretiva</v>
          </cell>
          <cell r="J81" t="str">
            <v>Não</v>
          </cell>
          <cell r="K81" t="str">
            <v>Mecânica</v>
          </cell>
          <cell r="L81" t="str">
            <v>Reparo</v>
          </cell>
          <cell r="M81" t="str">
            <v>Defeito de Fabricação</v>
          </cell>
          <cell r="N81">
            <v>37733</v>
          </cell>
          <cell r="O81">
            <v>0.53125</v>
          </cell>
          <cell r="P81">
            <v>37733</v>
          </cell>
          <cell r="Q81">
            <v>0.53125</v>
          </cell>
          <cell r="T81">
            <v>37733</v>
          </cell>
          <cell r="U81">
            <v>0.57291666666666663</v>
          </cell>
          <cell r="V81">
            <v>37733</v>
          </cell>
          <cell r="W81">
            <v>0.57291666666666663</v>
          </cell>
          <cell r="X81">
            <v>4.1666666664241347E-2</v>
          </cell>
          <cell r="Y81">
            <v>4.1666666664241347E-2</v>
          </cell>
          <cell r="AB81">
            <v>4</v>
          </cell>
          <cell r="AC81">
            <v>4</v>
          </cell>
          <cell r="AD81" t="str">
            <v>N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4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</row>
        <row r="82">
          <cell r="C82">
            <v>37718</v>
          </cell>
          <cell r="D82">
            <v>37734</v>
          </cell>
          <cell r="E82">
            <v>37733</v>
          </cell>
          <cell r="F82">
            <v>0.58333333333333337</v>
          </cell>
          <cell r="G82" t="str">
            <v>Linha de Pintura 15m</v>
          </cell>
          <cell r="H82" t="str">
            <v>Parafusos da estrutura dos bastidores estão soltos e mancal do bastidor torcido</v>
          </cell>
          <cell r="I82" t="str">
            <v>Corretiva</v>
          </cell>
          <cell r="J82" t="str">
            <v>Sim</v>
          </cell>
          <cell r="K82" t="str">
            <v>Mecânica</v>
          </cell>
          <cell r="L82" t="str">
            <v>Identificados os bastidores com eixo torto e programada nova data (sábado) para Manutenção dos mesmos</v>
          </cell>
          <cell r="M82" t="str">
            <v>Falha Operacional</v>
          </cell>
          <cell r="N82">
            <v>37733</v>
          </cell>
          <cell r="O82">
            <v>0.58333333333333337</v>
          </cell>
          <cell r="P82">
            <v>37733</v>
          </cell>
          <cell r="Q82">
            <v>0.60416666666666663</v>
          </cell>
          <cell r="R82">
            <v>37737</v>
          </cell>
          <cell r="S82">
            <v>0.54166666666666663</v>
          </cell>
          <cell r="T82">
            <v>37737</v>
          </cell>
          <cell r="U82">
            <v>0.70833333333333337</v>
          </cell>
          <cell r="V82">
            <v>0</v>
          </cell>
          <cell r="W82">
            <v>0.1875</v>
          </cell>
          <cell r="X82">
            <v>0.1875</v>
          </cell>
          <cell r="Y82">
            <v>0.1875</v>
          </cell>
          <cell r="AB82">
            <v>4</v>
          </cell>
          <cell r="AC82">
            <v>4</v>
          </cell>
          <cell r="AD82" t="str">
            <v>S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4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</row>
        <row r="83">
          <cell r="C83">
            <v>37718</v>
          </cell>
          <cell r="D83">
            <v>37735</v>
          </cell>
          <cell r="E83">
            <v>37734</v>
          </cell>
          <cell r="F83">
            <v>0.52777777777777779</v>
          </cell>
          <cell r="G83" t="str">
            <v>Linha de Pintura 15m</v>
          </cell>
          <cell r="H83" t="str">
            <v>Vazamento na lateral do túnel de entrada de fosfatado</v>
          </cell>
          <cell r="I83" t="str">
            <v>Corretiva</v>
          </cell>
          <cell r="J83" t="str">
            <v>Não</v>
          </cell>
          <cell r="K83" t="str">
            <v>Mecânica</v>
          </cell>
          <cell r="L83" t="str">
            <v>Contenção do vazamento</v>
          </cell>
          <cell r="M83" t="str">
            <v>Falha de Montagem / Preparação</v>
          </cell>
          <cell r="N83">
            <v>37764</v>
          </cell>
          <cell r="O83">
            <v>0.33333333333333331</v>
          </cell>
          <cell r="P83">
            <v>37764</v>
          </cell>
          <cell r="Q83">
            <v>0.35416666666666669</v>
          </cell>
          <cell r="R83">
            <v>37768</v>
          </cell>
          <cell r="S83">
            <v>0.41666666666666669</v>
          </cell>
          <cell r="T83">
            <v>37768</v>
          </cell>
          <cell r="U83">
            <v>0.47916666666666669</v>
          </cell>
          <cell r="V83">
            <v>0</v>
          </cell>
          <cell r="W83">
            <v>8.333333333333337E-2</v>
          </cell>
          <cell r="X83">
            <v>8.333333333333337E-2</v>
          </cell>
          <cell r="Y83">
            <v>8.333333333333337E-2</v>
          </cell>
          <cell r="AB83">
            <v>5</v>
          </cell>
          <cell r="AC83">
            <v>4</v>
          </cell>
          <cell r="AD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5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</row>
        <row r="84">
          <cell r="C84">
            <v>37718</v>
          </cell>
          <cell r="D84">
            <v>37735</v>
          </cell>
          <cell r="E84">
            <v>37735</v>
          </cell>
          <cell r="F84">
            <v>0.4375</v>
          </cell>
          <cell r="G84" t="str">
            <v>Linha de Pintura 15m</v>
          </cell>
          <cell r="H84" t="str">
            <v>Parada constante no bastidor da entrada da secagem</v>
          </cell>
          <cell r="I84" t="str">
            <v>Corretiva</v>
          </cell>
          <cell r="J84" t="str">
            <v>Sim</v>
          </cell>
          <cell r="K84" t="str">
            <v>Mecânica</v>
          </cell>
          <cell r="L84" t="str">
            <v>Ajuste / Regulagem</v>
          </cell>
          <cell r="M84" t="str">
            <v>Falha de Regulagem / Configuração / Dimensionamento</v>
          </cell>
          <cell r="N84">
            <v>37735</v>
          </cell>
          <cell r="O84">
            <v>0.4375</v>
          </cell>
          <cell r="P84">
            <v>37735</v>
          </cell>
          <cell r="Q84">
            <v>0.4375</v>
          </cell>
          <cell r="T84">
            <v>37735</v>
          </cell>
          <cell r="U84">
            <v>0.47916666666666669</v>
          </cell>
          <cell r="V84">
            <v>37735</v>
          </cell>
          <cell r="W84">
            <v>0.47916666666666669</v>
          </cell>
          <cell r="X84">
            <v>4.1666666666666685E-2</v>
          </cell>
          <cell r="Y84">
            <v>4.1666666664241347E-2</v>
          </cell>
          <cell r="AB84">
            <v>4</v>
          </cell>
          <cell r="AC84">
            <v>4</v>
          </cell>
          <cell r="AD84" t="str">
            <v>S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4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</row>
        <row r="85">
          <cell r="C85">
            <v>37718</v>
          </cell>
          <cell r="D85">
            <v>37746</v>
          </cell>
          <cell r="E85">
            <v>37740</v>
          </cell>
          <cell r="F85">
            <v>0.47916666666666669</v>
          </cell>
          <cell r="G85" t="str">
            <v>Linha de Pintura 15m</v>
          </cell>
          <cell r="H85" t="str">
            <v>Pistola manual apresenta mau contato no cabo</v>
          </cell>
          <cell r="I85" t="str">
            <v>Corretiva</v>
          </cell>
          <cell r="J85" t="str">
            <v>Não</v>
          </cell>
          <cell r="K85" t="str">
            <v>Elétrica</v>
          </cell>
          <cell r="L85" t="str">
            <v>Melhoria no Sistema de Fixação</v>
          </cell>
          <cell r="M85" t="str">
            <v>Mau contato</v>
          </cell>
          <cell r="N85">
            <v>37740</v>
          </cell>
          <cell r="O85">
            <v>0.47222222222222227</v>
          </cell>
          <cell r="P85">
            <v>37740</v>
          </cell>
          <cell r="Q85">
            <v>0.47222222222222227</v>
          </cell>
          <cell r="T85">
            <v>37740</v>
          </cell>
          <cell r="U85">
            <v>0.4861111111111111</v>
          </cell>
          <cell r="V85">
            <v>37740</v>
          </cell>
          <cell r="W85">
            <v>0.4861111111111111</v>
          </cell>
          <cell r="X85">
            <v>1.3888888887271966E-2</v>
          </cell>
          <cell r="Y85">
            <v>1.3888888887271966E-2</v>
          </cell>
          <cell r="AB85">
            <v>4</v>
          </cell>
          <cell r="AC85">
            <v>4</v>
          </cell>
          <cell r="AD85" t="str">
            <v>N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4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</row>
        <row r="86">
          <cell r="C86">
            <v>37718</v>
          </cell>
          <cell r="D86">
            <v>37746</v>
          </cell>
          <cell r="E86">
            <v>37741</v>
          </cell>
          <cell r="F86">
            <v>0.45833333333333331</v>
          </cell>
          <cell r="G86" t="str">
            <v>Linha de Pintura 15m</v>
          </cell>
          <cell r="H86" t="str">
            <v>Bomba do transportador de pó danificada</v>
          </cell>
          <cell r="I86" t="str">
            <v>Corretiva</v>
          </cell>
          <cell r="J86" t="str">
            <v>Não</v>
          </cell>
          <cell r="K86" t="str">
            <v>Mecânica</v>
          </cell>
          <cell r="L86" t="str">
            <v>Substituição do(s) Componente(s)</v>
          </cell>
          <cell r="M86" t="str">
            <v>Defeito de Fabricação</v>
          </cell>
          <cell r="N86">
            <v>37741</v>
          </cell>
          <cell r="O86">
            <v>0.45833333333333331</v>
          </cell>
          <cell r="P86">
            <v>37741</v>
          </cell>
          <cell r="Q86">
            <v>0.45833333333333331</v>
          </cell>
          <cell r="T86">
            <v>37741</v>
          </cell>
          <cell r="U86">
            <v>0.47916666666666669</v>
          </cell>
          <cell r="V86">
            <v>37741</v>
          </cell>
          <cell r="W86">
            <v>0.47916666666666669</v>
          </cell>
          <cell r="X86">
            <v>2.0833333330908033E-2</v>
          </cell>
          <cell r="Y86">
            <v>2.0833333330908033E-2</v>
          </cell>
          <cell r="AB86">
            <v>4</v>
          </cell>
          <cell r="AC86">
            <v>4</v>
          </cell>
          <cell r="AD86" t="str">
            <v>N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4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</row>
        <row r="87">
          <cell r="C87">
            <v>37718</v>
          </cell>
          <cell r="D87">
            <v>37721</v>
          </cell>
          <cell r="E87">
            <v>37721</v>
          </cell>
          <cell r="F87">
            <v>0.4375</v>
          </cell>
          <cell r="G87" t="str">
            <v>Máquina de Solda MIG</v>
          </cell>
          <cell r="H87" t="str">
            <v>Plug incompatível com a tomada da linha da Solda Manual</v>
          </cell>
          <cell r="I87" t="str">
            <v>Corretiva</v>
          </cell>
          <cell r="J87" t="str">
            <v>Sim</v>
          </cell>
          <cell r="K87" t="str">
            <v>Elétrica</v>
          </cell>
          <cell r="L87" t="str">
            <v>Substituição do(s) Componente(s)</v>
          </cell>
          <cell r="M87" t="str">
            <v>Alteração na Localização da Máquina</v>
          </cell>
          <cell r="N87">
            <v>37721</v>
          </cell>
          <cell r="O87">
            <v>0.4375</v>
          </cell>
          <cell r="P87">
            <v>37721</v>
          </cell>
          <cell r="Q87">
            <v>0.4375</v>
          </cell>
          <cell r="T87">
            <v>37721</v>
          </cell>
          <cell r="U87">
            <v>0.44791666666666669</v>
          </cell>
          <cell r="V87">
            <v>37721</v>
          </cell>
          <cell r="W87">
            <v>0.44791666666666669</v>
          </cell>
          <cell r="X87">
            <v>1.0416666666666685E-2</v>
          </cell>
          <cell r="Y87">
            <v>1.0416666664241347E-2</v>
          </cell>
          <cell r="AB87">
            <v>4</v>
          </cell>
          <cell r="AC87">
            <v>4</v>
          </cell>
          <cell r="AD87" t="str">
            <v>S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4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</row>
        <row r="88">
          <cell r="C88">
            <v>37718</v>
          </cell>
          <cell r="D88">
            <v>37734</v>
          </cell>
          <cell r="E88">
            <v>37733</v>
          </cell>
          <cell r="F88">
            <v>0.40972222222222227</v>
          </cell>
          <cell r="G88" t="str">
            <v>Máquina de Solda MIG</v>
          </cell>
          <cell r="H88" t="str">
            <v>Plug incompatível com a tomada da linha da Solda Manual</v>
          </cell>
          <cell r="I88" t="str">
            <v>Corretiva</v>
          </cell>
          <cell r="J88" t="str">
            <v>Sim</v>
          </cell>
          <cell r="K88" t="str">
            <v>Elétrica</v>
          </cell>
          <cell r="L88" t="str">
            <v>Substituição do(s) Componente(s)</v>
          </cell>
          <cell r="M88" t="str">
            <v>Alteração na Localização da Máquina</v>
          </cell>
          <cell r="N88">
            <v>37733</v>
          </cell>
          <cell r="O88">
            <v>0.41666666666666669</v>
          </cell>
          <cell r="P88">
            <v>37733</v>
          </cell>
          <cell r="Q88">
            <v>0.41666666666666669</v>
          </cell>
          <cell r="T88">
            <v>37733</v>
          </cell>
          <cell r="U88">
            <v>0.42708333333333331</v>
          </cell>
          <cell r="V88">
            <v>37733</v>
          </cell>
          <cell r="W88">
            <v>0.42708333333333331</v>
          </cell>
          <cell r="X88">
            <v>1.041666666666663E-2</v>
          </cell>
          <cell r="Y88">
            <v>1.0416666669091967E-2</v>
          </cell>
          <cell r="AB88">
            <v>4</v>
          </cell>
          <cell r="AC88">
            <v>4</v>
          </cell>
          <cell r="AD88" t="str">
            <v>S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4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</row>
        <row r="89">
          <cell r="C89">
            <v>37718</v>
          </cell>
          <cell r="D89">
            <v>37767</v>
          </cell>
          <cell r="E89">
            <v>37764</v>
          </cell>
          <cell r="F89">
            <v>0.35069444444444442</v>
          </cell>
          <cell r="G89" t="str">
            <v>Células de Solda Automática</v>
          </cell>
          <cell r="H89" t="str">
            <v>Mangueira de ar do dispositivo da mesa está furada</v>
          </cell>
          <cell r="I89" t="str">
            <v>Corretiva</v>
          </cell>
          <cell r="J89" t="str">
            <v>Sim</v>
          </cell>
          <cell r="K89" t="str">
            <v>Mecânica</v>
          </cell>
          <cell r="L89" t="str">
            <v>Substituição do(s) Componente(s)</v>
          </cell>
          <cell r="M89" t="str">
            <v>Falha de Projeto</v>
          </cell>
          <cell r="N89">
            <v>37764</v>
          </cell>
          <cell r="O89">
            <v>0.35416666666666669</v>
          </cell>
          <cell r="P89">
            <v>37764</v>
          </cell>
          <cell r="Q89">
            <v>0.35416666666666669</v>
          </cell>
          <cell r="T89">
            <v>37764</v>
          </cell>
          <cell r="U89">
            <v>0.3888888888888889</v>
          </cell>
          <cell r="V89">
            <v>37764</v>
          </cell>
          <cell r="W89">
            <v>0.3888888888888889</v>
          </cell>
          <cell r="X89">
            <v>3.472222222222221E-2</v>
          </cell>
          <cell r="Y89">
            <v>3.4722222223839083E-2</v>
          </cell>
          <cell r="AB89">
            <v>5</v>
          </cell>
          <cell r="AC89">
            <v>4</v>
          </cell>
          <cell r="AD89">
            <v>0</v>
          </cell>
          <cell r="BF89">
            <v>5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</row>
        <row r="90">
          <cell r="C90">
            <v>37718</v>
          </cell>
          <cell r="D90">
            <v>37769</v>
          </cell>
          <cell r="E90">
            <v>37767</v>
          </cell>
          <cell r="F90">
            <v>0.70833333333333337</v>
          </cell>
          <cell r="G90" t="str">
            <v>Células de Solda Automática</v>
          </cell>
          <cell r="H90" t="str">
            <v>Vazamento na mangueira de ar</v>
          </cell>
          <cell r="I90" t="str">
            <v>Corretiva</v>
          </cell>
          <cell r="J90" t="str">
            <v>Sim</v>
          </cell>
          <cell r="K90" t="str">
            <v>Mecânica</v>
          </cell>
          <cell r="L90" t="str">
            <v>Substituição do(s) Componente(s)</v>
          </cell>
          <cell r="M90" t="str">
            <v>Falha de Projeto</v>
          </cell>
          <cell r="N90">
            <v>37767</v>
          </cell>
          <cell r="O90">
            <v>0.70833333333333337</v>
          </cell>
          <cell r="P90">
            <v>37767</v>
          </cell>
          <cell r="Q90">
            <v>0.70833333333333337</v>
          </cell>
          <cell r="T90">
            <v>37767</v>
          </cell>
          <cell r="U90">
            <v>0.72916666666666663</v>
          </cell>
          <cell r="V90">
            <v>37767</v>
          </cell>
          <cell r="W90">
            <v>0.72916666666666663</v>
          </cell>
          <cell r="X90">
            <v>2.0833333333333259E-2</v>
          </cell>
          <cell r="Y90">
            <v>2.0833333330907977E-2</v>
          </cell>
          <cell r="AB90">
            <v>5</v>
          </cell>
          <cell r="AC90">
            <v>4</v>
          </cell>
          <cell r="AD90">
            <v>0</v>
          </cell>
          <cell r="BF90">
            <v>5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</row>
        <row r="91">
          <cell r="C91">
            <v>37718</v>
          </cell>
          <cell r="D91">
            <v>37776</v>
          </cell>
          <cell r="E91">
            <v>37770</v>
          </cell>
          <cell r="F91">
            <v>0.33333333333333331</v>
          </cell>
          <cell r="G91" t="str">
            <v>Células de Solda Automática</v>
          </cell>
          <cell r="H91" t="str">
            <v>Mangueira de ar do dispositivo da mesa está furada</v>
          </cell>
          <cell r="I91" t="str">
            <v>Corretiva</v>
          </cell>
          <cell r="J91" t="str">
            <v>Sim</v>
          </cell>
          <cell r="K91" t="str">
            <v>Mecânica</v>
          </cell>
          <cell r="L91" t="str">
            <v>Substituição do(s) Componente(s)</v>
          </cell>
          <cell r="M91" t="str">
            <v>Falha de Projeto</v>
          </cell>
          <cell r="N91">
            <v>37770</v>
          </cell>
          <cell r="O91">
            <v>0.33333333333333331</v>
          </cell>
          <cell r="P91">
            <v>37770</v>
          </cell>
          <cell r="Q91">
            <v>0.33333333333333331</v>
          </cell>
          <cell r="T91">
            <v>37770</v>
          </cell>
          <cell r="U91">
            <v>0.3611111111111111</v>
          </cell>
          <cell r="V91">
            <v>37770</v>
          </cell>
          <cell r="W91">
            <v>0.3611111111111111</v>
          </cell>
          <cell r="X91">
            <v>2.777777777777779E-2</v>
          </cell>
          <cell r="Y91">
            <v>2.7777777776160917E-2</v>
          </cell>
          <cell r="AB91">
            <v>5</v>
          </cell>
          <cell r="AC91">
            <v>4</v>
          </cell>
          <cell r="AD91">
            <v>0</v>
          </cell>
          <cell r="BF91">
            <v>5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</row>
        <row r="92">
          <cell r="C92">
            <v>37718</v>
          </cell>
          <cell r="D92">
            <v>37803</v>
          </cell>
          <cell r="E92">
            <v>37775</v>
          </cell>
          <cell r="F92">
            <v>0.68194444444444446</v>
          </cell>
          <cell r="G92" t="str">
            <v>Máquina de Solda MIG</v>
          </cell>
          <cell r="H92" t="str">
            <v>Tomada em más condições de uso</v>
          </cell>
          <cell r="I92" t="str">
            <v>Corretiva</v>
          </cell>
          <cell r="J92" t="str">
            <v>Sim</v>
          </cell>
          <cell r="K92" t="str">
            <v>Elétrica</v>
          </cell>
          <cell r="L92" t="str">
            <v>Substituição do(s) Componente(s)</v>
          </cell>
          <cell r="M92" t="str">
            <v>Desgaste / Fadiga</v>
          </cell>
          <cell r="N92">
            <v>37775</v>
          </cell>
          <cell r="O92">
            <v>0.6875</v>
          </cell>
          <cell r="P92">
            <v>37775</v>
          </cell>
          <cell r="Q92">
            <v>0.6875</v>
          </cell>
          <cell r="T92">
            <v>37775</v>
          </cell>
          <cell r="U92">
            <v>0.69791666666666663</v>
          </cell>
          <cell r="V92">
            <v>37775</v>
          </cell>
          <cell r="W92">
            <v>0.69791666666666663</v>
          </cell>
          <cell r="X92">
            <v>1.041666666666663E-2</v>
          </cell>
          <cell r="Y92">
            <v>1.0416666664241347E-2</v>
          </cell>
          <cell r="AB92">
            <v>6</v>
          </cell>
          <cell r="AC92">
            <v>4</v>
          </cell>
          <cell r="AD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6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</row>
        <row r="93">
          <cell r="C93">
            <v>37718</v>
          </cell>
          <cell r="D93">
            <v>37790</v>
          </cell>
          <cell r="E93">
            <v>37789</v>
          </cell>
          <cell r="F93">
            <v>0.4375</v>
          </cell>
          <cell r="G93" t="str">
            <v>Células de Solda Automática</v>
          </cell>
          <cell r="H93" t="str">
            <v>Flexível entupido</v>
          </cell>
          <cell r="I93" t="str">
            <v>Corretiva</v>
          </cell>
          <cell r="J93" t="str">
            <v>Sim</v>
          </cell>
          <cell r="K93" t="str">
            <v>Mecânica</v>
          </cell>
          <cell r="L93" t="str">
            <v>Substituição do(s) Componente(s)</v>
          </cell>
          <cell r="M93" t="str">
            <v>Desgaste / Fadiga</v>
          </cell>
          <cell r="N93">
            <v>37789</v>
          </cell>
          <cell r="O93">
            <v>0.4375</v>
          </cell>
          <cell r="P93">
            <v>37789</v>
          </cell>
          <cell r="Q93">
            <v>0.4375</v>
          </cell>
          <cell r="T93">
            <v>37789</v>
          </cell>
          <cell r="U93">
            <v>0.53125</v>
          </cell>
          <cell r="V93">
            <v>37789</v>
          </cell>
          <cell r="W93">
            <v>0.53125</v>
          </cell>
          <cell r="X93">
            <v>9.375E-2</v>
          </cell>
          <cell r="Y93">
            <v>9.375E-2</v>
          </cell>
          <cell r="AB93">
            <v>6</v>
          </cell>
          <cell r="AC93">
            <v>4</v>
          </cell>
          <cell r="AD93">
            <v>0</v>
          </cell>
          <cell r="BF93">
            <v>6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</row>
        <row r="94">
          <cell r="C94">
            <v>37718</v>
          </cell>
          <cell r="D94">
            <v>37795</v>
          </cell>
          <cell r="E94">
            <v>37790</v>
          </cell>
          <cell r="F94">
            <v>0.34027777777777773</v>
          </cell>
          <cell r="G94" t="str">
            <v>Células de Solda Automática</v>
          </cell>
          <cell r="H94" t="str">
            <v>Pistão da Esteira quebrado</v>
          </cell>
          <cell r="I94" t="str">
            <v>Corretiva</v>
          </cell>
          <cell r="J94" t="str">
            <v>Sim</v>
          </cell>
          <cell r="K94" t="str">
            <v>Mecânica</v>
          </cell>
          <cell r="L94" t="str">
            <v>Substituição do(s) Componente(s)</v>
          </cell>
          <cell r="M94" t="str">
            <v>Falha de Comando / Sistema</v>
          </cell>
          <cell r="N94">
            <v>37790</v>
          </cell>
          <cell r="O94">
            <v>0.34027777777777773</v>
          </cell>
          <cell r="P94">
            <v>37790</v>
          </cell>
          <cell r="Q94">
            <v>0.34027777777777773</v>
          </cell>
          <cell r="T94">
            <v>37790</v>
          </cell>
          <cell r="U94">
            <v>0.4375</v>
          </cell>
          <cell r="V94">
            <v>37790</v>
          </cell>
          <cell r="W94">
            <v>0.4375</v>
          </cell>
          <cell r="X94">
            <v>9.7222222222222265E-2</v>
          </cell>
          <cell r="Y94">
            <v>9.7222222222222265E-2</v>
          </cell>
          <cell r="AB94">
            <v>6</v>
          </cell>
          <cell r="AC94">
            <v>4</v>
          </cell>
          <cell r="AD94">
            <v>0</v>
          </cell>
          <cell r="BF94">
            <v>6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</row>
        <row r="95">
          <cell r="C95">
            <v>37718</v>
          </cell>
          <cell r="D95">
            <v>37795</v>
          </cell>
          <cell r="E95">
            <v>37790</v>
          </cell>
          <cell r="F95">
            <v>0.4375</v>
          </cell>
          <cell r="G95" t="str">
            <v>Células de Solda Automática</v>
          </cell>
          <cell r="H95" t="str">
            <v>Chapa dobrada no meio do rolo, guias quebradas e suporte torto</v>
          </cell>
          <cell r="I95" t="str">
            <v>Corretiva</v>
          </cell>
          <cell r="J95" t="str">
            <v>Sim</v>
          </cell>
          <cell r="K95" t="str">
            <v>Mecânica</v>
          </cell>
          <cell r="L95" t="str">
            <v>Reparo</v>
          </cell>
          <cell r="M95" t="str">
            <v>Falha Operacional</v>
          </cell>
          <cell r="N95">
            <v>37790</v>
          </cell>
          <cell r="O95">
            <v>0.4375</v>
          </cell>
          <cell r="P95">
            <v>37790</v>
          </cell>
          <cell r="Q95">
            <v>0.4375</v>
          </cell>
          <cell r="T95">
            <v>37790</v>
          </cell>
          <cell r="U95">
            <v>0.53125</v>
          </cell>
          <cell r="V95">
            <v>37790</v>
          </cell>
          <cell r="W95">
            <v>0.53125</v>
          </cell>
          <cell r="X95">
            <v>9.375E-2</v>
          </cell>
          <cell r="Y95">
            <v>9.375E-2</v>
          </cell>
          <cell r="AB95">
            <v>6</v>
          </cell>
          <cell r="AC95">
            <v>4</v>
          </cell>
          <cell r="AD95">
            <v>0</v>
          </cell>
          <cell r="BF95">
            <v>6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</row>
        <row r="96">
          <cell r="C96">
            <v>37718</v>
          </cell>
          <cell r="D96">
            <v>37803</v>
          </cell>
          <cell r="E96">
            <v>37788</v>
          </cell>
          <cell r="F96">
            <v>0.60972222222222217</v>
          </cell>
          <cell r="G96" t="str">
            <v>Máquina de Solda MIG</v>
          </cell>
          <cell r="H96" t="str">
            <v>Tomada em más condições de uso</v>
          </cell>
          <cell r="I96" t="str">
            <v>Corretiva</v>
          </cell>
          <cell r="J96" t="str">
            <v>Sim</v>
          </cell>
          <cell r="K96" t="str">
            <v>Elétrica</v>
          </cell>
          <cell r="L96" t="str">
            <v>Substituição do(s) Componente(s)</v>
          </cell>
          <cell r="M96" t="str">
            <v>Desgaste / Fadiga</v>
          </cell>
          <cell r="N96">
            <v>37788</v>
          </cell>
          <cell r="O96">
            <v>0.625</v>
          </cell>
          <cell r="P96">
            <v>37788</v>
          </cell>
          <cell r="Q96">
            <v>0.625</v>
          </cell>
          <cell r="T96">
            <v>37788</v>
          </cell>
          <cell r="U96">
            <v>0.63541666666666663</v>
          </cell>
          <cell r="V96">
            <v>37788</v>
          </cell>
          <cell r="W96">
            <v>0.63541666666666663</v>
          </cell>
          <cell r="X96">
            <v>1.041666666666663E-2</v>
          </cell>
          <cell r="Y96">
            <v>1.0416666664241347E-2</v>
          </cell>
          <cell r="AB96">
            <v>6</v>
          </cell>
          <cell r="AC96">
            <v>4</v>
          </cell>
          <cell r="AD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6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</row>
        <row r="97">
          <cell r="C97">
            <v>37718</v>
          </cell>
          <cell r="D97">
            <v>37722</v>
          </cell>
          <cell r="E97">
            <v>37722</v>
          </cell>
          <cell r="F97">
            <v>0.63194444444444442</v>
          </cell>
          <cell r="G97" t="str">
            <v>Perfiladora Fagor Montantes</v>
          </cell>
          <cell r="H97" t="str">
            <v>Dispositivo de Corte Travado</v>
          </cell>
          <cell r="I97" t="str">
            <v>Corretiva</v>
          </cell>
          <cell r="J97" t="str">
            <v>Sim</v>
          </cell>
          <cell r="K97" t="str">
            <v>Mecânica</v>
          </cell>
          <cell r="L97" t="str">
            <v>Ajuste / Regulagem</v>
          </cell>
          <cell r="M97" t="str">
            <v>Falha de Montagem / Preparação</v>
          </cell>
          <cell r="N97">
            <v>37722</v>
          </cell>
          <cell r="O97">
            <v>0.63194444444444442</v>
          </cell>
          <cell r="P97">
            <v>37722</v>
          </cell>
          <cell r="Q97">
            <v>0.63194444444444442</v>
          </cell>
          <cell r="T97">
            <v>37722</v>
          </cell>
          <cell r="U97">
            <v>0.66666666666666663</v>
          </cell>
          <cell r="V97">
            <v>37722</v>
          </cell>
          <cell r="W97">
            <v>0.66666666666666663</v>
          </cell>
          <cell r="X97">
            <v>3.472222222222221E-2</v>
          </cell>
          <cell r="Y97">
            <v>3.4722222219796928E-2</v>
          </cell>
          <cell r="AB97">
            <v>4</v>
          </cell>
          <cell r="AC97">
            <v>4</v>
          </cell>
          <cell r="AD97" t="str">
            <v>S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4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</row>
        <row r="98">
          <cell r="C98">
            <v>37718</v>
          </cell>
          <cell r="D98">
            <v>37722</v>
          </cell>
          <cell r="E98">
            <v>37721</v>
          </cell>
          <cell r="F98">
            <v>0.41666666666666669</v>
          </cell>
          <cell r="G98" t="str">
            <v>Perfiladora Fagor Largueros</v>
          </cell>
          <cell r="H98" t="str">
            <v>Ruído no Eixo do Desbobinador 01 e Vazamento no Redutor do motor da Trefila 02</v>
          </cell>
          <cell r="I98" t="str">
            <v>Corretiva</v>
          </cell>
          <cell r="J98" t="str">
            <v>Não</v>
          </cell>
          <cell r="K98" t="str">
            <v>Mecânica</v>
          </cell>
          <cell r="L98" t="str">
            <v>Substituição do(s) Componente(s)</v>
          </cell>
          <cell r="M98" t="str">
            <v>Falha de Montagem / Preparação</v>
          </cell>
          <cell r="N98">
            <v>37721</v>
          </cell>
          <cell r="O98">
            <v>0.41666666666666669</v>
          </cell>
          <cell r="P98">
            <v>37721</v>
          </cell>
          <cell r="Q98">
            <v>0.4375</v>
          </cell>
          <cell r="R98">
            <v>37832</v>
          </cell>
          <cell r="S98">
            <v>0.33333333333333331</v>
          </cell>
          <cell r="T98">
            <v>37832</v>
          </cell>
          <cell r="U98">
            <v>0.58333333333333337</v>
          </cell>
          <cell r="V98">
            <v>0</v>
          </cell>
          <cell r="W98">
            <v>0.27083333333333337</v>
          </cell>
          <cell r="X98">
            <v>0.27083333333333337</v>
          </cell>
          <cell r="Y98" t="str">
            <v>Máquina em Garantia</v>
          </cell>
          <cell r="AB98">
            <v>7</v>
          </cell>
          <cell r="AC98">
            <v>4</v>
          </cell>
          <cell r="AD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7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</row>
        <row r="99">
          <cell r="C99">
            <v>37718</v>
          </cell>
          <cell r="D99">
            <v>37769</v>
          </cell>
          <cell r="E99">
            <v>37764</v>
          </cell>
          <cell r="F99">
            <v>0.60416666666666663</v>
          </cell>
          <cell r="G99" t="str">
            <v>Perfiladora Fagor Largueros</v>
          </cell>
          <cell r="H99" t="str">
            <v>Verificar Flexível da calha do carrinho da cortadora</v>
          </cell>
          <cell r="I99" t="str">
            <v>Corretiva</v>
          </cell>
          <cell r="J99" t="str">
            <v>Não</v>
          </cell>
          <cell r="K99" t="str">
            <v>Elétrica</v>
          </cell>
          <cell r="L99" t="str">
            <v>Os conectores foram colados</v>
          </cell>
          <cell r="M99" t="str">
            <v>Defeito de Fabricação</v>
          </cell>
          <cell r="N99">
            <v>37764</v>
          </cell>
          <cell r="O99">
            <v>0.60416666666666663</v>
          </cell>
          <cell r="P99">
            <v>37764</v>
          </cell>
          <cell r="Q99">
            <v>0.60416666666666663</v>
          </cell>
          <cell r="T99">
            <v>37764</v>
          </cell>
          <cell r="U99">
            <v>0.625</v>
          </cell>
          <cell r="V99">
            <v>37764</v>
          </cell>
          <cell r="W99">
            <v>0.625</v>
          </cell>
          <cell r="X99">
            <v>2.083333333333337E-2</v>
          </cell>
          <cell r="Y99">
            <v>2.083333333333337E-2</v>
          </cell>
          <cell r="AB99">
            <v>5</v>
          </cell>
          <cell r="AC99">
            <v>4</v>
          </cell>
          <cell r="AD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5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</row>
        <row r="100">
          <cell r="C100">
            <v>37718</v>
          </cell>
          <cell r="D100">
            <v>37767</v>
          </cell>
          <cell r="E100">
            <v>37766</v>
          </cell>
          <cell r="F100">
            <v>0.58333333333333337</v>
          </cell>
          <cell r="G100" t="str">
            <v>Perfiladora Fagor Largueros</v>
          </cell>
          <cell r="H100" t="str">
            <v>Há a necessidade de montagem da proteção do eixo do desbobinador No. 01</v>
          </cell>
          <cell r="I100" t="str">
            <v>Corretiva</v>
          </cell>
          <cell r="J100" t="str">
            <v>Não</v>
          </cell>
          <cell r="K100" t="str">
            <v>Mecânica</v>
          </cell>
          <cell r="L100" t="str">
            <v>Montagem / Instalação</v>
          </cell>
          <cell r="M100" t="str">
            <v>Falha Operacional</v>
          </cell>
          <cell r="N100">
            <v>37765</v>
          </cell>
          <cell r="O100">
            <v>0.58333333333333337</v>
          </cell>
          <cell r="P100">
            <v>37765</v>
          </cell>
          <cell r="Q100">
            <v>0.58333333333333337</v>
          </cell>
          <cell r="T100">
            <v>37765</v>
          </cell>
          <cell r="U100">
            <v>0.61458333333333337</v>
          </cell>
          <cell r="V100">
            <v>37765</v>
          </cell>
          <cell r="W100">
            <v>0.61458333333333337</v>
          </cell>
          <cell r="X100">
            <v>3.1250000002425282E-2</v>
          </cell>
          <cell r="Y100">
            <v>3.1250000002425282E-2</v>
          </cell>
          <cell r="AB100">
            <v>5</v>
          </cell>
          <cell r="AC100">
            <v>4</v>
          </cell>
          <cell r="AD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5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</row>
        <row r="101">
          <cell r="C101">
            <v>37718</v>
          </cell>
          <cell r="D101">
            <v>37767</v>
          </cell>
          <cell r="E101">
            <v>37764</v>
          </cell>
          <cell r="F101">
            <v>0.53125</v>
          </cell>
          <cell r="G101" t="str">
            <v>Perfiladora Fagor Largueros</v>
          </cell>
          <cell r="H101" t="str">
            <v>Vazamento no motoredutor do motor da esteira</v>
          </cell>
          <cell r="I101" t="str">
            <v>Corretiva</v>
          </cell>
          <cell r="J101" t="str">
            <v>Sim</v>
          </cell>
          <cell r="K101" t="str">
            <v>Mecânica</v>
          </cell>
          <cell r="L101" t="str">
            <v>Substituição do(s) Componente(s)</v>
          </cell>
          <cell r="M101" t="str">
            <v>Desgaste / Fadiga</v>
          </cell>
          <cell r="N101">
            <v>37764</v>
          </cell>
          <cell r="O101">
            <v>0.53125</v>
          </cell>
          <cell r="P101">
            <v>37764</v>
          </cell>
          <cell r="Q101">
            <v>0.54166666666666663</v>
          </cell>
          <cell r="R101">
            <v>37765</v>
          </cell>
          <cell r="S101">
            <v>0.375</v>
          </cell>
          <cell r="T101">
            <v>37765</v>
          </cell>
          <cell r="U101">
            <v>0.58333333333333337</v>
          </cell>
          <cell r="V101">
            <v>0</v>
          </cell>
          <cell r="W101">
            <v>0.21875</v>
          </cell>
          <cell r="X101">
            <v>0.21875</v>
          </cell>
          <cell r="Y101" t="str">
            <v>Desmontagem do motoredutor e substituição dos retentores</v>
          </cell>
          <cell r="AB101">
            <v>5</v>
          </cell>
          <cell r="AC101">
            <v>4</v>
          </cell>
          <cell r="AD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5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</row>
        <row r="102">
          <cell r="C102">
            <v>37718</v>
          </cell>
          <cell r="D102">
            <v>37776</v>
          </cell>
          <cell r="E102">
            <v>37776</v>
          </cell>
          <cell r="F102">
            <v>0.375</v>
          </cell>
          <cell r="G102" t="str">
            <v>Perfiladora Fagor Largueros</v>
          </cell>
          <cell r="H102" t="str">
            <v>Chapa enroscou nos rolos</v>
          </cell>
          <cell r="I102" t="str">
            <v>Corretiva</v>
          </cell>
          <cell r="J102" t="str">
            <v>Sim</v>
          </cell>
          <cell r="K102" t="str">
            <v>Mecânica</v>
          </cell>
          <cell r="L102" t="str">
            <v>Foi retirada a chapa</v>
          </cell>
          <cell r="M102" t="str">
            <v>Falha de Comando / Sistema</v>
          </cell>
          <cell r="N102">
            <v>37776</v>
          </cell>
          <cell r="O102">
            <v>0.375</v>
          </cell>
          <cell r="P102">
            <v>37776</v>
          </cell>
          <cell r="Q102">
            <v>0.375</v>
          </cell>
          <cell r="T102">
            <v>37776</v>
          </cell>
          <cell r="U102">
            <v>0.41666666666666669</v>
          </cell>
          <cell r="V102">
            <v>37776</v>
          </cell>
          <cell r="W102">
            <v>0.41666666666666669</v>
          </cell>
          <cell r="X102">
            <v>4.1666666666666685E-2</v>
          </cell>
          <cell r="Y102">
            <v>4.1666666664241347E-2</v>
          </cell>
          <cell r="AB102">
            <v>6</v>
          </cell>
          <cell r="AC102">
            <v>4</v>
          </cell>
          <cell r="AD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6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</row>
        <row r="103">
          <cell r="C103">
            <v>37718</v>
          </cell>
          <cell r="D103">
            <v>37783</v>
          </cell>
          <cell r="E103">
            <v>37778</v>
          </cell>
          <cell r="F103">
            <v>0.35416666666666669</v>
          </cell>
          <cell r="G103" t="str">
            <v>Perfiladora Fagor Largueros</v>
          </cell>
          <cell r="H103" t="str">
            <v>Guias quebradas</v>
          </cell>
          <cell r="I103" t="str">
            <v>Corretiva</v>
          </cell>
          <cell r="J103" t="str">
            <v>Sim</v>
          </cell>
          <cell r="K103" t="str">
            <v>Mecânica</v>
          </cell>
          <cell r="L103" t="str">
            <v>Substituição do(s) Componente(s)</v>
          </cell>
          <cell r="M103" t="str">
            <v>Falha Operacional</v>
          </cell>
          <cell r="N103">
            <v>37778</v>
          </cell>
          <cell r="O103">
            <v>0.35416666666666669</v>
          </cell>
          <cell r="P103">
            <v>37778</v>
          </cell>
          <cell r="Q103">
            <v>0.35416666666666669</v>
          </cell>
          <cell r="T103">
            <v>37778</v>
          </cell>
          <cell r="U103">
            <v>0.39583333333333331</v>
          </cell>
          <cell r="V103">
            <v>37778</v>
          </cell>
          <cell r="W103">
            <v>0.39583333333333331</v>
          </cell>
          <cell r="X103">
            <v>4.166666666666663E-2</v>
          </cell>
          <cell r="Y103">
            <v>4.1666666669091967E-2</v>
          </cell>
          <cell r="AB103">
            <v>6</v>
          </cell>
          <cell r="AC103">
            <v>4</v>
          </cell>
          <cell r="AD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6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</row>
        <row r="104">
          <cell r="C104">
            <v>37718</v>
          </cell>
          <cell r="D104">
            <v>37783</v>
          </cell>
          <cell r="E104">
            <v>37782</v>
          </cell>
          <cell r="F104">
            <v>0.41666666666666669</v>
          </cell>
          <cell r="G104" t="str">
            <v>Perfiladora Fagor Largueros</v>
          </cell>
          <cell r="H104" t="str">
            <v>Esteira da mesa 01 está travada</v>
          </cell>
          <cell r="I104" t="str">
            <v>Corretiva</v>
          </cell>
          <cell r="J104" t="str">
            <v>Sim</v>
          </cell>
          <cell r="K104" t="str">
            <v>Mecânica</v>
          </cell>
          <cell r="L104" t="str">
            <v>Limpeza do Equipamento / Componente</v>
          </cell>
          <cell r="M104" t="str">
            <v>Sujeira em excesso</v>
          </cell>
          <cell r="N104">
            <v>37782</v>
          </cell>
          <cell r="O104">
            <v>0.41666666666666669</v>
          </cell>
          <cell r="P104">
            <v>37782</v>
          </cell>
          <cell r="Q104">
            <v>0.41666666666666669</v>
          </cell>
          <cell r="T104">
            <v>37782</v>
          </cell>
          <cell r="U104">
            <v>0.4375</v>
          </cell>
          <cell r="V104">
            <v>37782</v>
          </cell>
          <cell r="W104">
            <v>0.4375</v>
          </cell>
          <cell r="X104">
            <v>2.0833333333333315E-2</v>
          </cell>
          <cell r="Y104">
            <v>2.0833333333333315E-2</v>
          </cell>
          <cell r="AB104">
            <v>6</v>
          </cell>
          <cell r="AC104">
            <v>4</v>
          </cell>
          <cell r="AD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6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</row>
        <row r="105">
          <cell r="C105">
            <v>37718</v>
          </cell>
          <cell r="D105">
            <v>37847</v>
          </cell>
          <cell r="E105">
            <v>37846</v>
          </cell>
          <cell r="F105">
            <v>0.3611111111111111</v>
          </cell>
          <cell r="G105" t="str">
            <v>Perfiladora Fagor Largueros</v>
          </cell>
          <cell r="H105" t="str">
            <v>Carro de Corte não avança, e produz ruído em excesso</v>
          </cell>
          <cell r="I105" t="str">
            <v>Corretiva</v>
          </cell>
          <cell r="J105" t="str">
            <v>Sim</v>
          </cell>
          <cell r="K105" t="str">
            <v>Mecânica</v>
          </cell>
          <cell r="L105" t="str">
            <v>Reinicialização do Equipamento / Componente</v>
          </cell>
          <cell r="M105" t="str">
            <v>Falha Operacional</v>
          </cell>
          <cell r="N105">
            <v>37846</v>
          </cell>
          <cell r="O105">
            <v>0.375</v>
          </cell>
          <cell r="P105">
            <v>37846</v>
          </cell>
          <cell r="Q105">
            <v>0.375</v>
          </cell>
          <cell r="T105">
            <v>37846</v>
          </cell>
          <cell r="U105">
            <v>0.38541666666666669</v>
          </cell>
          <cell r="V105">
            <v>37846</v>
          </cell>
          <cell r="W105">
            <v>0.38541666666666669</v>
          </cell>
          <cell r="X105">
            <v>1.0416666666666685E-2</v>
          </cell>
          <cell r="Y105">
            <v>1.0416666664241347E-2</v>
          </cell>
          <cell r="AB105">
            <v>8</v>
          </cell>
          <cell r="AC105">
            <v>4</v>
          </cell>
          <cell r="AD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8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</row>
        <row r="106">
          <cell r="C106">
            <v>37718</v>
          </cell>
          <cell r="D106">
            <v>37865</v>
          </cell>
          <cell r="E106">
            <v>37860</v>
          </cell>
          <cell r="F106">
            <v>0.29166666666666669</v>
          </cell>
          <cell r="G106" t="str">
            <v>Perfiladora Fagor Largueros</v>
          </cell>
          <cell r="H106" t="str">
            <v>Desarme constante do disjuntor</v>
          </cell>
          <cell r="I106" t="str">
            <v>Corretiva</v>
          </cell>
          <cell r="J106" t="str">
            <v>Sim</v>
          </cell>
          <cell r="K106" t="str">
            <v>Elétrica</v>
          </cell>
          <cell r="L106" t="str">
            <v>Ajuste / Regulagem</v>
          </cell>
          <cell r="M106" t="str">
            <v>Saturação do Filtro</v>
          </cell>
          <cell r="N106">
            <v>37860</v>
          </cell>
          <cell r="O106">
            <v>0.29166666666666669</v>
          </cell>
          <cell r="P106">
            <v>37860</v>
          </cell>
          <cell r="Q106">
            <v>0.29166666666666669</v>
          </cell>
          <cell r="T106">
            <v>37860</v>
          </cell>
          <cell r="U106">
            <v>0.3125</v>
          </cell>
          <cell r="V106">
            <v>37860</v>
          </cell>
          <cell r="W106">
            <v>0.3125</v>
          </cell>
          <cell r="X106">
            <v>2.0833333333333315E-2</v>
          </cell>
          <cell r="Y106">
            <v>2.0833333333333315E-2</v>
          </cell>
          <cell r="AB106">
            <v>8</v>
          </cell>
          <cell r="AC106">
            <v>4</v>
          </cell>
          <cell r="AD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8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</row>
        <row r="107">
          <cell r="C107">
            <v>37718</v>
          </cell>
          <cell r="D107">
            <v>37721</v>
          </cell>
          <cell r="E107">
            <v>37721</v>
          </cell>
          <cell r="F107">
            <v>0.375</v>
          </cell>
          <cell r="G107" t="str">
            <v>Máquina de Solda MIG</v>
          </cell>
          <cell r="H107" t="str">
            <v>Reparo nas tochas Solmig 320 - AirLiquide MIG 3105</v>
          </cell>
          <cell r="I107" t="str">
            <v>Corretiva</v>
          </cell>
          <cell r="J107" t="str">
            <v>Sim</v>
          </cell>
          <cell r="K107" t="str">
            <v>Mecânica</v>
          </cell>
          <cell r="L107" t="str">
            <v>Substituição do(s) Componente(s)</v>
          </cell>
          <cell r="M107" t="str">
            <v>Desgaste / Fadiga</v>
          </cell>
          <cell r="N107">
            <v>37721</v>
          </cell>
          <cell r="O107">
            <v>0.375</v>
          </cell>
          <cell r="P107">
            <v>37721</v>
          </cell>
          <cell r="Q107">
            <v>0.375</v>
          </cell>
          <cell r="R107">
            <v>37749</v>
          </cell>
          <cell r="S107">
            <v>0.66666666666666663</v>
          </cell>
          <cell r="T107">
            <v>37749</v>
          </cell>
          <cell r="U107">
            <v>0.83333333333333337</v>
          </cell>
          <cell r="V107">
            <v>0</v>
          </cell>
          <cell r="W107">
            <v>0.16666666666666674</v>
          </cell>
          <cell r="X107">
            <v>0.16666666666666674</v>
          </cell>
          <cell r="Y107">
            <v>0.16666666666666674</v>
          </cell>
          <cell r="AB107">
            <v>5</v>
          </cell>
          <cell r="AC107">
            <v>4</v>
          </cell>
          <cell r="AD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5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</row>
        <row r="108">
          <cell r="C108">
            <v>37718</v>
          </cell>
          <cell r="D108">
            <v>37748</v>
          </cell>
          <cell r="E108">
            <v>37748</v>
          </cell>
          <cell r="F108">
            <v>0.375</v>
          </cell>
          <cell r="G108" t="str">
            <v>Serra de Fita</v>
          </cell>
          <cell r="H108" t="str">
            <v>Cortes saem fora de esquadro</v>
          </cell>
          <cell r="I108" t="str">
            <v>Corretiva</v>
          </cell>
          <cell r="J108" t="str">
            <v>Não</v>
          </cell>
          <cell r="K108" t="str">
            <v>Mecânica</v>
          </cell>
          <cell r="L108" t="str">
            <v>Reparo</v>
          </cell>
          <cell r="M108" t="str">
            <v>Defeito de Fabricação</v>
          </cell>
          <cell r="N108">
            <v>37748</v>
          </cell>
          <cell r="O108">
            <v>0.375</v>
          </cell>
          <cell r="P108">
            <v>37748</v>
          </cell>
          <cell r="Q108">
            <v>0.375</v>
          </cell>
          <cell r="T108">
            <v>37748</v>
          </cell>
          <cell r="U108">
            <v>0.625</v>
          </cell>
          <cell r="V108">
            <v>37748</v>
          </cell>
          <cell r="W108">
            <v>0.625</v>
          </cell>
          <cell r="X108">
            <v>0.25</v>
          </cell>
          <cell r="Y108">
            <v>0.25</v>
          </cell>
          <cell r="AB108">
            <v>5</v>
          </cell>
          <cell r="AC108">
            <v>4</v>
          </cell>
          <cell r="AD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5</v>
          </cell>
          <cell r="CD108">
            <v>0</v>
          </cell>
        </row>
        <row r="109">
          <cell r="C109">
            <v>37718</v>
          </cell>
          <cell r="D109">
            <v>37858</v>
          </cell>
          <cell r="E109">
            <v>37834</v>
          </cell>
          <cell r="F109">
            <v>0.4375</v>
          </cell>
          <cell r="G109" t="str">
            <v>Serra de Fita</v>
          </cell>
          <cell r="H109" t="str">
            <v>Serra não se movimenta</v>
          </cell>
          <cell r="I109" t="str">
            <v>Corretiva</v>
          </cell>
          <cell r="J109" t="str">
            <v>Sim</v>
          </cell>
          <cell r="K109" t="str">
            <v>Elétrica</v>
          </cell>
          <cell r="L109" t="str">
            <v>Correção de mau contato</v>
          </cell>
          <cell r="M109" t="str">
            <v>Sujeira em excesso</v>
          </cell>
          <cell r="N109">
            <v>37834</v>
          </cell>
          <cell r="O109">
            <v>0.4375</v>
          </cell>
          <cell r="P109">
            <v>37834</v>
          </cell>
          <cell r="Q109">
            <v>0.4375</v>
          </cell>
          <cell r="T109">
            <v>37834</v>
          </cell>
          <cell r="U109">
            <v>0.5</v>
          </cell>
          <cell r="V109">
            <v>37834</v>
          </cell>
          <cell r="W109">
            <v>0.5</v>
          </cell>
          <cell r="X109">
            <v>6.25E-2</v>
          </cell>
          <cell r="Y109">
            <v>6.25E-2</v>
          </cell>
          <cell r="AB109">
            <v>8</v>
          </cell>
          <cell r="AC109">
            <v>4</v>
          </cell>
          <cell r="AD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8</v>
          </cell>
          <cell r="CD109">
            <v>0</v>
          </cell>
        </row>
        <row r="110">
          <cell r="C110">
            <v>37718</v>
          </cell>
          <cell r="D110">
            <v>37762</v>
          </cell>
          <cell r="E110">
            <v>37761</v>
          </cell>
          <cell r="F110">
            <v>0.67361111111111116</v>
          </cell>
          <cell r="G110" t="str">
            <v>Serra de Fita</v>
          </cell>
          <cell r="H110" t="str">
            <v>Morsa quebrada</v>
          </cell>
          <cell r="I110" t="str">
            <v>Corretiva</v>
          </cell>
          <cell r="J110" t="str">
            <v>Não</v>
          </cell>
          <cell r="K110" t="str">
            <v>Mecânica</v>
          </cell>
          <cell r="L110" t="str">
            <v>Substituição do(s) Componente(s)</v>
          </cell>
          <cell r="M110" t="str">
            <v>Defeito de Fabricação</v>
          </cell>
          <cell r="N110">
            <v>37762</v>
          </cell>
          <cell r="O110">
            <v>0.4375</v>
          </cell>
          <cell r="P110">
            <v>37762</v>
          </cell>
          <cell r="Q110">
            <v>0.52083333333333337</v>
          </cell>
          <cell r="R110">
            <v>37774</v>
          </cell>
          <cell r="S110">
            <v>0.33333333333333331</v>
          </cell>
          <cell r="T110">
            <v>37774</v>
          </cell>
          <cell r="U110">
            <v>0.35416666666666669</v>
          </cell>
          <cell r="V110">
            <v>0</v>
          </cell>
          <cell r="W110">
            <v>0.10416666666666674</v>
          </cell>
          <cell r="X110">
            <v>0.10416666666666674</v>
          </cell>
          <cell r="Y110">
            <v>0.10416666666666674</v>
          </cell>
          <cell r="AB110">
            <v>6</v>
          </cell>
          <cell r="AC110">
            <v>4</v>
          </cell>
          <cell r="AD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6</v>
          </cell>
          <cell r="CD110">
            <v>0</v>
          </cell>
        </row>
        <row r="111">
          <cell r="C111">
            <v>37718</v>
          </cell>
          <cell r="D111">
            <v>37915</v>
          </cell>
          <cell r="E111">
            <v>37862</v>
          </cell>
          <cell r="F111">
            <v>0.35416666666666669</v>
          </cell>
          <cell r="G111" t="str">
            <v>Máquina de Solda MIG</v>
          </cell>
          <cell r="H111" t="str">
            <v>Há a necessidade de aquisição de extensão com tomadas Steck</v>
          </cell>
          <cell r="I111" t="str">
            <v>Melhoria</v>
          </cell>
          <cell r="J111" t="str">
            <v>Não</v>
          </cell>
          <cell r="K111" t="str">
            <v>Elétrica</v>
          </cell>
          <cell r="L111" t="str">
            <v>Substituição do(s) Componente(s)</v>
          </cell>
          <cell r="M111" t="str">
            <v>Melhoria Técnica</v>
          </cell>
          <cell r="N111">
            <v>37866</v>
          </cell>
          <cell r="O111">
            <v>0.33333333333333331</v>
          </cell>
          <cell r="P111">
            <v>37866</v>
          </cell>
          <cell r="Q111">
            <v>0.33333333333333331</v>
          </cell>
          <cell r="T111">
            <v>37866</v>
          </cell>
          <cell r="U111">
            <v>0.375</v>
          </cell>
          <cell r="V111">
            <v>37866</v>
          </cell>
          <cell r="W111">
            <v>0.375</v>
          </cell>
          <cell r="X111">
            <v>4.1666666666666685E-2</v>
          </cell>
          <cell r="Y111">
            <v>4.1666666666666685E-2</v>
          </cell>
          <cell r="AB111">
            <v>9</v>
          </cell>
          <cell r="AC111">
            <v>4</v>
          </cell>
          <cell r="AD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9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</row>
        <row r="112">
          <cell r="C112">
            <v>37718</v>
          </cell>
          <cell r="D112">
            <v>37868</v>
          </cell>
          <cell r="E112">
            <v>37866</v>
          </cell>
          <cell r="F112">
            <v>0.25</v>
          </cell>
          <cell r="G112" t="str">
            <v>Máquina de Solda MIG</v>
          </cell>
          <cell r="H112" t="str">
            <v>Bocal e Isolador danificados</v>
          </cell>
          <cell r="I112" t="str">
            <v>Corretiva</v>
          </cell>
          <cell r="J112" t="str">
            <v>Não</v>
          </cell>
          <cell r="K112" t="str">
            <v>Mecânica</v>
          </cell>
          <cell r="L112" t="str">
            <v>Substituição do(s) Componente(s)</v>
          </cell>
          <cell r="M112" t="str">
            <v>Desgaste / Fadiga</v>
          </cell>
          <cell r="N112">
            <v>37866</v>
          </cell>
          <cell r="O112">
            <v>0.25</v>
          </cell>
          <cell r="P112">
            <v>37866</v>
          </cell>
          <cell r="Q112">
            <v>0.25</v>
          </cell>
          <cell r="T112">
            <v>37866</v>
          </cell>
          <cell r="U112">
            <v>0.29166666666666669</v>
          </cell>
          <cell r="V112">
            <v>37866</v>
          </cell>
          <cell r="W112">
            <v>0.29166666666666669</v>
          </cell>
          <cell r="X112">
            <v>4.1666666664241347E-2</v>
          </cell>
          <cell r="Y112">
            <v>4.1666666664241347E-2</v>
          </cell>
          <cell r="AB112">
            <v>9</v>
          </cell>
          <cell r="AC112">
            <v>4</v>
          </cell>
          <cell r="AD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9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</row>
        <row r="113">
          <cell r="C113">
            <v>37718</v>
          </cell>
          <cell r="D113">
            <v>37874</v>
          </cell>
          <cell r="E113">
            <v>37869</v>
          </cell>
          <cell r="F113">
            <v>0.25</v>
          </cell>
          <cell r="G113" t="str">
            <v>Máquina de Solda MIG</v>
          </cell>
          <cell r="H113" t="str">
            <v>Isolador e Porta-bico Danificados</v>
          </cell>
          <cell r="I113" t="str">
            <v>Corretiva</v>
          </cell>
          <cell r="J113" t="str">
            <v>Não</v>
          </cell>
          <cell r="K113" t="str">
            <v>Mecânica</v>
          </cell>
          <cell r="L113" t="str">
            <v>Substituição do(s) Componente(s)</v>
          </cell>
          <cell r="M113" t="str">
            <v>Desgaste / Fadiga</v>
          </cell>
          <cell r="N113">
            <v>37869</v>
          </cell>
          <cell r="O113">
            <v>0.25</v>
          </cell>
          <cell r="P113">
            <v>37869</v>
          </cell>
          <cell r="Q113">
            <v>0.25</v>
          </cell>
          <cell r="T113">
            <v>37869</v>
          </cell>
          <cell r="U113">
            <v>0.28472222222222221</v>
          </cell>
          <cell r="V113">
            <v>37869</v>
          </cell>
          <cell r="W113">
            <v>0.28472222222222221</v>
          </cell>
          <cell r="X113">
            <v>3.4722222218988463E-2</v>
          </cell>
          <cell r="Y113">
            <v>3.4722222218988463E-2</v>
          </cell>
          <cell r="AB113">
            <v>9</v>
          </cell>
          <cell r="AC113">
            <v>4</v>
          </cell>
          <cell r="AD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9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</row>
        <row r="114">
          <cell r="C114">
            <v>37718</v>
          </cell>
          <cell r="I114">
            <v>0</v>
          </cell>
          <cell r="N114">
            <v>0</v>
          </cell>
          <cell r="P114">
            <v>0</v>
          </cell>
          <cell r="T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AB114">
            <v>0</v>
          </cell>
          <cell r="AC114">
            <v>4</v>
          </cell>
          <cell r="AD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</row>
        <row r="115">
          <cell r="C115">
            <v>37718</v>
          </cell>
          <cell r="D115">
            <v>37865</v>
          </cell>
          <cell r="E115">
            <v>37855</v>
          </cell>
          <cell r="F115">
            <v>0.41666666666666669</v>
          </cell>
          <cell r="G115" t="str">
            <v>Serra de Fita</v>
          </cell>
          <cell r="H115" t="str">
            <v>Máquina não funciona</v>
          </cell>
          <cell r="I115" t="str">
            <v>Corretiva</v>
          </cell>
          <cell r="J115" t="str">
            <v>Sim</v>
          </cell>
          <cell r="K115" t="str">
            <v>Elétrica</v>
          </cell>
          <cell r="L115" t="str">
            <v>Correção de mau contato</v>
          </cell>
          <cell r="M115" t="str">
            <v>Sobrecarga</v>
          </cell>
          <cell r="N115">
            <v>37855</v>
          </cell>
          <cell r="O115">
            <v>0.42708333333333331</v>
          </cell>
          <cell r="P115">
            <v>37855</v>
          </cell>
          <cell r="Q115">
            <v>0.42708333333333331</v>
          </cell>
          <cell r="T115">
            <v>37855</v>
          </cell>
          <cell r="U115">
            <v>0.45833333333333331</v>
          </cell>
          <cell r="V115">
            <v>37855</v>
          </cell>
          <cell r="W115">
            <v>0.45833333333333331</v>
          </cell>
          <cell r="X115">
            <v>3.125E-2</v>
          </cell>
          <cell r="Y115">
            <v>3.1250000002425338E-2</v>
          </cell>
          <cell r="AB115">
            <v>8</v>
          </cell>
          <cell r="AC115">
            <v>4</v>
          </cell>
          <cell r="AD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8</v>
          </cell>
          <cell r="CD115">
            <v>0</v>
          </cell>
        </row>
        <row r="116">
          <cell r="C116">
            <v>37718</v>
          </cell>
          <cell r="D116">
            <v>37858</v>
          </cell>
          <cell r="E116">
            <v>37841</v>
          </cell>
          <cell r="F116">
            <v>0.34375</v>
          </cell>
          <cell r="G116" t="str">
            <v>Serra Elétrica Circular</v>
          </cell>
          <cell r="H116" t="str">
            <v>Caixa de Comando quebrada</v>
          </cell>
          <cell r="I116" t="str">
            <v>Corretiva</v>
          </cell>
          <cell r="J116" t="str">
            <v>Não</v>
          </cell>
          <cell r="K116" t="str">
            <v>Elétrica</v>
          </cell>
          <cell r="L116" t="str">
            <v>Reparo</v>
          </cell>
          <cell r="M116" t="str">
            <v>Vibração</v>
          </cell>
          <cell r="N116">
            <v>37841</v>
          </cell>
          <cell r="O116">
            <v>0.35416666666666669</v>
          </cell>
          <cell r="P116">
            <v>37841</v>
          </cell>
          <cell r="Q116">
            <v>0.35416666666666669</v>
          </cell>
          <cell r="T116">
            <v>37841</v>
          </cell>
          <cell r="U116">
            <v>0.3888888888888889</v>
          </cell>
          <cell r="V116">
            <v>37841</v>
          </cell>
          <cell r="W116">
            <v>0.3888888888888889</v>
          </cell>
          <cell r="X116">
            <v>3.4722222223839083E-2</v>
          </cell>
          <cell r="Y116">
            <v>3.4722222223839083E-2</v>
          </cell>
          <cell r="AB116">
            <v>8</v>
          </cell>
          <cell r="AC116">
            <v>4</v>
          </cell>
          <cell r="AD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8</v>
          </cell>
        </row>
        <row r="117">
          <cell r="C117">
            <v>37718</v>
          </cell>
          <cell r="D117">
            <v>37721</v>
          </cell>
          <cell r="E117">
            <v>37721</v>
          </cell>
          <cell r="F117">
            <v>0.33333333333333331</v>
          </cell>
          <cell r="G117" t="str">
            <v>Torno Mecânico</v>
          </cell>
          <cell r="H117" t="str">
            <v>Ao desligar a Máquina, não há destravamento do Freio</v>
          </cell>
          <cell r="I117" t="str">
            <v>Corretiva</v>
          </cell>
          <cell r="J117" t="str">
            <v>Não</v>
          </cell>
          <cell r="K117" t="str">
            <v>Mecânica</v>
          </cell>
          <cell r="L117" t="str">
            <v>Ajuste / Regulagem</v>
          </cell>
          <cell r="M117" t="str">
            <v>Falha de Regulagem / Configuração / Dimensionamento</v>
          </cell>
          <cell r="N117">
            <v>37721</v>
          </cell>
          <cell r="O117">
            <v>0.4375</v>
          </cell>
          <cell r="P117">
            <v>37721</v>
          </cell>
          <cell r="Q117">
            <v>0.4375</v>
          </cell>
          <cell r="T117">
            <v>37721</v>
          </cell>
          <cell r="U117">
            <v>0.59027777777777779</v>
          </cell>
          <cell r="V117">
            <v>37721</v>
          </cell>
          <cell r="W117">
            <v>0.59027777777777779</v>
          </cell>
          <cell r="X117">
            <v>0.15277777778101154</v>
          </cell>
          <cell r="Y117">
            <v>0.15277777778101154</v>
          </cell>
          <cell r="AB117">
            <v>4</v>
          </cell>
          <cell r="AC117">
            <v>4</v>
          </cell>
          <cell r="AD117" t="str">
            <v>N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</row>
        <row r="118">
          <cell r="C118">
            <v>37718</v>
          </cell>
          <cell r="D118">
            <v>37734</v>
          </cell>
          <cell r="E118">
            <v>37733</v>
          </cell>
          <cell r="F118">
            <v>0.625</v>
          </cell>
          <cell r="G118" t="str">
            <v>Torno Mecânico</v>
          </cell>
          <cell r="H118" t="str">
            <v>Prisioneiro do carro superior com porca espanada</v>
          </cell>
          <cell r="I118" t="str">
            <v>Corretiva</v>
          </cell>
          <cell r="J118" t="str">
            <v>Não</v>
          </cell>
          <cell r="K118" t="str">
            <v>Mecânica</v>
          </cell>
          <cell r="L118" t="str">
            <v>Substituição do(s) Componente(s)</v>
          </cell>
          <cell r="M118" t="str">
            <v>Defeito de Fabricação</v>
          </cell>
          <cell r="N118">
            <v>37733</v>
          </cell>
          <cell r="O118">
            <v>0.66666666666666663</v>
          </cell>
          <cell r="P118">
            <v>37733</v>
          </cell>
          <cell r="Q118">
            <v>0.75</v>
          </cell>
          <cell r="R118">
            <v>37737</v>
          </cell>
          <cell r="S118">
            <v>0.33333333333333331</v>
          </cell>
          <cell r="T118">
            <v>37737</v>
          </cell>
          <cell r="U118">
            <v>0.41666666666666669</v>
          </cell>
          <cell r="V118">
            <v>0</v>
          </cell>
          <cell r="W118">
            <v>0.16666666666666674</v>
          </cell>
          <cell r="X118">
            <v>0.16666666666666674</v>
          </cell>
          <cell r="Y118" t="str">
            <v>Desmontagem do carro transversal, retirada das peças danificadas e aquisição de novo material, de melhor qualidade</v>
          </cell>
          <cell r="AB118">
            <v>4</v>
          </cell>
          <cell r="AC118">
            <v>4</v>
          </cell>
          <cell r="AD118" t="str">
            <v>N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</row>
        <row r="119">
          <cell r="C119">
            <v>37718</v>
          </cell>
          <cell r="D119">
            <v>37810</v>
          </cell>
          <cell r="E119">
            <v>37806</v>
          </cell>
          <cell r="F119">
            <v>0.375</v>
          </cell>
          <cell r="G119" t="str">
            <v>Torno Mecânico</v>
          </cell>
          <cell r="H119" t="str">
            <v>Folga no carro superior</v>
          </cell>
          <cell r="I119" t="str">
            <v>Corretiva</v>
          </cell>
          <cell r="J119" t="str">
            <v>Sim</v>
          </cell>
          <cell r="K119" t="str">
            <v>Mecânica</v>
          </cell>
          <cell r="L119" t="str">
            <v>Ajuste / Regulagem</v>
          </cell>
          <cell r="M119" t="str">
            <v>Desgaste / Fadiga</v>
          </cell>
          <cell r="N119">
            <v>37806</v>
          </cell>
          <cell r="O119">
            <v>0.54166666666666663</v>
          </cell>
          <cell r="P119">
            <v>37806</v>
          </cell>
          <cell r="Q119">
            <v>0.54166666666666663</v>
          </cell>
          <cell r="T119">
            <v>37806</v>
          </cell>
          <cell r="U119">
            <v>0.57291666666666663</v>
          </cell>
          <cell r="V119">
            <v>37806</v>
          </cell>
          <cell r="W119">
            <v>0.57291666666666663</v>
          </cell>
          <cell r="X119">
            <v>3.125E-2</v>
          </cell>
          <cell r="Y119">
            <v>3.1249999997574718E-2</v>
          </cell>
          <cell r="AB119">
            <v>7</v>
          </cell>
          <cell r="AC119">
            <v>4</v>
          </cell>
          <cell r="AD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</row>
        <row r="120">
          <cell r="C120">
            <v>37718</v>
          </cell>
          <cell r="D120">
            <v>37970</v>
          </cell>
          <cell r="E120">
            <v>37848</v>
          </cell>
          <cell r="F120">
            <v>0.33333333333333331</v>
          </cell>
          <cell r="G120" t="str">
            <v>Torno Mecânico</v>
          </cell>
          <cell r="H120" t="str">
            <v>Freio não aciona</v>
          </cell>
          <cell r="I120">
            <v>0</v>
          </cell>
          <cell r="J120" t="str">
            <v>Não</v>
          </cell>
          <cell r="K120" t="str">
            <v>Elétrica</v>
          </cell>
          <cell r="L120" t="str">
            <v>Reaperto dos componentes</v>
          </cell>
          <cell r="M120" t="str">
            <v>Desgaste / Fadiga</v>
          </cell>
          <cell r="N120">
            <v>37858</v>
          </cell>
          <cell r="O120">
            <v>0.66666666666666663</v>
          </cell>
          <cell r="P120">
            <v>0</v>
          </cell>
          <cell r="T120">
            <v>37858</v>
          </cell>
          <cell r="U120">
            <v>0.76388888888888884</v>
          </cell>
          <cell r="V120">
            <v>0</v>
          </cell>
          <cell r="W120">
            <v>9.7222222223839139E-2</v>
          </cell>
          <cell r="X120">
            <v>0</v>
          </cell>
          <cell r="Y120">
            <v>0</v>
          </cell>
          <cell r="AB120">
            <v>8</v>
          </cell>
          <cell r="AC120">
            <v>4</v>
          </cell>
          <cell r="AD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</row>
        <row r="121">
          <cell r="C121">
            <v>37718</v>
          </cell>
          <cell r="D121">
            <v>37915</v>
          </cell>
          <cell r="E121">
            <v>37903</v>
          </cell>
          <cell r="F121">
            <v>0.5</v>
          </cell>
          <cell r="G121" t="str">
            <v>Torno Mecânico</v>
          </cell>
          <cell r="H121" t="str">
            <v>Parafuso de fixação do carro superior quebrado</v>
          </cell>
          <cell r="I121" t="str">
            <v>Corretiva</v>
          </cell>
          <cell r="J121" t="str">
            <v>Não</v>
          </cell>
          <cell r="K121" t="str">
            <v>Mecânica</v>
          </cell>
          <cell r="L121" t="str">
            <v>Reparo</v>
          </cell>
          <cell r="M121" t="str">
            <v>Desgaste / Fadiga</v>
          </cell>
          <cell r="N121">
            <v>37903</v>
          </cell>
          <cell r="O121">
            <v>0.85416666666666663</v>
          </cell>
          <cell r="P121">
            <v>37903</v>
          </cell>
          <cell r="Q121">
            <v>0.85416666666666663</v>
          </cell>
          <cell r="T121">
            <v>37903</v>
          </cell>
          <cell r="U121">
            <v>0.97916666666666663</v>
          </cell>
          <cell r="V121">
            <v>37903</v>
          </cell>
          <cell r="W121">
            <v>0.97916666666666663</v>
          </cell>
          <cell r="X121">
            <v>0.12499999999757472</v>
          </cell>
          <cell r="Y121">
            <v>0.12499999999757472</v>
          </cell>
          <cell r="AB121">
            <v>10</v>
          </cell>
          <cell r="AC121">
            <v>4</v>
          </cell>
          <cell r="AD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</row>
        <row r="122">
          <cell r="C122">
            <v>37718</v>
          </cell>
          <cell r="D122">
            <v>37970</v>
          </cell>
          <cell r="E122">
            <v>37929</v>
          </cell>
          <cell r="F122">
            <v>0.6875</v>
          </cell>
          <cell r="G122" t="str">
            <v>Equipamentos diversos</v>
          </cell>
          <cell r="H122" t="str">
            <v>Não funciona</v>
          </cell>
          <cell r="I122">
            <v>0</v>
          </cell>
          <cell r="J122" t="str">
            <v>Não</v>
          </cell>
          <cell r="K122" t="str">
            <v>Elétrica</v>
          </cell>
          <cell r="L122" t="str">
            <v>Substituição do(s) Componente(s)</v>
          </cell>
          <cell r="M122" t="str">
            <v>Desgaste / Fadiga</v>
          </cell>
          <cell r="N122">
            <v>37949</v>
          </cell>
          <cell r="O122">
            <v>0.35416666666666669</v>
          </cell>
          <cell r="P122">
            <v>0</v>
          </cell>
          <cell r="T122">
            <v>37949</v>
          </cell>
          <cell r="U122">
            <v>0.37083333333333335</v>
          </cell>
          <cell r="V122">
            <v>0</v>
          </cell>
          <cell r="W122">
            <v>1.6666666667636776E-2</v>
          </cell>
          <cell r="X122">
            <v>0</v>
          </cell>
          <cell r="Y122">
            <v>0</v>
          </cell>
          <cell r="AB122">
            <v>11</v>
          </cell>
          <cell r="AC122">
            <v>4</v>
          </cell>
          <cell r="AD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11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</row>
        <row r="123">
          <cell r="C123">
            <v>37718</v>
          </cell>
          <cell r="D123">
            <v>37972</v>
          </cell>
          <cell r="E123">
            <v>37966</v>
          </cell>
          <cell r="F123">
            <v>0.4055555555555555</v>
          </cell>
          <cell r="G123" t="str">
            <v>Equipamentos diversos</v>
          </cell>
          <cell r="H123" t="str">
            <v>Vazamento na saída da bomba</v>
          </cell>
          <cell r="I123">
            <v>0</v>
          </cell>
          <cell r="J123" t="str">
            <v>Não</v>
          </cell>
          <cell r="K123" t="str">
            <v>Mecânica</v>
          </cell>
          <cell r="L123" t="str">
            <v>Contenção do vazamento</v>
          </cell>
          <cell r="M123" t="str">
            <v>Falha de Montagem / Preparação</v>
          </cell>
          <cell r="N123">
            <v>37967</v>
          </cell>
          <cell r="O123">
            <v>0.35416666666666669</v>
          </cell>
          <cell r="P123">
            <v>0</v>
          </cell>
          <cell r="T123">
            <v>37967</v>
          </cell>
          <cell r="U123">
            <v>0.41666666666666669</v>
          </cell>
          <cell r="V123">
            <v>0</v>
          </cell>
          <cell r="W123">
            <v>6.2499999997574662E-2</v>
          </cell>
          <cell r="X123">
            <v>0</v>
          </cell>
          <cell r="Y123">
            <v>0</v>
          </cell>
          <cell r="AB123">
            <v>12</v>
          </cell>
          <cell r="AC123">
            <v>4</v>
          </cell>
          <cell r="AD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12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</row>
        <row r="124">
          <cell r="C124">
            <v>37718</v>
          </cell>
          <cell r="I124">
            <v>0</v>
          </cell>
          <cell r="N124">
            <v>0</v>
          </cell>
          <cell r="P124">
            <v>0</v>
          </cell>
          <cell r="T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>
            <v>0</v>
          </cell>
          <cell r="AC124">
            <v>4</v>
          </cell>
          <cell r="AD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</row>
        <row r="125">
          <cell r="C125">
            <v>37718</v>
          </cell>
          <cell r="I125">
            <v>0</v>
          </cell>
          <cell r="N125">
            <v>0</v>
          </cell>
          <cell r="P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AB125">
            <v>0</v>
          </cell>
          <cell r="AC125">
            <v>4</v>
          </cell>
          <cell r="AD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</row>
        <row r="126">
          <cell r="C126">
            <v>37718</v>
          </cell>
          <cell r="I126">
            <v>0</v>
          </cell>
          <cell r="N126">
            <v>0</v>
          </cell>
          <cell r="P126">
            <v>0</v>
          </cell>
          <cell r="T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AB126">
            <v>0</v>
          </cell>
          <cell r="AC126">
            <v>4</v>
          </cell>
          <cell r="AD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</row>
        <row r="127">
          <cell r="C127">
            <v>37718</v>
          </cell>
          <cell r="D127">
            <v>37719</v>
          </cell>
          <cell r="E127">
            <v>37719</v>
          </cell>
          <cell r="F127">
            <v>0.45833333333333331</v>
          </cell>
          <cell r="G127" t="str">
            <v>Perfiladora Fagor Montantes</v>
          </cell>
          <cell r="H127" t="str">
            <v>Verificar Sensor Mesa Saída</v>
          </cell>
          <cell r="I127" t="str">
            <v>Corretiva</v>
          </cell>
          <cell r="J127" t="str">
            <v>Sim</v>
          </cell>
          <cell r="K127" t="str">
            <v>Elétrica</v>
          </cell>
          <cell r="L127" t="str">
            <v>Verificação dos sensores do êmbolo pneumático e limpeza do sensor do poço</v>
          </cell>
          <cell r="M127" t="str">
            <v>Sujeira em excesso</v>
          </cell>
          <cell r="N127">
            <v>37719</v>
          </cell>
          <cell r="O127">
            <v>0.45833333333333331</v>
          </cell>
          <cell r="P127">
            <v>37719</v>
          </cell>
          <cell r="Q127">
            <v>0.45833333333333331</v>
          </cell>
          <cell r="T127">
            <v>37719</v>
          </cell>
          <cell r="U127">
            <v>0.5</v>
          </cell>
          <cell r="V127">
            <v>37719</v>
          </cell>
          <cell r="W127">
            <v>0.5</v>
          </cell>
          <cell r="X127">
            <v>4.1666666666666685E-2</v>
          </cell>
          <cell r="Y127">
            <v>4.1666666666666685E-2</v>
          </cell>
          <cell r="AB127">
            <v>4</v>
          </cell>
          <cell r="AC127">
            <v>4</v>
          </cell>
          <cell r="AD127" t="str">
            <v>S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4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</row>
        <row r="128">
          <cell r="C128">
            <v>37718</v>
          </cell>
          <cell r="D128">
            <v>37727</v>
          </cell>
          <cell r="E128">
            <v>37726</v>
          </cell>
          <cell r="F128">
            <v>0.51388888888888895</v>
          </cell>
          <cell r="G128" t="str">
            <v>Perfiladora Fagor Montantes</v>
          </cell>
          <cell r="H128" t="str">
            <v>Painel acusa falha no Filtro Hidráulico da Cortadeira</v>
          </cell>
          <cell r="I128" t="str">
            <v>Corretiva</v>
          </cell>
          <cell r="J128" t="str">
            <v>Sim</v>
          </cell>
          <cell r="K128" t="str">
            <v>Mecânica</v>
          </cell>
          <cell r="L128" t="str">
            <v>Substituição do(s) Componente(s)</v>
          </cell>
          <cell r="M128" t="str">
            <v>Desgaste / Fadiga</v>
          </cell>
          <cell r="N128">
            <v>37726</v>
          </cell>
          <cell r="O128">
            <v>0.51388888888888895</v>
          </cell>
          <cell r="P128">
            <v>37726</v>
          </cell>
          <cell r="Q128">
            <v>0.51388888888888895</v>
          </cell>
          <cell r="T128">
            <v>37726</v>
          </cell>
          <cell r="U128">
            <v>0.52777777777777779</v>
          </cell>
          <cell r="V128">
            <v>37726</v>
          </cell>
          <cell r="W128">
            <v>0.52777777777777779</v>
          </cell>
          <cell r="X128">
            <v>1.388888888888884E-2</v>
          </cell>
          <cell r="Y128">
            <v>1.3888888892122586E-2</v>
          </cell>
          <cell r="AB128">
            <v>4</v>
          </cell>
          <cell r="AC128">
            <v>4</v>
          </cell>
          <cell r="AD128" t="str">
            <v>S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4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</row>
        <row r="129">
          <cell r="C129">
            <v>37718</v>
          </cell>
          <cell r="D129">
            <v>37735</v>
          </cell>
          <cell r="E129">
            <v>37734</v>
          </cell>
          <cell r="F129">
            <v>0.375</v>
          </cell>
          <cell r="G129" t="str">
            <v>Perfiladora Fagor Montantes</v>
          </cell>
          <cell r="H129" t="str">
            <v>Guia de chapa torto</v>
          </cell>
          <cell r="I129" t="str">
            <v>Corretiva</v>
          </cell>
          <cell r="J129" t="str">
            <v>Não</v>
          </cell>
          <cell r="K129" t="str">
            <v>Mecânica</v>
          </cell>
          <cell r="L129" t="str">
            <v>Substituição do(s) Componente(s)</v>
          </cell>
          <cell r="M129" t="str">
            <v>Falha Operacional</v>
          </cell>
          <cell r="N129">
            <v>37734</v>
          </cell>
          <cell r="O129">
            <v>0.375</v>
          </cell>
          <cell r="P129">
            <v>37734</v>
          </cell>
          <cell r="Q129">
            <v>0.375</v>
          </cell>
          <cell r="T129">
            <v>37734</v>
          </cell>
          <cell r="U129">
            <v>0.47916666666666669</v>
          </cell>
          <cell r="V129">
            <v>37734</v>
          </cell>
          <cell r="W129">
            <v>0.47916666666666669</v>
          </cell>
          <cell r="X129">
            <v>0.10416666666424135</v>
          </cell>
          <cell r="Y129">
            <v>0.10416666666424135</v>
          </cell>
          <cell r="AB129">
            <v>4</v>
          </cell>
          <cell r="AC129">
            <v>4</v>
          </cell>
          <cell r="AD129" t="str">
            <v>N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4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</row>
        <row r="130">
          <cell r="C130">
            <v>37718</v>
          </cell>
          <cell r="D130">
            <v>37775</v>
          </cell>
          <cell r="E130">
            <v>37771</v>
          </cell>
          <cell r="F130">
            <v>0.41666666666666669</v>
          </cell>
          <cell r="G130" t="str">
            <v>Perfiladora Fagor Montantes</v>
          </cell>
          <cell r="H130" t="str">
            <v>Trocar rolamento do rolo</v>
          </cell>
          <cell r="I130" t="str">
            <v>Corretiva</v>
          </cell>
          <cell r="J130" t="str">
            <v>Não</v>
          </cell>
          <cell r="K130" t="str">
            <v>Mecânica</v>
          </cell>
          <cell r="L130" t="str">
            <v>Substituição do(s) Componente(s)</v>
          </cell>
          <cell r="M130" t="str">
            <v>Desgaste / Fadiga</v>
          </cell>
          <cell r="N130">
            <v>37771</v>
          </cell>
          <cell r="O130">
            <v>0.5</v>
          </cell>
          <cell r="P130">
            <v>37771</v>
          </cell>
          <cell r="Q130">
            <v>0.57291666666666663</v>
          </cell>
          <cell r="R130">
            <v>37774</v>
          </cell>
          <cell r="S130">
            <v>0.35416666666666669</v>
          </cell>
          <cell r="T130">
            <v>37774</v>
          </cell>
          <cell r="U130">
            <v>0.375</v>
          </cell>
          <cell r="V130">
            <v>0</v>
          </cell>
          <cell r="W130">
            <v>9.3749999999999944E-2</v>
          </cell>
          <cell r="X130">
            <v>9.3749999999999944E-2</v>
          </cell>
          <cell r="Y130" t="str">
            <v>Foi desmontado o rolo, retirado o rolamento, e confeccionada nova peça.</v>
          </cell>
          <cell r="AB130">
            <v>6</v>
          </cell>
          <cell r="AC130">
            <v>4</v>
          </cell>
          <cell r="AD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6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</row>
        <row r="131">
          <cell r="C131">
            <v>37718</v>
          </cell>
          <cell r="D131">
            <v>37803</v>
          </cell>
          <cell r="E131">
            <v>37777</v>
          </cell>
          <cell r="F131">
            <v>0.33333333333333331</v>
          </cell>
          <cell r="G131" t="str">
            <v>Perfiladora Fagor Montantes</v>
          </cell>
          <cell r="H131" t="str">
            <v>Falha no CNC de corte</v>
          </cell>
          <cell r="I131" t="str">
            <v>Corretiva</v>
          </cell>
          <cell r="J131" t="str">
            <v>Sim</v>
          </cell>
          <cell r="K131" t="str">
            <v>Elétrica</v>
          </cell>
          <cell r="L131" t="str">
            <v>Substituição do(s) Componente(s)</v>
          </cell>
          <cell r="M131" t="str">
            <v>Desgaste / Fadiga</v>
          </cell>
          <cell r="N131">
            <v>37777</v>
          </cell>
          <cell r="O131">
            <v>0.33333333333333331</v>
          </cell>
          <cell r="P131">
            <v>37777</v>
          </cell>
          <cell r="Q131">
            <v>0.33333333333333331</v>
          </cell>
          <cell r="T131">
            <v>37777</v>
          </cell>
          <cell r="U131">
            <v>0.72916666666666663</v>
          </cell>
          <cell r="V131">
            <v>37777</v>
          </cell>
          <cell r="W131">
            <v>0.72916666666666663</v>
          </cell>
          <cell r="X131">
            <v>0.35416666666666663</v>
          </cell>
          <cell r="Y131">
            <v>0.35416666666424135</v>
          </cell>
          <cell r="AB131">
            <v>6</v>
          </cell>
          <cell r="AC131">
            <v>4</v>
          </cell>
          <cell r="AD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6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</row>
        <row r="132">
          <cell r="C132">
            <v>37718</v>
          </cell>
          <cell r="D132">
            <v>37785</v>
          </cell>
          <cell r="E132">
            <v>37784</v>
          </cell>
          <cell r="F132">
            <v>0.58333333333333337</v>
          </cell>
          <cell r="G132" t="str">
            <v>Perfiladora Fagor Montantes</v>
          </cell>
          <cell r="H132" t="str">
            <v>Falha no CNC de corte</v>
          </cell>
          <cell r="I132" t="str">
            <v>Corretiva</v>
          </cell>
          <cell r="J132" t="str">
            <v>Sim</v>
          </cell>
          <cell r="K132" t="str">
            <v>Elétrica</v>
          </cell>
          <cell r="L132" t="str">
            <v>Regulagem do sensor e regulagem mecânica da máquina</v>
          </cell>
          <cell r="M132" t="str">
            <v>Falha de Montagem / Preparação</v>
          </cell>
          <cell r="N132">
            <v>37784</v>
          </cell>
          <cell r="O132">
            <v>0.58333333333333337</v>
          </cell>
          <cell r="P132">
            <v>37784</v>
          </cell>
          <cell r="Q132">
            <v>0.58333333333333337</v>
          </cell>
          <cell r="T132">
            <v>37784</v>
          </cell>
          <cell r="U132">
            <v>0.65277777777777779</v>
          </cell>
          <cell r="V132">
            <v>37784</v>
          </cell>
          <cell r="W132">
            <v>0.65277777777777779</v>
          </cell>
          <cell r="X132">
            <v>6.944444444444442E-2</v>
          </cell>
          <cell r="Y132">
            <v>6.9444444447678166E-2</v>
          </cell>
          <cell r="AB132">
            <v>6</v>
          </cell>
          <cell r="AC132">
            <v>4</v>
          </cell>
          <cell r="AD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6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</row>
        <row r="133">
          <cell r="C133">
            <v>37718</v>
          </cell>
          <cell r="D133">
            <v>37803</v>
          </cell>
          <cell r="E133">
            <v>37798</v>
          </cell>
          <cell r="F133">
            <v>0.36805555555555558</v>
          </cell>
          <cell r="G133" t="str">
            <v>Perfiladora Fagor Montantes</v>
          </cell>
          <cell r="H133" t="str">
            <v>Excentricidade da chapa durante o processo</v>
          </cell>
          <cell r="I133" t="str">
            <v>Corretiva</v>
          </cell>
          <cell r="J133" t="str">
            <v>Sim</v>
          </cell>
          <cell r="K133" t="str">
            <v>Mecânica</v>
          </cell>
          <cell r="L133" t="str">
            <v>Regulagem das guias da chapa</v>
          </cell>
          <cell r="M133" t="str">
            <v>Falha de Regulagem / Configuração / Dimensionamento</v>
          </cell>
          <cell r="N133">
            <v>37798</v>
          </cell>
          <cell r="O133">
            <v>0.375</v>
          </cell>
          <cell r="P133">
            <v>37798</v>
          </cell>
          <cell r="Q133">
            <v>0.375</v>
          </cell>
          <cell r="T133">
            <v>37798</v>
          </cell>
          <cell r="U133">
            <v>0.40972222222222227</v>
          </cell>
          <cell r="V133">
            <v>37798</v>
          </cell>
          <cell r="W133">
            <v>0.40972222222222227</v>
          </cell>
          <cell r="X133">
            <v>3.4722222222222265E-2</v>
          </cell>
          <cell r="Y133">
            <v>3.4722222218988463E-2</v>
          </cell>
          <cell r="AB133">
            <v>6</v>
          </cell>
          <cell r="AC133">
            <v>4</v>
          </cell>
          <cell r="AD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6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</row>
        <row r="134">
          <cell r="C134">
            <v>37718</v>
          </cell>
          <cell r="D134">
            <v>37858</v>
          </cell>
          <cell r="E134">
            <v>37819</v>
          </cell>
          <cell r="F134">
            <v>0.35416666666666669</v>
          </cell>
          <cell r="G134" t="str">
            <v>Perfiladora Fagor Montantes</v>
          </cell>
          <cell r="H134" t="str">
            <v>Falha no Encoder</v>
          </cell>
          <cell r="I134" t="str">
            <v>Corretiva</v>
          </cell>
          <cell r="J134" t="str">
            <v>Sim</v>
          </cell>
          <cell r="K134" t="str">
            <v>Elétrica</v>
          </cell>
          <cell r="L134" t="str">
            <v>Substituição do(s) Componente(s)</v>
          </cell>
          <cell r="M134" t="str">
            <v>Falha de Comando / Sistema</v>
          </cell>
          <cell r="N134">
            <v>37819</v>
          </cell>
          <cell r="O134">
            <v>0.35416666666666669</v>
          </cell>
          <cell r="P134">
            <v>37819</v>
          </cell>
          <cell r="Q134">
            <v>0.35416666666666669</v>
          </cell>
          <cell r="T134">
            <v>37819</v>
          </cell>
          <cell r="U134">
            <v>0.39583333333333331</v>
          </cell>
          <cell r="V134">
            <v>37819</v>
          </cell>
          <cell r="W134">
            <v>0.39583333333333331</v>
          </cell>
          <cell r="X134">
            <v>4.166666666666663E-2</v>
          </cell>
          <cell r="Y134">
            <v>4.1666666669091967E-2</v>
          </cell>
          <cell r="AB134">
            <v>7</v>
          </cell>
          <cell r="AC134">
            <v>4</v>
          </cell>
          <cell r="AD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7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</row>
        <row r="135">
          <cell r="C135">
            <v>37718</v>
          </cell>
          <cell r="D135">
            <v>37831</v>
          </cell>
          <cell r="E135">
            <v>37819</v>
          </cell>
          <cell r="F135">
            <v>0.33333333333333331</v>
          </cell>
          <cell r="G135" t="str">
            <v>Perfiladora Fagor Montantes</v>
          </cell>
          <cell r="H135" t="str">
            <v>Rolamento do guia da prensa roldana travando</v>
          </cell>
          <cell r="I135" t="str">
            <v>Corretiva</v>
          </cell>
          <cell r="J135" t="str">
            <v>Não</v>
          </cell>
          <cell r="K135" t="str">
            <v>Mecânica</v>
          </cell>
          <cell r="L135" t="str">
            <v>Ajuste / Regulagem</v>
          </cell>
          <cell r="M135" t="str">
            <v>Falha de Regulagem / Configuração / Dimensionamento</v>
          </cell>
          <cell r="N135">
            <v>37819</v>
          </cell>
          <cell r="O135">
            <v>0.33333333333333331</v>
          </cell>
          <cell r="P135">
            <v>37819</v>
          </cell>
          <cell r="Q135">
            <v>0.33333333333333331</v>
          </cell>
          <cell r="T135">
            <v>37819</v>
          </cell>
          <cell r="U135">
            <v>0.41666666666666669</v>
          </cell>
          <cell r="V135">
            <v>37819</v>
          </cell>
          <cell r="W135">
            <v>0.41666666666666669</v>
          </cell>
          <cell r="X135">
            <v>8.3333333330908033E-2</v>
          </cell>
          <cell r="Y135">
            <v>8.3333333330908033E-2</v>
          </cell>
          <cell r="AB135">
            <v>7</v>
          </cell>
          <cell r="AC135">
            <v>4</v>
          </cell>
          <cell r="AD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7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</row>
        <row r="136">
          <cell r="C136">
            <v>37718</v>
          </cell>
          <cell r="D136">
            <v>37902</v>
          </cell>
          <cell r="E136">
            <v>37896</v>
          </cell>
          <cell r="F136">
            <v>0.58333333333333337</v>
          </cell>
          <cell r="G136" t="str">
            <v>Perfiladora Fagor Montantes</v>
          </cell>
          <cell r="H136" t="str">
            <v>Suporte do sensor do fosso de entrada da prensa está solto</v>
          </cell>
          <cell r="I136" t="str">
            <v>Corretiva</v>
          </cell>
          <cell r="J136" t="str">
            <v>Não</v>
          </cell>
          <cell r="K136" t="str">
            <v>Mecânica</v>
          </cell>
          <cell r="L136" t="str">
            <v>Reparo</v>
          </cell>
          <cell r="M136" t="str">
            <v>Causa não especificada</v>
          </cell>
          <cell r="N136">
            <v>37896</v>
          </cell>
          <cell r="O136">
            <v>0.83333333333333337</v>
          </cell>
          <cell r="P136">
            <v>37896</v>
          </cell>
          <cell r="Q136">
            <v>0.83333333333333337</v>
          </cell>
          <cell r="T136">
            <v>37896</v>
          </cell>
          <cell r="U136">
            <v>0.9375</v>
          </cell>
          <cell r="V136">
            <v>37896</v>
          </cell>
          <cell r="W136">
            <v>0.9375</v>
          </cell>
          <cell r="X136">
            <v>0.10416666666666663</v>
          </cell>
          <cell r="Y136">
            <v>0.10416666666666663</v>
          </cell>
          <cell r="AB136">
            <v>10</v>
          </cell>
          <cell r="AC136">
            <v>4</v>
          </cell>
          <cell r="AD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10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</row>
        <row r="137">
          <cell r="C137">
            <v>37718</v>
          </cell>
          <cell r="D137">
            <v>37753</v>
          </cell>
          <cell r="E137">
            <v>37753</v>
          </cell>
          <cell r="F137">
            <v>0.375</v>
          </cell>
          <cell r="G137" t="str">
            <v>Prensa Jundiaí Conectores</v>
          </cell>
          <cell r="H137" t="str">
            <v>Fazer pino guia para chapa, pois a mesma está saindo do sensor</v>
          </cell>
          <cell r="I137" t="str">
            <v>Melhoria</v>
          </cell>
          <cell r="J137" t="str">
            <v>Não</v>
          </cell>
          <cell r="K137" t="str">
            <v>Mecânica</v>
          </cell>
          <cell r="L137" t="str">
            <v>Foram confeccionadas 02 chapas para guiar a chapa da bobina</v>
          </cell>
          <cell r="M137" t="str">
            <v>Melhoria Técnica</v>
          </cell>
          <cell r="N137">
            <v>37756</v>
          </cell>
          <cell r="O137">
            <v>0.33333333333333331</v>
          </cell>
          <cell r="P137">
            <v>37756</v>
          </cell>
          <cell r="Q137">
            <v>0.33333333333333331</v>
          </cell>
          <cell r="T137">
            <v>37756</v>
          </cell>
          <cell r="U137">
            <v>0.41666666666666669</v>
          </cell>
          <cell r="V137">
            <v>37756</v>
          </cell>
          <cell r="W137">
            <v>0.41666666666666669</v>
          </cell>
          <cell r="X137">
            <v>8.3333333330908033E-2</v>
          </cell>
          <cell r="Y137">
            <v>8.3333333330908033E-2</v>
          </cell>
          <cell r="AB137">
            <v>5</v>
          </cell>
          <cell r="AC137">
            <v>4</v>
          </cell>
          <cell r="AD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5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</row>
        <row r="138">
          <cell r="C138">
            <v>37718</v>
          </cell>
          <cell r="D138">
            <v>37753</v>
          </cell>
          <cell r="E138">
            <v>37753</v>
          </cell>
          <cell r="F138">
            <v>0.33333333333333331</v>
          </cell>
          <cell r="G138" t="str">
            <v>Prensa Jundiaí Conectores</v>
          </cell>
          <cell r="H138" t="str">
            <v>Chaveta espanada do Rodilho da chapa</v>
          </cell>
          <cell r="I138" t="str">
            <v>Corretiva</v>
          </cell>
          <cell r="J138" t="str">
            <v>Não</v>
          </cell>
          <cell r="K138" t="str">
            <v>Mecânica</v>
          </cell>
          <cell r="L138" t="str">
            <v>Soldagem de porca para fixação por chave</v>
          </cell>
          <cell r="M138" t="str">
            <v>Defeito de Fabricação</v>
          </cell>
          <cell r="N138">
            <v>37756</v>
          </cell>
          <cell r="O138">
            <v>0.33333333333333331</v>
          </cell>
          <cell r="P138">
            <v>37756</v>
          </cell>
          <cell r="Q138">
            <v>0.33333333333333331</v>
          </cell>
          <cell r="T138">
            <v>37756</v>
          </cell>
          <cell r="U138">
            <v>0.38194444444444442</v>
          </cell>
          <cell r="V138">
            <v>37756</v>
          </cell>
          <cell r="W138">
            <v>0.38194444444444442</v>
          </cell>
          <cell r="X138">
            <v>4.8611111111919569E-2</v>
          </cell>
          <cell r="Y138">
            <v>4.8611111111919569E-2</v>
          </cell>
          <cell r="AB138">
            <v>5</v>
          </cell>
          <cell r="AC138">
            <v>4</v>
          </cell>
          <cell r="AD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5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</row>
        <row r="139">
          <cell r="C139">
            <v>37718</v>
          </cell>
          <cell r="D139">
            <v>37762</v>
          </cell>
          <cell r="E139">
            <v>37761</v>
          </cell>
          <cell r="F139">
            <v>0.69791666666666663</v>
          </cell>
          <cell r="G139" t="str">
            <v>Prensa Jundiaí Conectores</v>
          </cell>
          <cell r="H139" t="str">
            <v>Painel elétrico não liga</v>
          </cell>
          <cell r="I139" t="str">
            <v>Corretiva</v>
          </cell>
          <cell r="J139" t="str">
            <v>Sim</v>
          </cell>
          <cell r="K139" t="str">
            <v>Elétrica</v>
          </cell>
          <cell r="L139" t="str">
            <v>Ajuste / Regulagem</v>
          </cell>
          <cell r="M139" t="str">
            <v>Mau contato</v>
          </cell>
          <cell r="N139">
            <v>37761</v>
          </cell>
          <cell r="O139">
            <v>0.69791666666666663</v>
          </cell>
          <cell r="P139">
            <v>37761</v>
          </cell>
          <cell r="Q139">
            <v>0.75</v>
          </cell>
          <cell r="R139">
            <v>37762</v>
          </cell>
          <cell r="S139">
            <v>0.33333333333333331</v>
          </cell>
          <cell r="T139">
            <v>37762</v>
          </cell>
          <cell r="U139">
            <v>0.44791666666666669</v>
          </cell>
          <cell r="V139">
            <v>0</v>
          </cell>
          <cell r="W139">
            <v>0.16666666666666674</v>
          </cell>
          <cell r="X139">
            <v>0.16666666666666674</v>
          </cell>
          <cell r="Y139">
            <v>0.16666666666666674</v>
          </cell>
          <cell r="AB139">
            <v>5</v>
          </cell>
          <cell r="AC139">
            <v>4</v>
          </cell>
          <cell r="AD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5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</row>
        <row r="140">
          <cell r="C140">
            <v>37718</v>
          </cell>
          <cell r="D140">
            <v>37767</v>
          </cell>
          <cell r="E140">
            <v>37764</v>
          </cell>
          <cell r="F140">
            <v>0.4513888888888889</v>
          </cell>
          <cell r="G140" t="str">
            <v>Prensa Jundiaí Conectores</v>
          </cell>
          <cell r="H140" t="str">
            <v>Chave geral do painel está solta</v>
          </cell>
          <cell r="I140" t="str">
            <v>Corretiva</v>
          </cell>
          <cell r="J140" t="str">
            <v>Não</v>
          </cell>
          <cell r="K140" t="str">
            <v>Elétrica</v>
          </cell>
          <cell r="L140" t="str">
            <v>Reparo</v>
          </cell>
          <cell r="M140" t="str">
            <v>Vibração</v>
          </cell>
          <cell r="N140">
            <v>37764</v>
          </cell>
          <cell r="O140">
            <v>0.45833333333333331</v>
          </cell>
          <cell r="P140">
            <v>37764</v>
          </cell>
          <cell r="Q140">
            <v>0.45833333333333331</v>
          </cell>
          <cell r="T140">
            <v>37764</v>
          </cell>
          <cell r="U140">
            <v>0.46875</v>
          </cell>
          <cell r="V140">
            <v>37764</v>
          </cell>
          <cell r="W140">
            <v>0.46875</v>
          </cell>
          <cell r="X140">
            <v>1.0416666666666685E-2</v>
          </cell>
          <cell r="Y140">
            <v>1.0416666666666685E-2</v>
          </cell>
          <cell r="AB140">
            <v>5</v>
          </cell>
          <cell r="AC140">
            <v>4</v>
          </cell>
          <cell r="AD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5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</row>
        <row r="141">
          <cell r="C141">
            <v>37718</v>
          </cell>
          <cell r="D141">
            <v>37769</v>
          </cell>
          <cell r="E141">
            <v>37767</v>
          </cell>
          <cell r="F141">
            <v>0.72916666666666663</v>
          </cell>
          <cell r="G141" t="str">
            <v>Prensa Jundiaí Conectores</v>
          </cell>
          <cell r="H141" t="str">
            <v>Chaveta do Rodilho quebrada</v>
          </cell>
          <cell r="I141" t="str">
            <v>Corretiva</v>
          </cell>
          <cell r="J141" t="str">
            <v>Sim</v>
          </cell>
          <cell r="K141" t="str">
            <v>Mecânica</v>
          </cell>
          <cell r="L141" t="str">
            <v>Melhoria no Sistema de Fixação</v>
          </cell>
          <cell r="M141" t="str">
            <v>Causa não especificada</v>
          </cell>
          <cell r="N141">
            <v>37767</v>
          </cell>
          <cell r="O141">
            <v>0.72916666666666663</v>
          </cell>
          <cell r="P141">
            <v>37767</v>
          </cell>
          <cell r="Q141">
            <v>0.72916666666666663</v>
          </cell>
          <cell r="T141">
            <v>37767</v>
          </cell>
          <cell r="U141">
            <v>0.75</v>
          </cell>
          <cell r="V141">
            <v>37767</v>
          </cell>
          <cell r="W141">
            <v>0.75</v>
          </cell>
          <cell r="X141">
            <v>2.083333333333337E-2</v>
          </cell>
          <cell r="Y141">
            <v>2.083333333333337E-2</v>
          </cell>
          <cell r="AB141">
            <v>5</v>
          </cell>
          <cell r="AC141">
            <v>4</v>
          </cell>
          <cell r="AD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5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</row>
        <row r="142">
          <cell r="C142">
            <v>37718</v>
          </cell>
          <cell r="D142">
            <v>37819</v>
          </cell>
          <cell r="E142">
            <v>37768</v>
          </cell>
          <cell r="F142">
            <v>0.47916666666666669</v>
          </cell>
          <cell r="G142" t="str">
            <v>Prensa Jundiaí Conectores</v>
          </cell>
          <cell r="H142" t="str">
            <v>Motor não mantém velocidade do golpe</v>
          </cell>
          <cell r="I142" t="str">
            <v>Corretiva</v>
          </cell>
          <cell r="J142" t="str">
            <v>Sim</v>
          </cell>
          <cell r="K142" t="str">
            <v>Mecânica</v>
          </cell>
          <cell r="L142" t="str">
            <v>Reaperto dos componentes</v>
          </cell>
          <cell r="M142" t="str">
            <v>Vibração</v>
          </cell>
          <cell r="N142">
            <v>37768</v>
          </cell>
          <cell r="O142">
            <v>0.47916666666666669</v>
          </cell>
          <cell r="P142">
            <v>37768</v>
          </cell>
          <cell r="Q142">
            <v>0.47916666666666669</v>
          </cell>
          <cell r="T142">
            <v>37768</v>
          </cell>
          <cell r="U142">
            <v>0.69444444444444453</v>
          </cell>
          <cell r="V142">
            <v>37768</v>
          </cell>
          <cell r="W142">
            <v>0.69444444444444453</v>
          </cell>
          <cell r="X142">
            <v>0.21527777777777785</v>
          </cell>
          <cell r="Y142">
            <v>0.2152777777785862</v>
          </cell>
          <cell r="AB142">
            <v>5</v>
          </cell>
          <cell r="AC142">
            <v>4</v>
          </cell>
          <cell r="AD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5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</row>
        <row r="143">
          <cell r="C143">
            <v>37718</v>
          </cell>
          <cell r="D143">
            <v>37783</v>
          </cell>
          <cell r="E143">
            <v>37778</v>
          </cell>
          <cell r="F143">
            <v>0.47916666666666669</v>
          </cell>
          <cell r="G143" t="str">
            <v>Prensa Jundiaí Conectores</v>
          </cell>
          <cell r="H143" t="str">
            <v>Ocorre ligeiro travamento da chaveta no desbobinador</v>
          </cell>
          <cell r="I143" t="str">
            <v>Corretiva</v>
          </cell>
          <cell r="J143" t="str">
            <v>Não</v>
          </cell>
          <cell r="K143" t="str">
            <v>Mecânica</v>
          </cell>
          <cell r="L143" t="str">
            <v>O componente foi lixado / ajustado</v>
          </cell>
          <cell r="M143" t="str">
            <v>Falha de Regulagem / Configuração / Dimensionamento</v>
          </cell>
          <cell r="N143">
            <v>37778</v>
          </cell>
          <cell r="O143">
            <v>0.47916666666666669</v>
          </cell>
          <cell r="P143">
            <v>37778</v>
          </cell>
          <cell r="Q143">
            <v>0.47916666666666669</v>
          </cell>
          <cell r="T143">
            <v>37778</v>
          </cell>
          <cell r="U143">
            <v>0.53472222222222221</v>
          </cell>
          <cell r="V143">
            <v>37778</v>
          </cell>
          <cell r="W143">
            <v>0.53472222222222221</v>
          </cell>
          <cell r="X143">
            <v>5.5555555552321778E-2</v>
          </cell>
          <cell r="Y143">
            <v>5.5555555552321778E-2</v>
          </cell>
          <cell r="AB143">
            <v>6</v>
          </cell>
          <cell r="AC143">
            <v>4</v>
          </cell>
          <cell r="AD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6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</row>
        <row r="144">
          <cell r="C144">
            <v>37718</v>
          </cell>
          <cell r="D144">
            <v>37803</v>
          </cell>
          <cell r="E144">
            <v>37795</v>
          </cell>
          <cell r="F144">
            <v>0.375</v>
          </cell>
          <cell r="G144" t="str">
            <v>Prensa Jundiaí Conectores</v>
          </cell>
          <cell r="H144" t="str">
            <v>Conexão de Ar Comprimido quebrada</v>
          </cell>
          <cell r="I144" t="str">
            <v>Corretiva</v>
          </cell>
          <cell r="J144" t="str">
            <v>Não</v>
          </cell>
          <cell r="K144" t="str">
            <v>Mecânica</v>
          </cell>
          <cell r="L144" t="str">
            <v>Substituição do(s) Componente(s)</v>
          </cell>
          <cell r="M144" t="str">
            <v>Defeito de Fabricação</v>
          </cell>
          <cell r="N144">
            <v>37795</v>
          </cell>
          <cell r="O144">
            <v>0.375</v>
          </cell>
          <cell r="P144">
            <v>37795</v>
          </cell>
          <cell r="Q144">
            <v>0.375</v>
          </cell>
          <cell r="T144">
            <v>37795</v>
          </cell>
          <cell r="U144">
            <v>0.39930555555555558</v>
          </cell>
          <cell r="V144">
            <v>37795</v>
          </cell>
          <cell r="W144">
            <v>0.39930555555555558</v>
          </cell>
          <cell r="X144">
            <v>2.4305555554747116E-2</v>
          </cell>
          <cell r="Y144">
            <v>2.4305555554747116E-2</v>
          </cell>
          <cell r="AB144">
            <v>6</v>
          </cell>
          <cell r="AC144">
            <v>4</v>
          </cell>
          <cell r="AD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6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</row>
        <row r="145">
          <cell r="C145">
            <v>37718</v>
          </cell>
          <cell r="D145">
            <v>37803</v>
          </cell>
          <cell r="E145">
            <v>37796</v>
          </cell>
          <cell r="F145">
            <v>0.45833333333333331</v>
          </cell>
          <cell r="G145" t="str">
            <v>Prensa Jundiaí Conectores</v>
          </cell>
          <cell r="H145" t="str">
            <v>Cabo de Fibra Óptica está rompido</v>
          </cell>
          <cell r="I145" t="str">
            <v>Corretiva</v>
          </cell>
          <cell r="J145" t="str">
            <v>Não</v>
          </cell>
          <cell r="K145" t="str">
            <v>Elétrica</v>
          </cell>
          <cell r="L145" t="str">
            <v>Substituição do(s) Componente(s)</v>
          </cell>
          <cell r="M145" t="str">
            <v>Causa não especificada</v>
          </cell>
          <cell r="N145">
            <v>37796</v>
          </cell>
          <cell r="O145">
            <v>0.45833333333333331</v>
          </cell>
          <cell r="P145">
            <v>37796</v>
          </cell>
          <cell r="Q145">
            <v>0.45833333333333331</v>
          </cell>
          <cell r="T145">
            <v>37796</v>
          </cell>
          <cell r="U145">
            <v>0.5</v>
          </cell>
          <cell r="V145">
            <v>37796</v>
          </cell>
          <cell r="W145">
            <v>0.5</v>
          </cell>
          <cell r="X145">
            <v>4.1666666666666685E-2</v>
          </cell>
          <cell r="Y145">
            <v>4.1666666666666685E-2</v>
          </cell>
          <cell r="AB145">
            <v>6</v>
          </cell>
          <cell r="AC145">
            <v>4</v>
          </cell>
          <cell r="AD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6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</row>
        <row r="146">
          <cell r="C146">
            <v>37718</v>
          </cell>
          <cell r="D146">
            <v>37838</v>
          </cell>
          <cell r="E146">
            <v>37830</v>
          </cell>
          <cell r="F146">
            <v>0.55208333333333337</v>
          </cell>
          <cell r="G146" t="str">
            <v>Prensa Jundiaí Conectores</v>
          </cell>
          <cell r="H146" t="str">
            <v>Calço do motor principal quebrado</v>
          </cell>
          <cell r="I146" t="str">
            <v>Corretiva</v>
          </cell>
          <cell r="J146" t="str">
            <v>Sim</v>
          </cell>
          <cell r="K146" t="str">
            <v>Mecânica</v>
          </cell>
          <cell r="L146" t="str">
            <v>Substituição do(s) Componente(s)</v>
          </cell>
          <cell r="M146" t="str">
            <v>Vibração</v>
          </cell>
          <cell r="N146">
            <v>37830</v>
          </cell>
          <cell r="O146">
            <v>0.58333333333333337</v>
          </cell>
          <cell r="P146">
            <v>37830</v>
          </cell>
          <cell r="Q146">
            <v>0.58333333333333337</v>
          </cell>
          <cell r="T146">
            <v>37831</v>
          </cell>
          <cell r="U146">
            <v>0.66666666666666663</v>
          </cell>
          <cell r="V146">
            <v>37831</v>
          </cell>
          <cell r="W146">
            <v>0.66666666666666663</v>
          </cell>
          <cell r="X146">
            <v>0.45833333333333326</v>
          </cell>
          <cell r="Y146">
            <v>0.45833333333090787</v>
          </cell>
          <cell r="AB146">
            <v>7</v>
          </cell>
          <cell r="AC146">
            <v>4</v>
          </cell>
          <cell r="AD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7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</row>
        <row r="147">
          <cell r="C147">
            <v>37718</v>
          </cell>
          <cell r="D147">
            <v>37756</v>
          </cell>
          <cell r="E147">
            <v>37753</v>
          </cell>
          <cell r="F147">
            <v>0.44791666666666669</v>
          </cell>
          <cell r="G147" t="str">
            <v>Serra Elétrica Circular</v>
          </cell>
          <cell r="H147" t="str">
            <v>Serra não liga</v>
          </cell>
          <cell r="I147" t="str">
            <v>Corretiva</v>
          </cell>
          <cell r="J147" t="str">
            <v>Sim</v>
          </cell>
          <cell r="K147" t="str">
            <v>Elétrica</v>
          </cell>
          <cell r="L147" t="str">
            <v>Foi realizada manutenção no motor por terceiros, pois o mesmo encontrava-se queimado</v>
          </cell>
          <cell r="M147" t="str">
            <v>Sobrecarga</v>
          </cell>
          <cell r="N147">
            <v>37753</v>
          </cell>
          <cell r="O147">
            <v>0.47916666666666669</v>
          </cell>
          <cell r="P147">
            <v>37753</v>
          </cell>
          <cell r="Q147">
            <v>0.5625</v>
          </cell>
          <cell r="R147">
            <v>37754</v>
          </cell>
          <cell r="S147">
            <v>0.40972222222222227</v>
          </cell>
          <cell r="T147">
            <v>37754</v>
          </cell>
          <cell r="U147">
            <v>0.49305555555555558</v>
          </cell>
          <cell r="V147">
            <v>3.125E-2</v>
          </cell>
          <cell r="W147">
            <v>0.19791666666666663</v>
          </cell>
          <cell r="X147">
            <v>0.16666666666666663</v>
          </cell>
          <cell r="Y147" t="str">
            <v>Sobrecarga no motor</v>
          </cell>
          <cell r="AB147">
            <v>5</v>
          </cell>
          <cell r="AC147">
            <v>4</v>
          </cell>
          <cell r="AD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5</v>
          </cell>
        </row>
        <row r="148">
          <cell r="C148">
            <v>37718</v>
          </cell>
          <cell r="D148">
            <v>37756</v>
          </cell>
          <cell r="E148">
            <v>37753</v>
          </cell>
          <cell r="F148">
            <v>0.70833333333333337</v>
          </cell>
          <cell r="G148" t="str">
            <v>Perfiladora Zikeli</v>
          </cell>
          <cell r="H148" t="str">
            <v>Desligamento na chave geral</v>
          </cell>
          <cell r="I148" t="str">
            <v>Corretiva</v>
          </cell>
          <cell r="J148" t="str">
            <v>Sim</v>
          </cell>
          <cell r="K148" t="str">
            <v>Elétrica</v>
          </cell>
          <cell r="L148" t="str">
            <v>Reparo</v>
          </cell>
          <cell r="M148" t="str">
            <v>Sobrecarga</v>
          </cell>
          <cell r="N148">
            <v>37754</v>
          </cell>
          <cell r="O148">
            <v>0.36805555555555558</v>
          </cell>
          <cell r="P148">
            <v>37754</v>
          </cell>
          <cell r="Q148">
            <v>0.36805555555555558</v>
          </cell>
          <cell r="T148">
            <v>37754</v>
          </cell>
          <cell r="U148">
            <v>0.3888888888888889</v>
          </cell>
          <cell r="V148">
            <v>37754</v>
          </cell>
          <cell r="W148">
            <v>0.3888888888888889</v>
          </cell>
          <cell r="X148">
            <v>2.0833333333333315E-2</v>
          </cell>
          <cell r="Y148">
            <v>2.0833333334950188E-2</v>
          </cell>
          <cell r="AB148">
            <v>5</v>
          </cell>
          <cell r="AC148">
            <v>4</v>
          </cell>
          <cell r="AD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5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</row>
        <row r="149">
          <cell r="C149">
            <v>37718</v>
          </cell>
          <cell r="D149">
            <v>37762</v>
          </cell>
          <cell r="E149">
            <v>37761</v>
          </cell>
          <cell r="F149">
            <v>0.375</v>
          </cell>
          <cell r="G149" t="str">
            <v>Perfiladora Zikeli</v>
          </cell>
          <cell r="H149" t="str">
            <v>Impressora não liga</v>
          </cell>
          <cell r="I149" t="str">
            <v>Corretiva</v>
          </cell>
          <cell r="J149" t="str">
            <v>Sim</v>
          </cell>
          <cell r="K149" t="str">
            <v>Elétrica</v>
          </cell>
          <cell r="L149" t="str">
            <v>Foi verificada a tensão na tomada e religado estabilizador da impressora</v>
          </cell>
          <cell r="M149" t="str">
            <v>Sobrecarga</v>
          </cell>
          <cell r="N149">
            <v>37761</v>
          </cell>
          <cell r="O149">
            <v>0.41666666666666669</v>
          </cell>
          <cell r="P149">
            <v>37761</v>
          </cell>
          <cell r="Q149">
            <v>0.41666666666666669</v>
          </cell>
          <cell r="T149">
            <v>37761</v>
          </cell>
          <cell r="U149">
            <v>0.42708333333333331</v>
          </cell>
          <cell r="V149">
            <v>37761</v>
          </cell>
          <cell r="W149">
            <v>0.42708333333333331</v>
          </cell>
          <cell r="X149">
            <v>1.041666666666663E-2</v>
          </cell>
          <cell r="Y149">
            <v>1.0416666669091967E-2</v>
          </cell>
          <cell r="AB149">
            <v>5</v>
          </cell>
          <cell r="AC149">
            <v>4</v>
          </cell>
          <cell r="AD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5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</row>
        <row r="150">
          <cell r="C150">
            <v>37718</v>
          </cell>
          <cell r="D150">
            <v>37762</v>
          </cell>
          <cell r="E150">
            <v>37761</v>
          </cell>
          <cell r="F150">
            <v>0.72916666666666663</v>
          </cell>
          <cell r="G150" t="str">
            <v>Perfiladora Zikeli</v>
          </cell>
          <cell r="H150" t="str">
            <v>Parafuso de aperto hidráulico do desbobinador quebrado</v>
          </cell>
          <cell r="I150" t="str">
            <v>Corretiva</v>
          </cell>
          <cell r="J150" t="str">
            <v>Não</v>
          </cell>
          <cell r="K150" t="str">
            <v>Mecânica</v>
          </cell>
          <cell r="L150" t="str">
            <v>Reparo</v>
          </cell>
          <cell r="M150" t="str">
            <v>Defeito de Fabricação</v>
          </cell>
          <cell r="N150">
            <v>37762</v>
          </cell>
          <cell r="O150">
            <v>0.33333333333333331</v>
          </cell>
          <cell r="P150">
            <v>37762</v>
          </cell>
          <cell r="Q150">
            <v>0.33333333333333331</v>
          </cell>
          <cell r="T150">
            <v>37762</v>
          </cell>
          <cell r="U150">
            <v>0.375</v>
          </cell>
          <cell r="V150">
            <v>37762</v>
          </cell>
          <cell r="W150">
            <v>0.375</v>
          </cell>
          <cell r="X150">
            <v>4.1666666666666685E-2</v>
          </cell>
          <cell r="Y150">
            <v>4.1666666666666685E-2</v>
          </cell>
          <cell r="AB150">
            <v>5</v>
          </cell>
          <cell r="AC150">
            <v>4</v>
          </cell>
          <cell r="AD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5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</row>
        <row r="151">
          <cell r="C151">
            <v>37718</v>
          </cell>
          <cell r="D151">
            <v>37769</v>
          </cell>
          <cell r="E151">
            <v>37767</v>
          </cell>
          <cell r="F151">
            <v>0.57499999999999996</v>
          </cell>
          <cell r="G151" t="str">
            <v>Perfiladora Zikeli</v>
          </cell>
          <cell r="H151" t="str">
            <v>Máquina trabalhando em sentido inverso ao especificado. Perfiladora parada.</v>
          </cell>
          <cell r="I151" t="str">
            <v>Corretiva</v>
          </cell>
          <cell r="J151" t="str">
            <v>Sim</v>
          </cell>
          <cell r="K151" t="str">
            <v>Elétrica</v>
          </cell>
          <cell r="L151" t="str">
            <v>Ajuste / Regulagem</v>
          </cell>
          <cell r="M151" t="str">
            <v>Falha Operacional</v>
          </cell>
          <cell r="N151">
            <v>37767</v>
          </cell>
          <cell r="O151">
            <v>0.65277777777777779</v>
          </cell>
          <cell r="P151">
            <v>37767</v>
          </cell>
          <cell r="Q151">
            <v>0.65277777777777779</v>
          </cell>
          <cell r="T151">
            <v>37767</v>
          </cell>
          <cell r="U151">
            <v>0.6875</v>
          </cell>
          <cell r="V151">
            <v>37767</v>
          </cell>
          <cell r="W151">
            <v>0.6875</v>
          </cell>
          <cell r="X151">
            <v>3.472222222222221E-2</v>
          </cell>
          <cell r="Y151">
            <v>3.472222222222221E-2</v>
          </cell>
          <cell r="AB151">
            <v>5</v>
          </cell>
          <cell r="AC151">
            <v>4</v>
          </cell>
          <cell r="AD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5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</row>
        <row r="152">
          <cell r="C152">
            <v>37718</v>
          </cell>
          <cell r="D152">
            <v>37776</v>
          </cell>
          <cell r="E152">
            <v>37770</v>
          </cell>
          <cell r="F152">
            <v>0.50069444444444444</v>
          </cell>
          <cell r="G152" t="str">
            <v>Perfiladora Zikeli</v>
          </cell>
          <cell r="H152" t="str">
            <v>Alguns parafusos de fixação do braço do desbobinador estão duros e outros espanados</v>
          </cell>
          <cell r="I152" t="str">
            <v>Corretiva</v>
          </cell>
          <cell r="J152" t="str">
            <v>Não</v>
          </cell>
          <cell r="K152" t="str">
            <v>Mecânica</v>
          </cell>
          <cell r="L152" t="str">
            <v>Reparo</v>
          </cell>
          <cell r="M152" t="str">
            <v>Desgaste / Fadiga</v>
          </cell>
          <cell r="N152">
            <v>37770</v>
          </cell>
          <cell r="O152">
            <v>0.62152777777777779</v>
          </cell>
          <cell r="P152">
            <v>37770</v>
          </cell>
          <cell r="Q152">
            <v>0.62152777777777779</v>
          </cell>
          <cell r="T152">
            <v>37770</v>
          </cell>
          <cell r="U152">
            <v>0.75</v>
          </cell>
          <cell r="V152">
            <v>37770</v>
          </cell>
          <cell r="W152">
            <v>0.75</v>
          </cell>
          <cell r="X152">
            <v>0.12847222222222221</v>
          </cell>
          <cell r="Y152">
            <v>0.12847222222222221</v>
          </cell>
          <cell r="AB152">
            <v>5</v>
          </cell>
          <cell r="AC152">
            <v>4</v>
          </cell>
          <cell r="AD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5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</row>
        <row r="153">
          <cell r="C153">
            <v>37718</v>
          </cell>
          <cell r="D153">
            <v>37806</v>
          </cell>
          <cell r="E153">
            <v>37802</v>
          </cell>
          <cell r="F153">
            <v>0.625</v>
          </cell>
          <cell r="G153" t="str">
            <v>Perfiladora Zikeli</v>
          </cell>
          <cell r="H153" t="str">
            <v>Vazamento de Ar no Manômetro</v>
          </cell>
          <cell r="I153" t="str">
            <v>Corretiva</v>
          </cell>
          <cell r="J153" t="str">
            <v>Não</v>
          </cell>
          <cell r="K153" t="str">
            <v>Mecânica</v>
          </cell>
          <cell r="L153" t="str">
            <v>Substituição do(s) Componente(s)</v>
          </cell>
          <cell r="M153" t="str">
            <v>Falha Operacional</v>
          </cell>
          <cell r="N153">
            <v>37802</v>
          </cell>
          <cell r="O153">
            <v>0.6875</v>
          </cell>
          <cell r="P153">
            <v>37802</v>
          </cell>
          <cell r="Q153">
            <v>0.6875</v>
          </cell>
          <cell r="T153">
            <v>37802</v>
          </cell>
          <cell r="U153">
            <v>0.75</v>
          </cell>
          <cell r="V153">
            <v>37802</v>
          </cell>
          <cell r="W153">
            <v>0.75</v>
          </cell>
          <cell r="X153">
            <v>6.25E-2</v>
          </cell>
          <cell r="Y153">
            <v>6.25E-2</v>
          </cell>
          <cell r="AB153">
            <v>6</v>
          </cell>
          <cell r="AC153">
            <v>4</v>
          </cell>
          <cell r="AD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6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</row>
        <row r="154">
          <cell r="C154">
            <v>37718</v>
          </cell>
          <cell r="D154">
            <v>37900</v>
          </cell>
          <cell r="E154">
            <v>37867</v>
          </cell>
          <cell r="F154">
            <v>0.64583333333333337</v>
          </cell>
          <cell r="G154" t="str">
            <v>Perfiladora Fagor Largueros</v>
          </cell>
          <cell r="H154" t="str">
            <v>Guia da Chapa Quebrada</v>
          </cell>
          <cell r="I154" t="str">
            <v>Corretiva</v>
          </cell>
          <cell r="J154" t="str">
            <v>Não</v>
          </cell>
          <cell r="K154" t="str">
            <v>Mecânica</v>
          </cell>
          <cell r="L154" t="str">
            <v>Reparo</v>
          </cell>
          <cell r="M154" t="str">
            <v>Falha de Comando / Sistema</v>
          </cell>
          <cell r="N154">
            <v>37867</v>
          </cell>
          <cell r="O154">
            <v>0.66666666666666663</v>
          </cell>
          <cell r="P154">
            <v>37867</v>
          </cell>
          <cell r="Q154">
            <v>0.66666666666666663</v>
          </cell>
          <cell r="T154">
            <v>37867</v>
          </cell>
          <cell r="U154">
            <v>0.97916666666666663</v>
          </cell>
          <cell r="V154">
            <v>37867</v>
          </cell>
          <cell r="W154">
            <v>0.97916666666666663</v>
          </cell>
          <cell r="X154">
            <v>0.31249999999757472</v>
          </cell>
          <cell r="Y154">
            <v>0.31249999999757472</v>
          </cell>
          <cell r="AB154">
            <v>9</v>
          </cell>
          <cell r="AC154">
            <v>4</v>
          </cell>
          <cell r="AD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9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</row>
        <row r="155">
          <cell r="C155">
            <v>37718</v>
          </cell>
          <cell r="D155">
            <v>37900</v>
          </cell>
          <cell r="E155">
            <v>37873</v>
          </cell>
          <cell r="F155">
            <v>0.47222222222222227</v>
          </cell>
          <cell r="G155" t="str">
            <v>Perfiladora Zikeli</v>
          </cell>
          <cell r="H155" t="str">
            <v>Vibração no Encoder</v>
          </cell>
          <cell r="I155" t="str">
            <v>Corretiva</v>
          </cell>
          <cell r="J155" t="str">
            <v>Não</v>
          </cell>
          <cell r="K155" t="str">
            <v>Mecânica</v>
          </cell>
          <cell r="L155" t="str">
            <v>Reparo</v>
          </cell>
          <cell r="M155" t="str">
            <v>Defeito de Fabricação</v>
          </cell>
          <cell r="N155">
            <v>37873</v>
          </cell>
          <cell r="O155">
            <v>0.47222222222222227</v>
          </cell>
          <cell r="P155">
            <v>37873</v>
          </cell>
          <cell r="Q155">
            <v>0.4861111111111111</v>
          </cell>
          <cell r="R155">
            <v>37876</v>
          </cell>
          <cell r="S155">
            <v>0.94791666666666663</v>
          </cell>
          <cell r="T155">
            <v>37876</v>
          </cell>
          <cell r="U155">
            <v>0.98958333333333337</v>
          </cell>
          <cell r="V155">
            <v>0</v>
          </cell>
          <cell r="W155">
            <v>5.555555555555558E-2</v>
          </cell>
          <cell r="X155">
            <v>5.555555555555558E-2</v>
          </cell>
          <cell r="Y155">
            <v>5.555555555555558E-2</v>
          </cell>
          <cell r="AB155">
            <v>9</v>
          </cell>
          <cell r="AC155">
            <v>4</v>
          </cell>
          <cell r="AD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9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</row>
        <row r="156">
          <cell r="C156">
            <v>37718</v>
          </cell>
          <cell r="D156">
            <v>37866</v>
          </cell>
          <cell r="E156">
            <v>37865</v>
          </cell>
          <cell r="F156">
            <v>0.43055555555555558</v>
          </cell>
          <cell r="G156" t="str">
            <v>Perfiladora Zikeli</v>
          </cell>
          <cell r="H156" t="str">
            <v>Falha no Desbobinador No. 01</v>
          </cell>
          <cell r="I156" t="str">
            <v>Corretiva</v>
          </cell>
          <cell r="J156" t="str">
            <v>Sim</v>
          </cell>
          <cell r="K156" t="str">
            <v>Elétrica</v>
          </cell>
          <cell r="L156" t="str">
            <v>Reinicialização do Equipamento / Componente</v>
          </cell>
          <cell r="M156" t="str">
            <v>Causa não especificada</v>
          </cell>
          <cell r="N156">
            <v>37865</v>
          </cell>
          <cell r="O156">
            <v>0.45833333333333331</v>
          </cell>
          <cell r="P156">
            <v>37865</v>
          </cell>
          <cell r="Q156">
            <v>0.45833333333333331</v>
          </cell>
          <cell r="T156">
            <v>37865</v>
          </cell>
          <cell r="U156">
            <v>0.46875</v>
          </cell>
          <cell r="V156">
            <v>37865</v>
          </cell>
          <cell r="W156">
            <v>0.46875</v>
          </cell>
          <cell r="X156">
            <v>1.0416666666666685E-2</v>
          </cell>
          <cell r="Y156">
            <v>1.0416666666666685E-2</v>
          </cell>
          <cell r="AB156">
            <v>9</v>
          </cell>
          <cell r="AC156">
            <v>4</v>
          </cell>
          <cell r="AD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9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</row>
        <row r="157">
          <cell r="C157">
            <v>37747</v>
          </cell>
          <cell r="D157">
            <v>37756</v>
          </cell>
          <cell r="E157">
            <v>37746</v>
          </cell>
          <cell r="F157">
            <v>0.47916666666666669</v>
          </cell>
          <cell r="G157" t="str">
            <v>Linha de Pintura 15m</v>
          </cell>
          <cell r="H157" t="str">
            <v>Anomalia no elevador de descarga</v>
          </cell>
          <cell r="I157" t="str">
            <v>Corretiva</v>
          </cell>
          <cell r="J157" t="str">
            <v>Sim</v>
          </cell>
          <cell r="K157" t="str">
            <v>Elétrica</v>
          </cell>
          <cell r="L157" t="str">
            <v>Verificação do painel de comando, regulagem no micro e sensor de altura do elevador II</v>
          </cell>
          <cell r="M157" t="str">
            <v>Vibração</v>
          </cell>
          <cell r="N157">
            <v>37746</v>
          </cell>
          <cell r="O157">
            <v>0.4826388888888889</v>
          </cell>
          <cell r="P157">
            <v>37746</v>
          </cell>
          <cell r="Q157">
            <v>0.4826388888888889</v>
          </cell>
          <cell r="T157">
            <v>37746</v>
          </cell>
          <cell r="U157">
            <v>0.52430555555555558</v>
          </cell>
          <cell r="V157">
            <v>37746</v>
          </cell>
          <cell r="W157">
            <v>0.52430555555555558</v>
          </cell>
          <cell r="X157">
            <v>4.1666666666666685E-2</v>
          </cell>
          <cell r="Y157">
            <v>4.1666666665858221E-2</v>
          </cell>
          <cell r="AB157">
            <v>5</v>
          </cell>
          <cell r="AC157">
            <v>5</v>
          </cell>
          <cell r="AD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5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</row>
        <row r="158">
          <cell r="C158">
            <v>37747</v>
          </cell>
          <cell r="D158">
            <v>37756</v>
          </cell>
          <cell r="E158">
            <v>37753</v>
          </cell>
          <cell r="F158">
            <v>0.72916666666666663</v>
          </cell>
          <cell r="G158" t="str">
            <v>Linha de Pintura 15m</v>
          </cell>
          <cell r="H158" t="str">
            <v>Falha no detector do elevador 03</v>
          </cell>
          <cell r="I158" t="str">
            <v>Corretiva</v>
          </cell>
          <cell r="J158" t="str">
            <v>Sim</v>
          </cell>
          <cell r="K158" t="str">
            <v>Mecânica</v>
          </cell>
          <cell r="L158" t="str">
            <v>Regulagem do sensor do elevador 03</v>
          </cell>
          <cell r="M158" t="str">
            <v>Causa não especificada</v>
          </cell>
          <cell r="N158">
            <v>37754</v>
          </cell>
          <cell r="O158">
            <v>0.33333333333333331</v>
          </cell>
          <cell r="P158">
            <v>37754</v>
          </cell>
          <cell r="Q158">
            <v>0.33333333333333331</v>
          </cell>
          <cell r="T158">
            <v>37754</v>
          </cell>
          <cell r="U158">
            <v>0.3611111111111111</v>
          </cell>
          <cell r="V158">
            <v>37754</v>
          </cell>
          <cell r="W158">
            <v>0.3611111111111111</v>
          </cell>
          <cell r="X158">
            <v>2.777777777777779E-2</v>
          </cell>
          <cell r="Y158">
            <v>2.7777777776160917E-2</v>
          </cell>
          <cell r="AB158">
            <v>5</v>
          </cell>
          <cell r="AC158">
            <v>5</v>
          </cell>
          <cell r="AD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5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</row>
        <row r="159">
          <cell r="C159">
            <v>37747</v>
          </cell>
          <cell r="D159">
            <v>37756</v>
          </cell>
          <cell r="E159">
            <v>37754</v>
          </cell>
          <cell r="F159">
            <v>0.41666666666666669</v>
          </cell>
          <cell r="G159" t="str">
            <v>Linha de Pintura 15m</v>
          </cell>
          <cell r="H159" t="str">
            <v>Exaustor não funciona</v>
          </cell>
          <cell r="I159" t="str">
            <v>Corretiva</v>
          </cell>
          <cell r="J159" t="str">
            <v>Sim</v>
          </cell>
          <cell r="K159" t="str">
            <v>Mecânica</v>
          </cell>
          <cell r="L159" t="str">
            <v>Nova furação e substituição do pulmão completo</v>
          </cell>
          <cell r="M159" t="str">
            <v>Defeito de Fabricação</v>
          </cell>
          <cell r="N159">
            <v>37754</v>
          </cell>
          <cell r="O159">
            <v>0.41666666666666669</v>
          </cell>
          <cell r="P159">
            <v>37754</v>
          </cell>
          <cell r="Q159">
            <v>0.4375</v>
          </cell>
          <cell r="R159">
            <v>37754</v>
          </cell>
          <cell r="S159">
            <v>0.57291666666666663</v>
          </cell>
          <cell r="T159">
            <v>37754</v>
          </cell>
          <cell r="U159">
            <v>0.75</v>
          </cell>
          <cell r="V159">
            <v>0</v>
          </cell>
          <cell r="W159">
            <v>0.19791666666666669</v>
          </cell>
          <cell r="X159">
            <v>0.19791666666666669</v>
          </cell>
          <cell r="Y159">
            <v>0.19791666666666669</v>
          </cell>
          <cell r="AB159">
            <v>5</v>
          </cell>
          <cell r="AC159">
            <v>5</v>
          </cell>
          <cell r="AD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5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</row>
        <row r="160">
          <cell r="C160">
            <v>37747</v>
          </cell>
          <cell r="D160">
            <v>37803</v>
          </cell>
          <cell r="E160">
            <v>37788</v>
          </cell>
          <cell r="F160">
            <v>0.5</v>
          </cell>
          <cell r="G160" t="str">
            <v>Linha de Pintura 15m</v>
          </cell>
          <cell r="H160" t="str">
            <v>Anomalia na estufa de cura: Oscilação constante na temperatura</v>
          </cell>
          <cell r="I160" t="str">
            <v>Corretiva</v>
          </cell>
          <cell r="J160" t="str">
            <v>Não</v>
          </cell>
          <cell r="K160" t="str">
            <v>Elétrica</v>
          </cell>
          <cell r="L160" t="str">
            <v>Correção de mau contato</v>
          </cell>
          <cell r="M160" t="str">
            <v>Vibração</v>
          </cell>
          <cell r="N160">
            <v>37788</v>
          </cell>
          <cell r="O160">
            <v>0.5</v>
          </cell>
          <cell r="P160">
            <v>37788</v>
          </cell>
          <cell r="Q160">
            <v>0.5</v>
          </cell>
          <cell r="T160">
            <v>37788</v>
          </cell>
          <cell r="U160">
            <v>0.58333333333333337</v>
          </cell>
          <cell r="V160">
            <v>37788</v>
          </cell>
          <cell r="W160">
            <v>0.58333333333333337</v>
          </cell>
          <cell r="X160">
            <v>8.3333333335758653E-2</v>
          </cell>
          <cell r="Y160">
            <v>8.3333333335758653E-2</v>
          </cell>
          <cell r="AB160">
            <v>6</v>
          </cell>
          <cell r="AC160">
            <v>5</v>
          </cell>
          <cell r="AD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6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</row>
        <row r="161">
          <cell r="C161">
            <v>37747</v>
          </cell>
          <cell r="D161">
            <v>37756</v>
          </cell>
          <cell r="E161">
            <v>37755</v>
          </cell>
          <cell r="F161">
            <v>0.35416666666666669</v>
          </cell>
          <cell r="G161" t="str">
            <v>Linha de Pintura 15m</v>
          </cell>
          <cell r="H161" t="str">
            <v>Anomalia no elevador</v>
          </cell>
          <cell r="I161" t="str">
            <v>Corretiva</v>
          </cell>
          <cell r="J161" t="str">
            <v>Sim</v>
          </cell>
          <cell r="K161" t="str">
            <v>Elétrica</v>
          </cell>
          <cell r="L161" t="str">
            <v>Rearme do relé térmico, verificação da carga e alinhamento dos elevadores</v>
          </cell>
          <cell r="M161" t="str">
            <v>Sobrecarga</v>
          </cell>
          <cell r="N161">
            <v>37755</v>
          </cell>
          <cell r="O161">
            <v>0.35416666666666669</v>
          </cell>
          <cell r="P161">
            <v>37755</v>
          </cell>
          <cell r="Q161">
            <v>0.35416666666666669</v>
          </cell>
          <cell r="T161">
            <v>37755</v>
          </cell>
          <cell r="U161">
            <v>0.39583333333333331</v>
          </cell>
          <cell r="V161">
            <v>37755</v>
          </cell>
          <cell r="W161">
            <v>0.39583333333333331</v>
          </cell>
          <cell r="X161">
            <v>4.166666666666663E-2</v>
          </cell>
          <cell r="Y161">
            <v>4.1666666669091967E-2</v>
          </cell>
          <cell r="AB161">
            <v>5</v>
          </cell>
          <cell r="AC161">
            <v>5</v>
          </cell>
          <cell r="AD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5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</row>
        <row r="162">
          <cell r="C162">
            <v>37747</v>
          </cell>
          <cell r="D162">
            <v>37763</v>
          </cell>
          <cell r="E162">
            <v>37755</v>
          </cell>
          <cell r="F162">
            <v>0.4375</v>
          </cell>
          <cell r="G162" t="str">
            <v>Equipamentos diversos</v>
          </cell>
          <cell r="H162" t="str">
            <v>Não há tração da fita</v>
          </cell>
          <cell r="I162" t="str">
            <v>Corretiva</v>
          </cell>
          <cell r="J162" t="str">
            <v>Não</v>
          </cell>
          <cell r="K162" t="str">
            <v>Mecânica</v>
          </cell>
          <cell r="L162" t="str">
            <v>Substituição do(s) Componente(s)</v>
          </cell>
          <cell r="M162" t="str">
            <v>Desgaste / Fadiga</v>
          </cell>
          <cell r="N162">
            <v>37755</v>
          </cell>
          <cell r="O162">
            <v>0.4375</v>
          </cell>
          <cell r="P162">
            <v>37755</v>
          </cell>
          <cell r="Q162">
            <v>0.75</v>
          </cell>
          <cell r="R162">
            <v>37762</v>
          </cell>
          <cell r="S162">
            <v>0.33333333333333331</v>
          </cell>
          <cell r="T162">
            <v>37762</v>
          </cell>
          <cell r="U162">
            <v>0.33333333333333331</v>
          </cell>
          <cell r="V162">
            <v>0</v>
          </cell>
          <cell r="W162">
            <v>0.3125</v>
          </cell>
          <cell r="X162">
            <v>0.3125</v>
          </cell>
          <cell r="Y162">
            <v>0.3125</v>
          </cell>
          <cell r="AB162">
            <v>5</v>
          </cell>
          <cell r="AC162">
            <v>5</v>
          </cell>
          <cell r="AD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5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</row>
        <row r="163">
          <cell r="C163">
            <v>37747</v>
          </cell>
          <cell r="D163">
            <v>37762</v>
          </cell>
          <cell r="E163">
            <v>37757</v>
          </cell>
          <cell r="F163">
            <v>0.58333333333333337</v>
          </cell>
          <cell r="G163" t="str">
            <v>Linha de Pintura 15m</v>
          </cell>
          <cell r="H163" t="str">
            <v>Anomalia no elevador</v>
          </cell>
          <cell r="I163" t="str">
            <v>Corretiva</v>
          </cell>
          <cell r="J163" t="str">
            <v>Sim</v>
          </cell>
          <cell r="K163" t="str">
            <v>Elétrica</v>
          </cell>
          <cell r="L163" t="str">
            <v>Regulagem do micro do Elevador 03</v>
          </cell>
          <cell r="M163" t="str">
            <v>Falha de Regulagem / Configuração / Dimensionamento</v>
          </cell>
          <cell r="N163">
            <v>37757</v>
          </cell>
          <cell r="O163">
            <v>0.58333333333333337</v>
          </cell>
          <cell r="P163">
            <v>37757</v>
          </cell>
          <cell r="Q163">
            <v>0.58333333333333337</v>
          </cell>
          <cell r="T163">
            <v>37757</v>
          </cell>
          <cell r="U163">
            <v>0.61805555555555558</v>
          </cell>
          <cell r="V163">
            <v>37757</v>
          </cell>
          <cell r="W163">
            <v>0.61805555555555558</v>
          </cell>
          <cell r="X163">
            <v>3.472222222222221E-2</v>
          </cell>
          <cell r="Y163">
            <v>3.4722222221413745E-2</v>
          </cell>
          <cell r="AB163">
            <v>5</v>
          </cell>
          <cell r="AC163">
            <v>5</v>
          </cell>
          <cell r="AD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5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</row>
        <row r="164">
          <cell r="C164">
            <v>37747</v>
          </cell>
          <cell r="D164">
            <v>37762</v>
          </cell>
          <cell r="E164">
            <v>37761</v>
          </cell>
          <cell r="F164">
            <v>0.63541666666666663</v>
          </cell>
          <cell r="G164" t="str">
            <v>Linha de Pintura 15m</v>
          </cell>
          <cell r="H164" t="str">
            <v>Anomalia no variador VI</v>
          </cell>
          <cell r="I164" t="str">
            <v>Corretiva</v>
          </cell>
          <cell r="J164" t="str">
            <v>Sim</v>
          </cell>
          <cell r="K164" t="str">
            <v>Mecânica</v>
          </cell>
          <cell r="L164" t="str">
            <v>Substituição do(s) Componente(s)</v>
          </cell>
          <cell r="M164" t="str">
            <v>Travamento de Componente</v>
          </cell>
          <cell r="N164">
            <v>37761</v>
          </cell>
          <cell r="O164">
            <v>0.63888888888888895</v>
          </cell>
          <cell r="P164">
            <v>37761</v>
          </cell>
          <cell r="Q164">
            <v>0.63888888888888895</v>
          </cell>
          <cell r="T164">
            <v>37761</v>
          </cell>
          <cell r="U164">
            <v>0.67361111111111116</v>
          </cell>
          <cell r="V164">
            <v>37761</v>
          </cell>
          <cell r="W164">
            <v>0.67361111111111116</v>
          </cell>
          <cell r="X164">
            <v>3.472222222222221E-2</v>
          </cell>
          <cell r="Y164">
            <v>3.4722222220605281E-2</v>
          </cell>
          <cell r="AB164">
            <v>5</v>
          </cell>
          <cell r="AC164">
            <v>5</v>
          </cell>
          <cell r="AD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5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</row>
        <row r="165">
          <cell r="C165">
            <v>37747</v>
          </cell>
          <cell r="D165">
            <v>37767</v>
          </cell>
          <cell r="E165">
            <v>37763</v>
          </cell>
          <cell r="F165">
            <v>0.58333333333333337</v>
          </cell>
          <cell r="G165" t="str">
            <v>Linha de Pintura 15m</v>
          </cell>
          <cell r="H165" t="str">
            <v>Alça do tanque de fosfato quebrou-se</v>
          </cell>
          <cell r="I165" t="str">
            <v>Corretiva</v>
          </cell>
          <cell r="J165" t="str">
            <v>Não</v>
          </cell>
          <cell r="K165" t="str">
            <v>Mecânica</v>
          </cell>
          <cell r="L165" t="str">
            <v>Substituição do(s) Componente(s)</v>
          </cell>
          <cell r="M165" t="str">
            <v>Defeito de Fabricação</v>
          </cell>
          <cell r="N165">
            <v>37763</v>
          </cell>
          <cell r="O165">
            <v>0.66666666666666663</v>
          </cell>
          <cell r="P165">
            <v>37763</v>
          </cell>
          <cell r="Q165">
            <v>0.66666666666666663</v>
          </cell>
          <cell r="T165">
            <v>37763</v>
          </cell>
          <cell r="U165">
            <v>0.75</v>
          </cell>
          <cell r="V165">
            <v>37763</v>
          </cell>
          <cell r="W165">
            <v>0.75</v>
          </cell>
          <cell r="X165">
            <v>8.333333333333337E-2</v>
          </cell>
          <cell r="Y165">
            <v>8.333333333333337E-2</v>
          </cell>
          <cell r="AB165">
            <v>5</v>
          </cell>
          <cell r="AC165">
            <v>5</v>
          </cell>
          <cell r="AD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5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</row>
        <row r="166">
          <cell r="C166">
            <v>37747</v>
          </cell>
          <cell r="D166">
            <v>37769</v>
          </cell>
          <cell r="E166">
            <v>37767</v>
          </cell>
          <cell r="F166">
            <v>0.4861111111111111</v>
          </cell>
          <cell r="G166" t="str">
            <v>Linha de Pintura 15m</v>
          </cell>
          <cell r="H166" t="str">
            <v>Vazamento de fosfato na lateral do tanque</v>
          </cell>
          <cell r="I166" t="str">
            <v>Corretiva</v>
          </cell>
          <cell r="J166" t="str">
            <v>Sim</v>
          </cell>
          <cell r="K166" t="str">
            <v>Mecânica</v>
          </cell>
          <cell r="L166" t="str">
            <v>Contenção do vazamento</v>
          </cell>
          <cell r="M166" t="str">
            <v>Falha de Montagem / Preparação</v>
          </cell>
          <cell r="N166">
            <v>37767</v>
          </cell>
          <cell r="O166">
            <v>0.5</v>
          </cell>
          <cell r="P166">
            <v>37767</v>
          </cell>
          <cell r="Q166">
            <v>0.5</v>
          </cell>
          <cell r="T166">
            <v>37767</v>
          </cell>
          <cell r="U166">
            <v>0.70833333333333337</v>
          </cell>
          <cell r="V166">
            <v>37767</v>
          </cell>
          <cell r="W166">
            <v>0.70833333333333337</v>
          </cell>
          <cell r="X166">
            <v>0.20833333333333337</v>
          </cell>
          <cell r="Y166">
            <v>0.20833333333575865</v>
          </cell>
          <cell r="AB166">
            <v>5</v>
          </cell>
          <cell r="AC166">
            <v>5</v>
          </cell>
          <cell r="AD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5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</row>
        <row r="167">
          <cell r="C167">
            <v>37755</v>
          </cell>
          <cell r="I167">
            <v>0</v>
          </cell>
          <cell r="N167">
            <v>0</v>
          </cell>
          <cell r="P167">
            <v>0</v>
          </cell>
          <cell r="T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AB167">
            <v>0</v>
          </cell>
          <cell r="AC167">
            <v>5</v>
          </cell>
          <cell r="AD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</row>
        <row r="168">
          <cell r="C168">
            <v>37755</v>
          </cell>
          <cell r="I168">
            <v>0</v>
          </cell>
          <cell r="N168">
            <v>0</v>
          </cell>
          <cell r="P168">
            <v>0</v>
          </cell>
          <cell r="T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AB168">
            <v>0</v>
          </cell>
          <cell r="AC168">
            <v>5</v>
          </cell>
          <cell r="AD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</row>
        <row r="169">
          <cell r="C169">
            <v>37755</v>
          </cell>
          <cell r="I169">
            <v>0</v>
          </cell>
          <cell r="N169">
            <v>0</v>
          </cell>
          <cell r="P169">
            <v>0</v>
          </cell>
          <cell r="T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AB169">
            <v>0</v>
          </cell>
          <cell r="AC169">
            <v>5</v>
          </cell>
          <cell r="AD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</row>
        <row r="170">
          <cell r="C170">
            <v>37755</v>
          </cell>
          <cell r="I170">
            <v>0</v>
          </cell>
          <cell r="N170">
            <v>0</v>
          </cell>
          <cell r="P170">
            <v>0</v>
          </cell>
          <cell r="T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AB170">
            <v>0</v>
          </cell>
          <cell r="AC170">
            <v>5</v>
          </cell>
          <cell r="AD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</row>
        <row r="171">
          <cell r="C171">
            <v>37755</v>
          </cell>
          <cell r="I171">
            <v>0</v>
          </cell>
          <cell r="N171">
            <v>0</v>
          </cell>
          <cell r="P171">
            <v>0</v>
          </cell>
          <cell r="T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AB171">
            <v>0</v>
          </cell>
          <cell r="AC171">
            <v>5</v>
          </cell>
          <cell r="AD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</row>
        <row r="172">
          <cell r="C172">
            <v>37755</v>
          </cell>
          <cell r="D172">
            <v>37902</v>
          </cell>
          <cell r="E172">
            <v>37901</v>
          </cell>
          <cell r="F172">
            <v>0.25</v>
          </cell>
          <cell r="G172" t="str">
            <v>Perfiladora Zikeli</v>
          </cell>
          <cell r="H172" t="str">
            <v>Encosto da bobina está solto</v>
          </cell>
          <cell r="I172" t="str">
            <v>Corretiva</v>
          </cell>
          <cell r="J172" t="str">
            <v>Sim</v>
          </cell>
          <cell r="K172" t="str">
            <v>Mecânica</v>
          </cell>
          <cell r="L172" t="str">
            <v>Reparo</v>
          </cell>
          <cell r="M172" t="str">
            <v>Falha Operacional</v>
          </cell>
          <cell r="N172">
            <v>37901</v>
          </cell>
          <cell r="O172">
            <v>0.25</v>
          </cell>
          <cell r="P172">
            <v>37901</v>
          </cell>
          <cell r="Q172">
            <v>0.25</v>
          </cell>
          <cell r="T172">
            <v>37901</v>
          </cell>
          <cell r="U172">
            <v>0.29166666666666669</v>
          </cell>
          <cell r="V172">
            <v>37901</v>
          </cell>
          <cell r="W172">
            <v>0.29166666666666669</v>
          </cell>
          <cell r="X172">
            <v>4.1666666666666685E-2</v>
          </cell>
          <cell r="Y172">
            <v>4.1666666664241347E-2</v>
          </cell>
          <cell r="AB172">
            <v>10</v>
          </cell>
          <cell r="AC172">
            <v>5</v>
          </cell>
          <cell r="AD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10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</row>
        <row r="173">
          <cell r="C173">
            <v>37755</v>
          </cell>
          <cell r="D173">
            <v>37915</v>
          </cell>
          <cell r="E173">
            <v>37900</v>
          </cell>
          <cell r="F173">
            <v>0.25</v>
          </cell>
          <cell r="G173" t="str">
            <v>Perfiladora Zikeli</v>
          </cell>
          <cell r="H173" t="str">
            <v>Vazamento de óleo no desbobinador</v>
          </cell>
          <cell r="I173" t="str">
            <v>Corretiva</v>
          </cell>
          <cell r="J173" t="str">
            <v>Sim</v>
          </cell>
          <cell r="K173" t="str">
            <v>Mecânica</v>
          </cell>
          <cell r="L173" t="str">
            <v>Contenção do vazamento</v>
          </cell>
          <cell r="M173" t="str">
            <v>Desgaste / Fadiga</v>
          </cell>
          <cell r="N173">
            <v>37900</v>
          </cell>
          <cell r="O173">
            <v>0.25</v>
          </cell>
          <cell r="P173">
            <v>37900</v>
          </cell>
          <cell r="Q173">
            <v>0.29166666666666669</v>
          </cell>
          <cell r="R173">
            <v>37900</v>
          </cell>
          <cell r="S173">
            <v>0.625</v>
          </cell>
          <cell r="T173">
            <v>37900</v>
          </cell>
          <cell r="U173">
            <v>0.70833333333333337</v>
          </cell>
          <cell r="V173">
            <v>0</v>
          </cell>
          <cell r="W173">
            <v>0.12500000000000006</v>
          </cell>
          <cell r="X173">
            <v>0.12500000000000006</v>
          </cell>
          <cell r="Y173">
            <v>0.12500000000000006</v>
          </cell>
          <cell r="AB173">
            <v>10</v>
          </cell>
          <cell r="AC173">
            <v>5</v>
          </cell>
          <cell r="AD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10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</row>
        <row r="174">
          <cell r="C174">
            <v>37755</v>
          </cell>
          <cell r="D174">
            <v>37783</v>
          </cell>
          <cell r="E174">
            <v>37777</v>
          </cell>
          <cell r="F174">
            <v>0.58333333333333337</v>
          </cell>
          <cell r="G174" t="str">
            <v>Empilhadeira</v>
          </cell>
          <cell r="H174" t="str">
            <v>Suporte de trava da bateria está travado</v>
          </cell>
          <cell r="I174" t="str">
            <v>Corretiva</v>
          </cell>
          <cell r="J174" t="str">
            <v>Não</v>
          </cell>
          <cell r="K174" t="str">
            <v>Mecânica</v>
          </cell>
          <cell r="L174" t="str">
            <v>O componente foi aquecido, foi desentortado o pino e ajuste do ângulo da cantoneira para 90°</v>
          </cell>
          <cell r="M174" t="str">
            <v>Falha Operacional</v>
          </cell>
          <cell r="N174">
            <v>37777</v>
          </cell>
          <cell r="O174">
            <v>0.66666666666666663</v>
          </cell>
          <cell r="P174">
            <v>37777</v>
          </cell>
          <cell r="Q174">
            <v>0.66666666666666663</v>
          </cell>
          <cell r="T174">
            <v>37777</v>
          </cell>
          <cell r="U174">
            <v>0.70833333333333337</v>
          </cell>
          <cell r="V174">
            <v>37777</v>
          </cell>
          <cell r="W174">
            <v>0.70833333333333337</v>
          </cell>
          <cell r="X174">
            <v>4.1666666669092023E-2</v>
          </cell>
          <cell r="Y174">
            <v>4.1666666669092023E-2</v>
          </cell>
          <cell r="AB174">
            <v>6</v>
          </cell>
          <cell r="AC174">
            <v>5</v>
          </cell>
          <cell r="AD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6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</row>
        <row r="175">
          <cell r="C175">
            <v>37755</v>
          </cell>
          <cell r="D175">
            <v>37776</v>
          </cell>
          <cell r="E175">
            <v>37775</v>
          </cell>
          <cell r="F175">
            <v>0.66666666666666663</v>
          </cell>
          <cell r="G175" t="str">
            <v>Prensa Jundiaí Conectores</v>
          </cell>
          <cell r="H175" t="str">
            <v>Máquina acusando falha de lubrificação</v>
          </cell>
          <cell r="I175" t="str">
            <v>Corretiva</v>
          </cell>
          <cell r="J175" t="str">
            <v>Sim</v>
          </cell>
          <cell r="K175" t="str">
            <v>Mecânica</v>
          </cell>
          <cell r="L175" t="str">
            <v>Ajustes e limpeza da bomba de graxa</v>
          </cell>
          <cell r="M175" t="str">
            <v>Defeito de Fabricação</v>
          </cell>
          <cell r="N175">
            <v>37775</v>
          </cell>
          <cell r="O175">
            <v>0.66666666666666663</v>
          </cell>
          <cell r="P175">
            <v>37775</v>
          </cell>
          <cell r="Q175">
            <v>0.83333333333333337</v>
          </cell>
          <cell r="R175">
            <v>37776</v>
          </cell>
          <cell r="S175">
            <v>0.4375</v>
          </cell>
          <cell r="T175">
            <v>37776</v>
          </cell>
          <cell r="U175">
            <v>0.52777777777777779</v>
          </cell>
          <cell r="V175">
            <v>0</v>
          </cell>
          <cell r="W175">
            <v>0.25694444444444453</v>
          </cell>
          <cell r="X175">
            <v>0.25694444444444453</v>
          </cell>
          <cell r="Y175">
            <v>0.25694444444444453</v>
          </cell>
          <cell r="AB175">
            <v>6</v>
          </cell>
          <cell r="AC175">
            <v>5</v>
          </cell>
          <cell r="AD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6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</row>
        <row r="176">
          <cell r="C176">
            <v>37755</v>
          </cell>
          <cell r="D176">
            <v>37776</v>
          </cell>
          <cell r="E176">
            <v>37775</v>
          </cell>
          <cell r="F176">
            <v>0.33333333333333331</v>
          </cell>
          <cell r="G176" t="str">
            <v>Perfiladora Fagor Montantes</v>
          </cell>
          <cell r="H176" t="str">
            <v>Eixos de travamento das porcas nos varões roscados da Câmara de perfilação estão rompidos</v>
          </cell>
          <cell r="I176" t="str">
            <v>Corretiva</v>
          </cell>
          <cell r="J176" t="str">
            <v>Não</v>
          </cell>
          <cell r="K176" t="str">
            <v>Mecânica</v>
          </cell>
          <cell r="L176" t="str">
            <v>Melhoria no Sistema de Fixação</v>
          </cell>
          <cell r="M176" t="str">
            <v>Defeito de Fabricação</v>
          </cell>
          <cell r="N176">
            <v>37775</v>
          </cell>
          <cell r="O176">
            <v>0.33333333333333331</v>
          </cell>
          <cell r="P176">
            <v>37775</v>
          </cell>
          <cell r="Q176">
            <v>0.33333333333333331</v>
          </cell>
          <cell r="T176">
            <v>37775</v>
          </cell>
          <cell r="U176">
            <v>0.57291666666666663</v>
          </cell>
          <cell r="V176">
            <v>37775</v>
          </cell>
          <cell r="W176">
            <v>0.57291666666666663</v>
          </cell>
          <cell r="X176">
            <v>0.23958333333090803</v>
          </cell>
          <cell r="Y176">
            <v>0.23958333333090803</v>
          </cell>
          <cell r="AB176">
            <v>6</v>
          </cell>
          <cell r="AC176">
            <v>5</v>
          </cell>
          <cell r="AD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6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</row>
        <row r="177">
          <cell r="C177">
            <v>37755</v>
          </cell>
          <cell r="D177">
            <v>37775</v>
          </cell>
          <cell r="E177">
            <v>37762</v>
          </cell>
          <cell r="F177">
            <v>0.54166666666666663</v>
          </cell>
          <cell r="G177" t="str">
            <v>Perfiladora Fagor Largueros</v>
          </cell>
          <cell r="H177" t="str">
            <v>Solenóide não funciona: A Água está sendo completada manualmente. Há um vazamento no tanque de fosfato.</v>
          </cell>
          <cell r="I177" t="str">
            <v>Corretiva</v>
          </cell>
          <cell r="J177" t="str">
            <v>Não</v>
          </cell>
          <cell r="K177" t="str">
            <v>Mecânica</v>
          </cell>
          <cell r="L177" t="str">
            <v>Solenóide: não havia problemas no mesmo: apenas foi aberto o registro. Serpentina: Substituída pela Deltec</v>
          </cell>
          <cell r="M177" t="str">
            <v>Defeito de Fabricação</v>
          </cell>
          <cell r="N177">
            <v>37762</v>
          </cell>
          <cell r="O177">
            <v>0.54166666666666663</v>
          </cell>
          <cell r="P177">
            <v>37762</v>
          </cell>
          <cell r="Q177">
            <v>0.5625</v>
          </cell>
          <cell r="R177">
            <v>37771</v>
          </cell>
          <cell r="S177">
            <v>0.33333333333333331</v>
          </cell>
          <cell r="T177">
            <v>37773</v>
          </cell>
          <cell r="U177">
            <v>0.70833333333333337</v>
          </cell>
          <cell r="V177">
            <v>0</v>
          </cell>
          <cell r="W177">
            <v>2.3958333333333335</v>
          </cell>
          <cell r="X177">
            <v>2.3958333333333335</v>
          </cell>
          <cell r="Y177">
            <v>0.72916666666666696</v>
          </cell>
          <cell r="AB177">
            <v>6</v>
          </cell>
          <cell r="AC177">
            <v>5</v>
          </cell>
          <cell r="AD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6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</row>
        <row r="178">
          <cell r="C178">
            <v>37755</v>
          </cell>
          <cell r="I178">
            <v>0</v>
          </cell>
          <cell r="N178">
            <v>0</v>
          </cell>
          <cell r="P178">
            <v>0</v>
          </cell>
          <cell r="T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AB178">
            <v>0</v>
          </cell>
          <cell r="AC178">
            <v>5</v>
          </cell>
          <cell r="AD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</row>
        <row r="179">
          <cell r="C179">
            <v>37755</v>
          </cell>
          <cell r="I179">
            <v>0</v>
          </cell>
          <cell r="N179">
            <v>0</v>
          </cell>
          <cell r="P179">
            <v>0</v>
          </cell>
          <cell r="T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AB179">
            <v>0</v>
          </cell>
          <cell r="AC179">
            <v>5</v>
          </cell>
          <cell r="AD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</row>
        <row r="180">
          <cell r="C180">
            <v>37755</v>
          </cell>
          <cell r="D180">
            <v>37858</v>
          </cell>
          <cell r="E180">
            <v>37847</v>
          </cell>
          <cell r="F180">
            <v>0.54166666666666663</v>
          </cell>
          <cell r="G180" t="str">
            <v>Linha de Pintura 3,2m</v>
          </cell>
          <cell r="H180" t="str">
            <v>Mangueira de ar comprimido está furada</v>
          </cell>
          <cell r="I180" t="str">
            <v>Corretiva</v>
          </cell>
          <cell r="J180" t="str">
            <v>Não</v>
          </cell>
          <cell r="K180" t="str">
            <v>Mecânica</v>
          </cell>
          <cell r="L180" t="str">
            <v>Substituição do(s) Componente(s)</v>
          </cell>
          <cell r="M180" t="str">
            <v>Desgaste / Fadiga</v>
          </cell>
          <cell r="N180">
            <v>37847</v>
          </cell>
          <cell r="O180">
            <v>0.625</v>
          </cell>
          <cell r="P180">
            <v>37847</v>
          </cell>
          <cell r="Q180">
            <v>0.625</v>
          </cell>
          <cell r="T180">
            <v>37847</v>
          </cell>
          <cell r="U180">
            <v>0.66666666666666663</v>
          </cell>
          <cell r="V180">
            <v>37847</v>
          </cell>
          <cell r="W180">
            <v>0.66666666666666663</v>
          </cell>
          <cell r="X180">
            <v>4.1666666664241347E-2</v>
          </cell>
          <cell r="Y180">
            <v>4.1666666664241347E-2</v>
          </cell>
          <cell r="AB180">
            <v>8</v>
          </cell>
          <cell r="AC180">
            <v>5</v>
          </cell>
          <cell r="AD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8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</row>
        <row r="181">
          <cell r="C181">
            <v>37755</v>
          </cell>
          <cell r="D181">
            <v>37858</v>
          </cell>
          <cell r="E181">
            <v>37848</v>
          </cell>
          <cell r="F181">
            <v>0.41666666666666669</v>
          </cell>
          <cell r="G181" t="str">
            <v>Linha de Pintura 3,2m</v>
          </cell>
          <cell r="H181" t="str">
            <v>Pistola de retoque está em posição incorreta</v>
          </cell>
          <cell r="I181" t="str">
            <v>Melhoria</v>
          </cell>
          <cell r="J181" t="str">
            <v>Não</v>
          </cell>
          <cell r="K181" t="str">
            <v>Mecânica</v>
          </cell>
          <cell r="L181" t="str">
            <v>Montagem / Instalação</v>
          </cell>
          <cell r="M181" t="str">
            <v>Falha de Projeto</v>
          </cell>
          <cell r="N181">
            <v>37848</v>
          </cell>
          <cell r="O181">
            <v>0.41666666666666669</v>
          </cell>
          <cell r="P181">
            <v>37848</v>
          </cell>
          <cell r="Q181">
            <v>0.41666666666666669</v>
          </cell>
          <cell r="T181">
            <v>37848</v>
          </cell>
          <cell r="U181">
            <v>0.70833333333333337</v>
          </cell>
          <cell r="V181">
            <v>37848</v>
          </cell>
          <cell r="W181">
            <v>0.70833333333333337</v>
          </cell>
          <cell r="X181">
            <v>0.29166666666909197</v>
          </cell>
          <cell r="Y181">
            <v>0.29166666666909197</v>
          </cell>
          <cell r="AB181">
            <v>8</v>
          </cell>
          <cell r="AC181">
            <v>5</v>
          </cell>
          <cell r="AD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8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</row>
        <row r="182">
          <cell r="C182">
            <v>37755</v>
          </cell>
          <cell r="D182">
            <v>37858</v>
          </cell>
          <cell r="E182">
            <v>37851</v>
          </cell>
          <cell r="F182">
            <v>0.375</v>
          </cell>
          <cell r="G182" t="str">
            <v>Linha de Pintura 3,2m</v>
          </cell>
          <cell r="H182" t="str">
            <v>Pistola de Retoque não magnetiza</v>
          </cell>
          <cell r="I182" t="str">
            <v>Corretiva</v>
          </cell>
          <cell r="J182" t="str">
            <v>Sim</v>
          </cell>
          <cell r="K182" t="str">
            <v>Elétrica</v>
          </cell>
          <cell r="L182" t="str">
            <v>Correção da Montagem</v>
          </cell>
          <cell r="M182" t="str">
            <v>Falha de Montagem / Preparação</v>
          </cell>
          <cell r="N182">
            <v>37851</v>
          </cell>
          <cell r="O182">
            <v>0.38194444444444442</v>
          </cell>
          <cell r="P182">
            <v>37851</v>
          </cell>
          <cell r="Q182">
            <v>0.38194444444444442</v>
          </cell>
          <cell r="T182">
            <v>37851</v>
          </cell>
          <cell r="U182">
            <v>0.40277777777777773</v>
          </cell>
          <cell r="V182">
            <v>37851</v>
          </cell>
          <cell r="W182">
            <v>0.40277777777777773</v>
          </cell>
          <cell r="X182">
            <v>2.0833333333333315E-2</v>
          </cell>
          <cell r="Y182">
            <v>2.0833333336567117E-2</v>
          </cell>
          <cell r="AB182">
            <v>8</v>
          </cell>
          <cell r="AC182">
            <v>5</v>
          </cell>
          <cell r="AD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8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</row>
        <row r="183">
          <cell r="C183">
            <v>37755</v>
          </cell>
          <cell r="D183">
            <v>37900</v>
          </cell>
          <cell r="E183">
            <v>37867</v>
          </cell>
          <cell r="F183">
            <v>0.60416666666666663</v>
          </cell>
          <cell r="G183" t="str">
            <v>Linha de Pintura 3,2m</v>
          </cell>
          <cell r="H183" t="str">
            <v>Peneira do Recuperador de pó rompida</v>
          </cell>
          <cell r="I183" t="str">
            <v>Corretiva</v>
          </cell>
          <cell r="J183" t="str">
            <v>Não</v>
          </cell>
          <cell r="K183" t="str">
            <v>Mecânica</v>
          </cell>
          <cell r="L183" t="str">
            <v>Substituição do(s) Componente(s)</v>
          </cell>
          <cell r="M183" t="str">
            <v>Desgaste / Fadiga</v>
          </cell>
          <cell r="N183">
            <v>37867</v>
          </cell>
          <cell r="O183">
            <v>0.63541666666666663</v>
          </cell>
          <cell r="P183">
            <v>37867</v>
          </cell>
          <cell r="Q183">
            <v>0.63541666666666663</v>
          </cell>
          <cell r="T183">
            <v>37867</v>
          </cell>
          <cell r="U183">
            <v>0.66666666666666663</v>
          </cell>
          <cell r="V183">
            <v>37867</v>
          </cell>
          <cell r="W183">
            <v>0.66666666666666663</v>
          </cell>
          <cell r="X183">
            <v>3.1249999997574718E-2</v>
          </cell>
          <cell r="Y183">
            <v>3.1249999997574718E-2</v>
          </cell>
          <cell r="AB183">
            <v>9</v>
          </cell>
          <cell r="AC183">
            <v>5</v>
          </cell>
          <cell r="AD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9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</row>
        <row r="184">
          <cell r="C184">
            <v>37755</v>
          </cell>
          <cell r="D184">
            <v>37881</v>
          </cell>
          <cell r="E184">
            <v>37868</v>
          </cell>
          <cell r="F184">
            <v>0.5625</v>
          </cell>
          <cell r="G184" t="str">
            <v>Linha de Pintura 3,2m</v>
          </cell>
          <cell r="H184" t="str">
            <v>Pistola de Retoque não magnetiza</v>
          </cell>
          <cell r="I184" t="str">
            <v>Corretiva</v>
          </cell>
          <cell r="J184" t="str">
            <v>Sim</v>
          </cell>
          <cell r="K184" t="str">
            <v>Elétrica</v>
          </cell>
          <cell r="L184" t="str">
            <v>Reparo</v>
          </cell>
          <cell r="M184" t="str">
            <v>Desgaste / Fadiga</v>
          </cell>
          <cell r="N184">
            <v>37868</v>
          </cell>
          <cell r="O184">
            <v>0.56597222222222221</v>
          </cell>
          <cell r="P184">
            <v>37868</v>
          </cell>
          <cell r="Q184">
            <v>0.56597222222222221</v>
          </cell>
          <cell r="T184">
            <v>37868</v>
          </cell>
          <cell r="U184">
            <v>0.58333333333333337</v>
          </cell>
          <cell r="V184">
            <v>37868</v>
          </cell>
          <cell r="W184">
            <v>0.58333333333333337</v>
          </cell>
          <cell r="X184">
            <v>1.736111111111116E-2</v>
          </cell>
          <cell r="Y184">
            <v>1.7361111113536443E-2</v>
          </cell>
          <cell r="AB184">
            <v>9</v>
          </cell>
          <cell r="AC184">
            <v>5</v>
          </cell>
          <cell r="AD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9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</row>
        <row r="185">
          <cell r="C185">
            <v>37755</v>
          </cell>
          <cell r="D185">
            <v>37900</v>
          </cell>
          <cell r="E185">
            <v>37875</v>
          </cell>
          <cell r="F185">
            <v>0.5</v>
          </cell>
          <cell r="G185" t="str">
            <v>Linha de Pintura 3,2m</v>
          </cell>
          <cell r="H185" t="str">
            <v>Vazamento na válvula do enxágue 02</v>
          </cell>
          <cell r="I185" t="str">
            <v>Corretiva</v>
          </cell>
          <cell r="J185" t="str">
            <v>Não</v>
          </cell>
          <cell r="K185" t="str">
            <v>Mecânica</v>
          </cell>
          <cell r="L185" t="str">
            <v>Contenção do vazamento</v>
          </cell>
          <cell r="M185" t="str">
            <v>Desgaste / Fadiga</v>
          </cell>
          <cell r="N185">
            <v>37894</v>
          </cell>
          <cell r="O185">
            <v>0.4375</v>
          </cell>
          <cell r="P185">
            <v>37894</v>
          </cell>
          <cell r="Q185">
            <v>0.4375</v>
          </cell>
          <cell r="T185">
            <v>37894</v>
          </cell>
          <cell r="U185">
            <v>0.52083333333333337</v>
          </cell>
          <cell r="V185">
            <v>37894</v>
          </cell>
          <cell r="W185">
            <v>0.52083333333333337</v>
          </cell>
          <cell r="X185">
            <v>8.3333333335758653E-2</v>
          </cell>
          <cell r="Y185">
            <v>8.3333333335758653E-2</v>
          </cell>
          <cell r="AB185">
            <v>9</v>
          </cell>
          <cell r="AC185">
            <v>5</v>
          </cell>
          <cell r="AD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9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</row>
        <row r="186">
          <cell r="C186">
            <v>37755</v>
          </cell>
          <cell r="D186">
            <v>37810</v>
          </cell>
          <cell r="E186">
            <v>37799</v>
          </cell>
          <cell r="F186">
            <v>0.34027777777777773</v>
          </cell>
          <cell r="G186" t="str">
            <v>Linha de Pintura 3,2m</v>
          </cell>
          <cell r="H186" t="str">
            <v>Pistola da Cabine de Pintura não está liberando pó</v>
          </cell>
          <cell r="I186" t="str">
            <v>Corretiva</v>
          </cell>
          <cell r="J186" t="str">
            <v>Não</v>
          </cell>
          <cell r="K186" t="str">
            <v>Mecânica</v>
          </cell>
          <cell r="L186" t="str">
            <v>Limpeza interna e verificação dos contatos</v>
          </cell>
          <cell r="M186" t="str">
            <v>Mau contato</v>
          </cell>
          <cell r="N186">
            <v>37799</v>
          </cell>
          <cell r="O186">
            <v>0.34027777777777773</v>
          </cell>
          <cell r="P186">
            <v>37799</v>
          </cell>
          <cell r="Q186">
            <v>0.34027777777777773</v>
          </cell>
          <cell r="T186">
            <v>37799</v>
          </cell>
          <cell r="U186">
            <v>0.375</v>
          </cell>
          <cell r="V186">
            <v>37799</v>
          </cell>
          <cell r="W186">
            <v>0.375</v>
          </cell>
          <cell r="X186">
            <v>3.4722222222222265E-2</v>
          </cell>
          <cell r="Y186">
            <v>3.4722222222222265E-2</v>
          </cell>
          <cell r="AB186">
            <v>6</v>
          </cell>
          <cell r="AC186">
            <v>5</v>
          </cell>
          <cell r="AD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6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</row>
        <row r="187">
          <cell r="C187">
            <v>37755</v>
          </cell>
          <cell r="D187">
            <v>37756</v>
          </cell>
          <cell r="E187">
            <v>37754</v>
          </cell>
          <cell r="F187">
            <v>0.33333333333333331</v>
          </cell>
          <cell r="G187" t="str">
            <v>Linha de Pintura 8,5m</v>
          </cell>
          <cell r="H187" t="str">
            <v>Problema no filtro de ar</v>
          </cell>
          <cell r="I187" t="str">
            <v>Corretiva</v>
          </cell>
          <cell r="J187" t="str">
            <v>Não</v>
          </cell>
          <cell r="K187" t="str">
            <v>Mecânica</v>
          </cell>
          <cell r="L187" t="str">
            <v>Substituição do(s) Componente(s)</v>
          </cell>
          <cell r="M187" t="str">
            <v>Desgaste / Fadiga</v>
          </cell>
          <cell r="N187">
            <v>37754</v>
          </cell>
          <cell r="O187">
            <v>0.41666666666666669</v>
          </cell>
          <cell r="P187">
            <v>37754</v>
          </cell>
          <cell r="Q187">
            <v>0.41666666666666669</v>
          </cell>
          <cell r="T187">
            <v>37754</v>
          </cell>
          <cell r="U187">
            <v>0.5</v>
          </cell>
          <cell r="V187">
            <v>37754</v>
          </cell>
          <cell r="W187">
            <v>0.5</v>
          </cell>
          <cell r="X187">
            <v>8.3333333333333315E-2</v>
          </cell>
          <cell r="Y187">
            <v>8.3333333333333315E-2</v>
          </cell>
          <cell r="AB187">
            <v>5</v>
          </cell>
          <cell r="AC187">
            <v>5</v>
          </cell>
          <cell r="AD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5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</row>
        <row r="188">
          <cell r="C188">
            <v>37755</v>
          </cell>
          <cell r="D188">
            <v>37810</v>
          </cell>
          <cell r="E188">
            <v>37762</v>
          </cell>
          <cell r="F188">
            <v>0.44097222222222227</v>
          </cell>
          <cell r="G188" t="str">
            <v>Linha de Pintura 8,5m</v>
          </cell>
          <cell r="H188" t="str">
            <v>Elevador Parado</v>
          </cell>
          <cell r="I188" t="str">
            <v>Corretiva</v>
          </cell>
          <cell r="J188" t="str">
            <v>Sim</v>
          </cell>
          <cell r="K188" t="str">
            <v>Mecânica</v>
          </cell>
          <cell r="L188" t="str">
            <v>Regulagem da altura do Elevador</v>
          </cell>
          <cell r="M188" t="str">
            <v>Vibração</v>
          </cell>
          <cell r="N188">
            <v>37762</v>
          </cell>
          <cell r="O188">
            <v>0.68055555555555547</v>
          </cell>
          <cell r="P188">
            <v>37762</v>
          </cell>
          <cell r="Q188">
            <v>0.68055555555555547</v>
          </cell>
          <cell r="T188">
            <v>37762</v>
          </cell>
          <cell r="U188">
            <v>0.71527777777777779</v>
          </cell>
          <cell r="V188">
            <v>37762</v>
          </cell>
          <cell r="W188">
            <v>0.71527777777777779</v>
          </cell>
          <cell r="X188">
            <v>3.4722222222222321E-2</v>
          </cell>
          <cell r="Y188">
            <v>3.4722222225456068E-2</v>
          </cell>
          <cell r="AB188">
            <v>5</v>
          </cell>
          <cell r="AC188">
            <v>5</v>
          </cell>
          <cell r="AD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</row>
        <row r="189">
          <cell r="C189">
            <v>37755</v>
          </cell>
          <cell r="D189">
            <v>37769</v>
          </cell>
          <cell r="E189">
            <v>37767</v>
          </cell>
          <cell r="F189">
            <v>0.35416666666666669</v>
          </cell>
          <cell r="G189" t="str">
            <v>Linha de Pintura 8,5m</v>
          </cell>
          <cell r="H189" t="str">
            <v>Motor não funciona</v>
          </cell>
          <cell r="I189" t="str">
            <v>Corretiva</v>
          </cell>
          <cell r="J189" t="str">
            <v>Sim</v>
          </cell>
          <cell r="K189" t="str">
            <v>Elétrica</v>
          </cell>
          <cell r="L189" t="str">
            <v>Substituição do(s) Componente(s)</v>
          </cell>
          <cell r="M189" t="str">
            <v>Mau contato</v>
          </cell>
          <cell r="N189">
            <v>37767</v>
          </cell>
          <cell r="O189">
            <v>0.35416666666666669</v>
          </cell>
          <cell r="P189">
            <v>37767</v>
          </cell>
          <cell r="Q189">
            <v>0.35416666666666669</v>
          </cell>
          <cell r="T189">
            <v>37767</v>
          </cell>
          <cell r="U189">
            <v>0.4597222222222222</v>
          </cell>
          <cell r="V189">
            <v>37767</v>
          </cell>
          <cell r="W189">
            <v>0.4597222222222222</v>
          </cell>
          <cell r="X189">
            <v>0.10555555555555551</v>
          </cell>
          <cell r="Y189">
            <v>0.10555555555523216</v>
          </cell>
          <cell r="AB189">
            <v>5</v>
          </cell>
          <cell r="AC189">
            <v>5</v>
          </cell>
          <cell r="AD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</row>
        <row r="190">
          <cell r="C190">
            <v>37755</v>
          </cell>
          <cell r="I190">
            <v>0</v>
          </cell>
          <cell r="N190">
            <v>0</v>
          </cell>
          <cell r="P190">
            <v>0</v>
          </cell>
          <cell r="T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AB190">
            <v>0</v>
          </cell>
          <cell r="AC190">
            <v>5</v>
          </cell>
          <cell r="AD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</row>
        <row r="191">
          <cell r="C191">
            <v>37755</v>
          </cell>
          <cell r="D191">
            <v>37785</v>
          </cell>
          <cell r="E191">
            <v>37776</v>
          </cell>
          <cell r="F191">
            <v>0.57291666666666663</v>
          </cell>
          <cell r="G191" t="str">
            <v>Linha de Pintura 15m</v>
          </cell>
          <cell r="H191" t="str">
            <v>Exaustão da cabine não funciona</v>
          </cell>
          <cell r="I191" t="str">
            <v>Corretiva</v>
          </cell>
          <cell r="J191" t="str">
            <v>Sim</v>
          </cell>
          <cell r="K191" t="str">
            <v>Elétrica</v>
          </cell>
          <cell r="L191" t="str">
            <v>Substituição do(s) Componente(s)</v>
          </cell>
          <cell r="M191" t="str">
            <v>Sobrecarga</v>
          </cell>
          <cell r="N191">
            <v>37776</v>
          </cell>
          <cell r="O191">
            <v>0.625</v>
          </cell>
          <cell r="P191">
            <v>37776</v>
          </cell>
          <cell r="Q191">
            <v>0.625</v>
          </cell>
          <cell r="T191">
            <v>37776</v>
          </cell>
          <cell r="U191">
            <v>0.64930555555555558</v>
          </cell>
          <cell r="V191">
            <v>37776</v>
          </cell>
          <cell r="W191">
            <v>0.64930555555555558</v>
          </cell>
          <cell r="X191">
            <v>2.430555555555558E-2</v>
          </cell>
          <cell r="Y191">
            <v>2.4305555554747116E-2</v>
          </cell>
          <cell r="AB191">
            <v>6</v>
          </cell>
          <cell r="AC191">
            <v>5</v>
          </cell>
          <cell r="AD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6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</row>
        <row r="192">
          <cell r="C192">
            <v>37755</v>
          </cell>
          <cell r="D192">
            <v>37881</v>
          </cell>
          <cell r="E192">
            <v>37795</v>
          </cell>
          <cell r="F192">
            <v>0.375</v>
          </cell>
          <cell r="G192" t="str">
            <v>Linha de Pintura 8,5m</v>
          </cell>
          <cell r="H192" t="str">
            <v>Vazamento na válvula de fechamento do tanque de enxágue 01</v>
          </cell>
          <cell r="I192" t="str">
            <v>Corretiva</v>
          </cell>
          <cell r="J192" t="str">
            <v>Não</v>
          </cell>
          <cell r="K192" t="str">
            <v>Mecânica</v>
          </cell>
          <cell r="L192" t="str">
            <v>Reparo</v>
          </cell>
          <cell r="M192" t="str">
            <v>Defeito de Fabricação</v>
          </cell>
          <cell r="N192">
            <v>37876</v>
          </cell>
          <cell r="O192">
            <v>0.3125</v>
          </cell>
          <cell r="P192">
            <v>37876</v>
          </cell>
          <cell r="Q192">
            <v>0.3125</v>
          </cell>
          <cell r="T192">
            <v>37876</v>
          </cell>
          <cell r="U192">
            <v>0.39583333333333331</v>
          </cell>
          <cell r="V192">
            <v>37876</v>
          </cell>
          <cell r="W192">
            <v>0.39583333333333331</v>
          </cell>
          <cell r="X192">
            <v>8.3333333335758653E-2</v>
          </cell>
          <cell r="Y192">
            <v>8.3333333335758653E-2</v>
          </cell>
          <cell r="AB192">
            <v>9</v>
          </cell>
          <cell r="AC192">
            <v>5</v>
          </cell>
          <cell r="AD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9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</row>
        <row r="193">
          <cell r="C193">
            <v>37755</v>
          </cell>
          <cell r="D193">
            <v>37803</v>
          </cell>
          <cell r="E193">
            <v>37795</v>
          </cell>
          <cell r="F193">
            <v>0.54166666666666663</v>
          </cell>
          <cell r="G193" t="str">
            <v>Linha de Pintura 8,5m</v>
          </cell>
          <cell r="H193" t="str">
            <v>Fusível de Exaustão queimado</v>
          </cell>
          <cell r="I193" t="str">
            <v>Corretiva</v>
          </cell>
          <cell r="J193" t="str">
            <v>Sim</v>
          </cell>
          <cell r="K193" t="str">
            <v>Elétrica</v>
          </cell>
          <cell r="L193" t="str">
            <v>Substituição do(s) Componente(s)</v>
          </cell>
          <cell r="M193" t="str">
            <v>Sobrecarga</v>
          </cell>
          <cell r="N193">
            <v>37795</v>
          </cell>
          <cell r="O193">
            <v>0.58333333333333337</v>
          </cell>
          <cell r="P193">
            <v>37795</v>
          </cell>
          <cell r="Q193">
            <v>0.58333333333333337</v>
          </cell>
          <cell r="T193">
            <v>37795</v>
          </cell>
          <cell r="U193">
            <v>0.60069444444444442</v>
          </cell>
          <cell r="V193">
            <v>37795</v>
          </cell>
          <cell r="W193">
            <v>0.60069444444444442</v>
          </cell>
          <cell r="X193">
            <v>1.7361111111111049E-2</v>
          </cell>
          <cell r="Y193">
            <v>1.7361111111919514E-2</v>
          </cell>
          <cell r="AB193">
            <v>6</v>
          </cell>
          <cell r="AC193">
            <v>5</v>
          </cell>
          <cell r="AD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6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</row>
        <row r="194">
          <cell r="C194">
            <v>37755</v>
          </cell>
          <cell r="D194">
            <v>37803</v>
          </cell>
          <cell r="E194">
            <v>37802</v>
          </cell>
          <cell r="F194">
            <v>0.41666666666666669</v>
          </cell>
          <cell r="G194" t="str">
            <v>Linha de Pintura 8,5m</v>
          </cell>
          <cell r="H194" t="str">
            <v>Parada constante no bastidor da entrada da secagem</v>
          </cell>
          <cell r="I194" t="str">
            <v>Corretiva</v>
          </cell>
          <cell r="J194" t="str">
            <v>Sim</v>
          </cell>
          <cell r="K194" t="str">
            <v>Mecânica</v>
          </cell>
          <cell r="L194" t="str">
            <v>O Parô estava com a porca e o eixo do pistão solto</v>
          </cell>
          <cell r="M194" t="str">
            <v>Vibração</v>
          </cell>
          <cell r="N194">
            <v>37802</v>
          </cell>
          <cell r="O194">
            <v>0.53125</v>
          </cell>
          <cell r="P194">
            <v>37802</v>
          </cell>
          <cell r="Q194">
            <v>0.53125</v>
          </cell>
          <cell r="T194">
            <v>37802</v>
          </cell>
          <cell r="U194">
            <v>0.5625</v>
          </cell>
          <cell r="V194">
            <v>37802</v>
          </cell>
          <cell r="W194">
            <v>0.5625</v>
          </cell>
          <cell r="X194">
            <v>3.125E-2</v>
          </cell>
          <cell r="Y194">
            <v>3.125E-2</v>
          </cell>
          <cell r="AB194">
            <v>6</v>
          </cell>
          <cell r="AC194">
            <v>5</v>
          </cell>
          <cell r="AD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6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</row>
        <row r="195">
          <cell r="C195">
            <v>37755</v>
          </cell>
          <cell r="D195">
            <v>37819</v>
          </cell>
          <cell r="E195">
            <v>37814</v>
          </cell>
          <cell r="F195">
            <v>0.54166666666666663</v>
          </cell>
          <cell r="G195" t="str">
            <v>Linha de Pintura 8,5m</v>
          </cell>
          <cell r="H195" t="str">
            <v>Suporte do braço da pistola quebrado</v>
          </cell>
          <cell r="I195" t="str">
            <v>Corretiva</v>
          </cell>
          <cell r="J195" t="str">
            <v>Não</v>
          </cell>
          <cell r="K195" t="str">
            <v>Mecânica</v>
          </cell>
          <cell r="L195" t="str">
            <v>Substituição do(s) Componente(s)</v>
          </cell>
          <cell r="M195" t="str">
            <v>Defeito de Fabricação</v>
          </cell>
          <cell r="N195">
            <v>37816</v>
          </cell>
          <cell r="O195">
            <v>0.41666666666666669</v>
          </cell>
          <cell r="P195">
            <v>37816</v>
          </cell>
          <cell r="Q195">
            <v>0.41666666666666669</v>
          </cell>
          <cell r="T195">
            <v>37816</v>
          </cell>
          <cell r="U195">
            <v>0.45833333333333331</v>
          </cell>
          <cell r="V195">
            <v>37816</v>
          </cell>
          <cell r="W195">
            <v>0.45833333333333331</v>
          </cell>
          <cell r="X195">
            <v>4.166666666666663E-2</v>
          </cell>
          <cell r="Y195">
            <v>4.1666666669091967E-2</v>
          </cell>
          <cell r="AB195">
            <v>7</v>
          </cell>
          <cell r="AC195">
            <v>5</v>
          </cell>
          <cell r="AD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7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</row>
        <row r="196">
          <cell r="C196">
            <v>37755</v>
          </cell>
          <cell r="D196">
            <v>37838</v>
          </cell>
          <cell r="E196">
            <v>37816</v>
          </cell>
          <cell r="F196">
            <v>0.41666666666666669</v>
          </cell>
          <cell r="G196" t="str">
            <v>Linha de Pintura 8,5m</v>
          </cell>
          <cell r="H196" t="str">
            <v>Acúmulo de pó no reservatório, gerando transbordamento</v>
          </cell>
          <cell r="I196" t="str">
            <v>Melhoria</v>
          </cell>
          <cell r="J196" t="str">
            <v>Não</v>
          </cell>
          <cell r="K196" t="str">
            <v>Mecânica</v>
          </cell>
          <cell r="L196" t="str">
            <v>Substituição do(s) Componente(s)</v>
          </cell>
          <cell r="M196" t="str">
            <v>Falha de Projeto</v>
          </cell>
          <cell r="N196">
            <v>37826</v>
          </cell>
          <cell r="O196">
            <v>0.33333333333333331</v>
          </cell>
          <cell r="P196">
            <v>37826</v>
          </cell>
          <cell r="Q196">
            <v>0.33333333333333331</v>
          </cell>
          <cell r="T196">
            <v>37826</v>
          </cell>
          <cell r="U196">
            <v>0.5</v>
          </cell>
          <cell r="V196">
            <v>37826</v>
          </cell>
          <cell r="W196">
            <v>0.5</v>
          </cell>
          <cell r="X196">
            <v>0.16666666666666669</v>
          </cell>
          <cell r="Y196">
            <v>0.16666666666666669</v>
          </cell>
          <cell r="AB196">
            <v>7</v>
          </cell>
          <cell r="AC196">
            <v>5</v>
          </cell>
          <cell r="AD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7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</row>
        <row r="197">
          <cell r="C197">
            <v>37755</v>
          </cell>
          <cell r="D197">
            <v>37803</v>
          </cell>
          <cell r="E197">
            <v>37789</v>
          </cell>
          <cell r="F197">
            <v>0.69097222222222221</v>
          </cell>
          <cell r="G197" t="str">
            <v>Linha de Pintura 15m</v>
          </cell>
          <cell r="H197" t="str">
            <v>Elevador de carga desnivelado</v>
          </cell>
          <cell r="I197" t="str">
            <v>Corretiva</v>
          </cell>
          <cell r="J197" t="str">
            <v>Sim</v>
          </cell>
          <cell r="K197" t="str">
            <v>Elétrica</v>
          </cell>
          <cell r="L197" t="str">
            <v>Regulagem do Componente</v>
          </cell>
          <cell r="M197" t="str">
            <v>Desgaste / Fadiga</v>
          </cell>
          <cell r="N197">
            <v>37789</v>
          </cell>
          <cell r="O197">
            <v>0.69444444444444453</v>
          </cell>
          <cell r="P197">
            <v>37789</v>
          </cell>
          <cell r="Q197">
            <v>0.69444444444444453</v>
          </cell>
          <cell r="T197">
            <v>37789</v>
          </cell>
          <cell r="U197">
            <v>0.70486111111111116</v>
          </cell>
          <cell r="V197">
            <v>37789</v>
          </cell>
          <cell r="W197">
            <v>0.70486111111111116</v>
          </cell>
          <cell r="X197">
            <v>1.041666666666663E-2</v>
          </cell>
          <cell r="Y197">
            <v>1.0416666665049701E-2</v>
          </cell>
          <cell r="AB197">
            <v>6</v>
          </cell>
          <cell r="AC197">
            <v>5</v>
          </cell>
          <cell r="AD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6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</row>
        <row r="198">
          <cell r="C198">
            <v>37755</v>
          </cell>
          <cell r="D198">
            <v>37785</v>
          </cell>
          <cell r="E198">
            <v>37782</v>
          </cell>
          <cell r="F198">
            <v>0.5</v>
          </cell>
          <cell r="G198" t="str">
            <v>Linha de Pintura 15m</v>
          </cell>
          <cell r="H198" t="str">
            <v>Parafusos do suporte do transportador soltos</v>
          </cell>
          <cell r="I198" t="str">
            <v>Corretiva</v>
          </cell>
          <cell r="J198" t="str">
            <v>Não</v>
          </cell>
          <cell r="K198" t="str">
            <v>Mecânica</v>
          </cell>
          <cell r="L198" t="str">
            <v>Reaperto dos componentes</v>
          </cell>
          <cell r="M198" t="str">
            <v>Vibração</v>
          </cell>
          <cell r="N198">
            <v>37783</v>
          </cell>
          <cell r="O198">
            <v>0.64583333333333337</v>
          </cell>
          <cell r="P198">
            <v>37783</v>
          </cell>
          <cell r="Q198">
            <v>0.64583333333333337</v>
          </cell>
          <cell r="T198">
            <v>37783</v>
          </cell>
          <cell r="U198">
            <v>0.66666666666666663</v>
          </cell>
          <cell r="V198">
            <v>37783</v>
          </cell>
          <cell r="W198">
            <v>0.66666666666666663</v>
          </cell>
          <cell r="X198">
            <v>2.0833333330907977E-2</v>
          </cell>
          <cell r="Y198">
            <v>2.0833333330907977E-2</v>
          </cell>
          <cell r="AB198">
            <v>6</v>
          </cell>
          <cell r="AC198">
            <v>5</v>
          </cell>
          <cell r="AD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6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</row>
        <row r="199">
          <cell r="C199">
            <v>37755</v>
          </cell>
          <cell r="D199">
            <v>37785</v>
          </cell>
          <cell r="E199">
            <v>37784</v>
          </cell>
          <cell r="F199">
            <v>0.65277777777777779</v>
          </cell>
          <cell r="G199" t="str">
            <v>Linha de Pintura 15m</v>
          </cell>
          <cell r="H199" t="str">
            <v>Elevador de carga desnivelado</v>
          </cell>
          <cell r="I199" t="str">
            <v>Corretiva</v>
          </cell>
          <cell r="J199" t="str">
            <v>Sim</v>
          </cell>
          <cell r="K199" t="str">
            <v>Elétrica</v>
          </cell>
          <cell r="L199" t="str">
            <v>Regulagem do sensor, ajustes na máquina e no encoder. Nivelamento dos elevadores</v>
          </cell>
          <cell r="M199" t="str">
            <v>Vibração</v>
          </cell>
          <cell r="N199">
            <v>37784</v>
          </cell>
          <cell r="O199">
            <v>0.65277777777777779</v>
          </cell>
          <cell r="P199">
            <v>37784</v>
          </cell>
          <cell r="Q199">
            <v>0.65277777777777779</v>
          </cell>
          <cell r="T199">
            <v>37784</v>
          </cell>
          <cell r="U199">
            <v>0.67013888888888884</v>
          </cell>
          <cell r="V199">
            <v>37784</v>
          </cell>
          <cell r="W199">
            <v>0.67013888888888884</v>
          </cell>
          <cell r="X199">
            <v>1.7361111111111049E-2</v>
          </cell>
          <cell r="Y199">
            <v>1.7361111112727978E-2</v>
          </cell>
          <cell r="AB199">
            <v>6</v>
          </cell>
          <cell r="AC199">
            <v>5</v>
          </cell>
          <cell r="AD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6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</row>
        <row r="200">
          <cell r="C200">
            <v>37755</v>
          </cell>
          <cell r="I200">
            <v>0</v>
          </cell>
          <cell r="N200">
            <v>0</v>
          </cell>
          <cell r="P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AB200">
            <v>0</v>
          </cell>
          <cell r="AC200">
            <v>5</v>
          </cell>
          <cell r="AD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</row>
        <row r="201">
          <cell r="C201">
            <v>37755</v>
          </cell>
          <cell r="D201">
            <v>37803</v>
          </cell>
          <cell r="E201">
            <v>37798</v>
          </cell>
          <cell r="F201">
            <v>0.66666666666666663</v>
          </cell>
          <cell r="G201" t="str">
            <v>Linha de Pintura 15m</v>
          </cell>
          <cell r="H201" t="str">
            <v>Conector de Ar do Reservatório de pó quebrado; Bicos do Fosfatado desregulados</v>
          </cell>
          <cell r="I201" t="str">
            <v>Corretiva</v>
          </cell>
          <cell r="J201" t="str">
            <v>Não</v>
          </cell>
          <cell r="K201" t="str">
            <v>Mecânica</v>
          </cell>
          <cell r="L201" t="str">
            <v>Substituição do(s) Componente(s)</v>
          </cell>
          <cell r="M201" t="str">
            <v>Desgaste / Fadiga</v>
          </cell>
          <cell r="N201">
            <v>37798</v>
          </cell>
          <cell r="O201">
            <v>0.66666666666666663</v>
          </cell>
          <cell r="P201">
            <v>37798</v>
          </cell>
          <cell r="Q201">
            <v>0.66666666666666663</v>
          </cell>
          <cell r="T201">
            <v>37798</v>
          </cell>
          <cell r="U201">
            <v>0.6875</v>
          </cell>
          <cell r="V201">
            <v>37798</v>
          </cell>
          <cell r="W201">
            <v>0.6875</v>
          </cell>
          <cell r="X201">
            <v>2.083333333333337E-2</v>
          </cell>
          <cell r="Y201">
            <v>2.083333333333337E-2</v>
          </cell>
          <cell r="AB201">
            <v>6</v>
          </cell>
          <cell r="AC201">
            <v>5</v>
          </cell>
          <cell r="AD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6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</row>
        <row r="202">
          <cell r="C202">
            <v>37755</v>
          </cell>
          <cell r="D202">
            <v>37806</v>
          </cell>
          <cell r="E202">
            <v>37803</v>
          </cell>
          <cell r="F202">
            <v>0.33333333333333331</v>
          </cell>
          <cell r="G202" t="str">
            <v>Linha de Pintura 15m</v>
          </cell>
          <cell r="H202" t="str">
            <v>Variador 01 de carga/descarga apresenta funcionamento inadequado</v>
          </cell>
          <cell r="I202" t="str">
            <v>Corretiva</v>
          </cell>
          <cell r="J202" t="str">
            <v>Sim</v>
          </cell>
          <cell r="K202" t="str">
            <v>Mecânica</v>
          </cell>
          <cell r="L202" t="str">
            <v>Substituição do(s) Componente(s)</v>
          </cell>
          <cell r="M202" t="str">
            <v>Desgaste / Fadiga</v>
          </cell>
          <cell r="N202">
            <v>37803</v>
          </cell>
          <cell r="O202">
            <v>0.33333333333333331</v>
          </cell>
          <cell r="P202">
            <v>37803</v>
          </cell>
          <cell r="Q202">
            <v>0.33333333333333331</v>
          </cell>
          <cell r="T202">
            <v>37803</v>
          </cell>
          <cell r="U202">
            <v>0.3611111111111111</v>
          </cell>
          <cell r="V202">
            <v>37803</v>
          </cell>
          <cell r="W202">
            <v>0.3611111111111111</v>
          </cell>
          <cell r="X202">
            <v>2.777777777777779E-2</v>
          </cell>
          <cell r="Y202">
            <v>2.7777777776160917E-2</v>
          </cell>
          <cell r="AB202">
            <v>7</v>
          </cell>
          <cell r="AC202">
            <v>5</v>
          </cell>
          <cell r="AD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7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</row>
        <row r="203">
          <cell r="C203">
            <v>37755</v>
          </cell>
          <cell r="D203">
            <v>37810</v>
          </cell>
          <cell r="E203">
            <v>37805</v>
          </cell>
          <cell r="F203">
            <v>0.6875</v>
          </cell>
          <cell r="G203" t="str">
            <v>Linha de Pintura 15m</v>
          </cell>
          <cell r="H203" t="str">
            <v>Exaustor não funciona</v>
          </cell>
          <cell r="I203" t="str">
            <v>Corretiva</v>
          </cell>
          <cell r="J203" t="str">
            <v>Sim</v>
          </cell>
          <cell r="K203" t="str">
            <v>Elétrica</v>
          </cell>
          <cell r="L203" t="str">
            <v>Substituição do(s) Componente(s)</v>
          </cell>
          <cell r="M203" t="str">
            <v>Causa não especificada</v>
          </cell>
          <cell r="N203">
            <v>37805</v>
          </cell>
          <cell r="O203">
            <v>0.6875</v>
          </cell>
          <cell r="P203">
            <v>37805</v>
          </cell>
          <cell r="Q203">
            <v>0.6875</v>
          </cell>
          <cell r="T203">
            <v>37805</v>
          </cell>
          <cell r="U203">
            <v>0.70833333333333337</v>
          </cell>
          <cell r="V203">
            <v>37805</v>
          </cell>
          <cell r="W203">
            <v>0.70833333333333337</v>
          </cell>
          <cell r="X203">
            <v>2.083333333333337E-2</v>
          </cell>
          <cell r="Y203">
            <v>2.0833333335758653E-2</v>
          </cell>
          <cell r="AB203">
            <v>7</v>
          </cell>
          <cell r="AC203">
            <v>5</v>
          </cell>
          <cell r="AD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7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</row>
        <row r="204">
          <cell r="C204">
            <v>37755</v>
          </cell>
          <cell r="D204">
            <v>37790</v>
          </cell>
          <cell r="E204">
            <v>37789</v>
          </cell>
          <cell r="F204">
            <v>0.375</v>
          </cell>
          <cell r="G204" t="str">
            <v>Linha de Pintura 15m</v>
          </cell>
          <cell r="H204" t="str">
            <v>O aterramento das gancheiras não funciona adequadamente</v>
          </cell>
          <cell r="I204" t="str">
            <v>Corretiva</v>
          </cell>
          <cell r="J204" t="str">
            <v>Não</v>
          </cell>
          <cell r="K204" t="str">
            <v>Elétrica</v>
          </cell>
          <cell r="L204" t="str">
            <v>Foi instalado um fio conectado a um suporte metálico para condução de corrente na gancheira</v>
          </cell>
          <cell r="M204" t="str">
            <v>Melhoria Técnica</v>
          </cell>
          <cell r="N204">
            <v>37789</v>
          </cell>
          <cell r="O204">
            <v>0.375</v>
          </cell>
          <cell r="P204">
            <v>37789</v>
          </cell>
          <cell r="Q204">
            <v>0.375</v>
          </cell>
          <cell r="T204">
            <v>37789</v>
          </cell>
          <cell r="U204">
            <v>0.4375</v>
          </cell>
          <cell r="V204">
            <v>37789</v>
          </cell>
          <cell r="W204">
            <v>0.4375</v>
          </cell>
          <cell r="X204">
            <v>6.25E-2</v>
          </cell>
          <cell r="Y204">
            <v>6.25E-2</v>
          </cell>
          <cell r="AB204">
            <v>6</v>
          </cell>
          <cell r="AC204">
            <v>5</v>
          </cell>
          <cell r="AD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6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</row>
        <row r="205">
          <cell r="C205">
            <v>37755</v>
          </cell>
          <cell r="D205">
            <v>37803</v>
          </cell>
          <cell r="E205">
            <v>37785</v>
          </cell>
          <cell r="F205">
            <v>0.40277777777777773</v>
          </cell>
          <cell r="G205" t="str">
            <v>Linha de Pintura 15m</v>
          </cell>
          <cell r="H205" t="str">
            <v>Elevador de carga desnivelado</v>
          </cell>
          <cell r="I205" t="str">
            <v>Corretiva</v>
          </cell>
          <cell r="J205" t="str">
            <v>Sim</v>
          </cell>
          <cell r="K205" t="str">
            <v>Elétrica</v>
          </cell>
          <cell r="L205" t="str">
            <v>Ajuste / Regulagem</v>
          </cell>
          <cell r="M205" t="str">
            <v>Falha de Comando / Sistema</v>
          </cell>
          <cell r="N205">
            <v>37785</v>
          </cell>
          <cell r="O205">
            <v>0.40277777777777773</v>
          </cell>
          <cell r="P205">
            <v>37785</v>
          </cell>
          <cell r="Q205">
            <v>0.40277777777777773</v>
          </cell>
          <cell r="T205">
            <v>37785</v>
          </cell>
          <cell r="U205">
            <v>0.41666666666666669</v>
          </cell>
          <cell r="V205">
            <v>37785</v>
          </cell>
          <cell r="W205">
            <v>0.41666666666666669</v>
          </cell>
          <cell r="X205">
            <v>1.3888888888888951E-2</v>
          </cell>
          <cell r="Y205">
            <v>1.3888888886463613E-2</v>
          </cell>
          <cell r="AB205">
            <v>6</v>
          </cell>
          <cell r="AC205">
            <v>5</v>
          </cell>
          <cell r="AD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6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</row>
        <row r="206">
          <cell r="C206">
            <v>37755</v>
          </cell>
          <cell r="D206">
            <v>37785</v>
          </cell>
          <cell r="E206">
            <v>37781</v>
          </cell>
          <cell r="F206">
            <v>0.33333333333333331</v>
          </cell>
          <cell r="G206" t="str">
            <v>Linha de Pintura 8,5m</v>
          </cell>
          <cell r="H206" t="str">
            <v>Pistola manual não funciona</v>
          </cell>
          <cell r="I206" t="str">
            <v>Corretiva</v>
          </cell>
          <cell r="J206" t="str">
            <v>Não</v>
          </cell>
          <cell r="K206" t="str">
            <v>Elétrica</v>
          </cell>
          <cell r="L206" t="str">
            <v>Substituição do(s) Componente(s)</v>
          </cell>
          <cell r="M206" t="str">
            <v>Elétrica</v>
          </cell>
          <cell r="N206">
            <v>37784</v>
          </cell>
          <cell r="O206">
            <v>0.375</v>
          </cell>
          <cell r="P206">
            <v>37784</v>
          </cell>
          <cell r="Q206">
            <v>0.375</v>
          </cell>
          <cell r="R206">
            <v>37784</v>
          </cell>
          <cell r="S206">
            <v>0.375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AB206">
            <v>0</v>
          </cell>
          <cell r="AC206">
            <v>5</v>
          </cell>
          <cell r="AD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1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</row>
        <row r="207">
          <cell r="C207">
            <v>37795</v>
          </cell>
          <cell r="D207">
            <v>37803</v>
          </cell>
          <cell r="E207">
            <v>37796</v>
          </cell>
          <cell r="F207">
            <v>0.70833333333333337</v>
          </cell>
          <cell r="G207" t="str">
            <v>Perfiladora Dimeco Travesaños</v>
          </cell>
          <cell r="H207" t="str">
            <v>Desbobinador travado; pino guia do cassete</v>
          </cell>
          <cell r="I207" t="str">
            <v>Corretiva</v>
          </cell>
          <cell r="J207" t="str">
            <v>Não</v>
          </cell>
          <cell r="K207" t="str">
            <v>Mecânica</v>
          </cell>
          <cell r="L207" t="str">
            <v>Reparo</v>
          </cell>
          <cell r="M207" t="str">
            <v>Falha de Montagem / Preparação</v>
          </cell>
          <cell r="N207">
            <v>37800</v>
          </cell>
          <cell r="O207">
            <v>0.33333333333333331</v>
          </cell>
          <cell r="P207">
            <v>37800</v>
          </cell>
          <cell r="Q207">
            <v>0.33333333333333331</v>
          </cell>
          <cell r="T207">
            <v>37800</v>
          </cell>
          <cell r="U207">
            <v>0.58333333333333337</v>
          </cell>
          <cell r="V207">
            <v>37800</v>
          </cell>
          <cell r="W207">
            <v>0.58333333333333337</v>
          </cell>
          <cell r="X207">
            <v>0.25000000000242534</v>
          </cell>
          <cell r="Y207">
            <v>0.25000000000242534</v>
          </cell>
          <cell r="AB207">
            <v>6</v>
          </cell>
          <cell r="AC207">
            <v>6</v>
          </cell>
          <cell r="AD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6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</row>
        <row r="208">
          <cell r="C208">
            <v>37795</v>
          </cell>
          <cell r="D208">
            <v>37803</v>
          </cell>
          <cell r="E208">
            <v>37797</v>
          </cell>
          <cell r="F208">
            <v>0.42708333333333331</v>
          </cell>
          <cell r="G208" t="str">
            <v>Perfiladora Dimeco Travesaños</v>
          </cell>
          <cell r="H208" t="str">
            <v>Disjuntor desarmado</v>
          </cell>
          <cell r="I208" t="str">
            <v>Corretiva</v>
          </cell>
          <cell r="J208" t="str">
            <v>Sim</v>
          </cell>
          <cell r="K208" t="str">
            <v>Elétrica</v>
          </cell>
          <cell r="L208" t="str">
            <v>Reinicialização do Equipamento / Componente</v>
          </cell>
          <cell r="M208" t="str">
            <v>Travamento de Componente</v>
          </cell>
          <cell r="N208">
            <v>37797</v>
          </cell>
          <cell r="O208">
            <v>0.43611111111111112</v>
          </cell>
          <cell r="P208">
            <v>37797</v>
          </cell>
          <cell r="Q208">
            <v>0.43611111111111112</v>
          </cell>
          <cell r="T208">
            <v>37797</v>
          </cell>
          <cell r="U208">
            <v>0.45</v>
          </cell>
          <cell r="V208">
            <v>37797</v>
          </cell>
          <cell r="W208">
            <v>0.45</v>
          </cell>
          <cell r="X208">
            <v>1.3888888888888895E-2</v>
          </cell>
          <cell r="Y208">
            <v>1.3888888885978501E-2</v>
          </cell>
          <cell r="AB208">
            <v>6</v>
          </cell>
          <cell r="AC208">
            <v>6</v>
          </cell>
          <cell r="AD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6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</row>
        <row r="209">
          <cell r="C209">
            <v>37795</v>
          </cell>
          <cell r="D209">
            <v>37803</v>
          </cell>
          <cell r="E209">
            <v>37797</v>
          </cell>
          <cell r="F209">
            <v>0.73611111111111116</v>
          </cell>
          <cell r="G209" t="str">
            <v>Perfiladora Dimeco Travesaños</v>
          </cell>
          <cell r="H209" t="str">
            <v>Pistola da Mangueira de ar com defeito</v>
          </cell>
          <cell r="I209" t="str">
            <v>Corretiva</v>
          </cell>
          <cell r="J209" t="str">
            <v>Não</v>
          </cell>
          <cell r="K209" t="str">
            <v>Mecânica</v>
          </cell>
          <cell r="L209" t="str">
            <v>Substituição do(s) Componente(s)</v>
          </cell>
          <cell r="M209" t="str">
            <v>Defeito de Fabricação</v>
          </cell>
          <cell r="N209">
            <v>37797</v>
          </cell>
          <cell r="O209">
            <v>0.73611111111111116</v>
          </cell>
          <cell r="P209">
            <v>37797</v>
          </cell>
          <cell r="Q209">
            <v>0.73611111111111116</v>
          </cell>
          <cell r="T209">
            <v>37797</v>
          </cell>
          <cell r="U209">
            <v>0.75</v>
          </cell>
          <cell r="V209">
            <v>37797</v>
          </cell>
          <cell r="W209">
            <v>0.75</v>
          </cell>
          <cell r="X209">
            <v>1.388888888888884E-2</v>
          </cell>
          <cell r="Y209">
            <v>1.388888888888884E-2</v>
          </cell>
          <cell r="AB209">
            <v>6</v>
          </cell>
          <cell r="AC209">
            <v>6</v>
          </cell>
          <cell r="AD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6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</row>
        <row r="210">
          <cell r="C210">
            <v>37795</v>
          </cell>
          <cell r="D210">
            <v>37803</v>
          </cell>
          <cell r="E210">
            <v>37799</v>
          </cell>
          <cell r="F210">
            <v>0.57499999999999996</v>
          </cell>
          <cell r="G210" t="str">
            <v>Perfiladora Dimeco Travesaños</v>
          </cell>
          <cell r="H210" t="str">
            <v>Disco de Serra danificado</v>
          </cell>
          <cell r="I210" t="str">
            <v>Corretiva</v>
          </cell>
          <cell r="J210" t="str">
            <v>Não</v>
          </cell>
          <cell r="K210" t="str">
            <v>Mecânica</v>
          </cell>
          <cell r="L210" t="str">
            <v>Substituição do(s) Componente(s)</v>
          </cell>
          <cell r="M210" t="str">
            <v>Defeito de Fabricação</v>
          </cell>
          <cell r="N210">
            <v>37799</v>
          </cell>
          <cell r="O210">
            <v>0.57499999999999996</v>
          </cell>
          <cell r="P210">
            <v>37799</v>
          </cell>
          <cell r="Q210">
            <v>0.57499999999999996</v>
          </cell>
          <cell r="T210">
            <v>37799</v>
          </cell>
          <cell r="U210">
            <v>0.60416666666666663</v>
          </cell>
          <cell r="V210">
            <v>37799</v>
          </cell>
          <cell r="W210">
            <v>0.60416666666666663</v>
          </cell>
          <cell r="X210">
            <v>2.9166666664241392E-2</v>
          </cell>
          <cell r="Y210">
            <v>2.9166666664241392E-2</v>
          </cell>
          <cell r="AB210">
            <v>6</v>
          </cell>
          <cell r="AC210">
            <v>6</v>
          </cell>
          <cell r="AD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6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</row>
        <row r="211">
          <cell r="C211">
            <v>37795</v>
          </cell>
          <cell r="D211">
            <v>37810</v>
          </cell>
          <cell r="E211">
            <v>37805</v>
          </cell>
          <cell r="F211">
            <v>0.38194444444444442</v>
          </cell>
          <cell r="G211" t="str">
            <v>Perfiladora Dimeco Travesaños</v>
          </cell>
          <cell r="H211" t="str">
            <v>Problema no desbobinador</v>
          </cell>
          <cell r="I211" t="str">
            <v>Corretiva</v>
          </cell>
          <cell r="J211" t="str">
            <v>Não</v>
          </cell>
          <cell r="K211" t="str">
            <v>Mecânica</v>
          </cell>
          <cell r="L211" t="str">
            <v>Regulagem no Sistema Hidráulico</v>
          </cell>
          <cell r="M211" t="str">
            <v>Falha de Montagem / Preparação</v>
          </cell>
          <cell r="N211">
            <v>37805</v>
          </cell>
          <cell r="O211">
            <v>0.61458333333333337</v>
          </cell>
          <cell r="P211">
            <v>37805</v>
          </cell>
          <cell r="Q211">
            <v>0.61458333333333337</v>
          </cell>
          <cell r="T211">
            <v>37805</v>
          </cell>
          <cell r="U211">
            <v>0.75</v>
          </cell>
          <cell r="V211">
            <v>37805</v>
          </cell>
          <cell r="W211">
            <v>0.75</v>
          </cell>
          <cell r="X211">
            <v>0.13541666666666663</v>
          </cell>
          <cell r="Y211">
            <v>0.13541666666666663</v>
          </cell>
          <cell r="AB211">
            <v>7</v>
          </cell>
          <cell r="AC211">
            <v>6</v>
          </cell>
          <cell r="AD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7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</row>
        <row r="212">
          <cell r="C212">
            <v>37795</v>
          </cell>
          <cell r="D212">
            <v>37819</v>
          </cell>
          <cell r="E212">
            <v>37816</v>
          </cell>
          <cell r="F212">
            <v>0.70833333333333337</v>
          </cell>
          <cell r="G212" t="str">
            <v>Perfiladora Dimeco Travesaños</v>
          </cell>
          <cell r="H212" t="str">
            <v>Vazamento em conexão do Sistema Hidráulico</v>
          </cell>
          <cell r="I212" t="str">
            <v>Corretiva</v>
          </cell>
          <cell r="J212" t="str">
            <v>Não</v>
          </cell>
          <cell r="K212" t="str">
            <v>Mecânica</v>
          </cell>
          <cell r="L212" t="str">
            <v>Limpeza e reaperto das conexões</v>
          </cell>
          <cell r="M212" t="str">
            <v>Vibração</v>
          </cell>
          <cell r="N212">
            <v>37816</v>
          </cell>
          <cell r="O212">
            <v>0.70833333333333337</v>
          </cell>
          <cell r="P212">
            <v>37816</v>
          </cell>
          <cell r="Q212">
            <v>0.70833333333333337</v>
          </cell>
          <cell r="T212">
            <v>37816</v>
          </cell>
          <cell r="U212">
            <v>0.75</v>
          </cell>
          <cell r="V212">
            <v>37816</v>
          </cell>
          <cell r="W212">
            <v>0.75</v>
          </cell>
          <cell r="X212">
            <v>4.166666666666663E-2</v>
          </cell>
          <cell r="Y212">
            <v>4.166666666666663E-2</v>
          </cell>
          <cell r="AB212">
            <v>7</v>
          </cell>
          <cell r="AC212">
            <v>6</v>
          </cell>
          <cell r="AD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7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</row>
        <row r="213">
          <cell r="C213">
            <v>37795</v>
          </cell>
          <cell r="D213">
            <v>37819</v>
          </cell>
          <cell r="E213">
            <v>37817</v>
          </cell>
          <cell r="F213">
            <v>0.75</v>
          </cell>
          <cell r="G213" t="str">
            <v>Perfiladora Dimeco Travesaños</v>
          </cell>
          <cell r="H213" t="str">
            <v>Chaveta do Desbobinador travada</v>
          </cell>
          <cell r="I213" t="str">
            <v>Corretiva</v>
          </cell>
          <cell r="J213" t="str">
            <v>Não</v>
          </cell>
          <cell r="K213" t="str">
            <v>Mecânica</v>
          </cell>
          <cell r="L213" t="str">
            <v>Ajuste / Regulagem</v>
          </cell>
          <cell r="M213" t="str">
            <v>Falha de Regulagem / Configuração / Dimensionamento</v>
          </cell>
          <cell r="N213">
            <v>37817</v>
          </cell>
          <cell r="O213">
            <v>0.75</v>
          </cell>
          <cell r="P213">
            <v>37817</v>
          </cell>
          <cell r="Q213">
            <v>0.75</v>
          </cell>
          <cell r="T213">
            <v>37817</v>
          </cell>
          <cell r="U213">
            <v>0.83333333333333337</v>
          </cell>
          <cell r="V213">
            <v>37817</v>
          </cell>
          <cell r="W213">
            <v>0.83333333333333337</v>
          </cell>
          <cell r="X213">
            <v>8.3333333335758653E-2</v>
          </cell>
          <cell r="Y213">
            <v>8.3333333335758653E-2</v>
          </cell>
          <cell r="AB213">
            <v>7</v>
          </cell>
          <cell r="AC213">
            <v>6</v>
          </cell>
          <cell r="AD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7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</row>
        <row r="214">
          <cell r="C214">
            <v>37795</v>
          </cell>
          <cell r="D214">
            <v>37831</v>
          </cell>
          <cell r="E214">
            <v>37818</v>
          </cell>
          <cell r="F214">
            <v>0.33333333333333331</v>
          </cell>
          <cell r="G214" t="str">
            <v>Perfiladora Dimeco Travesaños</v>
          </cell>
          <cell r="H214" t="str">
            <v>Falha no painel Bimanual</v>
          </cell>
          <cell r="I214" t="str">
            <v>Corretiva</v>
          </cell>
          <cell r="J214" t="str">
            <v>Sim</v>
          </cell>
          <cell r="K214" t="str">
            <v>Elétrica</v>
          </cell>
          <cell r="L214" t="str">
            <v>Substituição do(s) Componente(s)</v>
          </cell>
          <cell r="M214" t="str">
            <v>Causa não especificada</v>
          </cell>
          <cell r="N214">
            <v>37818</v>
          </cell>
          <cell r="O214">
            <v>0.44444444444444442</v>
          </cell>
          <cell r="P214">
            <v>37818</v>
          </cell>
          <cell r="Q214">
            <v>0.44444444444444442</v>
          </cell>
          <cell r="T214">
            <v>37818</v>
          </cell>
          <cell r="U214">
            <v>0.4826388888888889</v>
          </cell>
          <cell r="V214">
            <v>37818</v>
          </cell>
          <cell r="W214">
            <v>0.4826388888888889</v>
          </cell>
          <cell r="X214">
            <v>3.8194444444444475E-2</v>
          </cell>
          <cell r="Y214">
            <v>3.8194444446061349E-2</v>
          </cell>
          <cell r="AB214">
            <v>7</v>
          </cell>
          <cell r="AC214">
            <v>6</v>
          </cell>
          <cell r="AD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7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</row>
        <row r="215">
          <cell r="C215">
            <v>37795</v>
          </cell>
          <cell r="D215">
            <v>37831</v>
          </cell>
          <cell r="E215">
            <v>37818</v>
          </cell>
          <cell r="F215">
            <v>0.63194444444444442</v>
          </cell>
          <cell r="G215" t="str">
            <v>Perfiladora Dimeco Travesaños</v>
          </cell>
          <cell r="H215" t="str">
            <v>Guias do mordente mal fixadas e peça enroscando na ferramenta</v>
          </cell>
          <cell r="I215" t="str">
            <v>Corretiva</v>
          </cell>
          <cell r="J215" t="str">
            <v>Sim</v>
          </cell>
          <cell r="K215" t="str">
            <v>Mecânica</v>
          </cell>
          <cell r="L215" t="str">
            <v>Substituição do(s) Componente(s)</v>
          </cell>
          <cell r="M215" t="str">
            <v>Vibração</v>
          </cell>
          <cell r="N215">
            <v>37818</v>
          </cell>
          <cell r="O215">
            <v>0.63194444444444442</v>
          </cell>
          <cell r="P215">
            <v>37818</v>
          </cell>
          <cell r="Q215">
            <v>0.63194444444444442</v>
          </cell>
          <cell r="T215">
            <v>37818</v>
          </cell>
          <cell r="U215">
            <v>0.75</v>
          </cell>
          <cell r="V215">
            <v>37818</v>
          </cell>
          <cell r="W215">
            <v>0.75</v>
          </cell>
          <cell r="X215">
            <v>0.11805555555555558</v>
          </cell>
          <cell r="Y215">
            <v>0.11805555555555558</v>
          </cell>
          <cell r="AB215">
            <v>7</v>
          </cell>
          <cell r="AC215">
            <v>6</v>
          </cell>
          <cell r="AD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7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</row>
        <row r="216">
          <cell r="C216">
            <v>37795</v>
          </cell>
          <cell r="D216">
            <v>37824</v>
          </cell>
          <cell r="E216">
            <v>37818</v>
          </cell>
          <cell r="F216">
            <v>0.53819444444444442</v>
          </cell>
          <cell r="G216" t="str">
            <v>Perfiladora Dimeco Travesaños</v>
          </cell>
          <cell r="H216" t="str">
            <v>Problema no Motor do Sistema Hidráulico</v>
          </cell>
          <cell r="I216" t="str">
            <v>Corretiva</v>
          </cell>
          <cell r="J216" t="str">
            <v>Não</v>
          </cell>
          <cell r="K216" t="str">
            <v>Elétrica</v>
          </cell>
          <cell r="L216" t="str">
            <v>Rearme do relé térmico</v>
          </cell>
          <cell r="M216" t="str">
            <v>Sobrecarga</v>
          </cell>
          <cell r="N216">
            <v>37824</v>
          </cell>
          <cell r="O216">
            <v>0.54166666666666663</v>
          </cell>
          <cell r="P216">
            <v>37824</v>
          </cell>
          <cell r="Q216">
            <v>0.54166666666666663</v>
          </cell>
          <cell r="T216">
            <v>37824</v>
          </cell>
          <cell r="U216">
            <v>0.54861111111111105</v>
          </cell>
          <cell r="V216">
            <v>37824</v>
          </cell>
          <cell r="W216">
            <v>0.54861111111111105</v>
          </cell>
          <cell r="X216">
            <v>6.9444444444444198E-3</v>
          </cell>
          <cell r="Y216">
            <v>6.944444442827602E-3</v>
          </cell>
          <cell r="AB216">
            <v>7</v>
          </cell>
          <cell r="AC216">
            <v>6</v>
          </cell>
          <cell r="AD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7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</row>
        <row r="217">
          <cell r="C217">
            <v>37798</v>
          </cell>
          <cell r="I217">
            <v>0</v>
          </cell>
          <cell r="N217">
            <v>0</v>
          </cell>
          <cell r="P217">
            <v>0</v>
          </cell>
          <cell r="T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AB217">
            <v>0</v>
          </cell>
          <cell r="AC217">
            <v>6</v>
          </cell>
          <cell r="AD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</row>
        <row r="218">
          <cell r="C218">
            <v>37798</v>
          </cell>
          <cell r="D218">
            <v>37970</v>
          </cell>
          <cell r="E218">
            <v>37797</v>
          </cell>
          <cell r="F218">
            <v>37797</v>
          </cell>
          <cell r="G218">
            <v>0.54166666666666663</v>
          </cell>
          <cell r="H218" t="str">
            <v>Desarme constante do Cortador</v>
          </cell>
          <cell r="I218">
            <v>0</v>
          </cell>
          <cell r="J218" t="str">
            <v>Sim</v>
          </cell>
          <cell r="K218" t="str">
            <v>Mecânica</v>
          </cell>
          <cell r="L218" t="str">
            <v>Sim</v>
          </cell>
          <cell r="M218" t="str">
            <v>Desgaste / Fadiga</v>
          </cell>
          <cell r="N218">
            <v>37797</v>
          </cell>
          <cell r="O218">
            <v>0.58333333333333337</v>
          </cell>
          <cell r="P218">
            <v>37797</v>
          </cell>
          <cell r="Q218">
            <v>0.58333333333333337</v>
          </cell>
          <cell r="T218">
            <v>37797</v>
          </cell>
          <cell r="U218">
            <v>0.625</v>
          </cell>
          <cell r="V218">
            <v>37797</v>
          </cell>
          <cell r="W218">
            <v>0.625</v>
          </cell>
          <cell r="X218">
            <v>4.166666666666663E-2</v>
          </cell>
          <cell r="Y218">
            <v>4.166666666666663E-2</v>
          </cell>
          <cell r="AB218">
            <v>6</v>
          </cell>
          <cell r="AC218">
            <v>6</v>
          </cell>
          <cell r="AD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6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</row>
        <row r="219">
          <cell r="C219">
            <v>37798</v>
          </cell>
          <cell r="D219">
            <v>37803</v>
          </cell>
          <cell r="E219">
            <v>37797</v>
          </cell>
          <cell r="F219">
            <v>0.54166666666666663</v>
          </cell>
          <cell r="G219" t="str">
            <v>Perfiladora Gasparini</v>
          </cell>
          <cell r="H219" t="str">
            <v>Freio do Desbobinador não funciona corretamente</v>
          </cell>
          <cell r="I219" t="str">
            <v>Corretiva</v>
          </cell>
          <cell r="J219" t="str">
            <v>Não</v>
          </cell>
          <cell r="K219" t="str">
            <v>Mecânica</v>
          </cell>
          <cell r="L219" t="str">
            <v>Sistema de Freio OK, mas havia muitos danos no rolo de entrada</v>
          </cell>
          <cell r="M219" t="str">
            <v>Defeito de Fabricação</v>
          </cell>
          <cell r="N219">
            <v>37802</v>
          </cell>
          <cell r="O219">
            <v>0.5</v>
          </cell>
          <cell r="P219">
            <v>37802</v>
          </cell>
          <cell r="Q219">
            <v>0.5</v>
          </cell>
          <cell r="T219">
            <v>37802</v>
          </cell>
          <cell r="U219">
            <v>0.58333333333333337</v>
          </cell>
          <cell r="V219">
            <v>37802</v>
          </cell>
          <cell r="W219">
            <v>0.58333333333333337</v>
          </cell>
          <cell r="X219">
            <v>8.3333333335758653E-2</v>
          </cell>
          <cell r="Y219">
            <v>8.3333333335758653E-2</v>
          </cell>
          <cell r="AB219">
            <v>6</v>
          </cell>
          <cell r="AC219">
            <v>6</v>
          </cell>
          <cell r="AD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6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</row>
        <row r="220">
          <cell r="C220">
            <v>37798</v>
          </cell>
          <cell r="D220">
            <v>37806</v>
          </cell>
          <cell r="E220">
            <v>37797</v>
          </cell>
          <cell r="F220">
            <v>0.54166666666666663</v>
          </cell>
          <cell r="G220" t="str">
            <v>Perfiladora Gasparini</v>
          </cell>
          <cell r="H220" t="str">
            <v>Parafuso do braço do Desbobinador deformado</v>
          </cell>
          <cell r="I220" t="str">
            <v>Corretiva</v>
          </cell>
          <cell r="J220" t="str">
            <v>Não</v>
          </cell>
          <cell r="K220" t="str">
            <v>Mecânica</v>
          </cell>
          <cell r="L220" t="str">
            <v>Substituição do(s) Componente(s)</v>
          </cell>
          <cell r="M220" t="str">
            <v>Defeito de Fabricação</v>
          </cell>
          <cell r="N220">
            <v>37802</v>
          </cell>
          <cell r="O220">
            <v>0.625</v>
          </cell>
          <cell r="P220">
            <v>37802</v>
          </cell>
          <cell r="Q220">
            <v>0.625</v>
          </cell>
          <cell r="T220">
            <v>37802</v>
          </cell>
          <cell r="U220">
            <v>0.6875</v>
          </cell>
          <cell r="V220">
            <v>37802</v>
          </cell>
          <cell r="W220">
            <v>0.6875</v>
          </cell>
          <cell r="X220">
            <v>6.25E-2</v>
          </cell>
          <cell r="Y220">
            <v>6.25E-2</v>
          </cell>
          <cell r="AB220">
            <v>6</v>
          </cell>
          <cell r="AC220">
            <v>6</v>
          </cell>
          <cell r="AD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6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</row>
        <row r="221">
          <cell r="C221">
            <v>37798</v>
          </cell>
          <cell r="D221">
            <v>37873</v>
          </cell>
          <cell r="E221">
            <v>37798</v>
          </cell>
          <cell r="F221">
            <v>0.54166666666666663</v>
          </cell>
          <cell r="G221" t="str">
            <v>Perfiladora Gasparini</v>
          </cell>
          <cell r="H221" t="str">
            <v>Rolo de Alinhamento danificado</v>
          </cell>
          <cell r="I221" t="str">
            <v>Corretiva</v>
          </cell>
          <cell r="J221" t="str">
            <v>Não</v>
          </cell>
          <cell r="K221" t="str">
            <v>Mecânica</v>
          </cell>
          <cell r="L221" t="str">
            <v>Substituição do(s) Componente(s)</v>
          </cell>
          <cell r="M221" t="str">
            <v>Defeito de Fabricação</v>
          </cell>
          <cell r="N221">
            <v>37799</v>
          </cell>
          <cell r="O221">
            <v>0.375</v>
          </cell>
          <cell r="P221">
            <v>37799</v>
          </cell>
          <cell r="Q221">
            <v>0.39583333333333331</v>
          </cell>
          <cell r="R221">
            <v>37822</v>
          </cell>
          <cell r="S221">
            <v>0.625</v>
          </cell>
          <cell r="T221">
            <v>37822</v>
          </cell>
          <cell r="U221">
            <v>0.66666666666666663</v>
          </cell>
          <cell r="V221">
            <v>0</v>
          </cell>
          <cell r="W221">
            <v>6.2499999999999944E-2</v>
          </cell>
          <cell r="X221">
            <v>6.2499999999999944E-2</v>
          </cell>
          <cell r="Y221" t="str">
            <v>Material na Garantia</v>
          </cell>
          <cell r="AB221">
            <v>7</v>
          </cell>
          <cell r="AC221">
            <v>6</v>
          </cell>
          <cell r="AD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7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</row>
        <row r="222">
          <cell r="C222">
            <v>37798</v>
          </cell>
          <cell r="D222">
            <v>37803</v>
          </cell>
          <cell r="E222">
            <v>37798</v>
          </cell>
          <cell r="F222">
            <v>0.70833333333333337</v>
          </cell>
          <cell r="G222" t="str">
            <v>Perfiladora Gasparini</v>
          </cell>
          <cell r="H222" t="str">
            <v>Roscas do Parafuso das Roldanas danificadas (03 peças)</v>
          </cell>
          <cell r="I222" t="str">
            <v>Corretiva</v>
          </cell>
          <cell r="J222" t="str">
            <v>Não</v>
          </cell>
          <cell r="K222" t="str">
            <v>Mecânica</v>
          </cell>
          <cell r="L222" t="str">
            <v>Reparo</v>
          </cell>
          <cell r="M222" t="str">
            <v>Defeito de Fabricação</v>
          </cell>
          <cell r="N222">
            <v>37798</v>
          </cell>
          <cell r="O222">
            <v>0.375</v>
          </cell>
          <cell r="P222">
            <v>37798</v>
          </cell>
          <cell r="Q222">
            <v>0.375</v>
          </cell>
          <cell r="T222">
            <v>37798</v>
          </cell>
          <cell r="U222">
            <v>0.47916666666666669</v>
          </cell>
          <cell r="V222">
            <v>37798</v>
          </cell>
          <cell r="W222">
            <v>0.47916666666666669</v>
          </cell>
          <cell r="X222">
            <v>0.10416666666424135</v>
          </cell>
          <cell r="Y222">
            <v>0.10416666666424135</v>
          </cell>
          <cell r="AB222">
            <v>6</v>
          </cell>
          <cell r="AC222">
            <v>6</v>
          </cell>
          <cell r="AD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6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</row>
        <row r="223">
          <cell r="C223">
            <v>37798</v>
          </cell>
          <cell r="D223">
            <v>37803</v>
          </cell>
          <cell r="E223">
            <v>37798</v>
          </cell>
          <cell r="F223">
            <v>0.58333333333333337</v>
          </cell>
          <cell r="G223" t="str">
            <v>Perfiladora Gasparini</v>
          </cell>
          <cell r="H223" t="str">
            <v>Parafuso do Rolo Guia da Perfiladora está quebrado</v>
          </cell>
          <cell r="I223" t="str">
            <v>Corretiva</v>
          </cell>
          <cell r="J223" t="str">
            <v>Não</v>
          </cell>
          <cell r="K223" t="str">
            <v>Mecânica</v>
          </cell>
          <cell r="L223" t="str">
            <v>Substituição do(s) Componente(s)</v>
          </cell>
          <cell r="M223" t="str">
            <v>Falha de Regulagem / Configuração / Dimensionamento</v>
          </cell>
          <cell r="N223">
            <v>37799</v>
          </cell>
          <cell r="O223">
            <v>0.45833333333333331</v>
          </cell>
          <cell r="P223">
            <v>37799</v>
          </cell>
          <cell r="Q223">
            <v>0.45833333333333331</v>
          </cell>
          <cell r="T223">
            <v>37799</v>
          </cell>
          <cell r="U223">
            <v>0.53125</v>
          </cell>
          <cell r="V223">
            <v>37799</v>
          </cell>
          <cell r="W223">
            <v>0.53125</v>
          </cell>
          <cell r="X223">
            <v>7.2916666666666685E-2</v>
          </cell>
          <cell r="Y223">
            <v>7.2916666666666685E-2</v>
          </cell>
          <cell r="AB223">
            <v>6</v>
          </cell>
          <cell r="AC223">
            <v>6</v>
          </cell>
          <cell r="AD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6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</row>
        <row r="224">
          <cell r="C224">
            <v>37798</v>
          </cell>
          <cell r="I224">
            <v>0</v>
          </cell>
          <cell r="N224">
            <v>0</v>
          </cell>
          <cell r="P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>
            <v>0</v>
          </cell>
          <cell r="AC224">
            <v>6</v>
          </cell>
          <cell r="AD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</row>
        <row r="225">
          <cell r="C225">
            <v>37798</v>
          </cell>
          <cell r="D225">
            <v>37881</v>
          </cell>
          <cell r="E225">
            <v>37810</v>
          </cell>
          <cell r="F225">
            <v>0.33333333333333331</v>
          </cell>
          <cell r="G225" t="str">
            <v>Perfiladora Gasparini</v>
          </cell>
          <cell r="H225" t="str">
            <v>Mesa coletora do perfil danificada</v>
          </cell>
          <cell r="I225" t="str">
            <v>Corretiva</v>
          </cell>
          <cell r="J225" t="str">
            <v>Não</v>
          </cell>
          <cell r="K225" t="str">
            <v>Mecânica</v>
          </cell>
          <cell r="L225" t="str">
            <v>Reparo</v>
          </cell>
          <cell r="M225" t="str">
            <v>Falha Operacional</v>
          </cell>
          <cell r="N225">
            <v>37851</v>
          </cell>
          <cell r="O225">
            <v>0.875</v>
          </cell>
          <cell r="P225">
            <v>37851</v>
          </cell>
          <cell r="Q225">
            <v>0.875</v>
          </cell>
          <cell r="T225">
            <v>37851</v>
          </cell>
          <cell r="U225">
            <v>0.96875</v>
          </cell>
          <cell r="V225">
            <v>37851</v>
          </cell>
          <cell r="W225">
            <v>0.96875</v>
          </cell>
          <cell r="X225">
            <v>9.375E-2</v>
          </cell>
          <cell r="Y225">
            <v>9.375E-2</v>
          </cell>
          <cell r="AB225">
            <v>8</v>
          </cell>
          <cell r="AC225">
            <v>6</v>
          </cell>
          <cell r="AD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8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</row>
        <row r="226">
          <cell r="C226">
            <v>37798</v>
          </cell>
          <cell r="D226">
            <v>37819</v>
          </cell>
          <cell r="E226">
            <v>37810</v>
          </cell>
          <cell r="F226">
            <v>0.33333333333333331</v>
          </cell>
          <cell r="G226" t="str">
            <v>Perfiladora Gasparini</v>
          </cell>
          <cell r="H226" t="str">
            <v>Cabos e calhas que passam por baixo da mesa do coletor estão danificados</v>
          </cell>
          <cell r="I226" t="str">
            <v>Corretiva</v>
          </cell>
          <cell r="J226" t="str">
            <v>Sim</v>
          </cell>
          <cell r="K226" t="str">
            <v>Elétrica</v>
          </cell>
          <cell r="L226" t="str">
            <v>Substituição do(s) Componente(s)</v>
          </cell>
          <cell r="M226" t="str">
            <v>Falha Operacional</v>
          </cell>
          <cell r="N226">
            <v>37810</v>
          </cell>
          <cell r="O226">
            <v>0.34375</v>
          </cell>
          <cell r="P226">
            <v>37810</v>
          </cell>
          <cell r="Q226">
            <v>0.34375</v>
          </cell>
          <cell r="T226">
            <v>37810</v>
          </cell>
          <cell r="U226">
            <v>0.41666666666666669</v>
          </cell>
          <cell r="V226">
            <v>37810</v>
          </cell>
          <cell r="W226">
            <v>0.41666666666666669</v>
          </cell>
          <cell r="X226">
            <v>7.2916666666666685E-2</v>
          </cell>
          <cell r="Y226">
            <v>7.2916666664241347E-2</v>
          </cell>
          <cell r="AB226">
            <v>7</v>
          </cell>
          <cell r="AC226">
            <v>6</v>
          </cell>
          <cell r="AD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7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</row>
        <row r="227">
          <cell r="C227">
            <v>37798</v>
          </cell>
          <cell r="D227">
            <v>37838</v>
          </cell>
          <cell r="E227">
            <v>37834</v>
          </cell>
          <cell r="F227">
            <v>0.625</v>
          </cell>
          <cell r="G227" t="str">
            <v>Perfiladora Fagor Largueros</v>
          </cell>
          <cell r="H227" t="str">
            <v>Guia de chapa está quebrada</v>
          </cell>
          <cell r="I227" t="str">
            <v>Corretiva</v>
          </cell>
          <cell r="J227" t="str">
            <v>Sim</v>
          </cell>
          <cell r="K227" t="str">
            <v>Mecânica</v>
          </cell>
          <cell r="L227" t="str">
            <v>Substituição do(s) Componente(s)</v>
          </cell>
          <cell r="M227" t="str">
            <v>Falha de Comando / Sistema</v>
          </cell>
          <cell r="N227">
            <v>37834</v>
          </cell>
          <cell r="O227">
            <v>0.625</v>
          </cell>
          <cell r="P227">
            <v>37834</v>
          </cell>
          <cell r="Q227">
            <v>0.625</v>
          </cell>
          <cell r="T227">
            <v>37834</v>
          </cell>
          <cell r="U227">
            <v>0.75</v>
          </cell>
          <cell r="V227">
            <v>37834</v>
          </cell>
          <cell r="W227">
            <v>0.75</v>
          </cell>
          <cell r="X227">
            <v>0.125</v>
          </cell>
          <cell r="Y227">
            <v>0.125</v>
          </cell>
          <cell r="AB227">
            <v>8</v>
          </cell>
          <cell r="AC227">
            <v>6</v>
          </cell>
          <cell r="AD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8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</row>
        <row r="228">
          <cell r="C228">
            <v>37798</v>
          </cell>
          <cell r="D228">
            <v>37858</v>
          </cell>
          <cell r="E228">
            <v>37848</v>
          </cell>
          <cell r="F228">
            <v>0.66666666666666663</v>
          </cell>
          <cell r="G228" t="str">
            <v>Perfiladora Fagor Largueros</v>
          </cell>
          <cell r="H228" t="str">
            <v>Parafusos de sustentação da Guia estão quebrados</v>
          </cell>
          <cell r="I228" t="str">
            <v>Corretiva</v>
          </cell>
          <cell r="J228" t="str">
            <v>Não</v>
          </cell>
          <cell r="K228" t="str">
            <v>Mecânica</v>
          </cell>
          <cell r="L228" t="str">
            <v>Substituição do(s) Componente(s)</v>
          </cell>
          <cell r="M228" t="str">
            <v>Falha de Comando / Sistema</v>
          </cell>
          <cell r="N228">
            <v>37848</v>
          </cell>
          <cell r="O228">
            <v>0.66666666666666663</v>
          </cell>
          <cell r="P228">
            <v>37848</v>
          </cell>
          <cell r="Q228">
            <v>0.66666666666666663</v>
          </cell>
          <cell r="T228">
            <v>37848</v>
          </cell>
          <cell r="U228">
            <v>0.69444444444444453</v>
          </cell>
          <cell r="V228">
            <v>37848</v>
          </cell>
          <cell r="W228">
            <v>0.69444444444444453</v>
          </cell>
          <cell r="X228">
            <v>2.7777777778586255E-2</v>
          </cell>
          <cell r="Y228">
            <v>2.7777777778586255E-2</v>
          </cell>
          <cell r="AB228">
            <v>8</v>
          </cell>
          <cell r="AC228">
            <v>6</v>
          </cell>
          <cell r="AD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8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</row>
        <row r="229">
          <cell r="C229">
            <v>37798</v>
          </cell>
          <cell r="D229">
            <v>37858</v>
          </cell>
          <cell r="E229">
            <v>37853</v>
          </cell>
          <cell r="F229">
            <v>0.41666666666666669</v>
          </cell>
          <cell r="G229" t="str">
            <v>Perfiladora Fagor Largueros</v>
          </cell>
          <cell r="H229" t="str">
            <v>Máquina desarmando constantemente</v>
          </cell>
          <cell r="I229" t="str">
            <v>Corretiva</v>
          </cell>
          <cell r="J229" t="str">
            <v>Não</v>
          </cell>
          <cell r="K229" t="str">
            <v>Elétrica</v>
          </cell>
          <cell r="L229" t="str">
            <v>Reinicialização do Equipamento / Componente</v>
          </cell>
          <cell r="M229" t="str">
            <v>Causa não especificada</v>
          </cell>
          <cell r="N229">
            <v>37853</v>
          </cell>
          <cell r="O229">
            <v>0.4236111111111111</v>
          </cell>
          <cell r="P229">
            <v>37853</v>
          </cell>
          <cell r="Q229">
            <v>0.4236111111111111</v>
          </cell>
          <cell r="T229">
            <v>37853</v>
          </cell>
          <cell r="U229">
            <v>0.47916666666666669</v>
          </cell>
          <cell r="V229">
            <v>37853</v>
          </cell>
          <cell r="W229">
            <v>0.47916666666666669</v>
          </cell>
          <cell r="X229">
            <v>5.5555555553130243E-2</v>
          </cell>
          <cell r="Y229">
            <v>5.5555555553130243E-2</v>
          </cell>
          <cell r="AB229">
            <v>8</v>
          </cell>
          <cell r="AC229">
            <v>6</v>
          </cell>
          <cell r="AD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8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</row>
        <row r="230">
          <cell r="C230">
            <v>37798</v>
          </cell>
          <cell r="D230">
            <v>37858</v>
          </cell>
          <cell r="E230">
            <v>37854</v>
          </cell>
          <cell r="F230">
            <v>0.35416666666666669</v>
          </cell>
          <cell r="G230" t="str">
            <v>Perfiladora Fagor Largueros</v>
          </cell>
          <cell r="H230" t="str">
            <v>Parafusos de sustentação da Guia estão quebrados</v>
          </cell>
          <cell r="I230" t="str">
            <v>Corretiva</v>
          </cell>
          <cell r="J230" t="str">
            <v>Sim</v>
          </cell>
          <cell r="K230" t="str">
            <v>Mecânica</v>
          </cell>
          <cell r="L230" t="str">
            <v>Substituição do(s) Componente(s)</v>
          </cell>
          <cell r="M230" t="str">
            <v>Causa não especificada</v>
          </cell>
          <cell r="N230">
            <v>37854</v>
          </cell>
          <cell r="O230">
            <v>0.35416666666666669</v>
          </cell>
          <cell r="P230">
            <v>37854</v>
          </cell>
          <cell r="Q230">
            <v>0.35416666666666669</v>
          </cell>
          <cell r="T230">
            <v>37854</v>
          </cell>
          <cell r="U230">
            <v>0.375</v>
          </cell>
          <cell r="V230">
            <v>37854</v>
          </cell>
          <cell r="W230">
            <v>0.375</v>
          </cell>
          <cell r="X230">
            <v>2.0833333333333315E-2</v>
          </cell>
          <cell r="Y230">
            <v>2.0833333333333315E-2</v>
          </cell>
          <cell r="AB230">
            <v>8</v>
          </cell>
          <cell r="AC230">
            <v>6</v>
          </cell>
          <cell r="AD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8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</row>
        <row r="231">
          <cell r="C231">
            <v>37798</v>
          </cell>
          <cell r="D231">
            <v>37858</v>
          </cell>
          <cell r="E231">
            <v>37854</v>
          </cell>
          <cell r="F231">
            <v>0.57638888888888895</v>
          </cell>
          <cell r="G231" t="str">
            <v>Perfiladora Fagor Largueros</v>
          </cell>
          <cell r="H231" t="str">
            <v>Guias desalinhadas</v>
          </cell>
          <cell r="I231" t="str">
            <v>Corretiva</v>
          </cell>
          <cell r="J231" t="str">
            <v>Não</v>
          </cell>
          <cell r="K231" t="str">
            <v>Mecânica</v>
          </cell>
          <cell r="L231" t="str">
            <v>Regulagem das guias da chapa</v>
          </cell>
          <cell r="M231" t="str">
            <v>Falha de Comando / Sistema</v>
          </cell>
          <cell r="N231">
            <v>37854</v>
          </cell>
          <cell r="O231">
            <v>0.58333333333333337</v>
          </cell>
          <cell r="P231">
            <v>37854</v>
          </cell>
          <cell r="Q231">
            <v>0.58333333333333337</v>
          </cell>
          <cell r="T231">
            <v>37854</v>
          </cell>
          <cell r="U231">
            <v>0.60416666666666663</v>
          </cell>
          <cell r="V231">
            <v>37854</v>
          </cell>
          <cell r="W231">
            <v>0.60416666666666663</v>
          </cell>
          <cell r="X231">
            <v>2.0833333330907977E-2</v>
          </cell>
          <cell r="Y231">
            <v>2.0833333330907977E-2</v>
          </cell>
          <cell r="AB231">
            <v>8</v>
          </cell>
          <cell r="AC231">
            <v>6</v>
          </cell>
          <cell r="AD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8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</row>
        <row r="232">
          <cell r="C232">
            <v>37798</v>
          </cell>
          <cell r="I232">
            <v>0</v>
          </cell>
          <cell r="N232">
            <v>0</v>
          </cell>
          <cell r="P232">
            <v>0</v>
          </cell>
          <cell r="T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AB232">
            <v>0</v>
          </cell>
          <cell r="AC232">
            <v>6</v>
          </cell>
          <cell r="AD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</row>
        <row r="233">
          <cell r="C233">
            <v>37798</v>
          </cell>
          <cell r="D233">
            <v>37867</v>
          </cell>
          <cell r="E233">
            <v>37860</v>
          </cell>
          <cell r="F233">
            <v>0.91666666666666663</v>
          </cell>
          <cell r="G233" t="str">
            <v>Perfiladora Fagor Largueros</v>
          </cell>
          <cell r="H233" t="str">
            <v>Parafuso danificado</v>
          </cell>
          <cell r="I233" t="str">
            <v>Corretiva</v>
          </cell>
          <cell r="J233" t="str">
            <v>Sim</v>
          </cell>
          <cell r="K233" t="str">
            <v>Mecânica</v>
          </cell>
          <cell r="L233" t="str">
            <v>Substituição do(s) Componente(s)</v>
          </cell>
          <cell r="M233" t="str">
            <v>Falha Operacional</v>
          </cell>
          <cell r="N233">
            <v>37860</v>
          </cell>
          <cell r="O233">
            <v>0.91666666666666663</v>
          </cell>
          <cell r="P233">
            <v>37860</v>
          </cell>
          <cell r="Q233">
            <v>0.91666666666666663</v>
          </cell>
          <cell r="T233">
            <v>37860</v>
          </cell>
          <cell r="U233">
            <v>0.95833333333333337</v>
          </cell>
          <cell r="V233">
            <v>37860</v>
          </cell>
          <cell r="W233">
            <v>0.95833333333333337</v>
          </cell>
          <cell r="X233">
            <v>4.1666666666666741E-2</v>
          </cell>
          <cell r="Y233">
            <v>4.1666666669092023E-2</v>
          </cell>
          <cell r="AB233">
            <v>8</v>
          </cell>
          <cell r="AC233">
            <v>6</v>
          </cell>
          <cell r="AD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8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</row>
        <row r="234">
          <cell r="C234">
            <v>37798</v>
          </cell>
          <cell r="D234">
            <v>37900</v>
          </cell>
          <cell r="E234">
            <v>37869</v>
          </cell>
          <cell r="F234">
            <v>0.58333333333333337</v>
          </cell>
          <cell r="G234" t="str">
            <v>Perfiladora Fagor Largueros</v>
          </cell>
          <cell r="H234" t="str">
            <v>Guia da Chapa Quebrada</v>
          </cell>
          <cell r="I234" t="str">
            <v>Corretiva</v>
          </cell>
          <cell r="J234" t="str">
            <v>Sim</v>
          </cell>
          <cell r="K234" t="str">
            <v>Mecânica</v>
          </cell>
          <cell r="L234" t="str">
            <v>Substituição do(s) Componente(s)</v>
          </cell>
          <cell r="M234" t="str">
            <v>Falha de Comando / Sistema</v>
          </cell>
          <cell r="N234">
            <v>37869</v>
          </cell>
          <cell r="O234">
            <v>0.58333333333333337</v>
          </cell>
          <cell r="P234">
            <v>37869</v>
          </cell>
          <cell r="Q234">
            <v>0.61805555555555558</v>
          </cell>
          <cell r="R234">
            <v>37869</v>
          </cell>
          <cell r="S234">
            <v>0.625</v>
          </cell>
          <cell r="T234">
            <v>37869</v>
          </cell>
          <cell r="U234">
            <v>0.66666666666666663</v>
          </cell>
          <cell r="V234">
            <v>0</v>
          </cell>
          <cell r="W234">
            <v>7.638888888888884E-2</v>
          </cell>
          <cell r="X234">
            <v>7.638888888888884E-2</v>
          </cell>
          <cell r="Y234">
            <v>7.638888888888884E-2</v>
          </cell>
          <cell r="AB234">
            <v>9</v>
          </cell>
          <cell r="AC234">
            <v>6</v>
          </cell>
          <cell r="AD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9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</row>
        <row r="235">
          <cell r="C235">
            <v>37798</v>
          </cell>
          <cell r="D235">
            <v>37915</v>
          </cell>
          <cell r="E235">
            <v>37879</v>
          </cell>
          <cell r="F235">
            <v>0.25694444444444448</v>
          </cell>
          <cell r="G235" t="str">
            <v>Perfiladora Fagor Largueros</v>
          </cell>
          <cell r="H235" t="str">
            <v>A perfiladora não dá permissão para o comando do Robô</v>
          </cell>
          <cell r="I235" t="str">
            <v>Corretiva</v>
          </cell>
          <cell r="J235" t="str">
            <v>Não</v>
          </cell>
          <cell r="K235" t="str">
            <v>Elétrica</v>
          </cell>
          <cell r="L235" t="str">
            <v>Substituição do(s) Componente(s)</v>
          </cell>
          <cell r="M235" t="str">
            <v>Falha de Comando / Sistema</v>
          </cell>
          <cell r="N235">
            <v>37882</v>
          </cell>
          <cell r="O235">
            <v>0.25694444444444448</v>
          </cell>
          <cell r="P235">
            <v>37882</v>
          </cell>
          <cell r="Q235">
            <v>0.625</v>
          </cell>
          <cell r="R235">
            <v>37886</v>
          </cell>
          <cell r="S235">
            <v>0.625</v>
          </cell>
          <cell r="T235">
            <v>37886</v>
          </cell>
          <cell r="U235">
            <v>0.625</v>
          </cell>
          <cell r="V235">
            <v>0</v>
          </cell>
          <cell r="W235">
            <v>0.36805555555555552</v>
          </cell>
          <cell r="X235">
            <v>0.36805555555555552</v>
          </cell>
          <cell r="Y235">
            <v>0.36805555555555552</v>
          </cell>
          <cell r="AB235">
            <v>9</v>
          </cell>
          <cell r="AC235">
            <v>6</v>
          </cell>
          <cell r="AD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9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</row>
        <row r="236">
          <cell r="C236">
            <v>37798</v>
          </cell>
          <cell r="D236">
            <v>37868</v>
          </cell>
          <cell r="E236">
            <v>37867</v>
          </cell>
          <cell r="F236">
            <v>0.52083333333333337</v>
          </cell>
          <cell r="G236" t="str">
            <v>Perfiladora Fagor Largueros</v>
          </cell>
          <cell r="H236" t="str">
            <v>Suporte do guia de entrada da chapa está torto</v>
          </cell>
          <cell r="I236" t="str">
            <v>Corretiva</v>
          </cell>
          <cell r="J236" t="str">
            <v>Não</v>
          </cell>
          <cell r="K236" t="str">
            <v>Mecânica</v>
          </cell>
          <cell r="L236" t="str">
            <v>Ajuste / Regulagem</v>
          </cell>
          <cell r="M236" t="str">
            <v>Falha de Comando / Sistema</v>
          </cell>
          <cell r="N236">
            <v>37867</v>
          </cell>
          <cell r="O236">
            <v>0.51388888888888895</v>
          </cell>
          <cell r="P236">
            <v>37867</v>
          </cell>
          <cell r="Q236">
            <v>0.51388888888888895</v>
          </cell>
          <cell r="T236">
            <v>37867</v>
          </cell>
          <cell r="U236">
            <v>0.54166666666666663</v>
          </cell>
          <cell r="V236">
            <v>37867</v>
          </cell>
          <cell r="W236">
            <v>0.54166666666666663</v>
          </cell>
          <cell r="X236">
            <v>2.7777777775352397E-2</v>
          </cell>
          <cell r="Y236">
            <v>2.7777777775352397E-2</v>
          </cell>
          <cell r="AB236">
            <v>9</v>
          </cell>
          <cell r="AC236">
            <v>6</v>
          </cell>
          <cell r="AD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</row>
        <row r="237">
          <cell r="C237">
            <v>37806</v>
          </cell>
          <cell r="D237">
            <v>37819</v>
          </cell>
          <cell r="E237">
            <v>37810</v>
          </cell>
          <cell r="F237">
            <v>0.46736111111111112</v>
          </cell>
          <cell r="G237" t="str">
            <v>Células de Solda Automática</v>
          </cell>
          <cell r="H237" t="str">
            <v>Falha de comunicação com o CLP</v>
          </cell>
          <cell r="I237" t="str">
            <v>Corretiva</v>
          </cell>
          <cell r="J237" t="str">
            <v>Sim</v>
          </cell>
          <cell r="K237" t="str">
            <v>Elétrica</v>
          </cell>
          <cell r="L237" t="str">
            <v>Substituição do(s) Componente(s)</v>
          </cell>
          <cell r="M237" t="str">
            <v>Falha de Comando / Sistema</v>
          </cell>
          <cell r="N237">
            <v>37810</v>
          </cell>
          <cell r="O237">
            <v>0.5</v>
          </cell>
          <cell r="P237">
            <v>37810</v>
          </cell>
          <cell r="Q237">
            <v>0.5</v>
          </cell>
          <cell r="T237">
            <v>37810</v>
          </cell>
          <cell r="U237">
            <v>0.61805555555555558</v>
          </cell>
          <cell r="V237">
            <v>37810</v>
          </cell>
          <cell r="W237">
            <v>0.61805555555555558</v>
          </cell>
          <cell r="X237">
            <v>0.11805555555555558</v>
          </cell>
          <cell r="Y237">
            <v>0.11805555555474712</v>
          </cell>
          <cell r="AB237">
            <v>7</v>
          </cell>
          <cell r="AC237">
            <v>7</v>
          </cell>
          <cell r="AD237">
            <v>0</v>
          </cell>
          <cell r="BF237">
            <v>7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</row>
        <row r="238">
          <cell r="C238">
            <v>37806</v>
          </cell>
          <cell r="D238">
            <v>37858</v>
          </cell>
          <cell r="E238">
            <v>37831</v>
          </cell>
          <cell r="F238">
            <v>0.40972222222222227</v>
          </cell>
          <cell r="G238" t="str">
            <v>Máquina de Solda MIG</v>
          </cell>
          <cell r="H238" t="str">
            <v>Plug incompatível com a tomada da linha da Solda Manual</v>
          </cell>
          <cell r="I238" t="str">
            <v>Corretiva</v>
          </cell>
          <cell r="J238" t="str">
            <v>Sim</v>
          </cell>
          <cell r="K238" t="str">
            <v>Elétrica</v>
          </cell>
          <cell r="L238" t="str">
            <v>Substituição do(s) Componente(s)</v>
          </cell>
          <cell r="M238" t="str">
            <v>Alteração na Localização da Máquina</v>
          </cell>
          <cell r="N238">
            <v>37831</v>
          </cell>
          <cell r="O238">
            <v>0.41666666666666669</v>
          </cell>
          <cell r="P238">
            <v>37831</v>
          </cell>
          <cell r="Q238">
            <v>0.41666666666666669</v>
          </cell>
          <cell r="T238">
            <v>37831</v>
          </cell>
          <cell r="U238">
            <v>0.4236111111111111</v>
          </cell>
          <cell r="V238">
            <v>37831</v>
          </cell>
          <cell r="W238">
            <v>0.4236111111111111</v>
          </cell>
          <cell r="X238">
            <v>6.9444444444444198E-3</v>
          </cell>
          <cell r="Y238">
            <v>6.9444444428275465E-3</v>
          </cell>
          <cell r="AB238">
            <v>7</v>
          </cell>
          <cell r="AC238">
            <v>7</v>
          </cell>
          <cell r="AD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7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</row>
        <row r="239">
          <cell r="C239">
            <v>37806</v>
          </cell>
          <cell r="D239">
            <v>37858</v>
          </cell>
          <cell r="E239">
            <v>37837</v>
          </cell>
          <cell r="F239">
            <v>0.34375</v>
          </cell>
          <cell r="G239" t="str">
            <v>Máquina de Solda MIG</v>
          </cell>
          <cell r="H239" t="str">
            <v>Plug incompatível com a tomada da linha da Solda Manual</v>
          </cell>
          <cell r="I239" t="str">
            <v>Corretiva</v>
          </cell>
          <cell r="J239" t="str">
            <v>Sim</v>
          </cell>
          <cell r="K239" t="str">
            <v>Elétrica</v>
          </cell>
          <cell r="L239" t="str">
            <v>Substituição do(s) Componente(s)</v>
          </cell>
          <cell r="M239" t="str">
            <v>Alteração na Localização da Máquina</v>
          </cell>
          <cell r="N239">
            <v>37837</v>
          </cell>
          <cell r="O239">
            <v>0.34375</v>
          </cell>
          <cell r="P239">
            <v>37837</v>
          </cell>
          <cell r="Q239">
            <v>0.34375</v>
          </cell>
          <cell r="T239">
            <v>37837</v>
          </cell>
          <cell r="U239">
            <v>0.35069444444444442</v>
          </cell>
          <cell r="V239">
            <v>37837</v>
          </cell>
          <cell r="W239">
            <v>0.35069444444444442</v>
          </cell>
          <cell r="X239">
            <v>6.9444444444444198E-3</v>
          </cell>
          <cell r="Y239">
            <v>6.9444444452528842E-3</v>
          </cell>
          <cell r="AB239">
            <v>8</v>
          </cell>
          <cell r="AC239">
            <v>7</v>
          </cell>
          <cell r="AD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8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</row>
        <row r="240">
          <cell r="C240">
            <v>37806</v>
          </cell>
          <cell r="D240">
            <v>37858</v>
          </cell>
          <cell r="E240">
            <v>37840</v>
          </cell>
          <cell r="F240">
            <v>0.33333333333333331</v>
          </cell>
          <cell r="G240" t="str">
            <v>Células de Solda Automática</v>
          </cell>
          <cell r="H240" t="str">
            <v>A fresa de limpeza da tocha não está jogando óleo (anti-respingos)</v>
          </cell>
          <cell r="I240" t="str">
            <v>Corretiva</v>
          </cell>
          <cell r="J240" t="str">
            <v>Não</v>
          </cell>
          <cell r="K240" t="str">
            <v>Mecânica</v>
          </cell>
          <cell r="L240" t="str">
            <v>Limpeza e Regulagem</v>
          </cell>
          <cell r="M240" t="str">
            <v>Sujeira em excesso</v>
          </cell>
          <cell r="N240">
            <v>37840</v>
          </cell>
          <cell r="O240">
            <v>0.33333333333333331</v>
          </cell>
          <cell r="P240">
            <v>37840</v>
          </cell>
          <cell r="Q240">
            <v>0.33333333333333331</v>
          </cell>
          <cell r="T240">
            <v>37840</v>
          </cell>
          <cell r="U240">
            <v>0.4375</v>
          </cell>
          <cell r="V240">
            <v>37840</v>
          </cell>
          <cell r="W240">
            <v>0.4375</v>
          </cell>
          <cell r="X240">
            <v>0.10416666666666669</v>
          </cell>
          <cell r="Y240">
            <v>0.10416666666666669</v>
          </cell>
          <cell r="AB240">
            <v>8</v>
          </cell>
          <cell r="AC240">
            <v>7</v>
          </cell>
          <cell r="AD240">
            <v>0</v>
          </cell>
          <cell r="BF240">
            <v>8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</row>
        <row r="241">
          <cell r="C241">
            <v>37806</v>
          </cell>
          <cell r="D241">
            <v>37900</v>
          </cell>
          <cell r="E241">
            <v>37888</v>
          </cell>
          <cell r="F241">
            <v>0.75</v>
          </cell>
          <cell r="G241" t="str">
            <v>Células de Solda Automática</v>
          </cell>
          <cell r="H241" t="str">
            <v>A fresa de limpeza da tocha não funciona</v>
          </cell>
          <cell r="I241" t="str">
            <v>Corretiva</v>
          </cell>
          <cell r="J241" t="str">
            <v>Sim</v>
          </cell>
          <cell r="K241" t="str">
            <v>Mecânica</v>
          </cell>
          <cell r="L241" t="str">
            <v>Reparo</v>
          </cell>
          <cell r="M241" t="str">
            <v>Sujeira em excesso</v>
          </cell>
          <cell r="N241">
            <v>37888</v>
          </cell>
          <cell r="O241">
            <v>0.75</v>
          </cell>
          <cell r="P241">
            <v>37888</v>
          </cell>
          <cell r="Q241">
            <v>0.75</v>
          </cell>
          <cell r="T241">
            <v>37888</v>
          </cell>
          <cell r="U241">
            <v>0.875</v>
          </cell>
          <cell r="V241">
            <v>37888</v>
          </cell>
          <cell r="W241">
            <v>0.875</v>
          </cell>
          <cell r="X241">
            <v>0.125</v>
          </cell>
          <cell r="Y241">
            <v>0.125</v>
          </cell>
          <cell r="AB241">
            <v>9</v>
          </cell>
          <cell r="AC241">
            <v>7</v>
          </cell>
          <cell r="AD241">
            <v>0</v>
          </cell>
          <cell r="BF241">
            <v>9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</row>
        <row r="242">
          <cell r="C242">
            <v>37806</v>
          </cell>
          <cell r="D242">
            <v>37900</v>
          </cell>
          <cell r="E242">
            <v>37875</v>
          </cell>
          <cell r="F242">
            <v>0.83333333333333337</v>
          </cell>
          <cell r="G242" t="str">
            <v>Células de Solda Automática</v>
          </cell>
          <cell r="H242" t="str">
            <v>Pistôes do Parô quebrados (Robô España)</v>
          </cell>
          <cell r="I242" t="str">
            <v>Corretiva</v>
          </cell>
          <cell r="J242" t="str">
            <v>Sim</v>
          </cell>
          <cell r="K242" t="str">
            <v>Mecânica</v>
          </cell>
          <cell r="L242" t="str">
            <v>Reaperto dos componentes</v>
          </cell>
          <cell r="M242" t="str">
            <v>Vibração</v>
          </cell>
          <cell r="N242">
            <v>37875</v>
          </cell>
          <cell r="O242">
            <v>0.83333333333333337</v>
          </cell>
          <cell r="P242">
            <v>37875</v>
          </cell>
          <cell r="Q242">
            <v>0.83333333333333337</v>
          </cell>
          <cell r="T242">
            <v>37875</v>
          </cell>
          <cell r="U242">
            <v>0.875</v>
          </cell>
          <cell r="V242">
            <v>37875</v>
          </cell>
          <cell r="W242">
            <v>0.875</v>
          </cell>
          <cell r="X242">
            <v>4.166666666666663E-2</v>
          </cell>
          <cell r="Y242">
            <v>4.166666666666663E-2</v>
          </cell>
          <cell r="AB242">
            <v>9</v>
          </cell>
          <cell r="AC242">
            <v>7</v>
          </cell>
          <cell r="AD242">
            <v>0</v>
          </cell>
          <cell r="BF242">
            <v>9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</row>
        <row r="243">
          <cell r="C243">
            <v>37806</v>
          </cell>
          <cell r="D243">
            <v>37918</v>
          </cell>
          <cell r="E243">
            <v>37887</v>
          </cell>
          <cell r="F243">
            <v>0.66666666666666663</v>
          </cell>
          <cell r="G243" t="str">
            <v>Células de Solda Automática</v>
          </cell>
          <cell r="H243" t="str">
            <v>Falha no sinal de partida do robô de manipulação</v>
          </cell>
          <cell r="I243" t="str">
            <v>Corretiva</v>
          </cell>
          <cell r="J243" t="str">
            <v>Sim</v>
          </cell>
          <cell r="K243" t="str">
            <v>Elétrica</v>
          </cell>
          <cell r="L243" t="str">
            <v>Correção de mau contato</v>
          </cell>
          <cell r="M243" t="str">
            <v>Desgaste / Fadiga</v>
          </cell>
          <cell r="N243">
            <v>37887</v>
          </cell>
          <cell r="O243">
            <v>0.75</v>
          </cell>
          <cell r="P243">
            <v>37887</v>
          </cell>
          <cell r="Q243">
            <v>0.75</v>
          </cell>
          <cell r="T243">
            <v>37887</v>
          </cell>
          <cell r="U243">
            <v>0.78819444444444453</v>
          </cell>
          <cell r="V243">
            <v>37887</v>
          </cell>
          <cell r="W243">
            <v>0.78819444444444453</v>
          </cell>
          <cell r="X243">
            <v>3.8194444444444531E-2</v>
          </cell>
          <cell r="Y243">
            <v>3.8194444445252884E-2</v>
          </cell>
          <cell r="AB243">
            <v>9</v>
          </cell>
          <cell r="AC243">
            <v>7</v>
          </cell>
          <cell r="AD243">
            <v>0</v>
          </cell>
          <cell r="BF243">
            <v>9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</row>
        <row r="244">
          <cell r="C244">
            <v>37806</v>
          </cell>
          <cell r="I244">
            <v>0</v>
          </cell>
          <cell r="N244">
            <v>0</v>
          </cell>
          <cell r="P244">
            <v>0</v>
          </cell>
          <cell r="T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AB244">
            <v>0</v>
          </cell>
          <cell r="AC244">
            <v>7</v>
          </cell>
          <cell r="AD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</row>
        <row r="245">
          <cell r="C245">
            <v>37806</v>
          </cell>
          <cell r="D245">
            <v>37900</v>
          </cell>
          <cell r="E245">
            <v>37890</v>
          </cell>
          <cell r="F245">
            <v>0.44444444444444442</v>
          </cell>
          <cell r="G245" t="str">
            <v>Células de Solda Automática</v>
          </cell>
          <cell r="H245" t="str">
            <v>Pistão da mesa de entrada está solto</v>
          </cell>
          <cell r="I245" t="str">
            <v>Corretiva</v>
          </cell>
          <cell r="J245" t="str">
            <v>Sim</v>
          </cell>
          <cell r="K245" t="str">
            <v>Mecânica</v>
          </cell>
          <cell r="L245" t="str">
            <v>Reparo</v>
          </cell>
          <cell r="M245" t="str">
            <v>Falha de Projeto</v>
          </cell>
          <cell r="N245">
            <v>37890</v>
          </cell>
          <cell r="O245">
            <v>0.44444444444444442</v>
          </cell>
          <cell r="P245">
            <v>37890</v>
          </cell>
          <cell r="Q245">
            <v>0.44444444444444442</v>
          </cell>
          <cell r="T245">
            <v>37890</v>
          </cell>
          <cell r="U245">
            <v>0.50694444444444442</v>
          </cell>
          <cell r="V245">
            <v>37890</v>
          </cell>
          <cell r="W245">
            <v>0.50694444444444442</v>
          </cell>
          <cell r="X245">
            <v>6.25E-2</v>
          </cell>
          <cell r="Y245">
            <v>6.2500000000808464E-2</v>
          </cell>
          <cell r="AB245">
            <v>9</v>
          </cell>
          <cell r="AC245">
            <v>7</v>
          </cell>
          <cell r="AD245">
            <v>0</v>
          </cell>
          <cell r="BF245">
            <v>9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</row>
        <row r="246">
          <cell r="C246">
            <v>37806</v>
          </cell>
          <cell r="D246">
            <v>37900</v>
          </cell>
          <cell r="E246">
            <v>37890</v>
          </cell>
          <cell r="F246">
            <v>0.625</v>
          </cell>
          <cell r="G246" t="str">
            <v>Células de Solda Automática</v>
          </cell>
          <cell r="H246" t="str">
            <v>A fresa de limpeza da tocha não funciona</v>
          </cell>
          <cell r="I246" t="str">
            <v>Corretiva</v>
          </cell>
          <cell r="J246" t="str">
            <v>Não</v>
          </cell>
          <cell r="K246" t="str">
            <v>Mecânica</v>
          </cell>
          <cell r="L246" t="str">
            <v>Reparo</v>
          </cell>
          <cell r="M246" t="str">
            <v>Causa não especificada</v>
          </cell>
          <cell r="N246">
            <v>37890</v>
          </cell>
          <cell r="O246">
            <v>0.625</v>
          </cell>
          <cell r="P246">
            <v>37890</v>
          </cell>
          <cell r="Q246">
            <v>0.625</v>
          </cell>
          <cell r="T246">
            <v>37890</v>
          </cell>
          <cell r="U246">
            <v>0.91666666666666663</v>
          </cell>
          <cell r="V246">
            <v>37890</v>
          </cell>
          <cell r="W246">
            <v>0.91666666666666663</v>
          </cell>
          <cell r="X246">
            <v>0.29166666666424135</v>
          </cell>
          <cell r="Y246">
            <v>0.29166666666424135</v>
          </cell>
          <cell r="AB246">
            <v>9</v>
          </cell>
          <cell r="AC246">
            <v>7</v>
          </cell>
          <cell r="AD246">
            <v>0</v>
          </cell>
          <cell r="BF246">
            <v>9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</row>
        <row r="247">
          <cell r="C247">
            <v>37816</v>
          </cell>
          <cell r="D247">
            <v>37858</v>
          </cell>
          <cell r="E247">
            <v>37831</v>
          </cell>
          <cell r="F247">
            <v>0.5</v>
          </cell>
          <cell r="G247" t="str">
            <v>Linha de Pintura 15m</v>
          </cell>
          <cell r="H247" t="str">
            <v>Eixo do Bastidor está torto</v>
          </cell>
          <cell r="I247" t="str">
            <v>Corretiva</v>
          </cell>
          <cell r="J247" t="str">
            <v>Não</v>
          </cell>
          <cell r="K247" t="str">
            <v>Mecânica</v>
          </cell>
          <cell r="L247" t="str">
            <v>Substituição do(s) Componente(s)</v>
          </cell>
          <cell r="M247" t="str">
            <v>Falha Operacional</v>
          </cell>
          <cell r="N247">
            <v>37847</v>
          </cell>
          <cell r="O247">
            <v>0.35416666666666669</v>
          </cell>
          <cell r="P247">
            <v>37847</v>
          </cell>
          <cell r="Q247">
            <v>0.35416666666666669</v>
          </cell>
          <cell r="T247">
            <v>37847</v>
          </cell>
          <cell r="U247">
            <v>0.52083333333333337</v>
          </cell>
          <cell r="V247">
            <v>37847</v>
          </cell>
          <cell r="W247">
            <v>0.52083333333333337</v>
          </cell>
          <cell r="X247">
            <v>0.16666666666909197</v>
          </cell>
          <cell r="Y247">
            <v>0.16666666666909197</v>
          </cell>
          <cell r="AB247">
            <v>8</v>
          </cell>
          <cell r="AC247">
            <v>7</v>
          </cell>
          <cell r="AD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8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</row>
        <row r="248">
          <cell r="C248">
            <v>37816</v>
          </cell>
          <cell r="D248">
            <v>37838</v>
          </cell>
          <cell r="E248">
            <v>37828</v>
          </cell>
          <cell r="F248">
            <v>0.33333333333333331</v>
          </cell>
          <cell r="G248" t="str">
            <v>Linha de Pintura 15m</v>
          </cell>
          <cell r="H248" t="str">
            <v>Válvula de ar do Transportador (Stock 07) apresenta funcionamento irregular</v>
          </cell>
          <cell r="I248" t="str">
            <v>Corretiva</v>
          </cell>
          <cell r="J248" t="str">
            <v>Não</v>
          </cell>
          <cell r="K248" t="str">
            <v>Elétrica</v>
          </cell>
          <cell r="L248" t="str">
            <v>Substituição do(s) Componente(s)</v>
          </cell>
          <cell r="M248" t="str">
            <v>Desgaste / Fadiga</v>
          </cell>
          <cell r="N248">
            <v>37828</v>
          </cell>
          <cell r="O248">
            <v>0.33333333333333331</v>
          </cell>
          <cell r="P248">
            <v>37828</v>
          </cell>
          <cell r="Q248">
            <v>0.33333333333333331</v>
          </cell>
          <cell r="T248">
            <v>37828</v>
          </cell>
          <cell r="U248">
            <v>0.41666666666666669</v>
          </cell>
          <cell r="V248">
            <v>37828</v>
          </cell>
          <cell r="W248">
            <v>0.41666666666666669</v>
          </cell>
          <cell r="X248">
            <v>8.3333333330908033E-2</v>
          </cell>
          <cell r="Y248">
            <v>8.3333333330908033E-2</v>
          </cell>
          <cell r="AB248">
            <v>7</v>
          </cell>
          <cell r="AC248">
            <v>7</v>
          </cell>
          <cell r="AD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7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</row>
        <row r="249">
          <cell r="C249">
            <v>37816</v>
          </cell>
          <cell r="D249">
            <v>37838</v>
          </cell>
          <cell r="E249">
            <v>37837</v>
          </cell>
          <cell r="F249">
            <v>0.57638888888888895</v>
          </cell>
          <cell r="G249" t="str">
            <v>Linha de Pintura 15m</v>
          </cell>
          <cell r="H249" t="str">
            <v>Variador 01 de carga/descarga apresenta funcionamento inadequado</v>
          </cell>
          <cell r="I249" t="str">
            <v>Corretiva</v>
          </cell>
          <cell r="J249" t="str">
            <v>Sim</v>
          </cell>
          <cell r="K249" t="str">
            <v>Elétrica</v>
          </cell>
          <cell r="L249" t="str">
            <v>Substituição do(s) Componente(s)</v>
          </cell>
          <cell r="M249" t="str">
            <v>Desgaste / Fadiga</v>
          </cell>
          <cell r="N249">
            <v>37837</v>
          </cell>
          <cell r="O249">
            <v>0.57638888888888895</v>
          </cell>
          <cell r="P249">
            <v>37837</v>
          </cell>
          <cell r="Q249">
            <v>0.57638888888888895</v>
          </cell>
          <cell r="T249">
            <v>37837</v>
          </cell>
          <cell r="U249">
            <v>0.59027777777777779</v>
          </cell>
          <cell r="V249">
            <v>37837</v>
          </cell>
          <cell r="W249">
            <v>0.59027777777777779</v>
          </cell>
          <cell r="X249">
            <v>1.388888888888884E-2</v>
          </cell>
          <cell r="Y249">
            <v>1.3888888892122586E-2</v>
          </cell>
          <cell r="AB249">
            <v>8</v>
          </cell>
          <cell r="AC249">
            <v>7</v>
          </cell>
          <cell r="AD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8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</row>
        <row r="250">
          <cell r="C250">
            <v>37816</v>
          </cell>
          <cell r="D250">
            <v>37858</v>
          </cell>
          <cell r="E250">
            <v>37840</v>
          </cell>
          <cell r="F250">
            <v>0.35416666666666669</v>
          </cell>
          <cell r="G250" t="str">
            <v>Linha de Pintura 15m</v>
          </cell>
          <cell r="H250" t="str">
            <v>Bomba do Fosfato apresenta constante queda de pressão</v>
          </cell>
          <cell r="I250" t="str">
            <v>Corretiva</v>
          </cell>
          <cell r="J250" t="str">
            <v>Não</v>
          </cell>
          <cell r="K250" t="str">
            <v>Elétrica</v>
          </cell>
          <cell r="L250" t="str">
            <v>Regulagem do Componente</v>
          </cell>
          <cell r="M250" t="str">
            <v>Falha de Regulagem / Configuração / Dimensionamento</v>
          </cell>
          <cell r="N250">
            <v>37842</v>
          </cell>
          <cell r="O250">
            <v>0.625</v>
          </cell>
          <cell r="P250">
            <v>37842</v>
          </cell>
          <cell r="Q250">
            <v>0.625</v>
          </cell>
          <cell r="T250">
            <v>37842</v>
          </cell>
          <cell r="U250">
            <v>0.75</v>
          </cell>
          <cell r="V250">
            <v>37842</v>
          </cell>
          <cell r="W250">
            <v>0.75</v>
          </cell>
          <cell r="X250">
            <v>0.125</v>
          </cell>
          <cell r="Y250">
            <v>0.125</v>
          </cell>
          <cell r="AB250">
            <v>8</v>
          </cell>
          <cell r="AC250">
            <v>7</v>
          </cell>
          <cell r="AD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8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</row>
        <row r="251">
          <cell r="C251">
            <v>37816</v>
          </cell>
          <cell r="I251">
            <v>0</v>
          </cell>
          <cell r="N251">
            <v>0</v>
          </cell>
          <cell r="P251">
            <v>0</v>
          </cell>
          <cell r="T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AB251">
            <v>0</v>
          </cell>
          <cell r="AC251">
            <v>7</v>
          </cell>
          <cell r="AD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</row>
        <row r="252">
          <cell r="C252">
            <v>37816</v>
          </cell>
          <cell r="D252">
            <v>37858</v>
          </cell>
          <cell r="E252">
            <v>37841</v>
          </cell>
          <cell r="F252">
            <v>0.51388888888888895</v>
          </cell>
          <cell r="G252" t="str">
            <v>Linha de Pintura 15m</v>
          </cell>
          <cell r="H252" t="str">
            <v>Exaustão não funciona</v>
          </cell>
          <cell r="I252" t="str">
            <v>Corretiva</v>
          </cell>
          <cell r="J252" t="str">
            <v>Sim</v>
          </cell>
          <cell r="K252" t="str">
            <v>Elétrica</v>
          </cell>
          <cell r="L252" t="str">
            <v>Substituição do(s) Componente(s)</v>
          </cell>
          <cell r="M252" t="str">
            <v>Sobrecarga</v>
          </cell>
          <cell r="N252">
            <v>37841</v>
          </cell>
          <cell r="O252">
            <v>0.51388888888888895</v>
          </cell>
          <cell r="P252">
            <v>37841</v>
          </cell>
          <cell r="Q252">
            <v>0.51388888888888895</v>
          </cell>
          <cell r="T252">
            <v>37841</v>
          </cell>
          <cell r="U252">
            <v>0.52430555555555558</v>
          </cell>
          <cell r="V252">
            <v>37841</v>
          </cell>
          <cell r="W252">
            <v>0.52430555555555558</v>
          </cell>
          <cell r="X252">
            <v>1.041666666666663E-2</v>
          </cell>
          <cell r="Y252">
            <v>1.0416666665858165E-2</v>
          </cell>
          <cell r="AB252">
            <v>8</v>
          </cell>
          <cell r="AC252">
            <v>7</v>
          </cell>
          <cell r="AD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8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</row>
        <row r="253">
          <cell r="C253">
            <v>37816</v>
          </cell>
          <cell r="D253">
            <v>37858</v>
          </cell>
          <cell r="E253">
            <v>37847</v>
          </cell>
          <cell r="F253">
            <v>0.33333333333333331</v>
          </cell>
          <cell r="G253" t="str">
            <v>Linha de Pintura 15m</v>
          </cell>
          <cell r="H253" t="str">
            <v>Mangueiras de Recuperação de pó estão furadas</v>
          </cell>
          <cell r="I253" t="str">
            <v>Corretiva</v>
          </cell>
          <cell r="J253" t="str">
            <v>Não</v>
          </cell>
          <cell r="K253" t="str">
            <v>Mecânica</v>
          </cell>
          <cell r="L253" t="str">
            <v>Substituição do(s) Componente(s)</v>
          </cell>
          <cell r="M253" t="str">
            <v>Defeito de Fabricação</v>
          </cell>
          <cell r="N253">
            <v>37847</v>
          </cell>
          <cell r="O253">
            <v>0.33333333333333331</v>
          </cell>
          <cell r="P253">
            <v>37847</v>
          </cell>
          <cell r="Q253">
            <v>0.33333333333333331</v>
          </cell>
          <cell r="T253">
            <v>37847</v>
          </cell>
          <cell r="U253">
            <v>0.39583333333333331</v>
          </cell>
          <cell r="V253">
            <v>37847</v>
          </cell>
          <cell r="W253">
            <v>0.39583333333333331</v>
          </cell>
          <cell r="X253">
            <v>6.2500000002425338E-2</v>
          </cell>
          <cell r="Y253">
            <v>6.2500000002425338E-2</v>
          </cell>
          <cell r="AB253">
            <v>8</v>
          </cell>
          <cell r="AC253">
            <v>7</v>
          </cell>
          <cell r="AD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8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</row>
        <row r="254">
          <cell r="C254">
            <v>37816</v>
          </cell>
          <cell r="D254">
            <v>37858</v>
          </cell>
          <cell r="E254">
            <v>37848</v>
          </cell>
          <cell r="F254">
            <v>0.33333333333333331</v>
          </cell>
          <cell r="G254" t="str">
            <v>Linha de Pintura 15m</v>
          </cell>
          <cell r="H254" t="str">
            <v>Visor de nível do enxágüe 01 está opaco</v>
          </cell>
          <cell r="I254" t="str">
            <v>Corretiva</v>
          </cell>
          <cell r="J254" t="str">
            <v>Não</v>
          </cell>
          <cell r="K254" t="str">
            <v>Mecânica</v>
          </cell>
          <cell r="L254" t="str">
            <v>Limpeza do Equipamento / Componente</v>
          </cell>
          <cell r="M254" t="str">
            <v>Sujeira em excesso</v>
          </cell>
          <cell r="N254">
            <v>37855</v>
          </cell>
          <cell r="O254">
            <v>0.45833333333333331</v>
          </cell>
          <cell r="P254">
            <v>37855</v>
          </cell>
          <cell r="Q254">
            <v>0.45833333333333331</v>
          </cell>
          <cell r="T254">
            <v>37855</v>
          </cell>
          <cell r="U254">
            <v>0.5</v>
          </cell>
          <cell r="V254">
            <v>37855</v>
          </cell>
          <cell r="W254">
            <v>0.5</v>
          </cell>
          <cell r="X254">
            <v>4.1666666666666685E-2</v>
          </cell>
          <cell r="Y254">
            <v>4.1666666666666685E-2</v>
          </cell>
          <cell r="AB254">
            <v>8</v>
          </cell>
          <cell r="AC254">
            <v>7</v>
          </cell>
          <cell r="AD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8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</row>
        <row r="255">
          <cell r="C255">
            <v>37816</v>
          </cell>
          <cell r="D255">
            <v>37865</v>
          </cell>
          <cell r="E255">
            <v>37848</v>
          </cell>
          <cell r="F255">
            <v>0.33333333333333331</v>
          </cell>
          <cell r="G255" t="str">
            <v>Linha de Pintura 15m</v>
          </cell>
          <cell r="H255" t="str">
            <v>Vazamento de água do abastecedor do enxágüe 02</v>
          </cell>
          <cell r="I255" t="str">
            <v>Corretiva</v>
          </cell>
          <cell r="J255" t="str">
            <v>Não</v>
          </cell>
          <cell r="K255" t="str">
            <v>Mecânica</v>
          </cell>
          <cell r="L255" t="str">
            <v>Contenção do vazamento</v>
          </cell>
          <cell r="M255" t="str">
            <v>Desgaste / Fadiga</v>
          </cell>
          <cell r="N255">
            <v>37861</v>
          </cell>
          <cell r="O255">
            <v>0.58333333333333337</v>
          </cell>
          <cell r="P255">
            <v>37861</v>
          </cell>
          <cell r="Q255">
            <v>0.58333333333333337</v>
          </cell>
          <cell r="T255">
            <v>37861</v>
          </cell>
          <cell r="U255">
            <v>0.625</v>
          </cell>
          <cell r="V255">
            <v>37861</v>
          </cell>
          <cell r="W255">
            <v>0.625</v>
          </cell>
          <cell r="X255">
            <v>4.166666666666663E-2</v>
          </cell>
          <cell r="Y255">
            <v>4.166666666666663E-2</v>
          </cell>
          <cell r="AB255">
            <v>8</v>
          </cell>
          <cell r="AC255">
            <v>7</v>
          </cell>
          <cell r="AD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8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</row>
        <row r="256">
          <cell r="C256">
            <v>37816</v>
          </cell>
          <cell r="D256">
            <v>37858</v>
          </cell>
          <cell r="E256">
            <v>37855</v>
          </cell>
          <cell r="F256">
            <v>0.25</v>
          </cell>
          <cell r="G256" t="str">
            <v>Linha de Pintura 15m</v>
          </cell>
          <cell r="H256" t="str">
            <v>Conector de engate rápido não funciona</v>
          </cell>
          <cell r="I256" t="str">
            <v>Corretiva</v>
          </cell>
          <cell r="J256" t="str">
            <v>Sim</v>
          </cell>
          <cell r="K256" t="str">
            <v>Mecânica</v>
          </cell>
          <cell r="L256" t="str">
            <v>Substituição do(s) Componente(s)</v>
          </cell>
          <cell r="M256" t="str">
            <v>Desgaste / Fadiga</v>
          </cell>
          <cell r="N256">
            <v>37855</v>
          </cell>
          <cell r="O256">
            <v>0.29166666666666669</v>
          </cell>
          <cell r="P256">
            <v>37855</v>
          </cell>
          <cell r="Q256">
            <v>0.29166666666666669</v>
          </cell>
          <cell r="T256">
            <v>37855</v>
          </cell>
          <cell r="U256">
            <v>0.3125</v>
          </cell>
          <cell r="V256">
            <v>37855</v>
          </cell>
          <cell r="W256">
            <v>0.3125</v>
          </cell>
          <cell r="X256">
            <v>2.0833333333333315E-2</v>
          </cell>
          <cell r="Y256">
            <v>2.0833333333333315E-2</v>
          </cell>
          <cell r="AB256">
            <v>8</v>
          </cell>
          <cell r="AC256">
            <v>7</v>
          </cell>
          <cell r="AD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8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</row>
        <row r="257">
          <cell r="C257">
            <v>37816</v>
          </cell>
          <cell r="D257">
            <v>37819</v>
          </cell>
          <cell r="E257">
            <v>37816</v>
          </cell>
          <cell r="F257">
            <v>0.46527777777777773</v>
          </cell>
          <cell r="G257" t="str">
            <v>Prensa Jundiaí</v>
          </cell>
          <cell r="H257" t="str">
            <v>Sensores apresentam leitura incorreta</v>
          </cell>
          <cell r="I257" t="str">
            <v>Corretiva</v>
          </cell>
          <cell r="J257" t="str">
            <v>Sim</v>
          </cell>
          <cell r="K257" t="str">
            <v>Elétrica</v>
          </cell>
          <cell r="L257" t="str">
            <v>Regulagem dos cames dos sensores</v>
          </cell>
          <cell r="M257" t="str">
            <v>Vibração</v>
          </cell>
          <cell r="N257">
            <v>37816</v>
          </cell>
          <cell r="O257">
            <v>0.46527777777777773</v>
          </cell>
          <cell r="P257">
            <v>37816</v>
          </cell>
          <cell r="Q257">
            <v>0.46527777777777773</v>
          </cell>
          <cell r="T257">
            <v>37816</v>
          </cell>
          <cell r="U257">
            <v>0.47916666666666669</v>
          </cell>
          <cell r="V257">
            <v>37816</v>
          </cell>
          <cell r="W257">
            <v>0.47916666666666669</v>
          </cell>
          <cell r="X257">
            <v>1.3888888888888951E-2</v>
          </cell>
          <cell r="Y257">
            <v>1.3888888886463613E-2</v>
          </cell>
          <cell r="AB257">
            <v>7</v>
          </cell>
          <cell r="AC257">
            <v>7</v>
          </cell>
          <cell r="AD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7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</row>
        <row r="258">
          <cell r="C258">
            <v>37816</v>
          </cell>
          <cell r="D258">
            <v>37819</v>
          </cell>
          <cell r="E258">
            <v>37816</v>
          </cell>
          <cell r="F258">
            <v>0.625</v>
          </cell>
          <cell r="G258" t="str">
            <v>Prensa Jundiaí</v>
          </cell>
          <cell r="H258" t="str">
            <v>Máquina travada pelo IHM</v>
          </cell>
          <cell r="I258" t="str">
            <v>Corretiva</v>
          </cell>
          <cell r="J258" t="str">
            <v>Sim</v>
          </cell>
          <cell r="K258" t="str">
            <v>Elétrica</v>
          </cell>
          <cell r="L258" t="str">
            <v>Substituição do(s) Componente(s)</v>
          </cell>
          <cell r="M258" t="str">
            <v>Falha de Comando / Sistema</v>
          </cell>
          <cell r="N258">
            <v>37816</v>
          </cell>
          <cell r="O258">
            <v>0.625</v>
          </cell>
          <cell r="P258">
            <v>37816</v>
          </cell>
          <cell r="Q258">
            <v>0.64583333333333337</v>
          </cell>
          <cell r="R258">
            <v>37816</v>
          </cell>
          <cell r="S258">
            <v>0.75</v>
          </cell>
          <cell r="T258">
            <v>37816</v>
          </cell>
          <cell r="U258">
            <v>0.80208333333333337</v>
          </cell>
          <cell r="V258">
            <v>0</v>
          </cell>
          <cell r="W258">
            <v>7.2916666666666741E-2</v>
          </cell>
          <cell r="X258">
            <v>7.2916666666666741E-2</v>
          </cell>
          <cell r="Y258" t="str">
            <v>Substituição do CLP</v>
          </cell>
          <cell r="AB258">
            <v>7</v>
          </cell>
          <cell r="AC258">
            <v>7</v>
          </cell>
          <cell r="AD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7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</row>
        <row r="259">
          <cell r="C259">
            <v>37816</v>
          </cell>
          <cell r="D259">
            <v>37831</v>
          </cell>
          <cell r="E259">
            <v>37818</v>
          </cell>
          <cell r="F259">
            <v>0.73611111111111116</v>
          </cell>
          <cell r="G259" t="str">
            <v>Guilhotina Sorg</v>
          </cell>
          <cell r="H259" t="str">
            <v>Máquina não referencia</v>
          </cell>
          <cell r="I259" t="str">
            <v>Corretiva</v>
          </cell>
          <cell r="J259" t="str">
            <v>Sim</v>
          </cell>
          <cell r="K259" t="str">
            <v>Elétrica</v>
          </cell>
          <cell r="L259" t="str">
            <v>Reset no inversor e controlador</v>
          </cell>
          <cell r="M259" t="str">
            <v>Falha de Comando / Sistema</v>
          </cell>
          <cell r="N259">
            <v>37818</v>
          </cell>
          <cell r="O259">
            <v>0.73611111111111116</v>
          </cell>
          <cell r="P259">
            <v>37818</v>
          </cell>
          <cell r="Q259">
            <v>0.73611111111111116</v>
          </cell>
          <cell r="T259">
            <v>37818</v>
          </cell>
          <cell r="U259">
            <v>0.74444444444444446</v>
          </cell>
          <cell r="V259">
            <v>37818</v>
          </cell>
          <cell r="W259">
            <v>0.74444444444444446</v>
          </cell>
          <cell r="X259">
            <v>8.3333333333333037E-3</v>
          </cell>
          <cell r="Y259">
            <v>8.3333333297761492E-3</v>
          </cell>
          <cell r="AB259">
            <v>7</v>
          </cell>
          <cell r="AC259">
            <v>7</v>
          </cell>
          <cell r="AD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7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</row>
        <row r="260">
          <cell r="C260">
            <v>37816</v>
          </cell>
          <cell r="D260">
            <v>37831</v>
          </cell>
          <cell r="E260">
            <v>37823</v>
          </cell>
          <cell r="F260">
            <v>0.38541666666666669</v>
          </cell>
          <cell r="G260" t="str">
            <v>Guilhotina Sorg</v>
          </cell>
          <cell r="H260" t="str">
            <v>Esferas da mesa estão baixas</v>
          </cell>
          <cell r="I260" t="str">
            <v>Corretiva</v>
          </cell>
          <cell r="J260" t="str">
            <v>Sim</v>
          </cell>
          <cell r="K260" t="str">
            <v>Mecânica</v>
          </cell>
          <cell r="L260" t="str">
            <v>Ajuste / Regulagem</v>
          </cell>
          <cell r="M260" t="str">
            <v>Desgaste / Fadiga</v>
          </cell>
          <cell r="N260">
            <v>37823</v>
          </cell>
          <cell r="O260">
            <v>0.38541666666666669</v>
          </cell>
          <cell r="P260">
            <v>37823</v>
          </cell>
          <cell r="Q260">
            <v>0.38541666666666669</v>
          </cell>
          <cell r="T260">
            <v>37823</v>
          </cell>
          <cell r="U260">
            <v>0.42708333333333331</v>
          </cell>
          <cell r="V260">
            <v>37823</v>
          </cell>
          <cell r="W260">
            <v>0.42708333333333331</v>
          </cell>
          <cell r="X260">
            <v>4.166666666666663E-2</v>
          </cell>
          <cell r="Y260">
            <v>4.1666666669091967E-2</v>
          </cell>
          <cell r="AB260">
            <v>7</v>
          </cell>
          <cell r="AC260">
            <v>7</v>
          </cell>
          <cell r="AD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7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</row>
        <row r="261">
          <cell r="C261">
            <v>37816</v>
          </cell>
          <cell r="D261">
            <v>37831</v>
          </cell>
          <cell r="E261">
            <v>37820</v>
          </cell>
          <cell r="F261">
            <v>0.41666666666666669</v>
          </cell>
          <cell r="G261" t="str">
            <v>Guilhotina Sorg</v>
          </cell>
          <cell r="H261" t="str">
            <v>Régua desregulada</v>
          </cell>
          <cell r="I261" t="str">
            <v>Corretiva</v>
          </cell>
          <cell r="J261" t="str">
            <v>Não</v>
          </cell>
          <cell r="K261" t="str">
            <v>Mecânica</v>
          </cell>
          <cell r="L261" t="str">
            <v>Regulagem das guias da chapa</v>
          </cell>
          <cell r="M261" t="str">
            <v>Defeito de Fabricação</v>
          </cell>
          <cell r="N261">
            <v>37820</v>
          </cell>
          <cell r="O261">
            <v>0.41666666666666669</v>
          </cell>
          <cell r="P261">
            <v>37820</v>
          </cell>
          <cell r="Q261">
            <v>0.41666666666666669</v>
          </cell>
          <cell r="T261">
            <v>37820</v>
          </cell>
          <cell r="U261">
            <v>0.54166666666666663</v>
          </cell>
          <cell r="V261">
            <v>37820</v>
          </cell>
          <cell r="W261">
            <v>0.54166666666666663</v>
          </cell>
          <cell r="X261">
            <v>0.12499999999757466</v>
          </cell>
          <cell r="Y261">
            <v>0.12499999999757466</v>
          </cell>
          <cell r="AB261">
            <v>7</v>
          </cell>
          <cell r="AC261">
            <v>7</v>
          </cell>
          <cell r="AD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7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</row>
        <row r="262">
          <cell r="C262">
            <v>37816</v>
          </cell>
          <cell r="I262">
            <v>0</v>
          </cell>
          <cell r="N262">
            <v>0</v>
          </cell>
          <cell r="P262">
            <v>0</v>
          </cell>
          <cell r="T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>
            <v>0</v>
          </cell>
          <cell r="AC262">
            <v>7</v>
          </cell>
          <cell r="AD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</row>
        <row r="263">
          <cell r="C263">
            <v>37816</v>
          </cell>
          <cell r="D263">
            <v>37858</v>
          </cell>
          <cell r="E263">
            <v>37839</v>
          </cell>
          <cell r="F263">
            <v>0.54166666666666663</v>
          </cell>
          <cell r="G263" t="str">
            <v>Prensa Jundiaí</v>
          </cell>
          <cell r="H263" t="str">
            <v>Motor com rotação invertida</v>
          </cell>
          <cell r="I263" t="str">
            <v>Corretiva</v>
          </cell>
          <cell r="J263" t="str">
            <v>Sim</v>
          </cell>
          <cell r="K263" t="str">
            <v>Elétrica</v>
          </cell>
          <cell r="L263" t="str">
            <v>Ajuste / Regulagem</v>
          </cell>
          <cell r="M263" t="str">
            <v>Travamento de Componente</v>
          </cell>
          <cell r="N263">
            <v>37839</v>
          </cell>
          <cell r="O263">
            <v>0.54166666666666663</v>
          </cell>
          <cell r="P263">
            <v>37839</v>
          </cell>
          <cell r="Q263">
            <v>0.54166666666666663</v>
          </cell>
          <cell r="T263">
            <v>37839</v>
          </cell>
          <cell r="U263">
            <v>0.55208333333333337</v>
          </cell>
          <cell r="V263">
            <v>37839</v>
          </cell>
          <cell r="W263">
            <v>0.55208333333333337</v>
          </cell>
          <cell r="X263">
            <v>1.0416666666666741E-2</v>
          </cell>
          <cell r="Y263">
            <v>1.0416666669092023E-2</v>
          </cell>
          <cell r="AB263">
            <v>8</v>
          </cell>
          <cell r="AC263">
            <v>7</v>
          </cell>
          <cell r="AD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8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</row>
        <row r="264">
          <cell r="C264">
            <v>37816</v>
          </cell>
          <cell r="D264">
            <v>37858</v>
          </cell>
          <cell r="E264">
            <v>37839</v>
          </cell>
          <cell r="F264">
            <v>0.64583333333333337</v>
          </cell>
          <cell r="G264" t="str">
            <v>Prensa Jundiaí</v>
          </cell>
          <cell r="H264" t="str">
            <v>Chaveta para alteração de curso travada</v>
          </cell>
          <cell r="I264" t="str">
            <v>Corretiva</v>
          </cell>
          <cell r="J264" t="str">
            <v>Sim</v>
          </cell>
          <cell r="K264" t="str">
            <v>Mecânica</v>
          </cell>
          <cell r="L264" t="str">
            <v>Ajuste e lubrificação do Componente</v>
          </cell>
          <cell r="M264" t="str">
            <v>Falta de Lubrificação</v>
          </cell>
          <cell r="N264">
            <v>37839</v>
          </cell>
          <cell r="O264">
            <v>0.64583333333333337</v>
          </cell>
          <cell r="P264">
            <v>37839</v>
          </cell>
          <cell r="Q264">
            <v>0.64583333333333337</v>
          </cell>
          <cell r="T264">
            <v>37839</v>
          </cell>
          <cell r="U264">
            <v>0.75</v>
          </cell>
          <cell r="V264">
            <v>37839</v>
          </cell>
          <cell r="W264">
            <v>0.75</v>
          </cell>
          <cell r="X264">
            <v>0.10416666666666663</v>
          </cell>
          <cell r="Y264">
            <v>0.10416666666666663</v>
          </cell>
          <cell r="AB264">
            <v>8</v>
          </cell>
          <cell r="AC264">
            <v>7</v>
          </cell>
          <cell r="AD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8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</row>
        <row r="265">
          <cell r="C265">
            <v>37816</v>
          </cell>
          <cell r="D265">
            <v>37858</v>
          </cell>
          <cell r="E265">
            <v>37852</v>
          </cell>
          <cell r="F265">
            <v>0.33333333333333331</v>
          </cell>
          <cell r="G265" t="str">
            <v>Guilhotina Sorg</v>
          </cell>
          <cell r="H265" t="str">
            <v>Vazamento de óleo</v>
          </cell>
          <cell r="I265" t="str">
            <v>Corretiva</v>
          </cell>
          <cell r="J265" t="str">
            <v>Sim</v>
          </cell>
          <cell r="K265" t="str">
            <v>Mecânica</v>
          </cell>
          <cell r="L265" t="str">
            <v>Substituição do(s) Componente(s)</v>
          </cell>
          <cell r="M265" t="str">
            <v>Defeito de Fabricação</v>
          </cell>
          <cell r="N265">
            <v>37852</v>
          </cell>
          <cell r="O265">
            <v>0.33333333333333331</v>
          </cell>
          <cell r="P265">
            <v>37852</v>
          </cell>
          <cell r="Q265">
            <v>0.33333333333333331</v>
          </cell>
          <cell r="T265">
            <v>37852</v>
          </cell>
          <cell r="U265">
            <v>0.45833333333333331</v>
          </cell>
          <cell r="V265">
            <v>37852</v>
          </cell>
          <cell r="W265">
            <v>0.45833333333333331</v>
          </cell>
          <cell r="X265">
            <v>0.125</v>
          </cell>
          <cell r="Y265">
            <v>0.12500000000242534</v>
          </cell>
          <cell r="AB265">
            <v>8</v>
          </cell>
          <cell r="AC265">
            <v>7</v>
          </cell>
          <cell r="AD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8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</row>
        <row r="266">
          <cell r="C266">
            <v>37816</v>
          </cell>
          <cell r="D266">
            <v>37865</v>
          </cell>
          <cell r="E266">
            <v>37858</v>
          </cell>
          <cell r="F266">
            <v>0.42708333333333331</v>
          </cell>
          <cell r="G266" t="str">
            <v>Guilhotina Sorg</v>
          </cell>
          <cell r="H266" t="str">
            <v>Referência incorreta</v>
          </cell>
          <cell r="I266" t="str">
            <v>Corretiva</v>
          </cell>
          <cell r="J266" t="str">
            <v>Sim</v>
          </cell>
          <cell r="K266" t="str">
            <v>Mecânica</v>
          </cell>
          <cell r="L266" t="str">
            <v>Nova referência no encoder do motor</v>
          </cell>
          <cell r="M266" t="str">
            <v>Causa não especificada</v>
          </cell>
          <cell r="N266">
            <v>37858</v>
          </cell>
          <cell r="O266">
            <v>0.4375</v>
          </cell>
          <cell r="P266">
            <v>37858</v>
          </cell>
          <cell r="Q266">
            <v>0.4375</v>
          </cell>
          <cell r="T266">
            <v>37858</v>
          </cell>
          <cell r="U266">
            <v>0.44791666666666669</v>
          </cell>
          <cell r="V266">
            <v>37858</v>
          </cell>
          <cell r="W266">
            <v>0.44791666666666669</v>
          </cell>
          <cell r="X266">
            <v>1.0416666666666685E-2</v>
          </cell>
          <cell r="Y266">
            <v>1.0416666664241347E-2</v>
          </cell>
          <cell r="AB266">
            <v>8</v>
          </cell>
          <cell r="AC266">
            <v>7</v>
          </cell>
          <cell r="AD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8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</row>
        <row r="267">
          <cell r="C267">
            <v>37816</v>
          </cell>
          <cell r="D267">
            <v>37831</v>
          </cell>
          <cell r="E267">
            <v>37818</v>
          </cell>
          <cell r="F267">
            <v>0.64583333333333337</v>
          </cell>
          <cell r="G267" t="str">
            <v>Perfiladora Gasparini</v>
          </cell>
          <cell r="H267" t="str">
            <v>Parafuso do Rolo Guia da Perfiladora está quebrado</v>
          </cell>
          <cell r="I267" t="str">
            <v>Corretiva</v>
          </cell>
          <cell r="J267" t="str">
            <v>Não</v>
          </cell>
          <cell r="K267" t="str">
            <v>Mecânica</v>
          </cell>
          <cell r="L267" t="str">
            <v>Substituição do(s) Componente(s)</v>
          </cell>
          <cell r="M267" t="str">
            <v>Defeito de Fabricação</v>
          </cell>
          <cell r="N267">
            <v>37818</v>
          </cell>
          <cell r="O267">
            <v>0.75</v>
          </cell>
          <cell r="P267">
            <v>37818</v>
          </cell>
          <cell r="Q267">
            <v>0.75</v>
          </cell>
          <cell r="T267">
            <v>37819</v>
          </cell>
          <cell r="U267">
            <v>0.39583333333333331</v>
          </cell>
          <cell r="V267">
            <v>37819</v>
          </cell>
          <cell r="W267">
            <v>0.39583333333333331</v>
          </cell>
          <cell r="X267">
            <v>0.64583333333575865</v>
          </cell>
          <cell r="Y267">
            <v>0.64583333333575865</v>
          </cell>
          <cell r="AB267">
            <v>7</v>
          </cell>
          <cell r="AC267">
            <v>7</v>
          </cell>
          <cell r="AD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7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</row>
        <row r="268">
          <cell r="C268">
            <v>37816</v>
          </cell>
          <cell r="I268">
            <v>0</v>
          </cell>
          <cell r="N268">
            <v>0</v>
          </cell>
          <cell r="P268">
            <v>0</v>
          </cell>
          <cell r="T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AB268">
            <v>0</v>
          </cell>
          <cell r="AC268">
            <v>7</v>
          </cell>
          <cell r="AD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</row>
        <row r="269">
          <cell r="C269">
            <v>37816</v>
          </cell>
          <cell r="D269">
            <v>37970</v>
          </cell>
          <cell r="E269">
            <v>37847</v>
          </cell>
          <cell r="F269">
            <v>37847</v>
          </cell>
          <cell r="G269">
            <v>0.375</v>
          </cell>
          <cell r="H269" t="str">
            <v>Alarme de Sondas Térmicas</v>
          </cell>
          <cell r="I269">
            <v>0</v>
          </cell>
          <cell r="J269" t="str">
            <v>Sim</v>
          </cell>
          <cell r="K269" t="str">
            <v>Elétrica</v>
          </cell>
          <cell r="L269" t="str">
            <v>Sim</v>
          </cell>
          <cell r="M269" t="str">
            <v>Desgaste / Fadiga</v>
          </cell>
          <cell r="N269">
            <v>37847</v>
          </cell>
          <cell r="O269">
            <v>0.625</v>
          </cell>
          <cell r="P269">
            <v>37847</v>
          </cell>
          <cell r="Q269">
            <v>0.625</v>
          </cell>
          <cell r="T269">
            <v>37847</v>
          </cell>
          <cell r="U269">
            <v>0.70833333333333337</v>
          </cell>
          <cell r="V269">
            <v>37847</v>
          </cell>
          <cell r="W269">
            <v>0.70833333333333337</v>
          </cell>
          <cell r="X269">
            <v>8.333333333333337E-2</v>
          </cell>
          <cell r="Y269">
            <v>8.3333333335758653E-2</v>
          </cell>
          <cell r="AB269">
            <v>8</v>
          </cell>
          <cell r="AC269">
            <v>7</v>
          </cell>
          <cell r="AD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8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</row>
        <row r="270">
          <cell r="C270">
            <v>37816</v>
          </cell>
          <cell r="D270">
            <v>37858</v>
          </cell>
          <cell r="E270">
            <v>37854</v>
          </cell>
          <cell r="F270">
            <v>0.25</v>
          </cell>
          <cell r="G270" t="str">
            <v>Perfiladora Gasparini</v>
          </cell>
          <cell r="H270" t="str">
            <v>Sensores da Prensa desregulados (Parafusos soltos)</v>
          </cell>
          <cell r="I270" t="str">
            <v>Corretiva</v>
          </cell>
          <cell r="J270" t="str">
            <v>Sim</v>
          </cell>
          <cell r="K270" t="str">
            <v>Elétrica</v>
          </cell>
          <cell r="L270" t="str">
            <v>Melhoria no Sistema de Fixação</v>
          </cell>
          <cell r="M270" t="str">
            <v>Vibração</v>
          </cell>
          <cell r="N270">
            <v>37854</v>
          </cell>
          <cell r="O270">
            <v>0.26041666666666669</v>
          </cell>
          <cell r="P270">
            <v>37854</v>
          </cell>
          <cell r="Q270">
            <v>0.26041666666666669</v>
          </cell>
          <cell r="T270">
            <v>37854</v>
          </cell>
          <cell r="U270">
            <v>0.28125</v>
          </cell>
          <cell r="V270">
            <v>37854</v>
          </cell>
          <cell r="W270">
            <v>0.28125</v>
          </cell>
          <cell r="X270">
            <v>2.0833333333333315E-2</v>
          </cell>
          <cell r="Y270">
            <v>2.0833333333333315E-2</v>
          </cell>
          <cell r="AB270">
            <v>8</v>
          </cell>
          <cell r="AC270">
            <v>7</v>
          </cell>
          <cell r="AD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8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</row>
        <row r="271">
          <cell r="C271">
            <v>37816</v>
          </cell>
          <cell r="D271">
            <v>37865</v>
          </cell>
          <cell r="E271">
            <v>37858</v>
          </cell>
          <cell r="F271">
            <v>0.45833333333333331</v>
          </cell>
          <cell r="G271" t="str">
            <v>Perfiladora Gasparini</v>
          </cell>
          <cell r="H271" t="str">
            <v>Máquina não funciona</v>
          </cell>
          <cell r="I271" t="str">
            <v>Corretiva</v>
          </cell>
          <cell r="J271" t="str">
            <v>Sim</v>
          </cell>
          <cell r="K271" t="str">
            <v>Elétrica</v>
          </cell>
          <cell r="L271" t="str">
            <v>Substituição do(s) Componente(s)</v>
          </cell>
          <cell r="M271" t="str">
            <v>Sobrecarga</v>
          </cell>
          <cell r="N271">
            <v>37858</v>
          </cell>
          <cell r="O271">
            <v>0.46875</v>
          </cell>
          <cell r="P271">
            <v>37858</v>
          </cell>
          <cell r="Q271">
            <v>0.46875</v>
          </cell>
          <cell r="T271">
            <v>37858</v>
          </cell>
          <cell r="U271">
            <v>0.4861111111111111</v>
          </cell>
          <cell r="V271">
            <v>37858</v>
          </cell>
          <cell r="W271">
            <v>0.4861111111111111</v>
          </cell>
          <cell r="X271">
            <v>1.7361111111111105E-2</v>
          </cell>
          <cell r="Y271">
            <v>1.7361111109494232E-2</v>
          </cell>
          <cell r="AB271">
            <v>8</v>
          </cell>
          <cell r="AC271">
            <v>7</v>
          </cell>
          <cell r="AD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8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</row>
        <row r="272">
          <cell r="C272">
            <v>37816</v>
          </cell>
          <cell r="D272">
            <v>37900</v>
          </cell>
          <cell r="E272">
            <v>37880</v>
          </cell>
          <cell r="F272">
            <v>0.45833333333333331</v>
          </cell>
          <cell r="G272" t="str">
            <v>Perfiladora Gasparini</v>
          </cell>
          <cell r="H272" t="str">
            <v>Sensor danificado</v>
          </cell>
          <cell r="I272" t="str">
            <v>Corretiva</v>
          </cell>
          <cell r="J272" t="str">
            <v>Sim</v>
          </cell>
          <cell r="K272" t="str">
            <v>Elétrica</v>
          </cell>
          <cell r="L272" t="str">
            <v>Substituição do(s) Componente(s)</v>
          </cell>
          <cell r="M272" t="str">
            <v>Falha Operacional</v>
          </cell>
          <cell r="N272">
            <v>37880</v>
          </cell>
          <cell r="O272">
            <v>0.45833333333333331</v>
          </cell>
          <cell r="P272">
            <v>37880</v>
          </cell>
          <cell r="Q272">
            <v>0.45833333333333331</v>
          </cell>
          <cell r="T272">
            <v>37880</v>
          </cell>
          <cell r="U272">
            <v>0.47916666666666669</v>
          </cell>
          <cell r="V272">
            <v>37880</v>
          </cell>
          <cell r="W272">
            <v>0.47916666666666669</v>
          </cell>
          <cell r="X272">
            <v>2.083333333333337E-2</v>
          </cell>
          <cell r="Y272">
            <v>2.0833333330908033E-2</v>
          </cell>
          <cell r="AB272">
            <v>9</v>
          </cell>
          <cell r="AC272">
            <v>7</v>
          </cell>
          <cell r="AD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9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</row>
        <row r="273">
          <cell r="C273">
            <v>37816</v>
          </cell>
          <cell r="D273">
            <v>37928</v>
          </cell>
          <cell r="E273">
            <v>37883</v>
          </cell>
          <cell r="F273">
            <v>4.1666666666666664E-2</v>
          </cell>
          <cell r="G273" t="str">
            <v>Perfiladora Gasparini</v>
          </cell>
          <cell r="H273" t="str">
            <v>Vazamento de Óleo na prensa</v>
          </cell>
          <cell r="I273" t="str">
            <v>Corretiva</v>
          </cell>
          <cell r="J273" t="str">
            <v>Não</v>
          </cell>
          <cell r="K273" t="str">
            <v>Mecânica</v>
          </cell>
          <cell r="L273" t="str">
            <v>Contenção do vazamento</v>
          </cell>
          <cell r="M273" t="str">
            <v>Vibração</v>
          </cell>
          <cell r="N273">
            <v>37895</v>
          </cell>
          <cell r="O273">
            <v>0.45833333333333331</v>
          </cell>
          <cell r="P273">
            <v>37895</v>
          </cell>
          <cell r="Q273">
            <v>0.45833333333333331</v>
          </cell>
          <cell r="T273">
            <v>37895</v>
          </cell>
          <cell r="U273">
            <v>0.5</v>
          </cell>
          <cell r="V273">
            <v>37895</v>
          </cell>
          <cell r="W273">
            <v>0.5</v>
          </cell>
          <cell r="X273">
            <v>4.1666666666666685E-2</v>
          </cell>
          <cell r="Y273">
            <v>4.1666666666666685E-2</v>
          </cell>
          <cell r="AB273">
            <v>10</v>
          </cell>
          <cell r="AC273">
            <v>7</v>
          </cell>
          <cell r="AD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10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</row>
        <row r="274">
          <cell r="C274">
            <v>37816</v>
          </cell>
          <cell r="D274">
            <v>37970</v>
          </cell>
          <cell r="E274">
            <v>37931</v>
          </cell>
          <cell r="F274">
            <v>37931</v>
          </cell>
          <cell r="G274">
            <v>0.25</v>
          </cell>
          <cell r="H274" t="str">
            <v>Alarme de Lubrificação</v>
          </cell>
          <cell r="I274">
            <v>0</v>
          </cell>
          <cell r="J274" t="str">
            <v>Sim</v>
          </cell>
          <cell r="K274" t="str">
            <v>Mecânica</v>
          </cell>
          <cell r="L274" t="str">
            <v>Sim</v>
          </cell>
          <cell r="M274" t="str">
            <v>Falta de Lubrificação</v>
          </cell>
          <cell r="N274">
            <v>37931</v>
          </cell>
          <cell r="O274">
            <v>0.33333333333333331</v>
          </cell>
          <cell r="P274">
            <v>37931</v>
          </cell>
          <cell r="Q274">
            <v>0.33333333333333331</v>
          </cell>
          <cell r="T274">
            <v>37931</v>
          </cell>
          <cell r="U274">
            <v>0.41666666666666669</v>
          </cell>
          <cell r="V274">
            <v>37931</v>
          </cell>
          <cell r="W274">
            <v>0.41666666666666669</v>
          </cell>
          <cell r="X274">
            <v>8.333333333333337E-2</v>
          </cell>
          <cell r="Y274">
            <v>8.3333333330908033E-2</v>
          </cell>
          <cell r="AB274">
            <v>11</v>
          </cell>
          <cell r="AC274">
            <v>7</v>
          </cell>
          <cell r="AD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11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</row>
        <row r="275">
          <cell r="C275">
            <v>37816</v>
          </cell>
          <cell r="D275">
            <v>37970</v>
          </cell>
          <cell r="E275">
            <v>37937</v>
          </cell>
          <cell r="F275">
            <v>37937</v>
          </cell>
          <cell r="G275">
            <v>0.41666666666666669</v>
          </cell>
          <cell r="H275" t="str">
            <v>Proteção danificada</v>
          </cell>
          <cell r="I275">
            <v>0</v>
          </cell>
          <cell r="J275" t="str">
            <v>Não</v>
          </cell>
          <cell r="K275" t="str">
            <v>Mecânica</v>
          </cell>
          <cell r="L275" t="str">
            <v>Não</v>
          </cell>
          <cell r="M275" t="str">
            <v>Falha Operacional</v>
          </cell>
          <cell r="N275">
            <v>37937</v>
          </cell>
          <cell r="O275">
            <v>0.55555555555555558</v>
          </cell>
          <cell r="P275">
            <v>37937</v>
          </cell>
          <cell r="Q275">
            <v>0.55555555555555558</v>
          </cell>
          <cell r="T275">
            <v>37937</v>
          </cell>
          <cell r="U275">
            <v>0.64583333333333337</v>
          </cell>
          <cell r="V275">
            <v>37937</v>
          </cell>
          <cell r="W275">
            <v>0.64583333333333337</v>
          </cell>
          <cell r="X275">
            <v>9.0277777780203072E-2</v>
          </cell>
          <cell r="Y275">
            <v>9.0277777780203072E-2</v>
          </cell>
          <cell r="AB275">
            <v>11</v>
          </cell>
          <cell r="AC275">
            <v>7</v>
          </cell>
          <cell r="AD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11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</row>
        <row r="276">
          <cell r="C276">
            <v>37816</v>
          </cell>
          <cell r="D276">
            <v>37970</v>
          </cell>
          <cell r="E276">
            <v>37949</v>
          </cell>
          <cell r="F276">
            <v>37949</v>
          </cell>
          <cell r="G276">
            <v>0.36388888888888887</v>
          </cell>
          <cell r="I276">
            <v>0</v>
          </cell>
          <cell r="J276" t="str">
            <v>Sim</v>
          </cell>
          <cell r="L276" t="str">
            <v>Sim</v>
          </cell>
          <cell r="M276" t="str">
            <v>OS Cancelada</v>
          </cell>
          <cell r="N276">
            <v>0</v>
          </cell>
          <cell r="P276">
            <v>0</v>
          </cell>
          <cell r="T276">
            <v>37970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AB276">
            <v>12</v>
          </cell>
          <cell r="AC276">
            <v>7</v>
          </cell>
          <cell r="AD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12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</row>
        <row r="277">
          <cell r="C277">
            <v>37825</v>
          </cell>
          <cell r="D277">
            <v>37867</v>
          </cell>
          <cell r="E277">
            <v>37862</v>
          </cell>
          <cell r="F277">
            <v>0.41666666666666669</v>
          </cell>
          <cell r="G277" t="str">
            <v>Perfiladora Fagor Montantes</v>
          </cell>
          <cell r="H277" t="str">
            <v>Carro guia da entrada da Perfiladora está se deslocando</v>
          </cell>
          <cell r="I277" t="str">
            <v>Corretiva</v>
          </cell>
          <cell r="J277" t="str">
            <v>Sim</v>
          </cell>
          <cell r="K277" t="str">
            <v>Mecânica</v>
          </cell>
          <cell r="L277" t="str">
            <v>Substituição do(s) Componente(s)</v>
          </cell>
          <cell r="M277" t="str">
            <v>Vibração</v>
          </cell>
          <cell r="N277">
            <v>37862</v>
          </cell>
          <cell r="O277">
            <v>0.41666666666666669</v>
          </cell>
          <cell r="P277">
            <v>37862</v>
          </cell>
          <cell r="Q277">
            <v>0.41666666666666669</v>
          </cell>
          <cell r="T277">
            <v>37862</v>
          </cell>
          <cell r="U277">
            <v>0.45833333333333331</v>
          </cell>
          <cell r="V277">
            <v>37862</v>
          </cell>
          <cell r="W277">
            <v>0.45833333333333331</v>
          </cell>
          <cell r="X277">
            <v>4.166666666666663E-2</v>
          </cell>
          <cell r="Y277">
            <v>4.1666666669091967E-2</v>
          </cell>
          <cell r="AB277">
            <v>8</v>
          </cell>
          <cell r="AC277">
            <v>7</v>
          </cell>
          <cell r="AD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8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</row>
        <row r="278">
          <cell r="C278">
            <v>37825</v>
          </cell>
          <cell r="D278">
            <v>37970</v>
          </cell>
          <cell r="E278">
            <v>37923</v>
          </cell>
          <cell r="F278">
            <v>37923</v>
          </cell>
          <cell r="G278">
            <v>0.61805555555555558</v>
          </cell>
          <cell r="H278" t="str">
            <v>cabo do leitor óptico rompido</v>
          </cell>
          <cell r="I278">
            <v>0</v>
          </cell>
          <cell r="J278" t="str">
            <v>Sim</v>
          </cell>
          <cell r="K278" t="str">
            <v>Elétrica</v>
          </cell>
          <cell r="L278" t="str">
            <v>Sim</v>
          </cell>
          <cell r="M278" t="str">
            <v>Falha Operacional</v>
          </cell>
          <cell r="N278">
            <v>37923</v>
          </cell>
          <cell r="O278">
            <v>0.66666666666666663</v>
          </cell>
          <cell r="P278">
            <v>37923</v>
          </cell>
          <cell r="Q278">
            <v>0.66666666666666663</v>
          </cell>
          <cell r="T278">
            <v>37923</v>
          </cell>
          <cell r="U278">
            <v>0.68402777777777779</v>
          </cell>
          <cell r="V278">
            <v>37923</v>
          </cell>
          <cell r="W278">
            <v>0.68402777777777779</v>
          </cell>
          <cell r="X278">
            <v>1.736111111111116E-2</v>
          </cell>
          <cell r="Y278">
            <v>1.7361111114344907E-2</v>
          </cell>
          <cell r="AB278">
            <v>10</v>
          </cell>
          <cell r="AC278">
            <v>7</v>
          </cell>
          <cell r="AD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10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</row>
        <row r="279">
          <cell r="C279">
            <v>37825</v>
          </cell>
          <cell r="D279">
            <v>37970</v>
          </cell>
          <cell r="E279">
            <v>37953</v>
          </cell>
          <cell r="F279">
            <v>0.41666666666666669</v>
          </cell>
          <cell r="G279" t="str">
            <v>Perfiladora Fagor Montantes</v>
          </cell>
          <cell r="H279" t="str">
            <v>Instalar mangueira e bico de ar no desbobinador</v>
          </cell>
          <cell r="I279">
            <v>0</v>
          </cell>
          <cell r="J279" t="str">
            <v>Não</v>
          </cell>
          <cell r="K279" t="str">
            <v>Mecânica</v>
          </cell>
          <cell r="L279" t="str">
            <v>Montagem / Instalação</v>
          </cell>
          <cell r="M279" t="str">
            <v>Melhoria Técnica</v>
          </cell>
          <cell r="N279">
            <v>37956</v>
          </cell>
          <cell r="O279">
            <v>0.44097222222222227</v>
          </cell>
          <cell r="P279">
            <v>0</v>
          </cell>
          <cell r="T279">
            <v>37956</v>
          </cell>
          <cell r="U279">
            <v>0.46180555555555558</v>
          </cell>
          <cell r="V279">
            <v>0</v>
          </cell>
          <cell r="W279">
            <v>2.083333333252485E-2</v>
          </cell>
          <cell r="X279">
            <v>0</v>
          </cell>
          <cell r="Y279">
            <v>0</v>
          </cell>
          <cell r="AB279">
            <v>12</v>
          </cell>
          <cell r="AC279">
            <v>7</v>
          </cell>
          <cell r="AD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12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</row>
        <row r="280">
          <cell r="C280">
            <v>37825</v>
          </cell>
          <cell r="D280">
            <v>37970</v>
          </cell>
          <cell r="E280">
            <v>37963</v>
          </cell>
          <cell r="F280">
            <v>0.5625</v>
          </cell>
          <cell r="G280" t="str">
            <v>Perfiladora Fagor Montantes</v>
          </cell>
          <cell r="H280" t="str">
            <v>Guia da Cortadora travado</v>
          </cell>
          <cell r="I280">
            <v>0</v>
          </cell>
          <cell r="J280" t="str">
            <v>Sim</v>
          </cell>
          <cell r="K280" t="str">
            <v>Mecânica</v>
          </cell>
          <cell r="L280" t="str">
            <v>Reparo</v>
          </cell>
          <cell r="M280" t="str">
            <v>Falha de Montagem / Preparação</v>
          </cell>
          <cell r="N280">
            <v>37963</v>
          </cell>
          <cell r="O280">
            <v>0.5625</v>
          </cell>
          <cell r="P280">
            <v>0</v>
          </cell>
          <cell r="T280">
            <v>37963</v>
          </cell>
          <cell r="U280">
            <v>0.60416666666666663</v>
          </cell>
          <cell r="V280">
            <v>0</v>
          </cell>
          <cell r="W280">
            <v>4.1666666664241347E-2</v>
          </cell>
          <cell r="X280">
            <v>0</v>
          </cell>
          <cell r="Y280">
            <v>0</v>
          </cell>
          <cell r="AB280">
            <v>12</v>
          </cell>
          <cell r="AC280">
            <v>7</v>
          </cell>
          <cell r="AD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12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</row>
        <row r="281">
          <cell r="C281">
            <v>37825</v>
          </cell>
          <cell r="D281">
            <v>37972</v>
          </cell>
          <cell r="E281">
            <v>37964</v>
          </cell>
          <cell r="F281">
            <v>0.29166666666666669</v>
          </cell>
          <cell r="G281" t="str">
            <v>Perfiladora Fagor Montantes</v>
          </cell>
          <cell r="H281" t="str">
            <v>Parafuso de regulagem da cabeça turca espanado</v>
          </cell>
          <cell r="I281">
            <v>0</v>
          </cell>
          <cell r="J281" t="str">
            <v>Não</v>
          </cell>
          <cell r="K281" t="str">
            <v>Mecânica</v>
          </cell>
          <cell r="L281" t="str">
            <v>Reparo</v>
          </cell>
          <cell r="M281" t="str">
            <v>Desgaste / Fadiga</v>
          </cell>
          <cell r="N281">
            <v>37964</v>
          </cell>
          <cell r="O281">
            <v>0.375</v>
          </cell>
          <cell r="P281">
            <v>0</v>
          </cell>
          <cell r="T281">
            <v>37964</v>
          </cell>
          <cell r="U281">
            <v>0.41666666666666669</v>
          </cell>
          <cell r="V281">
            <v>0</v>
          </cell>
          <cell r="W281">
            <v>4.1666666664241347E-2</v>
          </cell>
          <cell r="X281">
            <v>0</v>
          </cell>
          <cell r="Y281">
            <v>0</v>
          </cell>
          <cell r="AB281">
            <v>12</v>
          </cell>
          <cell r="AC281">
            <v>7</v>
          </cell>
          <cell r="AD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12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</row>
        <row r="282">
          <cell r="C282">
            <v>37825</v>
          </cell>
          <cell r="D282">
            <v>38008</v>
          </cell>
          <cell r="E282">
            <v>37978</v>
          </cell>
          <cell r="F282">
            <v>0.3125</v>
          </cell>
          <cell r="G282" t="str">
            <v>Perfiladora Fagor Montantes</v>
          </cell>
          <cell r="H282" t="str">
            <v>Desbobinador lento quando funciona no lado no. 02</v>
          </cell>
          <cell r="I282">
            <v>0</v>
          </cell>
          <cell r="J282" t="str">
            <v>Não</v>
          </cell>
          <cell r="K282" t="str">
            <v>Mecânica</v>
          </cell>
          <cell r="L282" t="str">
            <v>Regulagem do Componente</v>
          </cell>
          <cell r="M282" t="str">
            <v>Falha de Ajuste / Parâmetros</v>
          </cell>
          <cell r="N282">
            <v>0</v>
          </cell>
          <cell r="O282">
            <v>0.35416666666666669</v>
          </cell>
          <cell r="P282">
            <v>0</v>
          </cell>
          <cell r="T282">
            <v>0</v>
          </cell>
          <cell r="U282">
            <v>0.375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AB282">
            <v>0</v>
          </cell>
          <cell r="AC282">
            <v>7</v>
          </cell>
          <cell r="AD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</row>
        <row r="283">
          <cell r="C283">
            <v>37825</v>
          </cell>
          <cell r="I283">
            <v>0</v>
          </cell>
          <cell r="N283">
            <v>0</v>
          </cell>
          <cell r="P283">
            <v>0</v>
          </cell>
          <cell r="T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AB283">
            <v>0</v>
          </cell>
          <cell r="AC283">
            <v>7</v>
          </cell>
          <cell r="AD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</row>
        <row r="284">
          <cell r="C284">
            <v>37825</v>
          </cell>
          <cell r="I284">
            <v>0</v>
          </cell>
          <cell r="N284">
            <v>0</v>
          </cell>
          <cell r="P284">
            <v>0</v>
          </cell>
          <cell r="T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AB284">
            <v>0</v>
          </cell>
          <cell r="AC284">
            <v>7</v>
          </cell>
          <cell r="AD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</row>
        <row r="285">
          <cell r="C285">
            <v>37825</v>
          </cell>
          <cell r="I285">
            <v>0</v>
          </cell>
          <cell r="N285">
            <v>0</v>
          </cell>
          <cell r="P285">
            <v>0</v>
          </cell>
          <cell r="T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AB285">
            <v>0</v>
          </cell>
          <cell r="AC285">
            <v>7</v>
          </cell>
          <cell r="AD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</row>
        <row r="286">
          <cell r="C286">
            <v>37825</v>
          </cell>
          <cell r="I286">
            <v>0</v>
          </cell>
          <cell r="N286">
            <v>0</v>
          </cell>
          <cell r="P286">
            <v>0</v>
          </cell>
          <cell r="T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AB286">
            <v>0</v>
          </cell>
          <cell r="AC286">
            <v>7</v>
          </cell>
          <cell r="AD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</row>
        <row r="287">
          <cell r="C287">
            <v>37825</v>
          </cell>
          <cell r="I287">
            <v>0</v>
          </cell>
          <cell r="N287">
            <v>0</v>
          </cell>
          <cell r="P287">
            <v>0</v>
          </cell>
          <cell r="T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AB287">
            <v>0</v>
          </cell>
          <cell r="AC287">
            <v>7</v>
          </cell>
          <cell r="AD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</row>
        <row r="288">
          <cell r="C288">
            <v>37825</v>
          </cell>
          <cell r="D288">
            <v>37918</v>
          </cell>
          <cell r="E288">
            <v>37888</v>
          </cell>
          <cell r="F288">
            <v>0.35416666666666669</v>
          </cell>
          <cell r="G288" t="str">
            <v>Perfiladora Fagor Montantes</v>
          </cell>
          <cell r="H288" t="str">
            <v>Botão de acionamento da linha não funciona</v>
          </cell>
          <cell r="I288" t="str">
            <v>Corretiva</v>
          </cell>
          <cell r="J288" t="str">
            <v>Não</v>
          </cell>
          <cell r="K288" t="str">
            <v>Elétrica</v>
          </cell>
          <cell r="L288" t="str">
            <v>Substituição do(s) Componente(s)</v>
          </cell>
          <cell r="M288" t="str">
            <v>Falha Operacional</v>
          </cell>
          <cell r="N288">
            <v>37888</v>
          </cell>
          <cell r="O288">
            <v>0.39583333333333331</v>
          </cell>
          <cell r="P288">
            <v>37888</v>
          </cell>
          <cell r="Q288">
            <v>0.39583333333333331</v>
          </cell>
          <cell r="T288">
            <v>37888</v>
          </cell>
          <cell r="U288">
            <v>0.40277777777777773</v>
          </cell>
          <cell r="V288">
            <v>37888</v>
          </cell>
          <cell r="W288">
            <v>0.40277777777777773</v>
          </cell>
          <cell r="X288">
            <v>6.9444444476782219E-3</v>
          </cell>
          <cell r="Y288">
            <v>6.9444444476782219E-3</v>
          </cell>
          <cell r="AB288">
            <v>9</v>
          </cell>
          <cell r="AC288">
            <v>7</v>
          </cell>
          <cell r="AD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9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</row>
        <row r="289">
          <cell r="C289">
            <v>37825</v>
          </cell>
          <cell r="D289">
            <v>37902</v>
          </cell>
          <cell r="E289">
            <v>179</v>
          </cell>
          <cell r="F289">
            <v>0.5</v>
          </cell>
          <cell r="G289" t="str">
            <v>Perfiladora Fagor Montantes</v>
          </cell>
          <cell r="H289" t="str">
            <v>Necessidade de melhoria quanto à fixação do Encoder</v>
          </cell>
          <cell r="I289" t="str">
            <v>Melhoria</v>
          </cell>
          <cell r="J289" t="str">
            <v>Não</v>
          </cell>
          <cell r="K289" t="str">
            <v>Mecânica</v>
          </cell>
          <cell r="L289" t="str">
            <v>Alteração no sistema de fixação</v>
          </cell>
          <cell r="M289" t="str">
            <v>Melhoria Técnica</v>
          </cell>
          <cell r="N289">
            <v>37889</v>
          </cell>
          <cell r="O289">
            <v>0.54166666666666663</v>
          </cell>
          <cell r="P289">
            <v>37889</v>
          </cell>
          <cell r="Q289">
            <v>0.625</v>
          </cell>
          <cell r="R289">
            <v>37896</v>
          </cell>
          <cell r="S289">
            <v>0.33333333333333331</v>
          </cell>
          <cell r="T289">
            <v>37896</v>
          </cell>
          <cell r="U289">
            <v>0.47916666666666669</v>
          </cell>
          <cell r="V289">
            <v>0</v>
          </cell>
          <cell r="W289">
            <v>0.22916666666666674</v>
          </cell>
          <cell r="X289">
            <v>0.22916666666666674</v>
          </cell>
          <cell r="Y289">
            <v>0.22916666666666674</v>
          </cell>
          <cell r="AB289">
            <v>10</v>
          </cell>
          <cell r="AC289">
            <v>7</v>
          </cell>
          <cell r="AD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10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</row>
        <row r="290">
          <cell r="C290">
            <v>37825</v>
          </cell>
          <cell r="D290">
            <v>37868</v>
          </cell>
          <cell r="E290">
            <v>37868</v>
          </cell>
          <cell r="F290">
            <v>0.3125</v>
          </cell>
          <cell r="G290" t="str">
            <v>Perfiladora Fagor Montantes</v>
          </cell>
          <cell r="H290" t="str">
            <v>Eixo guia do perfil travado</v>
          </cell>
          <cell r="I290" t="str">
            <v>Corretiva</v>
          </cell>
          <cell r="J290" t="str">
            <v>Sim</v>
          </cell>
          <cell r="K290" t="str">
            <v>Mecânica</v>
          </cell>
          <cell r="L290" t="str">
            <v>Ajuste / Regulagem</v>
          </cell>
          <cell r="M290" t="str">
            <v>Causa não especificada</v>
          </cell>
          <cell r="N290">
            <v>37868</v>
          </cell>
          <cell r="O290">
            <v>0.3125</v>
          </cell>
          <cell r="P290">
            <v>37868</v>
          </cell>
          <cell r="Q290">
            <v>0.3125</v>
          </cell>
          <cell r="T290">
            <v>37868</v>
          </cell>
          <cell r="U290">
            <v>0.33333333333333331</v>
          </cell>
          <cell r="V290">
            <v>37868</v>
          </cell>
          <cell r="W290">
            <v>0.33333333333333331</v>
          </cell>
          <cell r="X290">
            <v>2.0833333333333315E-2</v>
          </cell>
          <cell r="Y290">
            <v>2.0833333335758653E-2</v>
          </cell>
          <cell r="AB290">
            <v>9</v>
          </cell>
          <cell r="AC290">
            <v>7</v>
          </cell>
          <cell r="AD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9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</row>
        <row r="291">
          <cell r="C291">
            <v>37825</v>
          </cell>
          <cell r="D291">
            <v>37900</v>
          </cell>
          <cell r="E291">
            <v>37882</v>
          </cell>
          <cell r="F291">
            <v>0.60416666666666663</v>
          </cell>
          <cell r="G291" t="str">
            <v>Perfiladora Fagor Montantes</v>
          </cell>
          <cell r="H291" t="str">
            <v>Acoplamento do Redutor está solto</v>
          </cell>
          <cell r="I291" t="str">
            <v>Corretiva</v>
          </cell>
          <cell r="J291" t="str">
            <v>Não</v>
          </cell>
          <cell r="K291" t="str">
            <v>Mecânica</v>
          </cell>
          <cell r="L291" t="str">
            <v>Reparo</v>
          </cell>
          <cell r="M291" t="str">
            <v>Vibração</v>
          </cell>
          <cell r="N291">
            <v>37883</v>
          </cell>
          <cell r="O291">
            <v>0.25</v>
          </cell>
          <cell r="P291">
            <v>37883</v>
          </cell>
          <cell r="Q291">
            <v>0.25</v>
          </cell>
          <cell r="T291">
            <v>37883</v>
          </cell>
          <cell r="U291">
            <v>0.3125</v>
          </cell>
          <cell r="V291">
            <v>37883</v>
          </cell>
          <cell r="W291">
            <v>0.3125</v>
          </cell>
          <cell r="X291">
            <v>6.25E-2</v>
          </cell>
          <cell r="Y291">
            <v>6.25E-2</v>
          </cell>
          <cell r="AB291">
            <v>9</v>
          </cell>
          <cell r="AC291">
            <v>7</v>
          </cell>
          <cell r="AD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9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</row>
        <row r="292">
          <cell r="C292">
            <v>37825</v>
          </cell>
          <cell r="D292">
            <v>37918</v>
          </cell>
          <cell r="E292">
            <v>37890</v>
          </cell>
          <cell r="F292">
            <v>0.5625</v>
          </cell>
          <cell r="G292" t="str">
            <v>Perfiladora Fagor Montantes</v>
          </cell>
          <cell r="H292" t="str">
            <v>Sensor de saída da prensa (na valeta) não funciona</v>
          </cell>
          <cell r="I292" t="str">
            <v>Corretiva</v>
          </cell>
          <cell r="J292" t="str">
            <v>Sim</v>
          </cell>
          <cell r="K292" t="str">
            <v>Elétrica</v>
          </cell>
          <cell r="L292" t="str">
            <v>Regulagem do Componente</v>
          </cell>
          <cell r="M292" t="str">
            <v>Vibração</v>
          </cell>
          <cell r="N292">
            <v>37890</v>
          </cell>
          <cell r="O292">
            <v>0.59722222222222221</v>
          </cell>
          <cell r="P292">
            <v>37890</v>
          </cell>
          <cell r="Q292">
            <v>0.59722222222222221</v>
          </cell>
          <cell r="T292">
            <v>37890</v>
          </cell>
          <cell r="U292">
            <v>0.60416666666666663</v>
          </cell>
          <cell r="V292">
            <v>37890</v>
          </cell>
          <cell r="W292">
            <v>0.60416666666666663</v>
          </cell>
          <cell r="X292">
            <v>6.9444444444444198E-3</v>
          </cell>
          <cell r="Y292">
            <v>6.9444444420191376E-3</v>
          </cell>
          <cell r="AB292">
            <v>9</v>
          </cell>
          <cell r="AC292">
            <v>7</v>
          </cell>
          <cell r="AD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9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</row>
        <row r="293">
          <cell r="C293">
            <v>37825</v>
          </cell>
          <cell r="D293">
            <v>37900</v>
          </cell>
          <cell r="E293">
            <v>37894</v>
          </cell>
          <cell r="F293">
            <v>0.29166666666666669</v>
          </cell>
          <cell r="G293" t="str">
            <v>Perfiladora Fagor Montantes</v>
          </cell>
          <cell r="H293" t="str">
            <v>Porcelana de Solda quebrada</v>
          </cell>
          <cell r="I293" t="str">
            <v>Corretiva</v>
          </cell>
          <cell r="J293" t="str">
            <v>Não</v>
          </cell>
          <cell r="K293" t="str">
            <v>Mecânica</v>
          </cell>
          <cell r="L293" t="str">
            <v>Substituição do(s) Componente(s)</v>
          </cell>
          <cell r="M293" t="str">
            <v>Desgaste / Fadiga</v>
          </cell>
          <cell r="N293">
            <v>37894</v>
          </cell>
          <cell r="O293">
            <v>0.29166666666666669</v>
          </cell>
          <cell r="P293">
            <v>37894</v>
          </cell>
          <cell r="Q293">
            <v>0.29166666666666669</v>
          </cell>
          <cell r="T293">
            <v>37894</v>
          </cell>
          <cell r="U293">
            <v>0.30208333333333331</v>
          </cell>
          <cell r="V293">
            <v>37894</v>
          </cell>
          <cell r="W293">
            <v>0.30208333333333331</v>
          </cell>
          <cell r="X293">
            <v>1.0416666669091967E-2</v>
          </cell>
          <cell r="Y293">
            <v>1.0416666669091967E-2</v>
          </cell>
          <cell r="AB293">
            <v>9</v>
          </cell>
          <cell r="AC293">
            <v>7</v>
          </cell>
          <cell r="AD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9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</row>
        <row r="294">
          <cell r="C294">
            <v>37825</v>
          </cell>
          <cell r="I294">
            <v>0</v>
          </cell>
          <cell r="N294">
            <v>0</v>
          </cell>
          <cell r="P294">
            <v>0</v>
          </cell>
          <cell r="T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AB294">
            <v>0</v>
          </cell>
          <cell r="AC294">
            <v>7</v>
          </cell>
          <cell r="AD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</row>
        <row r="295">
          <cell r="C295">
            <v>37825</v>
          </cell>
          <cell r="D295">
            <v>37902</v>
          </cell>
          <cell r="E295">
            <v>37896</v>
          </cell>
          <cell r="F295">
            <v>0.33333333333333331</v>
          </cell>
          <cell r="G295" t="str">
            <v>Perfiladora Fagor Montantes</v>
          </cell>
          <cell r="H295" t="str">
            <v>Acoplamento do Redutor está solto</v>
          </cell>
          <cell r="I295" t="str">
            <v>Corretiva</v>
          </cell>
          <cell r="J295" t="str">
            <v>Sim</v>
          </cell>
          <cell r="K295" t="str">
            <v>Mecânica</v>
          </cell>
          <cell r="L295" t="str">
            <v>Reparo</v>
          </cell>
          <cell r="M295" t="str">
            <v>Vibração</v>
          </cell>
          <cell r="N295">
            <v>37896</v>
          </cell>
          <cell r="O295">
            <v>0.47916666666666669</v>
          </cell>
          <cell r="P295">
            <v>37896</v>
          </cell>
          <cell r="Q295">
            <v>0.47916666666666669</v>
          </cell>
          <cell r="T295">
            <v>37896</v>
          </cell>
          <cell r="U295">
            <v>0.54166666666666663</v>
          </cell>
          <cell r="V295">
            <v>37896</v>
          </cell>
          <cell r="W295">
            <v>0.54166666666666663</v>
          </cell>
          <cell r="X295">
            <v>6.2499999999999944E-2</v>
          </cell>
          <cell r="Y295">
            <v>6.2499999997574662E-2</v>
          </cell>
          <cell r="AB295">
            <v>10</v>
          </cell>
          <cell r="AC295">
            <v>7</v>
          </cell>
          <cell r="AD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10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</row>
        <row r="296">
          <cell r="C296">
            <v>37825</v>
          </cell>
          <cell r="D296">
            <v>37902</v>
          </cell>
          <cell r="E296">
            <v>37895</v>
          </cell>
          <cell r="F296">
            <v>0.38194444444444442</v>
          </cell>
          <cell r="G296" t="str">
            <v>Perfiladora Fagor Montantes</v>
          </cell>
          <cell r="H296" t="str">
            <v>Eixo regulador de altura travado</v>
          </cell>
          <cell r="I296" t="str">
            <v>Corretiva</v>
          </cell>
          <cell r="J296" t="str">
            <v>Sim</v>
          </cell>
          <cell r="K296" t="str">
            <v>Mecânica</v>
          </cell>
          <cell r="L296" t="str">
            <v>Reparo</v>
          </cell>
          <cell r="M296" t="str">
            <v>Desgaste / Fadiga</v>
          </cell>
          <cell r="N296">
            <v>37895</v>
          </cell>
          <cell r="O296">
            <v>0.39583333333333331</v>
          </cell>
          <cell r="P296">
            <v>37895</v>
          </cell>
          <cell r="Q296">
            <v>0.39583333333333331</v>
          </cell>
          <cell r="T296">
            <v>37895</v>
          </cell>
          <cell r="U296">
            <v>0.45833333333333331</v>
          </cell>
          <cell r="V296">
            <v>37895</v>
          </cell>
          <cell r="W296">
            <v>0.45833333333333331</v>
          </cell>
          <cell r="X296">
            <v>6.25E-2</v>
          </cell>
          <cell r="Y296">
            <v>6.2500000002425338E-2</v>
          </cell>
          <cell r="AB296">
            <v>10</v>
          </cell>
          <cell r="AC296">
            <v>7</v>
          </cell>
          <cell r="AD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10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</row>
        <row r="297">
          <cell r="C297">
            <v>37826</v>
          </cell>
          <cell r="D297">
            <v>37831</v>
          </cell>
          <cell r="E297">
            <v>37825</v>
          </cell>
          <cell r="F297">
            <v>0.70833333333333337</v>
          </cell>
          <cell r="G297" t="str">
            <v>Células de Solda Automática</v>
          </cell>
          <cell r="H297" t="str">
            <v>Engate rápido de ar da mesa quebrado</v>
          </cell>
          <cell r="I297" t="str">
            <v>Corretiva</v>
          </cell>
          <cell r="J297" t="str">
            <v>Sim</v>
          </cell>
          <cell r="K297" t="str">
            <v>Mecânica</v>
          </cell>
          <cell r="L297" t="str">
            <v>Substituição do(s) Componente(s)</v>
          </cell>
          <cell r="M297" t="str">
            <v>Falha de Projeto</v>
          </cell>
          <cell r="N297">
            <v>37825</v>
          </cell>
          <cell r="O297">
            <v>0.70833333333333337</v>
          </cell>
          <cell r="P297">
            <v>37825</v>
          </cell>
          <cell r="Q297">
            <v>0.70833333333333337</v>
          </cell>
          <cell r="T297">
            <v>37825</v>
          </cell>
          <cell r="U297">
            <v>0.73611111111111116</v>
          </cell>
          <cell r="V297">
            <v>37825</v>
          </cell>
          <cell r="W297">
            <v>0.73611111111111116</v>
          </cell>
          <cell r="X297">
            <v>2.777777777777779E-2</v>
          </cell>
          <cell r="Y297">
            <v>2.7777777776160861E-2</v>
          </cell>
          <cell r="AB297">
            <v>7</v>
          </cell>
          <cell r="AC297">
            <v>7</v>
          </cell>
          <cell r="AD297">
            <v>0</v>
          </cell>
          <cell r="BF297">
            <v>7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</row>
        <row r="298">
          <cell r="C298">
            <v>37826</v>
          </cell>
          <cell r="D298">
            <v>37838</v>
          </cell>
          <cell r="E298">
            <v>37833</v>
          </cell>
          <cell r="F298">
            <v>0.4548611111111111</v>
          </cell>
          <cell r="G298" t="str">
            <v>Células de Solda Automática</v>
          </cell>
          <cell r="H298" t="str">
            <v>Vazamento de ar (mangueira furada) interferindo na qualidade da solda (poros)</v>
          </cell>
          <cell r="I298" t="str">
            <v>Corretiva</v>
          </cell>
          <cell r="J298" t="str">
            <v>Sim</v>
          </cell>
          <cell r="K298" t="str">
            <v>Mecânica</v>
          </cell>
          <cell r="L298" t="str">
            <v>Problema encaminhado para o Fabricante</v>
          </cell>
          <cell r="M298" t="str">
            <v>Falha de Projeto</v>
          </cell>
          <cell r="N298">
            <v>37833</v>
          </cell>
          <cell r="O298">
            <v>0.54166666666666663</v>
          </cell>
          <cell r="P298">
            <v>37833</v>
          </cell>
          <cell r="Q298">
            <v>0.54166666666666663</v>
          </cell>
          <cell r="T298">
            <v>37833</v>
          </cell>
          <cell r="U298">
            <v>0.58333333333333337</v>
          </cell>
          <cell r="V298">
            <v>37833</v>
          </cell>
          <cell r="W298">
            <v>0.58333333333333337</v>
          </cell>
          <cell r="X298">
            <v>4.1666666666666741E-2</v>
          </cell>
          <cell r="Y298">
            <v>4.1666666669092023E-2</v>
          </cell>
          <cell r="AB298">
            <v>7</v>
          </cell>
          <cell r="AC298">
            <v>7</v>
          </cell>
          <cell r="AD298">
            <v>0</v>
          </cell>
          <cell r="BF298">
            <v>7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</row>
        <row r="299">
          <cell r="C299">
            <v>37826</v>
          </cell>
          <cell r="I299">
            <v>0</v>
          </cell>
          <cell r="N299">
            <v>0</v>
          </cell>
          <cell r="P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AB299">
            <v>0</v>
          </cell>
          <cell r="AC299">
            <v>7</v>
          </cell>
          <cell r="AD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</row>
        <row r="300">
          <cell r="C300">
            <v>37826</v>
          </cell>
          <cell r="D300">
            <v>37858</v>
          </cell>
          <cell r="E300">
            <v>37851</v>
          </cell>
          <cell r="F300">
            <v>0.44444444444444442</v>
          </cell>
          <cell r="G300" t="str">
            <v>Células de Solda Automática</v>
          </cell>
          <cell r="H300" t="str">
            <v>Pistão da mesa não aciona</v>
          </cell>
          <cell r="I300" t="str">
            <v>Corretiva</v>
          </cell>
          <cell r="J300" t="str">
            <v>Sim</v>
          </cell>
          <cell r="K300" t="str">
            <v>Mecânica</v>
          </cell>
          <cell r="L300" t="str">
            <v>Limpeza do Equipamento / Componente</v>
          </cell>
          <cell r="M300" t="str">
            <v>Sujeira em excesso</v>
          </cell>
          <cell r="N300">
            <v>37851</v>
          </cell>
          <cell r="O300">
            <v>0.44444444444444442</v>
          </cell>
          <cell r="P300">
            <v>37851</v>
          </cell>
          <cell r="Q300">
            <v>0.44444444444444442</v>
          </cell>
          <cell r="T300">
            <v>37851</v>
          </cell>
          <cell r="U300">
            <v>0.46875</v>
          </cell>
          <cell r="V300">
            <v>37851</v>
          </cell>
          <cell r="W300">
            <v>0.46875</v>
          </cell>
          <cell r="X300">
            <v>2.430555555555558E-2</v>
          </cell>
          <cell r="Y300">
            <v>2.430555555555558E-2</v>
          </cell>
          <cell r="AB300">
            <v>8</v>
          </cell>
          <cell r="AC300">
            <v>7</v>
          </cell>
          <cell r="AD300">
            <v>0</v>
          </cell>
          <cell r="BF300">
            <v>8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</row>
        <row r="301">
          <cell r="C301">
            <v>37826</v>
          </cell>
          <cell r="D301">
            <v>37858</v>
          </cell>
          <cell r="E301">
            <v>37853</v>
          </cell>
          <cell r="F301">
            <v>0.54166666666666663</v>
          </cell>
          <cell r="G301" t="str">
            <v>Células de Solda Automática</v>
          </cell>
          <cell r="H301" t="str">
            <v>Vazamento na Conexão</v>
          </cell>
          <cell r="I301" t="str">
            <v>Corretiva</v>
          </cell>
          <cell r="J301" t="str">
            <v>Sim</v>
          </cell>
          <cell r="K301" t="str">
            <v>Mecânica</v>
          </cell>
          <cell r="L301" t="str">
            <v>Substituição do(s) Componente(s)</v>
          </cell>
          <cell r="M301" t="str">
            <v>Defeito de Fabricação</v>
          </cell>
          <cell r="N301">
            <v>37853</v>
          </cell>
          <cell r="O301">
            <v>0.54166666666666663</v>
          </cell>
          <cell r="P301">
            <v>37853</v>
          </cell>
          <cell r="Q301">
            <v>0.54166666666666663</v>
          </cell>
          <cell r="T301">
            <v>37853</v>
          </cell>
          <cell r="U301">
            <v>0.5625</v>
          </cell>
          <cell r="V301">
            <v>37853</v>
          </cell>
          <cell r="W301">
            <v>0.5625</v>
          </cell>
          <cell r="X301">
            <v>2.083333333333337E-2</v>
          </cell>
          <cell r="Y301">
            <v>2.083333333333337E-2</v>
          </cell>
          <cell r="AB301">
            <v>8</v>
          </cell>
          <cell r="AC301">
            <v>7</v>
          </cell>
          <cell r="AD301">
            <v>0</v>
          </cell>
          <cell r="BF301">
            <v>8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</row>
        <row r="302">
          <cell r="C302">
            <v>37826</v>
          </cell>
          <cell r="I302">
            <v>0</v>
          </cell>
          <cell r="N302">
            <v>0</v>
          </cell>
          <cell r="P302">
            <v>0</v>
          </cell>
          <cell r="T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AB302">
            <v>0</v>
          </cell>
          <cell r="AC302">
            <v>7</v>
          </cell>
          <cell r="AD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</row>
        <row r="303">
          <cell r="C303">
            <v>37826</v>
          </cell>
          <cell r="I303">
            <v>0</v>
          </cell>
          <cell r="N303">
            <v>0</v>
          </cell>
          <cell r="P303">
            <v>0</v>
          </cell>
          <cell r="T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AB303">
            <v>0</v>
          </cell>
          <cell r="AC303">
            <v>7</v>
          </cell>
          <cell r="AD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</row>
        <row r="304">
          <cell r="C304">
            <v>37826</v>
          </cell>
          <cell r="D304">
            <v>37881</v>
          </cell>
          <cell r="E304">
            <v>37874</v>
          </cell>
          <cell r="F304">
            <v>0.58333333333333337</v>
          </cell>
          <cell r="G304" t="str">
            <v>Células de Solda Automática</v>
          </cell>
          <cell r="H304" t="str">
            <v>Válvula pneumática da fresa de limpeza do bocal travada</v>
          </cell>
          <cell r="I304" t="str">
            <v>Corretiva</v>
          </cell>
          <cell r="J304" t="str">
            <v>Não</v>
          </cell>
          <cell r="K304" t="str">
            <v>Mecânica</v>
          </cell>
          <cell r="L304" t="str">
            <v>Reparo</v>
          </cell>
          <cell r="M304" t="str">
            <v>Desgaste / Fadiga</v>
          </cell>
          <cell r="N304">
            <v>37875</v>
          </cell>
          <cell r="O304">
            <v>0.41666666666666669</v>
          </cell>
          <cell r="P304">
            <v>37875</v>
          </cell>
          <cell r="Q304">
            <v>0.41666666666666669</v>
          </cell>
          <cell r="T304">
            <v>37875</v>
          </cell>
          <cell r="U304">
            <v>0.4375</v>
          </cell>
          <cell r="V304">
            <v>37875</v>
          </cell>
          <cell r="W304">
            <v>0.4375</v>
          </cell>
          <cell r="X304">
            <v>2.0833333333333315E-2</v>
          </cell>
          <cell r="Y304">
            <v>2.0833333333333315E-2</v>
          </cell>
          <cell r="AB304">
            <v>9</v>
          </cell>
          <cell r="AC304">
            <v>7</v>
          </cell>
          <cell r="AD304">
            <v>0</v>
          </cell>
          <cell r="BF304">
            <v>9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</row>
        <row r="305">
          <cell r="C305">
            <v>37826</v>
          </cell>
          <cell r="D305">
            <v>37881</v>
          </cell>
          <cell r="E305">
            <v>37876</v>
          </cell>
          <cell r="F305">
            <v>0.625</v>
          </cell>
          <cell r="G305" t="str">
            <v>Células de Solda Automática</v>
          </cell>
          <cell r="H305" t="str">
            <v>Sensor da garra não aciona</v>
          </cell>
          <cell r="I305" t="str">
            <v>Corretiva</v>
          </cell>
          <cell r="J305" t="str">
            <v>Não</v>
          </cell>
          <cell r="K305" t="str">
            <v>Elétrica</v>
          </cell>
          <cell r="L305" t="str">
            <v>Regulagem do Componente</v>
          </cell>
          <cell r="M305" t="str">
            <v>Vibração</v>
          </cell>
          <cell r="N305">
            <v>37876</v>
          </cell>
          <cell r="O305">
            <v>0.66666666666666663</v>
          </cell>
          <cell r="P305">
            <v>37876</v>
          </cell>
          <cell r="Q305">
            <v>0.66666666666666663</v>
          </cell>
          <cell r="T305">
            <v>37876</v>
          </cell>
          <cell r="U305">
            <v>0.85416666666666663</v>
          </cell>
          <cell r="V305">
            <v>37876</v>
          </cell>
          <cell r="W305">
            <v>0.85416666666666663</v>
          </cell>
          <cell r="X305">
            <v>0.18749999999757472</v>
          </cell>
          <cell r="Y305">
            <v>0.18749999999757472</v>
          </cell>
          <cell r="AB305">
            <v>9</v>
          </cell>
          <cell r="AC305">
            <v>7</v>
          </cell>
          <cell r="AD305">
            <v>0</v>
          </cell>
          <cell r="BF305">
            <v>9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</row>
        <row r="306">
          <cell r="C306">
            <v>37826</v>
          </cell>
          <cell r="I306">
            <v>0</v>
          </cell>
          <cell r="N306">
            <v>0</v>
          </cell>
          <cell r="P306">
            <v>0</v>
          </cell>
          <cell r="T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AB306">
            <v>0</v>
          </cell>
          <cell r="AC306">
            <v>7</v>
          </cell>
          <cell r="AD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</row>
        <row r="307">
          <cell r="C307">
            <v>37826</v>
          </cell>
          <cell r="D307">
            <v>37900</v>
          </cell>
          <cell r="E307">
            <v>37879</v>
          </cell>
          <cell r="F307">
            <v>0.83333333333333337</v>
          </cell>
          <cell r="G307" t="str">
            <v>Células de Solda Automática</v>
          </cell>
          <cell r="H307" t="str">
            <v>Pistão do parô está torto</v>
          </cell>
          <cell r="I307" t="str">
            <v>Corretiva</v>
          </cell>
          <cell r="J307" t="str">
            <v>Sim</v>
          </cell>
          <cell r="K307" t="str">
            <v>Mecânica</v>
          </cell>
          <cell r="L307" t="str">
            <v>Substituição do(s) Componente(s)</v>
          </cell>
          <cell r="M307" t="str">
            <v>Falha Operacional</v>
          </cell>
          <cell r="N307">
            <v>37879</v>
          </cell>
          <cell r="O307">
            <v>0.83333333333333337</v>
          </cell>
          <cell r="P307">
            <v>37879</v>
          </cell>
          <cell r="Q307">
            <v>0.83333333333333337</v>
          </cell>
          <cell r="T307">
            <v>37879</v>
          </cell>
          <cell r="U307">
            <v>0.875</v>
          </cell>
          <cell r="V307">
            <v>37879</v>
          </cell>
          <cell r="W307">
            <v>0.875</v>
          </cell>
          <cell r="X307">
            <v>4.166666666666663E-2</v>
          </cell>
          <cell r="Y307">
            <v>4.166666666666663E-2</v>
          </cell>
          <cell r="AB307">
            <v>9</v>
          </cell>
          <cell r="AC307">
            <v>7</v>
          </cell>
          <cell r="AD307">
            <v>0</v>
          </cell>
          <cell r="BF307">
            <v>9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</row>
        <row r="308">
          <cell r="C308">
            <v>37826</v>
          </cell>
          <cell r="I308">
            <v>0</v>
          </cell>
          <cell r="N308">
            <v>0</v>
          </cell>
          <cell r="P308">
            <v>0</v>
          </cell>
          <cell r="T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AB308">
            <v>0</v>
          </cell>
          <cell r="AC308">
            <v>7</v>
          </cell>
          <cell r="AD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</row>
        <row r="309">
          <cell r="C309">
            <v>37826</v>
          </cell>
          <cell r="I309">
            <v>0</v>
          </cell>
          <cell r="N309">
            <v>0</v>
          </cell>
          <cell r="P309">
            <v>0</v>
          </cell>
          <cell r="T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AB309">
            <v>0</v>
          </cell>
          <cell r="AC309">
            <v>7</v>
          </cell>
          <cell r="AD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</row>
        <row r="310">
          <cell r="C310">
            <v>37826</v>
          </cell>
          <cell r="D310">
            <v>37900</v>
          </cell>
          <cell r="E310">
            <v>37880</v>
          </cell>
          <cell r="F310">
            <v>0.47916666666666669</v>
          </cell>
          <cell r="G310" t="str">
            <v>Células de Solda Automática</v>
          </cell>
          <cell r="H310" t="str">
            <v>Dispositivo apresenta variação durante a fixação</v>
          </cell>
          <cell r="I310" t="str">
            <v>Corretiva</v>
          </cell>
          <cell r="J310" t="str">
            <v>Sim</v>
          </cell>
          <cell r="K310" t="str">
            <v>Mecânica</v>
          </cell>
          <cell r="L310" t="str">
            <v>Limpeza e ajuste do Componente</v>
          </cell>
          <cell r="M310" t="str">
            <v>Sujeira em excesso</v>
          </cell>
          <cell r="N310">
            <v>37880</v>
          </cell>
          <cell r="O310">
            <v>0.625</v>
          </cell>
          <cell r="P310">
            <v>37880</v>
          </cell>
          <cell r="Q310">
            <v>0.625</v>
          </cell>
          <cell r="T310">
            <v>37880</v>
          </cell>
          <cell r="U310">
            <v>0.6875</v>
          </cell>
          <cell r="V310">
            <v>37880</v>
          </cell>
          <cell r="W310">
            <v>0.6875</v>
          </cell>
          <cell r="X310">
            <v>6.25E-2</v>
          </cell>
          <cell r="Y310">
            <v>6.25E-2</v>
          </cell>
          <cell r="AB310">
            <v>9</v>
          </cell>
          <cell r="AC310">
            <v>7</v>
          </cell>
          <cell r="AD310">
            <v>0</v>
          </cell>
          <cell r="BF310">
            <v>9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</row>
        <row r="311">
          <cell r="C311">
            <v>37826</v>
          </cell>
          <cell r="D311">
            <v>37918</v>
          </cell>
          <cell r="E311">
            <v>37888</v>
          </cell>
          <cell r="F311">
            <v>0.625</v>
          </cell>
          <cell r="G311" t="str">
            <v>Células de Solda Automática</v>
          </cell>
          <cell r="H311" t="str">
            <v>Robô de manipulação pára durante o processo, e não recebe sinal para partir</v>
          </cell>
          <cell r="I311" t="str">
            <v>Corretiva</v>
          </cell>
          <cell r="J311" t="str">
            <v>Sim</v>
          </cell>
          <cell r="K311" t="str">
            <v>Elétrica</v>
          </cell>
          <cell r="L311" t="str">
            <v>Substituição do(s) Componente(s)</v>
          </cell>
          <cell r="M311" t="str">
            <v>Desgaste / Fadiga</v>
          </cell>
          <cell r="N311">
            <v>37888</v>
          </cell>
          <cell r="O311">
            <v>0.625</v>
          </cell>
          <cell r="P311">
            <v>37888</v>
          </cell>
          <cell r="Q311">
            <v>0.625</v>
          </cell>
          <cell r="T311">
            <v>37888</v>
          </cell>
          <cell r="U311">
            <v>0.70138888888888884</v>
          </cell>
          <cell r="V311">
            <v>37888</v>
          </cell>
          <cell r="W311">
            <v>0.70138888888888884</v>
          </cell>
          <cell r="X311">
            <v>7.638888888888884E-2</v>
          </cell>
          <cell r="Y311">
            <v>7.6388888890505768E-2</v>
          </cell>
          <cell r="AB311">
            <v>9</v>
          </cell>
          <cell r="AC311">
            <v>7</v>
          </cell>
          <cell r="AD311">
            <v>0</v>
          </cell>
          <cell r="BF311">
            <v>9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</row>
        <row r="312">
          <cell r="C312">
            <v>37826</v>
          </cell>
          <cell r="D312">
            <v>37900</v>
          </cell>
          <cell r="E312">
            <v>37867</v>
          </cell>
          <cell r="F312">
            <v>0.59722222222222221</v>
          </cell>
          <cell r="G312" t="str">
            <v>Células de Solda Automática</v>
          </cell>
          <cell r="H312" t="str">
            <v>Parô da 2ª esteira está com a chapa torta</v>
          </cell>
          <cell r="I312" t="str">
            <v>Corretiva</v>
          </cell>
          <cell r="J312" t="str">
            <v>Não</v>
          </cell>
          <cell r="K312" t="str">
            <v>Mecânica</v>
          </cell>
          <cell r="L312" t="str">
            <v>Regulagem do Componente</v>
          </cell>
          <cell r="M312" t="str">
            <v>Falha de Comando / Sistema</v>
          </cell>
          <cell r="N312">
            <v>37867</v>
          </cell>
          <cell r="O312">
            <v>0.70833333333333337</v>
          </cell>
          <cell r="P312">
            <v>37867</v>
          </cell>
          <cell r="Q312">
            <v>0.70833333333333337</v>
          </cell>
          <cell r="T312">
            <v>37867</v>
          </cell>
          <cell r="U312">
            <v>0.79166666666666663</v>
          </cell>
          <cell r="V312">
            <v>37867</v>
          </cell>
          <cell r="W312">
            <v>0.79166666666666663</v>
          </cell>
          <cell r="X312">
            <v>8.3333333330907977E-2</v>
          </cell>
          <cell r="Y312">
            <v>8.3333333330907977E-2</v>
          </cell>
          <cell r="AB312">
            <v>9</v>
          </cell>
          <cell r="AC312">
            <v>7</v>
          </cell>
          <cell r="AD312">
            <v>0</v>
          </cell>
          <cell r="BF312">
            <v>9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</row>
        <row r="313">
          <cell r="C313">
            <v>37826</v>
          </cell>
          <cell r="D313">
            <v>37868</v>
          </cell>
          <cell r="E313">
            <v>37867</v>
          </cell>
          <cell r="F313">
            <v>0.54166666666666663</v>
          </cell>
          <cell r="G313" t="str">
            <v>Células de Solda Automática</v>
          </cell>
          <cell r="H313" t="str">
            <v>Pistão do parô da 1ª esteira está torto</v>
          </cell>
          <cell r="I313" t="str">
            <v>Corretiva</v>
          </cell>
          <cell r="J313" t="str">
            <v>Não</v>
          </cell>
          <cell r="K313" t="str">
            <v>Mecânica</v>
          </cell>
          <cell r="L313" t="str">
            <v>Substituição do(s) Componente(s)</v>
          </cell>
          <cell r="M313" t="str">
            <v>Falha de Comando / Sistema</v>
          </cell>
          <cell r="N313">
            <v>37867</v>
          </cell>
          <cell r="O313">
            <v>0.57291666666666663</v>
          </cell>
          <cell r="P313">
            <v>37867</v>
          </cell>
          <cell r="Q313">
            <v>0.57291666666666663</v>
          </cell>
          <cell r="T313">
            <v>37867</v>
          </cell>
          <cell r="U313">
            <v>0.60763888888888895</v>
          </cell>
          <cell r="V313">
            <v>37867</v>
          </cell>
          <cell r="W313">
            <v>0.60763888888888895</v>
          </cell>
          <cell r="X313">
            <v>3.4722222223839139E-2</v>
          </cell>
          <cell r="Y313">
            <v>3.4722222223839139E-2</v>
          </cell>
          <cell r="AB313">
            <v>9</v>
          </cell>
          <cell r="AC313">
            <v>7</v>
          </cell>
          <cell r="AD313">
            <v>0</v>
          </cell>
          <cell r="BF313">
            <v>9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</row>
        <row r="314">
          <cell r="C314">
            <v>37826</v>
          </cell>
          <cell r="D314">
            <v>37868</v>
          </cell>
          <cell r="E314">
            <v>37866</v>
          </cell>
          <cell r="F314">
            <v>0.33333333333333331</v>
          </cell>
          <cell r="G314" t="str">
            <v>Células de Solda Automática</v>
          </cell>
          <cell r="H314" t="str">
            <v>Plug incompatível com a tomada da linha da Solda Manual</v>
          </cell>
          <cell r="I314" t="str">
            <v>Corretiva</v>
          </cell>
          <cell r="J314" t="str">
            <v>Sim</v>
          </cell>
          <cell r="K314" t="str">
            <v>Elétrica</v>
          </cell>
          <cell r="L314" t="str">
            <v>Substituição do(s) Componente(s)</v>
          </cell>
          <cell r="M314" t="str">
            <v>Alteração na Localização da Máquina</v>
          </cell>
          <cell r="N314">
            <v>0</v>
          </cell>
          <cell r="O314" t="str">
            <v>Alteração na Localização da Máquina</v>
          </cell>
          <cell r="P314">
            <v>0</v>
          </cell>
          <cell r="T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AB314">
            <v>0</v>
          </cell>
          <cell r="AC314">
            <v>7</v>
          </cell>
          <cell r="AD314">
            <v>0</v>
          </cell>
          <cell r="BF314">
            <v>1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</row>
        <row r="315">
          <cell r="C315">
            <v>37826</v>
          </cell>
          <cell r="D315">
            <v>37867</v>
          </cell>
          <cell r="E315">
            <v>37865</v>
          </cell>
          <cell r="F315">
            <v>0.45833333333333331</v>
          </cell>
          <cell r="G315" t="str">
            <v>Células de Solda Automática</v>
          </cell>
          <cell r="H315" t="str">
            <v>Bocal da tocha dos robôs desgastado</v>
          </cell>
          <cell r="I315" t="str">
            <v>Corretiva</v>
          </cell>
          <cell r="J315" t="str">
            <v>Não</v>
          </cell>
          <cell r="K315" t="str">
            <v>Mecânica</v>
          </cell>
          <cell r="L315" t="str">
            <v>Substituição do(s) Componente(s)</v>
          </cell>
          <cell r="M315" t="str">
            <v>Desgaste / Fadiga</v>
          </cell>
          <cell r="N315">
            <v>37865</v>
          </cell>
          <cell r="O315">
            <v>0.45833333333333331</v>
          </cell>
          <cell r="P315">
            <v>37865</v>
          </cell>
          <cell r="Q315">
            <v>0.45833333333333331</v>
          </cell>
          <cell r="T315">
            <v>37865</v>
          </cell>
          <cell r="U315">
            <v>0.47916666666666669</v>
          </cell>
          <cell r="V315">
            <v>37865</v>
          </cell>
          <cell r="W315">
            <v>0.47916666666666669</v>
          </cell>
          <cell r="X315">
            <v>2.0833333330908033E-2</v>
          </cell>
          <cell r="Y315">
            <v>2.0833333330908033E-2</v>
          </cell>
          <cell r="AB315">
            <v>9</v>
          </cell>
          <cell r="AC315">
            <v>7</v>
          </cell>
          <cell r="AD315">
            <v>0</v>
          </cell>
          <cell r="BF315">
            <v>9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</row>
        <row r="316">
          <cell r="C316">
            <v>37826</v>
          </cell>
          <cell r="D316">
            <v>37865</v>
          </cell>
          <cell r="E316">
            <v>37708</v>
          </cell>
          <cell r="F316">
            <v>0.625</v>
          </cell>
          <cell r="G316" t="str">
            <v>Células de Solda Automática</v>
          </cell>
          <cell r="H316" t="str">
            <v>Fios da Fresa soltos</v>
          </cell>
          <cell r="I316" t="str">
            <v>Corretiva</v>
          </cell>
          <cell r="J316" t="str">
            <v>Não</v>
          </cell>
          <cell r="K316" t="str">
            <v>Elétrica</v>
          </cell>
          <cell r="L316" t="str">
            <v>Reparo</v>
          </cell>
          <cell r="M316" t="str">
            <v>Vibração</v>
          </cell>
          <cell r="N316">
            <v>37708</v>
          </cell>
          <cell r="O316">
            <v>0.64583333333333337</v>
          </cell>
          <cell r="P316">
            <v>37708</v>
          </cell>
          <cell r="Q316">
            <v>0.64583333333333337</v>
          </cell>
          <cell r="T316">
            <v>37708</v>
          </cell>
          <cell r="U316">
            <v>0.6875</v>
          </cell>
          <cell r="V316">
            <v>37708</v>
          </cell>
          <cell r="W316">
            <v>0.6875</v>
          </cell>
          <cell r="X316">
            <v>4.166666666666663E-2</v>
          </cell>
          <cell r="Y316">
            <v>4.166666666666663E-2</v>
          </cell>
          <cell r="AB316">
            <v>3</v>
          </cell>
          <cell r="AC316">
            <v>7</v>
          </cell>
          <cell r="AD316">
            <v>0</v>
          </cell>
          <cell r="BF316">
            <v>3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</row>
        <row r="317">
          <cell r="C317">
            <v>37826</v>
          </cell>
          <cell r="D317">
            <v>37838</v>
          </cell>
          <cell r="E317">
            <v>37837</v>
          </cell>
          <cell r="F317">
            <v>0.4861111111111111</v>
          </cell>
          <cell r="G317" t="str">
            <v>Máquina de Solda MIG</v>
          </cell>
          <cell r="H317" t="str">
            <v>Necessidade de substituição do Bocal</v>
          </cell>
          <cell r="I317" t="str">
            <v>Corretiva</v>
          </cell>
          <cell r="J317" t="str">
            <v>Sim</v>
          </cell>
          <cell r="K317" t="str">
            <v>Mecânica</v>
          </cell>
          <cell r="L317" t="str">
            <v>Substituição do(s) Componente(s)</v>
          </cell>
          <cell r="M317" t="str">
            <v>Desgaste / Fadiga</v>
          </cell>
          <cell r="N317">
            <v>37837</v>
          </cell>
          <cell r="O317">
            <v>0.4861111111111111</v>
          </cell>
          <cell r="P317">
            <v>37837</v>
          </cell>
          <cell r="Q317">
            <v>0.4861111111111111</v>
          </cell>
          <cell r="T317">
            <v>37837</v>
          </cell>
          <cell r="U317">
            <v>0.5</v>
          </cell>
          <cell r="V317">
            <v>37837</v>
          </cell>
          <cell r="W317">
            <v>0.5</v>
          </cell>
          <cell r="X317">
            <v>1.3888888888888895E-2</v>
          </cell>
          <cell r="Y317">
            <v>1.3888888888888895E-2</v>
          </cell>
          <cell r="AB317">
            <v>8</v>
          </cell>
          <cell r="AC317">
            <v>7</v>
          </cell>
          <cell r="AD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8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</row>
        <row r="318">
          <cell r="C318">
            <v>37826</v>
          </cell>
          <cell r="I318">
            <v>0</v>
          </cell>
          <cell r="N318">
            <v>0</v>
          </cell>
          <cell r="P318">
            <v>0</v>
          </cell>
          <cell r="T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AB318">
            <v>0</v>
          </cell>
          <cell r="AC318">
            <v>7</v>
          </cell>
          <cell r="AD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</row>
        <row r="319">
          <cell r="C319">
            <v>37826</v>
          </cell>
          <cell r="D319">
            <v>37858</v>
          </cell>
          <cell r="E319">
            <v>37840</v>
          </cell>
          <cell r="F319">
            <v>0.47916666666666669</v>
          </cell>
          <cell r="G319" t="str">
            <v>Máquina de Solda MIG</v>
          </cell>
          <cell r="H319" t="str">
            <v>Mau contato no Plug de Alimentação</v>
          </cell>
          <cell r="I319" t="str">
            <v>Corretiva</v>
          </cell>
          <cell r="J319" t="str">
            <v>Sim</v>
          </cell>
          <cell r="K319" t="str">
            <v>Elétrica</v>
          </cell>
          <cell r="L319" t="str">
            <v>Correção de mau contato</v>
          </cell>
          <cell r="M319" t="str">
            <v>Desgaste / Fadiga</v>
          </cell>
          <cell r="N319">
            <v>37840</v>
          </cell>
          <cell r="O319">
            <v>0.47916666666666669</v>
          </cell>
          <cell r="P319">
            <v>37840</v>
          </cell>
          <cell r="Q319">
            <v>0.47916666666666669</v>
          </cell>
          <cell r="T319">
            <v>37840</v>
          </cell>
          <cell r="U319">
            <v>0.48958333333333331</v>
          </cell>
          <cell r="V319">
            <v>37840</v>
          </cell>
          <cell r="W319">
            <v>0.48958333333333331</v>
          </cell>
          <cell r="X319">
            <v>1.041666666666663E-2</v>
          </cell>
          <cell r="Y319">
            <v>1.0416666669091967E-2</v>
          </cell>
          <cell r="AB319">
            <v>8</v>
          </cell>
          <cell r="AC319">
            <v>7</v>
          </cell>
          <cell r="AD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8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</row>
        <row r="320">
          <cell r="C320">
            <v>37826</v>
          </cell>
          <cell r="D320">
            <v>37858</v>
          </cell>
          <cell r="E320">
            <v>37844</v>
          </cell>
          <cell r="F320">
            <v>0.34236111111111112</v>
          </cell>
          <cell r="G320" t="str">
            <v>Células de Solda Manual</v>
          </cell>
          <cell r="H320" t="str">
            <v>Chave não funciona</v>
          </cell>
          <cell r="I320" t="str">
            <v>Corretiva</v>
          </cell>
          <cell r="J320" t="str">
            <v>Sim</v>
          </cell>
          <cell r="K320" t="str">
            <v>Elétrica</v>
          </cell>
          <cell r="L320" t="str">
            <v>Reaperto dos componentes</v>
          </cell>
          <cell r="M320" t="str">
            <v>Mau contato</v>
          </cell>
          <cell r="N320">
            <v>37844</v>
          </cell>
          <cell r="O320">
            <v>0.34722222222222227</v>
          </cell>
          <cell r="P320">
            <v>37844</v>
          </cell>
          <cell r="Q320">
            <v>0.34722222222222227</v>
          </cell>
          <cell r="T320">
            <v>37844</v>
          </cell>
          <cell r="U320">
            <v>0.35416666666666669</v>
          </cell>
          <cell r="V320">
            <v>37844</v>
          </cell>
          <cell r="W320">
            <v>0.35416666666666669</v>
          </cell>
          <cell r="X320">
            <v>6.9444444444444198E-3</v>
          </cell>
          <cell r="Y320">
            <v>6.9444444420190821E-3</v>
          </cell>
          <cell r="AB320">
            <v>8</v>
          </cell>
          <cell r="AC320">
            <v>7</v>
          </cell>
          <cell r="AD320">
            <v>0</v>
          </cell>
          <cell r="BF320">
            <v>0</v>
          </cell>
          <cell r="BG320">
            <v>8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</row>
        <row r="321">
          <cell r="C321">
            <v>37826</v>
          </cell>
          <cell r="D321">
            <v>37858</v>
          </cell>
          <cell r="E321">
            <v>37853</v>
          </cell>
          <cell r="F321">
            <v>0.42708333333333331</v>
          </cell>
          <cell r="G321" t="str">
            <v>Serra de Fita</v>
          </cell>
          <cell r="H321" t="str">
            <v>Máquina não funciona</v>
          </cell>
          <cell r="I321" t="str">
            <v>Corretiva</v>
          </cell>
          <cell r="J321" t="str">
            <v>Sim</v>
          </cell>
          <cell r="K321" t="str">
            <v>Elétrica</v>
          </cell>
          <cell r="L321" t="str">
            <v>Correção de mau contato</v>
          </cell>
          <cell r="M321" t="str">
            <v>Vibração</v>
          </cell>
          <cell r="N321">
            <v>37853</v>
          </cell>
          <cell r="O321">
            <v>0.4375</v>
          </cell>
          <cell r="P321">
            <v>37853</v>
          </cell>
          <cell r="Q321">
            <v>0.4375</v>
          </cell>
          <cell r="T321">
            <v>37853</v>
          </cell>
          <cell r="U321">
            <v>0.44444444444444442</v>
          </cell>
          <cell r="V321">
            <v>37853</v>
          </cell>
          <cell r="W321">
            <v>0.44444444444444442</v>
          </cell>
          <cell r="X321">
            <v>6.9444444444444198E-3</v>
          </cell>
          <cell r="Y321">
            <v>6.9444444452528842E-3</v>
          </cell>
          <cell r="AB321">
            <v>8</v>
          </cell>
          <cell r="AC321">
            <v>7</v>
          </cell>
          <cell r="AD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8</v>
          </cell>
          <cell r="CD321">
            <v>0</v>
          </cell>
        </row>
        <row r="322">
          <cell r="C322">
            <v>37826</v>
          </cell>
          <cell r="D322">
            <v>37858</v>
          </cell>
          <cell r="E322">
            <v>37853</v>
          </cell>
          <cell r="F322">
            <v>0.42708333333333331</v>
          </cell>
          <cell r="G322" t="str">
            <v>Células de Solda Manual</v>
          </cell>
          <cell r="H322" t="str">
            <v>Nível de óleo baixo</v>
          </cell>
          <cell r="I322" t="str">
            <v>Corretiva</v>
          </cell>
          <cell r="J322" t="str">
            <v>Não</v>
          </cell>
          <cell r="K322" t="str">
            <v>Mecânica</v>
          </cell>
          <cell r="L322" t="str">
            <v>Foi verificado o nível, que estava normal</v>
          </cell>
          <cell r="M322" t="str">
            <v>Falha Operacional</v>
          </cell>
          <cell r="N322">
            <v>37853</v>
          </cell>
          <cell r="O322">
            <v>0.66666666666666663</v>
          </cell>
          <cell r="P322">
            <v>37853</v>
          </cell>
          <cell r="Q322">
            <v>0.66666666666666663</v>
          </cell>
          <cell r="T322">
            <v>37853</v>
          </cell>
          <cell r="U322">
            <v>0.6875</v>
          </cell>
          <cell r="V322">
            <v>37853</v>
          </cell>
          <cell r="W322">
            <v>0.6875</v>
          </cell>
          <cell r="X322">
            <v>2.083333333333337E-2</v>
          </cell>
          <cell r="Y322">
            <v>2.083333333333337E-2</v>
          </cell>
          <cell r="AB322">
            <v>8</v>
          </cell>
          <cell r="AC322">
            <v>7</v>
          </cell>
          <cell r="AD322">
            <v>0</v>
          </cell>
          <cell r="BF322">
            <v>0</v>
          </cell>
          <cell r="BG322">
            <v>8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</row>
        <row r="323">
          <cell r="C323">
            <v>37826</v>
          </cell>
          <cell r="D323">
            <v>37858</v>
          </cell>
          <cell r="E323">
            <v>37854</v>
          </cell>
          <cell r="F323">
            <v>0.33333333333333331</v>
          </cell>
          <cell r="G323" t="str">
            <v>Células de Solda Manual</v>
          </cell>
          <cell r="H323" t="str">
            <v>A fresa de limpeza da tocha não está jogando óleo (anti-respingos)</v>
          </cell>
          <cell r="I323" t="str">
            <v>Corretiva</v>
          </cell>
          <cell r="J323" t="str">
            <v>Não</v>
          </cell>
          <cell r="K323" t="str">
            <v>Mecânica</v>
          </cell>
          <cell r="L323" t="str">
            <v>Ajuste / Regulagem</v>
          </cell>
          <cell r="M323" t="str">
            <v>Desgaste / Fadiga</v>
          </cell>
          <cell r="N323">
            <v>37854</v>
          </cell>
          <cell r="O323">
            <v>0.33333333333333331</v>
          </cell>
          <cell r="P323">
            <v>37854</v>
          </cell>
          <cell r="Q323">
            <v>0.33333333333333331</v>
          </cell>
          <cell r="T323">
            <v>37854</v>
          </cell>
          <cell r="U323">
            <v>0.41666666666666669</v>
          </cell>
          <cell r="V323">
            <v>37854</v>
          </cell>
          <cell r="W323">
            <v>0.41666666666666669</v>
          </cell>
          <cell r="X323">
            <v>8.3333333330908033E-2</v>
          </cell>
          <cell r="Y323">
            <v>8.3333333330908033E-2</v>
          </cell>
          <cell r="AB323">
            <v>8</v>
          </cell>
          <cell r="AC323">
            <v>7</v>
          </cell>
          <cell r="AD323">
            <v>0</v>
          </cell>
          <cell r="BF323">
            <v>0</v>
          </cell>
          <cell r="BG323">
            <v>8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</row>
        <row r="324">
          <cell r="C324">
            <v>37826</v>
          </cell>
          <cell r="D324">
            <v>37858</v>
          </cell>
          <cell r="E324">
            <v>37854</v>
          </cell>
          <cell r="F324">
            <v>0.375</v>
          </cell>
          <cell r="G324" t="str">
            <v>Máquina de Solda MIG</v>
          </cell>
          <cell r="H324" t="str">
            <v>Plug incompatível com a tomada da linha da Solda Manual</v>
          </cell>
          <cell r="I324" t="str">
            <v>Corretiva</v>
          </cell>
          <cell r="J324" t="str">
            <v>Sim</v>
          </cell>
          <cell r="K324" t="str">
            <v>Elétrica</v>
          </cell>
          <cell r="L324" t="str">
            <v>Substituição do(s) Componente(s)</v>
          </cell>
          <cell r="M324" t="str">
            <v>Alteração na Localização da Máquina</v>
          </cell>
          <cell r="N324">
            <v>37854</v>
          </cell>
          <cell r="O324">
            <v>0.41666666666666669</v>
          </cell>
          <cell r="P324">
            <v>37854</v>
          </cell>
          <cell r="Q324">
            <v>0.41666666666666669</v>
          </cell>
          <cell r="T324">
            <v>37854</v>
          </cell>
          <cell r="U324">
            <v>0.42708333333333331</v>
          </cell>
          <cell r="V324">
            <v>37854</v>
          </cell>
          <cell r="W324">
            <v>0.42708333333333331</v>
          </cell>
          <cell r="X324">
            <v>1.041666666666663E-2</v>
          </cell>
          <cell r="Y324">
            <v>1.0416666669091967E-2</v>
          </cell>
          <cell r="AB324">
            <v>8</v>
          </cell>
          <cell r="AC324">
            <v>7</v>
          </cell>
          <cell r="AD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8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</row>
        <row r="325">
          <cell r="C325">
            <v>37826</v>
          </cell>
          <cell r="D325">
            <v>37865</v>
          </cell>
          <cell r="E325">
            <v>37855</v>
          </cell>
          <cell r="F325">
            <v>0.39027777777777778</v>
          </cell>
          <cell r="G325" t="str">
            <v>Células de Solda Manual</v>
          </cell>
          <cell r="H325" t="str">
            <v>Plug incompatível com a tomada da linha da Solda Manual</v>
          </cell>
          <cell r="I325" t="str">
            <v>Corretiva</v>
          </cell>
          <cell r="J325" t="str">
            <v>Sim</v>
          </cell>
          <cell r="K325" t="str">
            <v>Elétrica</v>
          </cell>
          <cell r="L325" t="str">
            <v>Substituição do(s) Componente(s)</v>
          </cell>
          <cell r="M325" t="str">
            <v>Causa não especificada</v>
          </cell>
          <cell r="N325">
            <v>37855</v>
          </cell>
          <cell r="O325">
            <v>0.41666666666666669</v>
          </cell>
          <cell r="P325">
            <v>37855</v>
          </cell>
          <cell r="Q325">
            <v>0.41666666666666669</v>
          </cell>
          <cell r="T325">
            <v>37855</v>
          </cell>
          <cell r="U325">
            <v>0.4236111111111111</v>
          </cell>
          <cell r="V325">
            <v>37855</v>
          </cell>
          <cell r="W325">
            <v>0.4236111111111111</v>
          </cell>
          <cell r="X325">
            <v>6.9444444444444198E-3</v>
          </cell>
          <cell r="Y325">
            <v>6.9444444428275465E-3</v>
          </cell>
          <cell r="AB325">
            <v>8</v>
          </cell>
          <cell r="AC325">
            <v>7</v>
          </cell>
          <cell r="AD325">
            <v>0</v>
          </cell>
          <cell r="BF325">
            <v>0</v>
          </cell>
          <cell r="BG325">
            <v>8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</row>
        <row r="326">
          <cell r="C326">
            <v>37826</v>
          </cell>
          <cell r="D326">
            <v>37868</v>
          </cell>
          <cell r="E326">
            <v>37862</v>
          </cell>
          <cell r="F326">
            <v>0.31041666666666667</v>
          </cell>
          <cell r="G326" t="str">
            <v>Máquina de Solda MIG</v>
          </cell>
          <cell r="H326" t="str">
            <v>Plug incompatível com a tomada da linha da Solda Manual</v>
          </cell>
          <cell r="I326" t="str">
            <v>Corretiva</v>
          </cell>
          <cell r="J326" t="str">
            <v>Sim</v>
          </cell>
          <cell r="K326" t="str">
            <v>Elétrica</v>
          </cell>
          <cell r="L326" t="str">
            <v>Substituição do(s) Componente(s)</v>
          </cell>
          <cell r="M326" t="str">
            <v>Alteração na Localização da Máquina</v>
          </cell>
          <cell r="N326">
            <v>37862</v>
          </cell>
          <cell r="O326">
            <v>0.3125</v>
          </cell>
          <cell r="P326">
            <v>37862</v>
          </cell>
          <cell r="Q326">
            <v>0.3125</v>
          </cell>
          <cell r="T326">
            <v>37862</v>
          </cell>
          <cell r="U326">
            <v>0.31944444444444448</v>
          </cell>
          <cell r="V326">
            <v>37862</v>
          </cell>
          <cell r="W326">
            <v>0.31944444444444448</v>
          </cell>
          <cell r="X326">
            <v>6.9444444444444753E-3</v>
          </cell>
          <cell r="Y326">
            <v>6.9444444452528842E-3</v>
          </cell>
          <cell r="AB326">
            <v>8</v>
          </cell>
          <cell r="AC326">
            <v>7</v>
          </cell>
          <cell r="AD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8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</row>
        <row r="327">
          <cell r="C327">
            <v>37826</v>
          </cell>
          <cell r="D327">
            <v>37868</v>
          </cell>
          <cell r="E327">
            <v>37862</v>
          </cell>
          <cell r="F327">
            <v>0.95833333333333337</v>
          </cell>
          <cell r="G327" t="str">
            <v>Células de Solda Manual</v>
          </cell>
          <cell r="H327" t="str">
            <v>Balancim travado</v>
          </cell>
          <cell r="I327" t="str">
            <v>Corretiva</v>
          </cell>
          <cell r="J327" t="str">
            <v>Não</v>
          </cell>
          <cell r="K327" t="str">
            <v>Mecânica</v>
          </cell>
          <cell r="L327" t="str">
            <v>Ajuste / Regulagem</v>
          </cell>
          <cell r="M327" t="str">
            <v>Travamento de Componente</v>
          </cell>
          <cell r="N327">
            <v>37865</v>
          </cell>
          <cell r="O327">
            <v>0.625</v>
          </cell>
          <cell r="P327">
            <v>37865</v>
          </cell>
          <cell r="Q327">
            <v>0.625</v>
          </cell>
          <cell r="T327">
            <v>37865</v>
          </cell>
          <cell r="U327">
            <v>0.70833333333333337</v>
          </cell>
          <cell r="V327">
            <v>37865</v>
          </cell>
          <cell r="W327">
            <v>0.70833333333333337</v>
          </cell>
          <cell r="X327">
            <v>8.3333333335758653E-2</v>
          </cell>
          <cell r="Y327">
            <v>8.3333333335758653E-2</v>
          </cell>
          <cell r="AB327">
            <v>9</v>
          </cell>
          <cell r="AC327">
            <v>7</v>
          </cell>
          <cell r="AD327">
            <v>0</v>
          </cell>
          <cell r="BF327">
            <v>0</v>
          </cell>
          <cell r="BG327">
            <v>9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</row>
        <row r="328">
          <cell r="C328">
            <v>37826</v>
          </cell>
          <cell r="D328">
            <v>37868</v>
          </cell>
          <cell r="E328">
            <v>37867</v>
          </cell>
          <cell r="F328">
            <v>0.4201388888888889</v>
          </cell>
          <cell r="G328" t="str">
            <v>Células de Solda Manual</v>
          </cell>
          <cell r="H328" t="str">
            <v>Plug incompatível com a tomada da linha da Solda Manual</v>
          </cell>
          <cell r="I328" t="str">
            <v>Corretiva</v>
          </cell>
          <cell r="J328" t="str">
            <v>Sim</v>
          </cell>
          <cell r="K328" t="str">
            <v>Elétrica</v>
          </cell>
          <cell r="L328" t="str">
            <v>Substituição do(s) Componente(s)</v>
          </cell>
          <cell r="M328" t="str">
            <v>Alteração na Localização da Máquina</v>
          </cell>
          <cell r="N328">
            <v>37867</v>
          </cell>
          <cell r="O328">
            <v>0.4236111111111111</v>
          </cell>
          <cell r="P328">
            <v>37867</v>
          </cell>
          <cell r="Q328">
            <v>0.4236111111111111</v>
          </cell>
          <cell r="T328">
            <v>37867</v>
          </cell>
          <cell r="U328">
            <v>0.43055555555555558</v>
          </cell>
          <cell r="V328">
            <v>37867</v>
          </cell>
          <cell r="W328">
            <v>0.43055555555555558</v>
          </cell>
          <cell r="X328">
            <v>6.9444444444444753E-3</v>
          </cell>
          <cell r="Y328">
            <v>6.9444444436360109E-3</v>
          </cell>
          <cell r="AB328">
            <v>9</v>
          </cell>
          <cell r="AC328">
            <v>7</v>
          </cell>
          <cell r="AD328">
            <v>0</v>
          </cell>
          <cell r="BF328">
            <v>0</v>
          </cell>
          <cell r="BG328">
            <v>9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</row>
        <row r="329">
          <cell r="C329">
            <v>37826</v>
          </cell>
          <cell r="D329">
            <v>37881</v>
          </cell>
          <cell r="E329">
            <v>37876</v>
          </cell>
          <cell r="F329">
            <v>0.55833333333333335</v>
          </cell>
          <cell r="G329" t="str">
            <v>Máquina de Solda MIG</v>
          </cell>
          <cell r="H329" t="str">
            <v>Tomada apresenta defeito</v>
          </cell>
          <cell r="I329" t="str">
            <v>Corretiva</v>
          </cell>
          <cell r="J329" t="str">
            <v>Sim</v>
          </cell>
          <cell r="K329" t="str">
            <v>Elétrica</v>
          </cell>
          <cell r="L329" t="str">
            <v>Reinicialização do Equipamento / Componente</v>
          </cell>
          <cell r="M329" t="str">
            <v>Sobrecarga</v>
          </cell>
          <cell r="N329">
            <v>37876</v>
          </cell>
          <cell r="O329">
            <v>0.57638888888888895</v>
          </cell>
          <cell r="P329">
            <v>37876</v>
          </cell>
          <cell r="Q329">
            <v>0.57638888888888895</v>
          </cell>
          <cell r="T329">
            <v>37876</v>
          </cell>
          <cell r="U329">
            <v>0.58333333333333337</v>
          </cell>
          <cell r="V329">
            <v>37876</v>
          </cell>
          <cell r="W329">
            <v>0.58333333333333337</v>
          </cell>
          <cell r="X329">
            <v>6.9444444444444198E-3</v>
          </cell>
          <cell r="Y329">
            <v>6.944444446869702E-3</v>
          </cell>
          <cell r="AB329">
            <v>9</v>
          </cell>
          <cell r="AC329">
            <v>7</v>
          </cell>
          <cell r="AD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9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</row>
        <row r="330">
          <cell r="C330">
            <v>37826</v>
          </cell>
          <cell r="D330">
            <v>37900</v>
          </cell>
          <cell r="E330">
            <v>37879</v>
          </cell>
          <cell r="F330">
            <v>0.59722222222222221</v>
          </cell>
          <cell r="G330" t="str">
            <v>Células de Solda Manual</v>
          </cell>
          <cell r="H330" t="str">
            <v>Máquina não Solda</v>
          </cell>
          <cell r="I330" t="str">
            <v>Corretiva</v>
          </cell>
          <cell r="J330" t="str">
            <v>Sim</v>
          </cell>
          <cell r="K330" t="str">
            <v>Elétrica</v>
          </cell>
          <cell r="L330" t="str">
            <v>Substituição do(s) Componente(s)</v>
          </cell>
          <cell r="M330" t="str">
            <v>Defeito de Fabricação</v>
          </cell>
          <cell r="N330">
            <v>37879</v>
          </cell>
          <cell r="O330">
            <v>0.625</v>
          </cell>
          <cell r="P330">
            <v>37879</v>
          </cell>
          <cell r="Q330">
            <v>0.625</v>
          </cell>
          <cell r="T330">
            <v>37879</v>
          </cell>
          <cell r="U330">
            <v>0.99652777777777779</v>
          </cell>
          <cell r="V330">
            <v>37879</v>
          </cell>
          <cell r="W330">
            <v>0.99652777777777779</v>
          </cell>
          <cell r="X330">
            <v>0.37152777777777779</v>
          </cell>
          <cell r="Y330">
            <v>0.37152777778101154</v>
          </cell>
          <cell r="AB330">
            <v>9</v>
          </cell>
          <cell r="AC330">
            <v>7</v>
          </cell>
          <cell r="AD330">
            <v>0</v>
          </cell>
          <cell r="BF330">
            <v>0</v>
          </cell>
          <cell r="BG330">
            <v>9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</row>
        <row r="331">
          <cell r="C331">
            <v>37826</v>
          </cell>
          <cell r="D331">
            <v>37900</v>
          </cell>
          <cell r="E331">
            <v>37881</v>
          </cell>
          <cell r="F331">
            <v>0.97916666666666663</v>
          </cell>
          <cell r="G331" t="str">
            <v>Células de Solda Manual</v>
          </cell>
          <cell r="H331" t="str">
            <v>Vazamento d'água na tocha do robô</v>
          </cell>
          <cell r="I331" t="str">
            <v>Corretiva</v>
          </cell>
          <cell r="J331" t="str">
            <v>Sim</v>
          </cell>
          <cell r="K331" t="str">
            <v>Mecânica</v>
          </cell>
          <cell r="L331" t="str">
            <v>Substituição do(s) Componente(s)</v>
          </cell>
          <cell r="M331" t="str">
            <v>Defeito de Fabricação</v>
          </cell>
          <cell r="N331">
            <v>37881</v>
          </cell>
          <cell r="O331">
            <v>0.97916666666666663</v>
          </cell>
          <cell r="P331">
            <v>37881</v>
          </cell>
          <cell r="Q331">
            <v>0.97916666666666663</v>
          </cell>
          <cell r="T331">
            <v>37882</v>
          </cell>
          <cell r="U331">
            <v>0.47916666666666669</v>
          </cell>
          <cell r="V331">
            <v>37882</v>
          </cell>
          <cell r="W331">
            <v>0.47916666666666669</v>
          </cell>
          <cell r="X331">
            <v>0.5</v>
          </cell>
          <cell r="Y331">
            <v>0.49999999999757472</v>
          </cell>
          <cell r="AB331">
            <v>9</v>
          </cell>
          <cell r="AC331">
            <v>7</v>
          </cell>
          <cell r="AD331">
            <v>0</v>
          </cell>
          <cell r="BF331">
            <v>0</v>
          </cell>
          <cell r="BG331">
            <v>9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</row>
        <row r="332">
          <cell r="C332">
            <v>37826</v>
          </cell>
          <cell r="I332">
            <v>0</v>
          </cell>
          <cell r="N332">
            <v>0</v>
          </cell>
          <cell r="P332">
            <v>0</v>
          </cell>
          <cell r="T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AB332">
            <v>0</v>
          </cell>
          <cell r="AC332">
            <v>7</v>
          </cell>
          <cell r="AD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</row>
        <row r="333">
          <cell r="C333">
            <v>37826</v>
          </cell>
          <cell r="D333">
            <v>37868</v>
          </cell>
          <cell r="E333">
            <v>37867</v>
          </cell>
          <cell r="F333">
            <v>0.4861111111111111</v>
          </cell>
          <cell r="G333" t="str">
            <v>Células de Solda Manual</v>
          </cell>
          <cell r="H333" t="str">
            <v>Mangueira d'água para refrigeração da tocha apresenta vazamento</v>
          </cell>
          <cell r="I333" t="str">
            <v>Corretiva</v>
          </cell>
          <cell r="J333" t="str">
            <v>Sim</v>
          </cell>
          <cell r="K333" t="str">
            <v>Mecânica</v>
          </cell>
          <cell r="L333" t="str">
            <v>Reparo</v>
          </cell>
          <cell r="M333" t="str">
            <v>Desgaste / Fadiga</v>
          </cell>
          <cell r="N333">
            <v>37867</v>
          </cell>
          <cell r="O333">
            <v>0.54166666666666663</v>
          </cell>
          <cell r="P333">
            <v>37867</v>
          </cell>
          <cell r="Q333">
            <v>0.54166666666666663</v>
          </cell>
          <cell r="T333">
            <v>37867</v>
          </cell>
          <cell r="U333">
            <v>0.57986111111111105</v>
          </cell>
          <cell r="V333">
            <v>37867</v>
          </cell>
          <cell r="W333">
            <v>0.57986111111111105</v>
          </cell>
          <cell r="X333">
            <v>3.819444444444442E-2</v>
          </cell>
          <cell r="Y333">
            <v>3.8194444442827602E-2</v>
          </cell>
          <cell r="AB333">
            <v>9</v>
          </cell>
          <cell r="AC333">
            <v>7</v>
          </cell>
          <cell r="AD333">
            <v>0</v>
          </cell>
          <cell r="BF333">
            <v>0</v>
          </cell>
          <cell r="BG333">
            <v>9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</row>
        <row r="334">
          <cell r="C334">
            <v>37826</v>
          </cell>
          <cell r="D334">
            <v>37918</v>
          </cell>
          <cell r="E334">
            <v>37888</v>
          </cell>
          <cell r="F334">
            <v>0.33333333333333331</v>
          </cell>
          <cell r="G334" t="str">
            <v>Células de Solda Manual</v>
          </cell>
          <cell r="H334" t="str">
            <v>Máquina não liga</v>
          </cell>
          <cell r="I334" t="str">
            <v>Corretiva</v>
          </cell>
          <cell r="J334" t="str">
            <v>Sim</v>
          </cell>
          <cell r="K334" t="str">
            <v>Elétrica</v>
          </cell>
          <cell r="L334" t="str">
            <v>Reparo</v>
          </cell>
          <cell r="M334" t="str">
            <v>Falha Operacional</v>
          </cell>
          <cell r="N334">
            <v>37888</v>
          </cell>
          <cell r="O334">
            <v>0.34375</v>
          </cell>
          <cell r="P334">
            <v>37888</v>
          </cell>
          <cell r="Q334">
            <v>0.34375</v>
          </cell>
          <cell r="T334">
            <v>37888</v>
          </cell>
          <cell r="U334">
            <v>0.3576388888888889</v>
          </cell>
          <cell r="V334">
            <v>37888</v>
          </cell>
          <cell r="W334">
            <v>0.3576388888888889</v>
          </cell>
          <cell r="X334">
            <v>1.3888888888888895E-2</v>
          </cell>
          <cell r="Y334">
            <v>1.3888888890505768E-2</v>
          </cell>
          <cell r="AB334">
            <v>9</v>
          </cell>
          <cell r="AC334">
            <v>7</v>
          </cell>
          <cell r="AD334">
            <v>0</v>
          </cell>
          <cell r="BF334">
            <v>0</v>
          </cell>
          <cell r="BG334">
            <v>9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</row>
        <row r="335">
          <cell r="C335">
            <v>37826</v>
          </cell>
          <cell r="D335">
            <v>37928</v>
          </cell>
          <cell r="E335">
            <v>37889</v>
          </cell>
          <cell r="F335">
            <v>0.54166666666666663</v>
          </cell>
          <cell r="G335" t="str">
            <v>Células de Solda Manual</v>
          </cell>
          <cell r="H335" t="str">
            <v>Rolamento do Exaustor Travado</v>
          </cell>
          <cell r="I335" t="str">
            <v>Corretiva</v>
          </cell>
          <cell r="J335" t="str">
            <v>Sim</v>
          </cell>
          <cell r="K335" t="str">
            <v>Mecânica</v>
          </cell>
          <cell r="L335" t="str">
            <v>Lubrificação do Componente</v>
          </cell>
          <cell r="M335" t="str">
            <v>Falta de Lubrificação</v>
          </cell>
          <cell r="N335">
            <v>37889</v>
          </cell>
          <cell r="O335">
            <v>0.54166666666666663</v>
          </cell>
          <cell r="P335">
            <v>37889</v>
          </cell>
          <cell r="Q335">
            <v>0.54166666666666663</v>
          </cell>
          <cell r="T335">
            <v>37889</v>
          </cell>
          <cell r="U335">
            <v>0.5625</v>
          </cell>
          <cell r="V335">
            <v>37889</v>
          </cell>
          <cell r="W335">
            <v>0.5625</v>
          </cell>
          <cell r="X335">
            <v>2.083333333333337E-2</v>
          </cell>
          <cell r="Y335">
            <v>2.083333333333337E-2</v>
          </cell>
          <cell r="AB335">
            <v>9</v>
          </cell>
          <cell r="AC335">
            <v>7</v>
          </cell>
          <cell r="AD335">
            <v>0</v>
          </cell>
          <cell r="BF335">
            <v>0</v>
          </cell>
          <cell r="BG335">
            <v>9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</row>
        <row r="336">
          <cell r="C336">
            <v>37826</v>
          </cell>
          <cell r="D336">
            <v>37970</v>
          </cell>
          <cell r="E336">
            <v>37839</v>
          </cell>
          <cell r="F336">
            <v>0.70833333333333337</v>
          </cell>
          <cell r="G336" t="str">
            <v>Células de Solda Manual</v>
          </cell>
          <cell r="H336" t="str">
            <v>Lâmpadas não acendem</v>
          </cell>
          <cell r="I336">
            <v>0</v>
          </cell>
          <cell r="J336" t="str">
            <v>Não</v>
          </cell>
          <cell r="K336" t="str">
            <v>Elétrica</v>
          </cell>
          <cell r="L336" t="str">
            <v>Substituição do(s) Componente(s)</v>
          </cell>
          <cell r="M336" t="str">
            <v>Desgaste / Fadiga</v>
          </cell>
          <cell r="N336">
            <v>37839</v>
          </cell>
          <cell r="O336">
            <v>0.70833333333333337</v>
          </cell>
          <cell r="P336">
            <v>0</v>
          </cell>
          <cell r="Q336">
            <v>0.71875</v>
          </cell>
          <cell r="R336">
            <v>37881</v>
          </cell>
          <cell r="S336">
            <v>0.66666666666666663</v>
          </cell>
          <cell r="T336">
            <v>37881</v>
          </cell>
          <cell r="U336">
            <v>0.75555555555555554</v>
          </cell>
          <cell r="V336">
            <v>0</v>
          </cell>
          <cell r="W336">
            <v>9.9305555555555536E-2</v>
          </cell>
          <cell r="X336">
            <v>0</v>
          </cell>
          <cell r="Y336">
            <v>0</v>
          </cell>
          <cell r="AB336">
            <v>9</v>
          </cell>
          <cell r="AC336">
            <v>7</v>
          </cell>
          <cell r="AD336">
            <v>0</v>
          </cell>
          <cell r="BF336">
            <v>0</v>
          </cell>
          <cell r="BG336">
            <v>9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</row>
        <row r="337">
          <cell r="C337">
            <v>37826</v>
          </cell>
          <cell r="D337">
            <v>37858</v>
          </cell>
          <cell r="E337">
            <v>37832</v>
          </cell>
          <cell r="F337">
            <v>0.41666666666666669</v>
          </cell>
          <cell r="G337" t="str">
            <v>Linha de Pintura 8,5m</v>
          </cell>
          <cell r="H337" t="str">
            <v>Pistolas manuais 07 e 14 apresentam mau contato</v>
          </cell>
          <cell r="I337" t="str">
            <v>Corretiva</v>
          </cell>
          <cell r="J337" t="str">
            <v>Não</v>
          </cell>
          <cell r="K337" t="str">
            <v>Elétrica</v>
          </cell>
          <cell r="L337" t="str">
            <v>Correção de mau contato</v>
          </cell>
          <cell r="M337" t="str">
            <v>Desgaste / Fadiga</v>
          </cell>
          <cell r="N337">
            <v>37834</v>
          </cell>
          <cell r="O337">
            <v>0.375</v>
          </cell>
          <cell r="P337">
            <v>37834</v>
          </cell>
          <cell r="Q337">
            <v>0.375</v>
          </cell>
          <cell r="T337">
            <v>37834</v>
          </cell>
          <cell r="U337">
            <v>0.43611111111111112</v>
          </cell>
          <cell r="V337">
            <v>37834</v>
          </cell>
          <cell r="W337">
            <v>0.43611111111111112</v>
          </cell>
          <cell r="X337">
            <v>6.1111111113859806E-2</v>
          </cell>
          <cell r="Y337">
            <v>6.1111111113859806E-2</v>
          </cell>
          <cell r="AB337">
            <v>8</v>
          </cell>
          <cell r="AC337">
            <v>7</v>
          </cell>
          <cell r="AD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8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</row>
        <row r="338">
          <cell r="C338">
            <v>37826</v>
          </cell>
          <cell r="D338">
            <v>37838</v>
          </cell>
          <cell r="E338">
            <v>37832</v>
          </cell>
          <cell r="F338">
            <v>0.60416666666666663</v>
          </cell>
          <cell r="G338" t="str">
            <v>Linha de Pintura 8,5m</v>
          </cell>
          <cell r="H338" t="str">
            <v>Movimentação simultânea de 02 bastidores, ocasionando colisão</v>
          </cell>
          <cell r="I338" t="str">
            <v>Corretiva</v>
          </cell>
          <cell r="J338" t="str">
            <v>Sim</v>
          </cell>
          <cell r="K338" t="str">
            <v>Mecânica</v>
          </cell>
          <cell r="L338" t="str">
            <v>Destravamento dos Componentes</v>
          </cell>
          <cell r="M338" t="str">
            <v>Falha de Comando / Sistema</v>
          </cell>
          <cell r="N338">
            <v>37832</v>
          </cell>
          <cell r="O338">
            <v>0.60416666666666663</v>
          </cell>
          <cell r="P338">
            <v>37832</v>
          </cell>
          <cell r="Q338">
            <v>0.60416666666666663</v>
          </cell>
          <cell r="T338">
            <v>37832</v>
          </cell>
          <cell r="U338">
            <v>0.63888888888888895</v>
          </cell>
          <cell r="V338">
            <v>37832</v>
          </cell>
          <cell r="W338">
            <v>0.63888888888888895</v>
          </cell>
          <cell r="X338">
            <v>3.4722222222222321E-2</v>
          </cell>
          <cell r="Y338">
            <v>3.4722222223839139E-2</v>
          </cell>
          <cell r="AB338">
            <v>7</v>
          </cell>
          <cell r="AC338">
            <v>7</v>
          </cell>
          <cell r="AD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7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</row>
        <row r="339">
          <cell r="C339">
            <v>37826</v>
          </cell>
          <cell r="D339">
            <v>37865</v>
          </cell>
          <cell r="E339">
            <v>37844</v>
          </cell>
          <cell r="F339">
            <v>0.54861111111111105</v>
          </cell>
          <cell r="G339" t="str">
            <v>Linha de Pintura 8,5m</v>
          </cell>
          <cell r="H339" t="str">
            <v>Sobrecarga nos motores de enxágüe 01,02 e 03</v>
          </cell>
          <cell r="I339" t="str">
            <v>Corretiva</v>
          </cell>
          <cell r="J339" t="str">
            <v>Sim</v>
          </cell>
          <cell r="K339" t="str">
            <v>Elétrica</v>
          </cell>
          <cell r="L339" t="str">
            <v>Substituição do(s) Componente(s)</v>
          </cell>
          <cell r="M339" t="str">
            <v>Aquecimento</v>
          </cell>
          <cell r="N339">
            <v>37844</v>
          </cell>
          <cell r="O339">
            <v>0.5625</v>
          </cell>
          <cell r="P339">
            <v>37844</v>
          </cell>
          <cell r="Q339">
            <v>0.5625</v>
          </cell>
          <cell r="T339">
            <v>37845</v>
          </cell>
          <cell r="U339">
            <v>0.35416666666666669</v>
          </cell>
          <cell r="V339">
            <v>37845</v>
          </cell>
          <cell r="W339">
            <v>0.35416666666666669</v>
          </cell>
          <cell r="X339">
            <v>0.54166666666666674</v>
          </cell>
          <cell r="Y339">
            <v>0.54166666666424135</v>
          </cell>
          <cell r="AB339">
            <v>8</v>
          </cell>
          <cell r="AC339">
            <v>7</v>
          </cell>
          <cell r="AD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8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</row>
        <row r="340">
          <cell r="C340">
            <v>37826</v>
          </cell>
          <cell r="D340">
            <v>37865</v>
          </cell>
          <cell r="E340">
            <v>37860</v>
          </cell>
          <cell r="F340">
            <v>0.52083333333333337</v>
          </cell>
          <cell r="G340" t="str">
            <v>Linha de Pintura 8,5m</v>
          </cell>
          <cell r="H340" t="str">
            <v>Falha no elevador 01 de descarga</v>
          </cell>
          <cell r="I340" t="str">
            <v>Corretiva</v>
          </cell>
          <cell r="J340" t="str">
            <v>Sim</v>
          </cell>
          <cell r="K340" t="str">
            <v>Mecânica</v>
          </cell>
          <cell r="L340" t="str">
            <v>Ajuste / Regulagem</v>
          </cell>
          <cell r="M340" t="str">
            <v>Vibração</v>
          </cell>
          <cell r="N340">
            <v>37860</v>
          </cell>
          <cell r="O340">
            <v>0.53472222222222221</v>
          </cell>
          <cell r="P340">
            <v>37860</v>
          </cell>
          <cell r="Q340">
            <v>0.53472222222222221</v>
          </cell>
          <cell r="T340">
            <v>37860</v>
          </cell>
          <cell r="U340">
            <v>0.54861111111111105</v>
          </cell>
          <cell r="V340">
            <v>37860</v>
          </cell>
          <cell r="W340">
            <v>0.54861111111111105</v>
          </cell>
          <cell r="X340">
            <v>1.388888888888884E-2</v>
          </cell>
          <cell r="Y340">
            <v>1.3888888887272022E-2</v>
          </cell>
          <cell r="AB340">
            <v>8</v>
          </cell>
          <cell r="AC340">
            <v>7</v>
          </cell>
          <cell r="AD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8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</row>
        <row r="341">
          <cell r="C341">
            <v>37826</v>
          </cell>
          <cell r="D341">
            <v>37868</v>
          </cell>
          <cell r="E341">
            <v>37862</v>
          </cell>
          <cell r="F341">
            <v>0.25</v>
          </cell>
          <cell r="G341" t="str">
            <v>Linha de Pintura 8,5m</v>
          </cell>
          <cell r="H341" t="str">
            <v>Puxador da tampa de fosfato está quebrado</v>
          </cell>
          <cell r="I341" t="str">
            <v>Corretiva</v>
          </cell>
          <cell r="J341" t="str">
            <v>Não</v>
          </cell>
          <cell r="K341" t="str">
            <v>Mecânica</v>
          </cell>
          <cell r="L341" t="str">
            <v>Substituição do(s) Componente(s)</v>
          </cell>
          <cell r="M341" t="str">
            <v>Defeito de Fabricação</v>
          </cell>
          <cell r="N341">
            <v>37862</v>
          </cell>
          <cell r="O341">
            <v>0.625</v>
          </cell>
          <cell r="P341">
            <v>37862</v>
          </cell>
          <cell r="Q341">
            <v>0.625</v>
          </cell>
          <cell r="T341">
            <v>37862</v>
          </cell>
          <cell r="U341">
            <v>0.66666666666666663</v>
          </cell>
          <cell r="V341">
            <v>37862</v>
          </cell>
          <cell r="W341">
            <v>0.66666666666666663</v>
          </cell>
          <cell r="X341">
            <v>4.1666666664241347E-2</v>
          </cell>
          <cell r="Y341">
            <v>4.1666666664241347E-2</v>
          </cell>
          <cell r="AB341">
            <v>8</v>
          </cell>
          <cell r="AC341">
            <v>7</v>
          </cell>
          <cell r="AD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8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</row>
        <row r="342">
          <cell r="C342">
            <v>37826</v>
          </cell>
          <cell r="I342">
            <v>0</v>
          </cell>
          <cell r="N342">
            <v>0</v>
          </cell>
          <cell r="P342">
            <v>0</v>
          </cell>
          <cell r="T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AB342">
            <v>0</v>
          </cell>
          <cell r="AC342">
            <v>7</v>
          </cell>
          <cell r="AD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</row>
        <row r="343">
          <cell r="C343">
            <v>37826</v>
          </cell>
          <cell r="D343">
            <v>37881</v>
          </cell>
          <cell r="E343">
            <v>37874</v>
          </cell>
          <cell r="F343">
            <v>0.5625</v>
          </cell>
          <cell r="G343" t="str">
            <v>Linha de Pintura 8,5m</v>
          </cell>
          <cell r="H343" t="str">
            <v>Sobrecarga nos motores</v>
          </cell>
          <cell r="I343" t="str">
            <v>Corretiva</v>
          </cell>
          <cell r="J343" t="str">
            <v>Sim</v>
          </cell>
          <cell r="K343" t="str">
            <v>Elétrica</v>
          </cell>
          <cell r="L343" t="str">
            <v>Substituição do(s) Componente(s)</v>
          </cell>
          <cell r="M343" t="str">
            <v>Mau contato</v>
          </cell>
          <cell r="N343">
            <v>37874</v>
          </cell>
          <cell r="O343">
            <v>0.63194444444444442</v>
          </cell>
          <cell r="P343">
            <v>37874</v>
          </cell>
          <cell r="Q343">
            <v>0.66666666666666663</v>
          </cell>
          <cell r="R343">
            <v>37874</v>
          </cell>
          <cell r="S343">
            <v>0.75</v>
          </cell>
          <cell r="T343">
            <v>37874</v>
          </cell>
          <cell r="U343">
            <v>0.82638888888888884</v>
          </cell>
          <cell r="V343">
            <v>6.944444444444442E-2</v>
          </cell>
          <cell r="W343">
            <v>0.18055555555555547</v>
          </cell>
          <cell r="X343">
            <v>0.11111111111111105</v>
          </cell>
          <cell r="Y343" t="str">
            <v>Havia cabo em curto. Substituição de terminais e parafusos</v>
          </cell>
          <cell r="AB343">
            <v>9</v>
          </cell>
          <cell r="AC343">
            <v>7</v>
          </cell>
          <cell r="AD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9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</row>
        <row r="344">
          <cell r="C344">
            <v>37826</v>
          </cell>
          <cell r="D344">
            <v>37918</v>
          </cell>
          <cell r="E344">
            <v>37894</v>
          </cell>
          <cell r="F344">
            <v>0.58333333333333337</v>
          </cell>
          <cell r="G344" t="str">
            <v>Linha de Pintura 8,5m</v>
          </cell>
          <cell r="H344" t="str">
            <v>Exaustão não funciona</v>
          </cell>
          <cell r="I344" t="str">
            <v>Corretiva</v>
          </cell>
          <cell r="J344" t="str">
            <v>Sim</v>
          </cell>
          <cell r="K344" t="str">
            <v>Elétrica</v>
          </cell>
          <cell r="L344" t="str">
            <v>Substituição do(s) Componente(s)</v>
          </cell>
          <cell r="M344" t="str">
            <v>Sobrecarga</v>
          </cell>
          <cell r="N344">
            <v>37894</v>
          </cell>
          <cell r="O344">
            <v>0.59027777777777779</v>
          </cell>
          <cell r="P344">
            <v>37894</v>
          </cell>
          <cell r="Q344">
            <v>0.59027777777777779</v>
          </cell>
          <cell r="T344">
            <v>37894</v>
          </cell>
          <cell r="U344">
            <v>0.60416666666666663</v>
          </cell>
          <cell r="V344">
            <v>37894</v>
          </cell>
          <cell r="W344">
            <v>0.60416666666666663</v>
          </cell>
          <cell r="X344">
            <v>1.388888888888884E-2</v>
          </cell>
          <cell r="Y344">
            <v>1.3888888886463557E-2</v>
          </cell>
          <cell r="AB344">
            <v>9</v>
          </cell>
          <cell r="AC344">
            <v>7</v>
          </cell>
          <cell r="AD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9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</row>
        <row r="345">
          <cell r="C345">
            <v>37826</v>
          </cell>
          <cell r="D345">
            <v>37902</v>
          </cell>
          <cell r="E345">
            <v>37896</v>
          </cell>
          <cell r="F345">
            <v>0.5</v>
          </cell>
          <cell r="G345" t="str">
            <v>Linha de Pintura 8,5m</v>
          </cell>
          <cell r="H345" t="str">
            <v>Mangueiras das pistolas danificadas</v>
          </cell>
          <cell r="I345" t="str">
            <v>Corretiva</v>
          </cell>
          <cell r="J345" t="str">
            <v>Não</v>
          </cell>
          <cell r="K345" t="str">
            <v>Mecânica</v>
          </cell>
          <cell r="L345" t="str">
            <v>Substituição do(s) Componente(s)</v>
          </cell>
          <cell r="M345" t="str">
            <v>Desgaste / Fadiga</v>
          </cell>
          <cell r="N345">
            <v>37900</v>
          </cell>
          <cell r="O345">
            <v>0.375</v>
          </cell>
          <cell r="P345">
            <v>37900</v>
          </cell>
          <cell r="Q345">
            <v>0.375</v>
          </cell>
          <cell r="T345">
            <v>37900</v>
          </cell>
          <cell r="U345">
            <v>0.57638888888888895</v>
          </cell>
          <cell r="V345">
            <v>37900</v>
          </cell>
          <cell r="W345">
            <v>0.57638888888888895</v>
          </cell>
          <cell r="X345">
            <v>0.20138888889050577</v>
          </cell>
          <cell r="Y345">
            <v>0.20138888889050577</v>
          </cell>
          <cell r="AB345">
            <v>10</v>
          </cell>
          <cell r="AC345">
            <v>7</v>
          </cell>
          <cell r="AD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10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</row>
        <row r="346">
          <cell r="C346">
            <v>37826</v>
          </cell>
          <cell r="D346">
            <v>37970</v>
          </cell>
          <cell r="E346">
            <v>37898</v>
          </cell>
          <cell r="F346">
            <v>0.41666666666666669</v>
          </cell>
          <cell r="G346" t="str">
            <v>Linha de Pintura 15m</v>
          </cell>
          <cell r="H346" t="str">
            <v>Funcionamento com meia fase</v>
          </cell>
          <cell r="I346">
            <v>0</v>
          </cell>
          <cell r="J346" t="str">
            <v>Sim</v>
          </cell>
          <cell r="K346" t="str">
            <v>Elétrica</v>
          </cell>
          <cell r="L346" t="str">
            <v>Correção de mau contato</v>
          </cell>
          <cell r="M346" t="str">
            <v>Vibração</v>
          </cell>
          <cell r="N346">
            <v>37898</v>
          </cell>
          <cell r="O346">
            <v>0.41666666666666669</v>
          </cell>
          <cell r="P346">
            <v>0</v>
          </cell>
          <cell r="T346">
            <v>37898</v>
          </cell>
          <cell r="U346">
            <v>0.625</v>
          </cell>
          <cell r="V346">
            <v>0</v>
          </cell>
          <cell r="W346">
            <v>0.20833333333333331</v>
          </cell>
          <cell r="X346">
            <v>0</v>
          </cell>
          <cell r="Y346">
            <v>0</v>
          </cell>
          <cell r="AB346">
            <v>10</v>
          </cell>
          <cell r="AC346">
            <v>7</v>
          </cell>
          <cell r="AD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10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</row>
        <row r="347">
          <cell r="C347">
            <v>37826</v>
          </cell>
          <cell r="D347">
            <v>37918</v>
          </cell>
          <cell r="E347">
            <v>37902</v>
          </cell>
          <cell r="F347">
            <v>0.88194444444444453</v>
          </cell>
          <cell r="G347" t="str">
            <v>Linha de Pintura 15m</v>
          </cell>
          <cell r="H347" t="str">
            <v>Linha parou de funcionar</v>
          </cell>
          <cell r="I347" t="str">
            <v>Corretiva</v>
          </cell>
          <cell r="J347" t="str">
            <v>Sim</v>
          </cell>
          <cell r="K347" t="str">
            <v>Mecânica</v>
          </cell>
          <cell r="L347" t="str">
            <v>Substituição do(s) Componente(s)</v>
          </cell>
          <cell r="M347" t="str">
            <v>Sobrecarga</v>
          </cell>
          <cell r="N347">
            <v>37902</v>
          </cell>
          <cell r="O347">
            <v>0.89583333333333337</v>
          </cell>
          <cell r="P347">
            <v>37902</v>
          </cell>
          <cell r="Q347">
            <v>0.89583333333333337</v>
          </cell>
          <cell r="T347">
            <v>37902</v>
          </cell>
          <cell r="U347">
            <v>0.9375</v>
          </cell>
          <cell r="V347">
            <v>37902</v>
          </cell>
          <cell r="W347">
            <v>0.9375</v>
          </cell>
          <cell r="X347">
            <v>4.166666666666663E-2</v>
          </cell>
          <cell r="Y347">
            <v>4.166666666666663E-2</v>
          </cell>
          <cell r="AB347">
            <v>10</v>
          </cell>
          <cell r="AC347">
            <v>7</v>
          </cell>
          <cell r="AD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10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</row>
        <row r="348">
          <cell r="C348">
            <v>37826</v>
          </cell>
          <cell r="D348">
            <v>37928</v>
          </cell>
          <cell r="E348">
            <v>37922</v>
          </cell>
          <cell r="F348">
            <v>0.41666666666666669</v>
          </cell>
          <cell r="G348" t="str">
            <v>Linha de Pintura 8,5m</v>
          </cell>
          <cell r="H348" t="str">
            <v>Bomba do Recuperador de pó necessita de Limpeza - Mangueira furada</v>
          </cell>
          <cell r="I348" t="str">
            <v>Corretiva</v>
          </cell>
          <cell r="J348" t="str">
            <v>Não</v>
          </cell>
          <cell r="K348" t="str">
            <v>Mecânica</v>
          </cell>
          <cell r="L348" t="str">
            <v>Limpeza do Equipamento / Componente</v>
          </cell>
          <cell r="M348" t="str">
            <v>Sujeira em excesso</v>
          </cell>
          <cell r="N348">
            <v>37922</v>
          </cell>
          <cell r="O348">
            <v>0.41666666666666669</v>
          </cell>
          <cell r="P348">
            <v>37922</v>
          </cell>
          <cell r="Q348">
            <v>0.41666666666666669</v>
          </cell>
          <cell r="T348">
            <v>37922</v>
          </cell>
          <cell r="U348">
            <v>0.45833333333333331</v>
          </cell>
          <cell r="V348">
            <v>37922</v>
          </cell>
          <cell r="W348">
            <v>0.45833333333333331</v>
          </cell>
          <cell r="X348">
            <v>4.1666666669091967E-2</v>
          </cell>
          <cell r="Y348">
            <v>4.1666666669091967E-2</v>
          </cell>
          <cell r="AB348">
            <v>10</v>
          </cell>
          <cell r="AC348">
            <v>7</v>
          </cell>
          <cell r="AD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10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</row>
        <row r="349">
          <cell r="C349">
            <v>37826</v>
          </cell>
          <cell r="D349">
            <v>37970</v>
          </cell>
          <cell r="E349">
            <v>37953</v>
          </cell>
          <cell r="F349">
            <v>37953</v>
          </cell>
          <cell r="G349">
            <v>0.41666666666666669</v>
          </cell>
          <cell r="H349" t="str">
            <v>Anomalia no elevador de descarga</v>
          </cell>
          <cell r="I349">
            <v>0</v>
          </cell>
          <cell r="J349" t="str">
            <v>Sim</v>
          </cell>
          <cell r="K349" t="str">
            <v>Elétrica</v>
          </cell>
          <cell r="L349" t="str">
            <v>Sim</v>
          </cell>
          <cell r="M349" t="str">
            <v>Causa não especificada</v>
          </cell>
          <cell r="N349">
            <v>37953</v>
          </cell>
          <cell r="O349">
            <v>0.41666666666666669</v>
          </cell>
          <cell r="P349">
            <v>37953</v>
          </cell>
          <cell r="Q349">
            <v>0.41666666666666669</v>
          </cell>
          <cell r="T349">
            <v>37953</v>
          </cell>
          <cell r="U349">
            <v>0.4375</v>
          </cell>
          <cell r="V349">
            <v>37953</v>
          </cell>
          <cell r="W349">
            <v>0.4375</v>
          </cell>
          <cell r="X349">
            <v>2.0833333333333315E-2</v>
          </cell>
          <cell r="Y349">
            <v>2.0833333333333315E-2</v>
          </cell>
          <cell r="AB349">
            <v>11</v>
          </cell>
          <cell r="AC349">
            <v>7</v>
          </cell>
          <cell r="AD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11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</row>
        <row r="350">
          <cell r="C350">
            <v>37826</v>
          </cell>
          <cell r="D350">
            <v>37928</v>
          </cell>
          <cell r="E350">
            <v>37926</v>
          </cell>
          <cell r="F350">
            <v>0.60902777777777783</v>
          </cell>
          <cell r="G350" t="str">
            <v>Linha de Pintura 8,5m</v>
          </cell>
          <cell r="H350" t="str">
            <v>Ssitema de Exaustão apresenta funcionamento inadequado</v>
          </cell>
          <cell r="I350" t="str">
            <v>Corretiva</v>
          </cell>
          <cell r="J350" t="str">
            <v>Sim</v>
          </cell>
          <cell r="K350" t="str">
            <v>Elétrica</v>
          </cell>
          <cell r="L350" t="str">
            <v>Substituição do(s) Componente(s)</v>
          </cell>
          <cell r="M350" t="str">
            <v>Sobrecarga</v>
          </cell>
          <cell r="N350">
            <v>37926</v>
          </cell>
          <cell r="O350">
            <v>0.61111111111111105</v>
          </cell>
          <cell r="P350">
            <v>37926</v>
          </cell>
          <cell r="Q350">
            <v>0.61111111111111105</v>
          </cell>
          <cell r="T350">
            <v>37926</v>
          </cell>
          <cell r="U350">
            <v>0.625</v>
          </cell>
          <cell r="V350">
            <v>37926</v>
          </cell>
          <cell r="W350">
            <v>0.625</v>
          </cell>
          <cell r="X350">
            <v>1.3888888888888951E-2</v>
          </cell>
          <cell r="Y350">
            <v>1.3888888888888951E-2</v>
          </cell>
          <cell r="AB350">
            <v>11</v>
          </cell>
          <cell r="AC350">
            <v>7</v>
          </cell>
          <cell r="AD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11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</row>
        <row r="351">
          <cell r="C351">
            <v>37826</v>
          </cell>
          <cell r="D351">
            <v>37970</v>
          </cell>
          <cell r="E351">
            <v>37929</v>
          </cell>
          <cell r="F351">
            <v>37929</v>
          </cell>
          <cell r="G351">
            <v>0.41666666666666669</v>
          </cell>
          <cell r="H351" t="str">
            <v>Peneira do Recuperador de pó rompida</v>
          </cell>
          <cell r="I351">
            <v>0</v>
          </cell>
          <cell r="J351" t="str">
            <v>Não</v>
          </cell>
          <cell r="K351" t="str">
            <v>Mecânica</v>
          </cell>
          <cell r="L351" t="str">
            <v>Não</v>
          </cell>
          <cell r="M351" t="str">
            <v>Desgaste / Fadiga</v>
          </cell>
          <cell r="N351">
            <v>37930</v>
          </cell>
          <cell r="O351">
            <v>0.375</v>
          </cell>
          <cell r="P351">
            <v>37930</v>
          </cell>
          <cell r="Q351">
            <v>0.375</v>
          </cell>
          <cell r="T351">
            <v>37930</v>
          </cell>
          <cell r="U351">
            <v>0.58333333333333337</v>
          </cell>
          <cell r="V351">
            <v>37930</v>
          </cell>
          <cell r="W351">
            <v>0.58333333333333337</v>
          </cell>
          <cell r="X351">
            <v>0.20833333333575865</v>
          </cell>
          <cell r="Y351">
            <v>0.20833333333575865</v>
          </cell>
          <cell r="AB351">
            <v>11</v>
          </cell>
          <cell r="AC351">
            <v>7</v>
          </cell>
          <cell r="AD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11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</row>
        <row r="352">
          <cell r="C352">
            <v>37826</v>
          </cell>
          <cell r="D352">
            <v>37970</v>
          </cell>
          <cell r="E352">
            <v>37929</v>
          </cell>
          <cell r="F352">
            <v>37929</v>
          </cell>
          <cell r="G352">
            <v>0.41666666666666669</v>
          </cell>
          <cell r="H352" t="str">
            <v>Mangueira da Pistola Manual danificada</v>
          </cell>
          <cell r="I352">
            <v>0</v>
          </cell>
          <cell r="J352" t="str">
            <v>Não</v>
          </cell>
          <cell r="K352" t="str">
            <v>Mecânica</v>
          </cell>
          <cell r="L352" t="str">
            <v>Não</v>
          </cell>
          <cell r="M352" t="str">
            <v>Sujeira em excesso</v>
          </cell>
          <cell r="N352">
            <v>37929</v>
          </cell>
          <cell r="O352">
            <v>0.45833333333333331</v>
          </cell>
          <cell r="P352">
            <v>37929</v>
          </cell>
          <cell r="Q352">
            <v>0.45833333333333331</v>
          </cell>
          <cell r="T352">
            <v>37929</v>
          </cell>
          <cell r="U352">
            <v>0.54166666666666663</v>
          </cell>
          <cell r="V352">
            <v>37929</v>
          </cell>
          <cell r="W352">
            <v>0.54166666666666663</v>
          </cell>
          <cell r="X352">
            <v>8.3333333330908033E-2</v>
          </cell>
          <cell r="Y352">
            <v>8.3333333330908033E-2</v>
          </cell>
          <cell r="AB352">
            <v>11</v>
          </cell>
          <cell r="AC352">
            <v>7</v>
          </cell>
          <cell r="AD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11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</row>
        <row r="353">
          <cell r="C353">
            <v>37826</v>
          </cell>
          <cell r="D353">
            <v>37970</v>
          </cell>
          <cell r="E353">
            <v>37932</v>
          </cell>
          <cell r="F353">
            <v>0.625</v>
          </cell>
          <cell r="G353" t="str">
            <v>Linha de Pintura 8,5m</v>
          </cell>
          <cell r="H353" t="str">
            <v>Peças enroscadas no forno de secagem</v>
          </cell>
          <cell r="I353" t="str">
            <v>Corretiva</v>
          </cell>
          <cell r="J353" t="str">
            <v>Sim</v>
          </cell>
          <cell r="K353" t="str">
            <v>Mecânica</v>
          </cell>
          <cell r="L353" t="str">
            <v>Sim</v>
          </cell>
          <cell r="M353" t="str">
            <v>Falha Operacional</v>
          </cell>
          <cell r="N353">
            <v>37932</v>
          </cell>
          <cell r="O353">
            <v>0.625</v>
          </cell>
          <cell r="P353">
            <v>37932</v>
          </cell>
          <cell r="Q353">
            <v>0.625</v>
          </cell>
          <cell r="T353">
            <v>37932</v>
          </cell>
          <cell r="U353">
            <v>0.6875</v>
          </cell>
          <cell r="V353">
            <v>37932</v>
          </cell>
          <cell r="W353">
            <v>0.6875</v>
          </cell>
          <cell r="X353">
            <v>6.25E-2</v>
          </cell>
          <cell r="Y353">
            <v>6.25E-2</v>
          </cell>
          <cell r="AB353">
            <v>11</v>
          </cell>
          <cell r="AC353">
            <v>7</v>
          </cell>
          <cell r="AD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11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</row>
        <row r="354">
          <cell r="C354">
            <v>37826</v>
          </cell>
          <cell r="D354">
            <v>37970</v>
          </cell>
          <cell r="E354">
            <v>37942</v>
          </cell>
          <cell r="F354">
            <v>0.3840277777777778</v>
          </cell>
          <cell r="G354" t="str">
            <v>Linha de Pintura 8,5m</v>
          </cell>
          <cell r="H354" t="str">
            <v>Anomalia na entrada do forno de secagem</v>
          </cell>
          <cell r="I354">
            <v>0</v>
          </cell>
          <cell r="J354" t="str">
            <v>Não</v>
          </cell>
          <cell r="K354" t="str">
            <v>Mecânica</v>
          </cell>
          <cell r="L354" t="str">
            <v>Ajuste / Regulagem</v>
          </cell>
          <cell r="M354" t="str">
            <v>Desgaste / Fadiga</v>
          </cell>
          <cell r="N354">
            <v>37942</v>
          </cell>
          <cell r="O354">
            <v>0.3888888888888889</v>
          </cell>
          <cell r="P354">
            <v>0</v>
          </cell>
          <cell r="T354">
            <v>37942</v>
          </cell>
          <cell r="U354">
            <v>0.41666666666666669</v>
          </cell>
          <cell r="V354">
            <v>0</v>
          </cell>
          <cell r="W354">
            <v>2.7777777775352452E-2</v>
          </cell>
          <cell r="X354">
            <v>0</v>
          </cell>
          <cell r="Y354">
            <v>0</v>
          </cell>
          <cell r="AB354">
            <v>11</v>
          </cell>
          <cell r="AC354">
            <v>7</v>
          </cell>
          <cell r="AD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11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</row>
        <row r="355">
          <cell r="C355">
            <v>37826</v>
          </cell>
          <cell r="D355">
            <v>37970</v>
          </cell>
          <cell r="E355">
            <v>37932</v>
          </cell>
          <cell r="F355">
            <v>0.66666666666666663</v>
          </cell>
          <cell r="G355" t="str">
            <v>Linha de Pintura 8,5m</v>
          </cell>
          <cell r="H355" t="str">
            <v>Falha no exaustor da cabine 01</v>
          </cell>
          <cell r="I355">
            <v>0</v>
          </cell>
          <cell r="J355" t="str">
            <v>Sim</v>
          </cell>
          <cell r="K355" t="str">
            <v>Elétrica</v>
          </cell>
          <cell r="L355" t="str">
            <v>Substituição do(s) Componente(s)</v>
          </cell>
          <cell r="M355" t="str">
            <v>Sobrecarga</v>
          </cell>
          <cell r="N355">
            <v>37932</v>
          </cell>
          <cell r="O355">
            <v>0.70833333333333337</v>
          </cell>
          <cell r="P355">
            <v>0</v>
          </cell>
          <cell r="T355">
            <v>37932</v>
          </cell>
          <cell r="U355">
            <v>0.8125</v>
          </cell>
          <cell r="V355">
            <v>0</v>
          </cell>
          <cell r="W355">
            <v>0.14583333333333337</v>
          </cell>
          <cell r="X355">
            <v>0</v>
          </cell>
          <cell r="Y355">
            <v>0</v>
          </cell>
          <cell r="AB355">
            <v>11</v>
          </cell>
          <cell r="AC355">
            <v>7</v>
          </cell>
          <cell r="AD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11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</row>
        <row r="356">
          <cell r="C356">
            <v>37826</v>
          </cell>
          <cell r="D356">
            <v>37970</v>
          </cell>
          <cell r="E356">
            <v>37932</v>
          </cell>
          <cell r="F356">
            <v>0.66666666666666663</v>
          </cell>
          <cell r="G356" t="str">
            <v>Linha de Pintura 8,5m</v>
          </cell>
          <cell r="H356" t="str">
            <v>Inserir plug no aspirador de pó</v>
          </cell>
          <cell r="I356">
            <v>0</v>
          </cell>
          <cell r="J356" t="str">
            <v>Sim</v>
          </cell>
          <cell r="K356" t="str">
            <v>Elétrica</v>
          </cell>
          <cell r="L356" t="str">
            <v>Substituição do(s) Componente(s)</v>
          </cell>
          <cell r="M356" t="str">
            <v>Falha Operacional</v>
          </cell>
          <cell r="N356">
            <v>37932</v>
          </cell>
          <cell r="O356">
            <v>0.70833333333333337</v>
          </cell>
          <cell r="P356">
            <v>0</v>
          </cell>
          <cell r="T356">
            <v>37932</v>
          </cell>
          <cell r="U356">
            <v>0.71875</v>
          </cell>
          <cell r="V356">
            <v>0</v>
          </cell>
          <cell r="W356">
            <v>5.208333333333337E-2</v>
          </cell>
          <cell r="X356">
            <v>0</v>
          </cell>
          <cell r="Y356">
            <v>0</v>
          </cell>
          <cell r="AB356">
            <v>11</v>
          </cell>
          <cell r="AC356">
            <v>7</v>
          </cell>
          <cell r="AD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11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</row>
        <row r="357">
          <cell r="C357">
            <v>37826</v>
          </cell>
          <cell r="D357">
            <v>37858</v>
          </cell>
          <cell r="E357">
            <v>37838</v>
          </cell>
          <cell r="F357">
            <v>0.41666666666666669</v>
          </cell>
          <cell r="G357" t="str">
            <v>Prensa Jundiaí Conectores</v>
          </cell>
          <cell r="H357" t="str">
            <v>Indicador de curso não funciona</v>
          </cell>
          <cell r="I357" t="str">
            <v>Corretiva</v>
          </cell>
          <cell r="J357" t="str">
            <v>Sim</v>
          </cell>
          <cell r="K357" t="str">
            <v>Mecânica</v>
          </cell>
          <cell r="L357" t="str">
            <v>Substituição do(s) Componente(s)</v>
          </cell>
          <cell r="M357" t="str">
            <v>Vibração</v>
          </cell>
          <cell r="N357">
            <v>37838</v>
          </cell>
          <cell r="O357">
            <v>0.41666666666666669</v>
          </cell>
          <cell r="P357">
            <v>37838</v>
          </cell>
          <cell r="Q357">
            <v>0.41666666666666669</v>
          </cell>
          <cell r="T357">
            <v>37841</v>
          </cell>
          <cell r="U357">
            <v>0.60416666666666663</v>
          </cell>
          <cell r="V357">
            <v>37841</v>
          </cell>
          <cell r="W357">
            <v>0.60416666666666663</v>
          </cell>
          <cell r="X357">
            <v>0.60416666666666652</v>
          </cell>
          <cell r="Y357">
            <v>0.60416666666424135</v>
          </cell>
          <cell r="AB357">
            <v>8</v>
          </cell>
          <cell r="AC357">
            <v>7</v>
          </cell>
          <cell r="AD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8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</row>
        <row r="358">
          <cell r="C358">
            <v>37826</v>
          </cell>
          <cell r="D358">
            <v>37970</v>
          </cell>
          <cell r="E358">
            <v>37858</v>
          </cell>
          <cell r="F358">
            <v>0.2673611111111111</v>
          </cell>
          <cell r="G358" t="str">
            <v>Prensa Jundiaí Conectores</v>
          </cell>
          <cell r="H358" t="str">
            <v>Chave do painel de ajuste está travada</v>
          </cell>
          <cell r="I358">
            <v>0</v>
          </cell>
          <cell r="J358" t="str">
            <v>Não</v>
          </cell>
          <cell r="K358" t="str">
            <v>Elétrica</v>
          </cell>
          <cell r="L358" t="str">
            <v>Substituição do(s) Componente(s)</v>
          </cell>
          <cell r="M358" t="str">
            <v>Desgaste / Fadiga</v>
          </cell>
          <cell r="N358">
            <v>37868</v>
          </cell>
          <cell r="O358">
            <v>0.41666666666666669</v>
          </cell>
          <cell r="P358">
            <v>0</v>
          </cell>
          <cell r="T358">
            <v>37868</v>
          </cell>
          <cell r="U358">
            <v>0.4375</v>
          </cell>
          <cell r="V358">
            <v>0</v>
          </cell>
          <cell r="W358">
            <v>2.0833333333333315E-2</v>
          </cell>
          <cell r="X358">
            <v>0</v>
          </cell>
          <cell r="Y358">
            <v>0</v>
          </cell>
          <cell r="AB358">
            <v>9</v>
          </cell>
          <cell r="AC358">
            <v>7</v>
          </cell>
          <cell r="AD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9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</row>
        <row r="359">
          <cell r="C359">
            <v>37826</v>
          </cell>
          <cell r="D359">
            <v>37858</v>
          </cell>
          <cell r="E359">
            <v>37851</v>
          </cell>
          <cell r="F359">
            <v>0.61805555555555558</v>
          </cell>
          <cell r="G359" t="str">
            <v>Prensa Jundiaí Conectores</v>
          </cell>
          <cell r="H359" t="str">
            <v>Esteira permite a queda de cavacos no chão</v>
          </cell>
          <cell r="I359" t="str">
            <v>Melhoria</v>
          </cell>
          <cell r="J359" t="str">
            <v>Não</v>
          </cell>
          <cell r="K359" t="str">
            <v>Mecânica</v>
          </cell>
          <cell r="L359" t="str">
            <v>Substituição do(s) Componente(s)</v>
          </cell>
          <cell r="M359" t="str">
            <v>Falha de Projeto</v>
          </cell>
          <cell r="N359">
            <v>37852</v>
          </cell>
          <cell r="O359">
            <v>0.625</v>
          </cell>
          <cell r="P359">
            <v>37852</v>
          </cell>
          <cell r="Q359">
            <v>0.625</v>
          </cell>
          <cell r="T359">
            <v>37852</v>
          </cell>
          <cell r="U359">
            <v>0.75</v>
          </cell>
          <cell r="V359">
            <v>37852</v>
          </cell>
          <cell r="W359">
            <v>0.75</v>
          </cell>
          <cell r="X359">
            <v>0.125</v>
          </cell>
          <cell r="Y359">
            <v>0.125</v>
          </cell>
          <cell r="AB359">
            <v>8</v>
          </cell>
          <cell r="AC359">
            <v>7</v>
          </cell>
          <cell r="AD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8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</row>
        <row r="360">
          <cell r="C360">
            <v>37826</v>
          </cell>
          <cell r="D360">
            <v>37874</v>
          </cell>
          <cell r="E360">
            <v>37872</v>
          </cell>
          <cell r="F360">
            <v>0.47916666666666669</v>
          </cell>
          <cell r="G360" t="str">
            <v>Prensa Jundiaí Conectores</v>
          </cell>
          <cell r="H360" t="str">
            <v>Rosca do suporte do micro da porta está espanada</v>
          </cell>
          <cell r="I360" t="str">
            <v>Corretiva</v>
          </cell>
          <cell r="J360" t="str">
            <v>Sim</v>
          </cell>
          <cell r="K360" t="str">
            <v>Mecânica</v>
          </cell>
          <cell r="L360" t="str">
            <v>Reparo</v>
          </cell>
          <cell r="M360" t="str">
            <v>Defeito de Fabricação</v>
          </cell>
          <cell r="N360">
            <v>37872</v>
          </cell>
          <cell r="O360">
            <v>0.47916666666666669</v>
          </cell>
          <cell r="P360">
            <v>37872</v>
          </cell>
          <cell r="Q360">
            <v>0.46527777777777773</v>
          </cell>
          <cell r="T360">
            <v>37872</v>
          </cell>
          <cell r="U360">
            <v>0.4861111111111111</v>
          </cell>
          <cell r="V360">
            <v>37872</v>
          </cell>
          <cell r="W360">
            <v>0.4861111111111111</v>
          </cell>
          <cell r="X360">
            <v>2.083333333333337E-2</v>
          </cell>
          <cell r="Y360">
            <v>2.0833333331716497E-2</v>
          </cell>
          <cell r="AB360">
            <v>9</v>
          </cell>
          <cell r="AC360">
            <v>7</v>
          </cell>
          <cell r="AD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9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</row>
        <row r="361">
          <cell r="C361">
            <v>37826</v>
          </cell>
          <cell r="D361">
            <v>37900</v>
          </cell>
          <cell r="E361">
            <v>37885</v>
          </cell>
          <cell r="F361">
            <v>0.41666666666666669</v>
          </cell>
          <cell r="G361" t="str">
            <v>Prensa Jundiaí Conectores</v>
          </cell>
          <cell r="H361" t="str">
            <v>Esteira de cavacos não funciona</v>
          </cell>
          <cell r="I361" t="str">
            <v>Corretiva</v>
          </cell>
          <cell r="J361" t="str">
            <v>Sim</v>
          </cell>
          <cell r="K361" t="str">
            <v>Mecânica</v>
          </cell>
          <cell r="L361" t="str">
            <v>Limpeza do Equipamento / Componente</v>
          </cell>
          <cell r="M361" t="str">
            <v>Falha de Regulagem / Configuração / Dimensionamento</v>
          </cell>
          <cell r="N361">
            <v>37885</v>
          </cell>
          <cell r="O361">
            <v>0.41666666666666669</v>
          </cell>
          <cell r="P361">
            <v>37885</v>
          </cell>
          <cell r="Q361">
            <v>0.41666666666666669</v>
          </cell>
          <cell r="T361">
            <v>37885</v>
          </cell>
          <cell r="U361">
            <v>0.46180555555555558</v>
          </cell>
          <cell r="V361">
            <v>37885</v>
          </cell>
          <cell r="W361">
            <v>0.46180555555555558</v>
          </cell>
          <cell r="X361">
            <v>4.5138888888888895E-2</v>
          </cell>
          <cell r="Y361">
            <v>4.5138888888080431E-2</v>
          </cell>
          <cell r="AB361">
            <v>9</v>
          </cell>
          <cell r="AC361">
            <v>7</v>
          </cell>
          <cell r="AD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9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</row>
        <row r="362">
          <cell r="C362">
            <v>37826</v>
          </cell>
          <cell r="D362">
            <v>37900</v>
          </cell>
          <cell r="E362">
            <v>37887</v>
          </cell>
          <cell r="F362">
            <v>0.41666666666666669</v>
          </cell>
          <cell r="G362" t="str">
            <v>Prensa Jundiaí Conectores</v>
          </cell>
          <cell r="H362" t="str">
            <v>Porca das Guias do Alimentador Quebrada</v>
          </cell>
          <cell r="I362" t="str">
            <v>Corretiva</v>
          </cell>
          <cell r="J362" t="str">
            <v>Sim</v>
          </cell>
          <cell r="K362" t="str">
            <v>Mecânica</v>
          </cell>
          <cell r="L362" t="str">
            <v>Substituição do(s) Componente(s)</v>
          </cell>
          <cell r="M362" t="str">
            <v>Defeito de Fabricação</v>
          </cell>
          <cell r="N362">
            <v>37887</v>
          </cell>
          <cell r="O362">
            <v>0.41666666666666669</v>
          </cell>
          <cell r="P362">
            <v>37887</v>
          </cell>
          <cell r="Q362">
            <v>0.41666666666666669</v>
          </cell>
          <cell r="T362">
            <v>37887</v>
          </cell>
          <cell r="U362">
            <v>0.47916666666666669</v>
          </cell>
          <cell r="V362">
            <v>37887</v>
          </cell>
          <cell r="W362">
            <v>0.47916666666666669</v>
          </cell>
          <cell r="X362">
            <v>6.25E-2</v>
          </cell>
          <cell r="Y362">
            <v>6.2499999997574662E-2</v>
          </cell>
          <cell r="AB362">
            <v>9</v>
          </cell>
          <cell r="AC362">
            <v>7</v>
          </cell>
          <cell r="AD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9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</row>
        <row r="363">
          <cell r="C363">
            <v>37826</v>
          </cell>
          <cell r="D363">
            <v>37918</v>
          </cell>
          <cell r="E363">
            <v>37902</v>
          </cell>
          <cell r="F363">
            <v>0.33333333333333331</v>
          </cell>
          <cell r="G363" t="str">
            <v>Prensa Jundiaí Conectores</v>
          </cell>
          <cell r="H363" t="str">
            <v>Esteira permite a queda de cavacos no chão</v>
          </cell>
          <cell r="I363" t="str">
            <v>Corretiva</v>
          </cell>
          <cell r="J363" t="str">
            <v>Não</v>
          </cell>
          <cell r="K363" t="str">
            <v>Mecânica</v>
          </cell>
          <cell r="L363" t="str">
            <v>Alteração no sistema de transporte, acrescentando-se nova chapa</v>
          </cell>
          <cell r="M363" t="str">
            <v>Falha de Projeto</v>
          </cell>
          <cell r="N363">
            <v>37902</v>
          </cell>
          <cell r="O363">
            <v>0.35416666666666669</v>
          </cell>
          <cell r="P363">
            <v>37902</v>
          </cell>
          <cell r="Q363">
            <v>0.35416666666666669</v>
          </cell>
          <cell r="T363">
            <v>37902</v>
          </cell>
          <cell r="U363">
            <v>0.4375</v>
          </cell>
          <cell r="V363">
            <v>37902</v>
          </cell>
          <cell r="W363">
            <v>0.4375</v>
          </cell>
          <cell r="X363">
            <v>8.3333333333333315E-2</v>
          </cell>
          <cell r="Y363">
            <v>8.3333333333333315E-2</v>
          </cell>
          <cell r="AB363">
            <v>10</v>
          </cell>
          <cell r="AC363">
            <v>7</v>
          </cell>
          <cell r="AD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10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</row>
        <row r="364">
          <cell r="C364">
            <v>37826</v>
          </cell>
          <cell r="D364">
            <v>37928</v>
          </cell>
          <cell r="E364">
            <v>37911</v>
          </cell>
          <cell r="F364">
            <v>0.31944444444444448</v>
          </cell>
          <cell r="G364" t="str">
            <v>Prensa Jundiaí Conectores</v>
          </cell>
          <cell r="H364" t="str">
            <v>Sensor de Segurança da Ferramenta acionando constantemente</v>
          </cell>
          <cell r="I364" t="str">
            <v>Corretiva</v>
          </cell>
          <cell r="J364" t="str">
            <v>Não</v>
          </cell>
          <cell r="K364" t="str">
            <v>Elétrica</v>
          </cell>
          <cell r="L364" t="str">
            <v>Regulagem do Componente</v>
          </cell>
          <cell r="M364" t="str">
            <v>Falha de Regulagem / Configuração / Dimensionamento</v>
          </cell>
          <cell r="N364">
            <v>37911</v>
          </cell>
          <cell r="O364">
            <v>0.33333333333333331</v>
          </cell>
          <cell r="P364">
            <v>37911</v>
          </cell>
          <cell r="Q364">
            <v>0.33333333333333331</v>
          </cell>
          <cell r="T364">
            <v>37911</v>
          </cell>
          <cell r="U364">
            <v>0.3611111111111111</v>
          </cell>
          <cell r="V364">
            <v>37911</v>
          </cell>
          <cell r="W364">
            <v>0.3611111111111111</v>
          </cell>
          <cell r="X364">
            <v>2.7777777776160917E-2</v>
          </cell>
          <cell r="Y364">
            <v>2.7777777776160917E-2</v>
          </cell>
          <cell r="AB364">
            <v>10</v>
          </cell>
          <cell r="AC364">
            <v>7</v>
          </cell>
          <cell r="AD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10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</row>
        <row r="365">
          <cell r="C365">
            <v>37826</v>
          </cell>
          <cell r="D365">
            <v>37972</v>
          </cell>
          <cell r="E365">
            <v>37953</v>
          </cell>
          <cell r="F365">
            <v>0.3611111111111111</v>
          </cell>
          <cell r="G365" t="str">
            <v>Prensa Jundiaí Conectores</v>
          </cell>
          <cell r="H365" t="str">
            <v>Parafusos do alimentador quebrados</v>
          </cell>
          <cell r="I365">
            <v>0</v>
          </cell>
          <cell r="J365" t="str">
            <v>Não</v>
          </cell>
          <cell r="K365" t="str">
            <v>Mecânica</v>
          </cell>
          <cell r="L365" t="str">
            <v>Substituição do(s) Componente(s)</v>
          </cell>
          <cell r="M365" t="str">
            <v>Sobrecarga</v>
          </cell>
          <cell r="N365">
            <v>37965</v>
          </cell>
          <cell r="O365">
            <v>0.54166666666666663</v>
          </cell>
          <cell r="P365">
            <v>0</v>
          </cell>
          <cell r="T365">
            <v>37965</v>
          </cell>
          <cell r="U365">
            <v>0.83333333333333337</v>
          </cell>
          <cell r="V365">
            <v>0</v>
          </cell>
          <cell r="W365">
            <v>0.29166666666909202</v>
          </cell>
          <cell r="X365">
            <v>0</v>
          </cell>
          <cell r="Y365">
            <v>0</v>
          </cell>
          <cell r="AB365">
            <v>12</v>
          </cell>
          <cell r="AC365">
            <v>7</v>
          </cell>
          <cell r="AD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12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</row>
        <row r="366">
          <cell r="C366">
            <v>37826</v>
          </cell>
          <cell r="D366">
            <v>37972</v>
          </cell>
          <cell r="E366">
            <v>37965</v>
          </cell>
          <cell r="F366">
            <v>0.45833333333333331</v>
          </cell>
          <cell r="G366" t="str">
            <v>Prensa Jundiaí Conectores</v>
          </cell>
          <cell r="H366" t="str">
            <v>Alimentador está solto</v>
          </cell>
          <cell r="I366">
            <v>0</v>
          </cell>
          <cell r="J366" t="str">
            <v>Sim</v>
          </cell>
          <cell r="K366" t="str">
            <v>Mecânica</v>
          </cell>
          <cell r="L366" t="str">
            <v>Reparo</v>
          </cell>
          <cell r="M366" t="str">
            <v>Vibração</v>
          </cell>
          <cell r="N366">
            <v>37965</v>
          </cell>
          <cell r="O366">
            <v>0.54166666666666663</v>
          </cell>
          <cell r="P366">
            <v>0</v>
          </cell>
          <cell r="T366">
            <v>37965</v>
          </cell>
          <cell r="U366">
            <v>0.83333333333333337</v>
          </cell>
          <cell r="V366">
            <v>0</v>
          </cell>
          <cell r="W366">
            <v>0.37500000000242534</v>
          </cell>
          <cell r="X366">
            <v>0</v>
          </cell>
          <cell r="Y366">
            <v>0</v>
          </cell>
          <cell r="AB366">
            <v>12</v>
          </cell>
          <cell r="AC366">
            <v>7</v>
          </cell>
          <cell r="AD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12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</row>
        <row r="367">
          <cell r="C367">
            <v>37826</v>
          </cell>
          <cell r="D367">
            <v>37993</v>
          </cell>
          <cell r="E367">
            <v>37967</v>
          </cell>
          <cell r="F367">
            <v>0.625</v>
          </cell>
          <cell r="G367" t="str">
            <v>Prensa Jundiaí Conectores</v>
          </cell>
          <cell r="H367" t="str">
            <v>Máquina acusando falha de lubrificação</v>
          </cell>
          <cell r="I367">
            <v>0</v>
          </cell>
          <cell r="J367" t="str">
            <v>Não</v>
          </cell>
          <cell r="K367" t="str">
            <v>Mecânica</v>
          </cell>
          <cell r="L367" t="str">
            <v>Limpeza e Regulagem</v>
          </cell>
          <cell r="M367" t="str">
            <v>Falha de Regulagem / Configuração / Dimensionamento</v>
          </cell>
          <cell r="N367">
            <v>0</v>
          </cell>
          <cell r="O367">
            <v>0.625</v>
          </cell>
          <cell r="P367">
            <v>0</v>
          </cell>
          <cell r="T367">
            <v>0</v>
          </cell>
          <cell r="U367">
            <v>0.70833333333333337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AB367">
            <v>0</v>
          </cell>
          <cell r="AC367">
            <v>7</v>
          </cell>
          <cell r="AD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</row>
        <row r="368">
          <cell r="C368">
            <v>37826</v>
          </cell>
          <cell r="D368">
            <v>37868</v>
          </cell>
          <cell r="E368">
            <v>37854</v>
          </cell>
          <cell r="F368">
            <v>0.40972222222222227</v>
          </cell>
          <cell r="G368" t="str">
            <v>Prensa Jundiaí Conectores</v>
          </cell>
          <cell r="H368" t="str">
            <v>Régua graduada do desbobinador está solta</v>
          </cell>
          <cell r="I368" t="str">
            <v>Corretiva</v>
          </cell>
          <cell r="J368" t="str">
            <v>Não</v>
          </cell>
          <cell r="K368" t="str">
            <v>Mecânica</v>
          </cell>
          <cell r="L368" t="str">
            <v>Reparo</v>
          </cell>
          <cell r="M368" t="str">
            <v>Desgaste / Fadiga</v>
          </cell>
          <cell r="N368">
            <v>37854</v>
          </cell>
          <cell r="O368">
            <v>0.40972222222222227</v>
          </cell>
          <cell r="P368">
            <v>37854</v>
          </cell>
          <cell r="Q368">
            <v>0.40972222222222227</v>
          </cell>
          <cell r="T368">
            <v>37854</v>
          </cell>
          <cell r="U368">
            <v>0.47916666666666669</v>
          </cell>
          <cell r="V368">
            <v>37854</v>
          </cell>
          <cell r="W368">
            <v>0.47916666666666669</v>
          </cell>
          <cell r="X368">
            <v>6.9444444442019082E-2</v>
          </cell>
          <cell r="Y368">
            <v>6.9444444442019082E-2</v>
          </cell>
          <cell r="AB368">
            <v>8</v>
          </cell>
          <cell r="AC368">
            <v>7</v>
          </cell>
          <cell r="AD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8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</row>
        <row r="369">
          <cell r="C369">
            <v>37826</v>
          </cell>
          <cell r="I369">
            <v>0</v>
          </cell>
          <cell r="N369">
            <v>0</v>
          </cell>
          <cell r="P369">
            <v>0</v>
          </cell>
          <cell r="T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AB369">
            <v>0</v>
          </cell>
          <cell r="AC369">
            <v>7</v>
          </cell>
          <cell r="AD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</row>
        <row r="370">
          <cell r="C370">
            <v>37826</v>
          </cell>
          <cell r="D370">
            <v>38008</v>
          </cell>
          <cell r="E370">
            <v>37977</v>
          </cell>
          <cell r="F370">
            <v>0.51388888888888895</v>
          </cell>
          <cell r="G370" t="str">
            <v>Prensa Jundiaí Conectores</v>
          </cell>
          <cell r="H370" t="str">
            <v>Esteira parada</v>
          </cell>
          <cell r="I370">
            <v>0</v>
          </cell>
          <cell r="J370" t="str">
            <v>Sim</v>
          </cell>
          <cell r="K370" t="str">
            <v>Mecânica</v>
          </cell>
          <cell r="L370" t="str">
            <v>Destravamento dos Componentes</v>
          </cell>
          <cell r="M370" t="str">
            <v>Desgaste / Fadiga</v>
          </cell>
          <cell r="N370">
            <v>0</v>
          </cell>
          <cell r="O370">
            <v>0.33333333333333331</v>
          </cell>
          <cell r="P370">
            <v>0</v>
          </cell>
          <cell r="T370">
            <v>0</v>
          </cell>
          <cell r="U370">
            <v>0.59375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AB370">
            <v>0</v>
          </cell>
          <cell r="AC370">
            <v>7</v>
          </cell>
          <cell r="AD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</row>
        <row r="371">
          <cell r="C371">
            <v>37826</v>
          </cell>
          <cell r="I371">
            <v>0</v>
          </cell>
          <cell r="N371">
            <v>0</v>
          </cell>
          <cell r="P371">
            <v>0</v>
          </cell>
          <cell r="T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AB371">
            <v>0</v>
          </cell>
          <cell r="AC371">
            <v>7</v>
          </cell>
          <cell r="AD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</row>
        <row r="372">
          <cell r="C372">
            <v>37826</v>
          </cell>
          <cell r="I372">
            <v>0</v>
          </cell>
          <cell r="N372">
            <v>0</v>
          </cell>
          <cell r="P372">
            <v>0</v>
          </cell>
          <cell r="T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AB372">
            <v>0</v>
          </cell>
          <cell r="AC372">
            <v>7</v>
          </cell>
          <cell r="AD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</row>
        <row r="373">
          <cell r="C373">
            <v>37826</v>
          </cell>
          <cell r="I373">
            <v>0</v>
          </cell>
          <cell r="N373">
            <v>0</v>
          </cell>
          <cell r="P373">
            <v>0</v>
          </cell>
          <cell r="T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AB373">
            <v>0</v>
          </cell>
          <cell r="AC373">
            <v>7</v>
          </cell>
          <cell r="AD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</row>
        <row r="374">
          <cell r="C374">
            <v>37826</v>
          </cell>
          <cell r="I374">
            <v>0</v>
          </cell>
          <cell r="N374">
            <v>0</v>
          </cell>
          <cell r="P374">
            <v>0</v>
          </cell>
          <cell r="T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AB374">
            <v>0</v>
          </cell>
          <cell r="AC374">
            <v>7</v>
          </cell>
          <cell r="AD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</row>
        <row r="375">
          <cell r="C375">
            <v>37826</v>
          </cell>
          <cell r="I375">
            <v>0</v>
          </cell>
          <cell r="N375">
            <v>0</v>
          </cell>
          <cell r="P375">
            <v>0</v>
          </cell>
          <cell r="T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AB375">
            <v>0</v>
          </cell>
          <cell r="AC375">
            <v>7</v>
          </cell>
          <cell r="AD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</row>
        <row r="376">
          <cell r="C376">
            <v>37826</v>
          </cell>
          <cell r="I376">
            <v>0</v>
          </cell>
          <cell r="N376">
            <v>0</v>
          </cell>
          <cell r="P376">
            <v>0</v>
          </cell>
          <cell r="T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AB376">
            <v>0</v>
          </cell>
          <cell r="AC376">
            <v>7</v>
          </cell>
          <cell r="AD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</row>
        <row r="377">
          <cell r="C377">
            <v>37839</v>
          </cell>
          <cell r="D377">
            <v>37902</v>
          </cell>
          <cell r="E377">
            <v>37896</v>
          </cell>
          <cell r="F377">
            <v>0.25694444444444448</v>
          </cell>
          <cell r="G377" t="str">
            <v>Prensa Jundiaí</v>
          </cell>
          <cell r="H377" t="str">
            <v>Curso do Martelo não funciona</v>
          </cell>
          <cell r="I377" t="str">
            <v>Corretiva</v>
          </cell>
          <cell r="J377" t="str">
            <v>Sim</v>
          </cell>
          <cell r="K377" t="str">
            <v>Mecânica</v>
          </cell>
          <cell r="L377" t="str">
            <v>Reinicialização do Equipamento / Componente</v>
          </cell>
          <cell r="M377" t="str">
            <v>Sobrecarga</v>
          </cell>
          <cell r="N377">
            <v>37896</v>
          </cell>
          <cell r="O377">
            <v>0.25694444444444448</v>
          </cell>
          <cell r="P377">
            <v>37896</v>
          </cell>
          <cell r="Q377">
            <v>0.25694444444444448</v>
          </cell>
          <cell r="T377">
            <v>37896</v>
          </cell>
          <cell r="U377">
            <v>0.27083333333333331</v>
          </cell>
          <cell r="V377">
            <v>37896</v>
          </cell>
          <cell r="W377">
            <v>0.27083333333333331</v>
          </cell>
          <cell r="X377">
            <v>1.388888888888884E-2</v>
          </cell>
          <cell r="Y377">
            <v>1.3888888891314177E-2</v>
          </cell>
          <cell r="AB377">
            <v>10</v>
          </cell>
          <cell r="AC377">
            <v>8</v>
          </cell>
          <cell r="AD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10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</row>
        <row r="378">
          <cell r="C378">
            <v>37839</v>
          </cell>
          <cell r="D378">
            <v>37918</v>
          </cell>
          <cell r="E378">
            <v>37904</v>
          </cell>
          <cell r="F378">
            <v>0.375</v>
          </cell>
          <cell r="G378" t="str">
            <v>Prensa Jundiaí</v>
          </cell>
          <cell r="H378" t="str">
            <v>Martelo apresenta ruído anormal e não se movimenta adequadamente</v>
          </cell>
          <cell r="I378" t="str">
            <v>Corretiva</v>
          </cell>
          <cell r="J378" t="str">
            <v>Sim</v>
          </cell>
          <cell r="K378" t="str">
            <v>Elétrica</v>
          </cell>
          <cell r="L378" t="str">
            <v>Substituição do(s) Componente(s)</v>
          </cell>
          <cell r="M378" t="str">
            <v>Vibração</v>
          </cell>
          <cell r="N378">
            <v>37904</v>
          </cell>
          <cell r="O378">
            <v>0.375</v>
          </cell>
          <cell r="P378">
            <v>37904</v>
          </cell>
          <cell r="Q378">
            <v>0.375</v>
          </cell>
          <cell r="T378">
            <v>37904</v>
          </cell>
          <cell r="U378">
            <v>0.55555555555555558</v>
          </cell>
          <cell r="V378">
            <v>37904</v>
          </cell>
          <cell r="W378">
            <v>0.55555555555555558</v>
          </cell>
          <cell r="X378">
            <v>0.18055555555555558</v>
          </cell>
          <cell r="Y378">
            <v>0.18055555555474712</v>
          </cell>
          <cell r="AB378">
            <v>10</v>
          </cell>
          <cell r="AC378">
            <v>8</v>
          </cell>
          <cell r="AD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10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</row>
        <row r="379">
          <cell r="C379">
            <v>37839</v>
          </cell>
          <cell r="D379">
            <v>37918</v>
          </cell>
          <cell r="E379">
            <v>37907</v>
          </cell>
          <cell r="F379">
            <v>0.56597222222222221</v>
          </cell>
          <cell r="G379" t="str">
            <v>Dobradeira Sorg</v>
          </cell>
          <cell r="H379" t="str">
            <v>Punção está parando ao subir</v>
          </cell>
          <cell r="I379" t="str">
            <v>Corretiva</v>
          </cell>
          <cell r="J379" t="str">
            <v>Sim</v>
          </cell>
          <cell r="K379" t="str">
            <v>Elétrica</v>
          </cell>
          <cell r="L379" t="str">
            <v>Substituição do(s) Componente(s)</v>
          </cell>
          <cell r="M379" t="str">
            <v>Desgaste / Fadiga</v>
          </cell>
          <cell r="N379">
            <v>37907</v>
          </cell>
          <cell r="O379">
            <v>0.56944444444444442</v>
          </cell>
          <cell r="P379">
            <v>37907</v>
          </cell>
          <cell r="Q379">
            <v>0.56944444444444442</v>
          </cell>
          <cell r="T379">
            <v>37907</v>
          </cell>
          <cell r="U379">
            <v>0.59375</v>
          </cell>
          <cell r="V379">
            <v>37907</v>
          </cell>
          <cell r="W379">
            <v>0.59375</v>
          </cell>
          <cell r="X379">
            <v>2.430555555555558E-2</v>
          </cell>
          <cell r="Y379">
            <v>2.430555555555558E-2</v>
          </cell>
          <cell r="AB379">
            <v>10</v>
          </cell>
          <cell r="AC379">
            <v>8</v>
          </cell>
          <cell r="AD379">
            <v>0</v>
          </cell>
          <cell r="BF379">
            <v>0</v>
          </cell>
          <cell r="BG379">
            <v>0</v>
          </cell>
          <cell r="BH379">
            <v>10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</row>
        <row r="380">
          <cell r="C380">
            <v>37839</v>
          </cell>
          <cell r="D380">
            <v>37970</v>
          </cell>
          <cell r="E380">
            <v>37931</v>
          </cell>
          <cell r="F380">
            <v>37931</v>
          </cell>
          <cell r="G380">
            <v>0.63888888888888895</v>
          </cell>
          <cell r="H380" t="str">
            <v>Vazamento de Óleo</v>
          </cell>
          <cell r="I380">
            <v>0</v>
          </cell>
          <cell r="J380" t="str">
            <v>Não</v>
          </cell>
          <cell r="K380" t="str">
            <v>Mecânica</v>
          </cell>
          <cell r="L380" t="str">
            <v>Não</v>
          </cell>
          <cell r="M380" t="str">
            <v>Desgaste / Fadiga</v>
          </cell>
          <cell r="N380">
            <v>37931</v>
          </cell>
          <cell r="O380">
            <v>0.63888888888888895</v>
          </cell>
          <cell r="P380">
            <v>37931</v>
          </cell>
          <cell r="Q380">
            <v>0.63888888888888895</v>
          </cell>
          <cell r="T380">
            <v>37931</v>
          </cell>
          <cell r="U380">
            <v>0.66666666666666663</v>
          </cell>
          <cell r="V380">
            <v>37931</v>
          </cell>
          <cell r="W380">
            <v>0.66666666666666663</v>
          </cell>
          <cell r="X380">
            <v>2.7777777775352397E-2</v>
          </cell>
          <cell r="Y380">
            <v>2.7777777775352397E-2</v>
          </cell>
          <cell r="AB380">
            <v>11</v>
          </cell>
          <cell r="AC380">
            <v>8</v>
          </cell>
          <cell r="AD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11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</row>
        <row r="381">
          <cell r="C381">
            <v>37839</v>
          </cell>
          <cell r="D381">
            <v>37970</v>
          </cell>
          <cell r="E381">
            <v>37943</v>
          </cell>
          <cell r="F381">
            <v>37943</v>
          </cell>
          <cell r="G381">
            <v>0.86458333333333337</v>
          </cell>
          <cell r="H381" t="str">
            <v>Punção está parando ao descer</v>
          </cell>
          <cell r="I381">
            <v>0</v>
          </cell>
          <cell r="J381" t="str">
            <v>Sim</v>
          </cell>
          <cell r="K381" t="str">
            <v>Elétrica</v>
          </cell>
          <cell r="L381" t="str">
            <v>Sim</v>
          </cell>
          <cell r="M381" t="str">
            <v>Desgaste / Fadiga</v>
          </cell>
          <cell r="N381">
            <v>37943</v>
          </cell>
          <cell r="O381">
            <v>0.86458333333333337</v>
          </cell>
          <cell r="P381">
            <v>37943</v>
          </cell>
          <cell r="Q381">
            <v>0.86458333333333337</v>
          </cell>
          <cell r="T381">
            <v>37944</v>
          </cell>
          <cell r="U381">
            <v>0.34027777777777773</v>
          </cell>
          <cell r="V381">
            <v>37944</v>
          </cell>
          <cell r="W381">
            <v>0.34027777777777773</v>
          </cell>
          <cell r="X381">
            <v>0.47569444444444442</v>
          </cell>
          <cell r="Y381">
            <v>0.47569444444767817</v>
          </cell>
          <cell r="AB381">
            <v>11</v>
          </cell>
          <cell r="AC381">
            <v>8</v>
          </cell>
          <cell r="AD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11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</row>
        <row r="382">
          <cell r="C382">
            <v>37839</v>
          </cell>
          <cell r="D382">
            <v>37970</v>
          </cell>
          <cell r="E382">
            <v>37945</v>
          </cell>
          <cell r="F382">
            <v>0.92708333333333337</v>
          </cell>
          <cell r="G382" t="str">
            <v>Prensa Jundiaí</v>
          </cell>
          <cell r="H382" t="str">
            <v>Martelo travado</v>
          </cell>
          <cell r="I382">
            <v>0</v>
          </cell>
          <cell r="J382" t="str">
            <v>Sim</v>
          </cell>
          <cell r="K382" t="str">
            <v>Elétrica</v>
          </cell>
          <cell r="L382" t="str">
            <v>Ajuste / Regulagem</v>
          </cell>
          <cell r="M382" t="str">
            <v>Falha Operacional</v>
          </cell>
          <cell r="N382">
            <v>37945</v>
          </cell>
          <cell r="O382">
            <v>0.92708333333333337</v>
          </cell>
          <cell r="P382">
            <v>0</v>
          </cell>
          <cell r="T382">
            <v>37945</v>
          </cell>
          <cell r="U382">
            <v>0.94444444444444453</v>
          </cell>
          <cell r="V382">
            <v>0</v>
          </cell>
          <cell r="W382">
            <v>1.7361111111919514E-2</v>
          </cell>
          <cell r="X382">
            <v>0</v>
          </cell>
          <cell r="Y382">
            <v>0</v>
          </cell>
          <cell r="AB382">
            <v>11</v>
          </cell>
          <cell r="AC382">
            <v>8</v>
          </cell>
          <cell r="AD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11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</row>
        <row r="383">
          <cell r="C383">
            <v>37839</v>
          </cell>
          <cell r="D383">
            <v>37970</v>
          </cell>
          <cell r="E383">
            <v>37956</v>
          </cell>
          <cell r="F383">
            <v>0.70833333333333337</v>
          </cell>
          <cell r="G383" t="str">
            <v>Prensa Jundiaí</v>
          </cell>
          <cell r="H383" t="str">
            <v>Martelo travado</v>
          </cell>
          <cell r="I383">
            <v>0</v>
          </cell>
          <cell r="J383" t="str">
            <v>Sim</v>
          </cell>
          <cell r="K383" t="str">
            <v>Elétrica</v>
          </cell>
          <cell r="L383" t="str">
            <v>Ajuste / Regulagem</v>
          </cell>
          <cell r="M383" t="str">
            <v>Falha de Regulagem / Configuração / Dimensionamento</v>
          </cell>
          <cell r="N383">
            <v>37956</v>
          </cell>
          <cell r="O383">
            <v>0.70833333333333337</v>
          </cell>
          <cell r="P383">
            <v>0</v>
          </cell>
          <cell r="T383">
            <v>37956</v>
          </cell>
          <cell r="U383">
            <v>0.75</v>
          </cell>
          <cell r="V383">
            <v>0</v>
          </cell>
          <cell r="W383">
            <v>4.166666666666663E-2</v>
          </cell>
          <cell r="X383">
            <v>0</v>
          </cell>
          <cell r="Y383">
            <v>0</v>
          </cell>
          <cell r="AB383">
            <v>12</v>
          </cell>
          <cell r="AC383">
            <v>8</v>
          </cell>
          <cell r="AD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12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</row>
        <row r="384">
          <cell r="C384">
            <v>37839</v>
          </cell>
          <cell r="D384">
            <v>38008</v>
          </cell>
          <cell r="E384">
            <v>37964</v>
          </cell>
          <cell r="F384">
            <v>0.71180555555555547</v>
          </cell>
          <cell r="G384" t="str">
            <v>Dobradeira Sorg</v>
          </cell>
          <cell r="H384" t="str">
            <v>Máquina apresenta ruído estranho</v>
          </cell>
          <cell r="I384">
            <v>0</v>
          </cell>
          <cell r="J384" t="str">
            <v>Sim</v>
          </cell>
          <cell r="K384" t="str">
            <v>Mecânica</v>
          </cell>
          <cell r="L384" t="str">
            <v>Reparo</v>
          </cell>
          <cell r="M384" t="str">
            <v>Desgaste / Fadiga</v>
          </cell>
          <cell r="N384">
            <v>0</v>
          </cell>
          <cell r="O384">
            <v>0.71527777777777779</v>
          </cell>
          <cell r="P384">
            <v>0</v>
          </cell>
          <cell r="T384">
            <v>0</v>
          </cell>
          <cell r="U384">
            <v>0.83333333333333337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AB384">
            <v>0</v>
          </cell>
          <cell r="AC384">
            <v>8</v>
          </cell>
          <cell r="AD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</row>
        <row r="385">
          <cell r="C385">
            <v>37839</v>
          </cell>
          <cell r="D385">
            <v>37993</v>
          </cell>
          <cell r="E385">
            <v>37977</v>
          </cell>
          <cell r="F385">
            <v>0.81944444444444453</v>
          </cell>
          <cell r="G385" t="str">
            <v>Prensa Jundiaí</v>
          </cell>
          <cell r="H385" t="str">
            <v>Parafuso do encosto da ferramenta quebrado</v>
          </cell>
          <cell r="I385">
            <v>0</v>
          </cell>
          <cell r="J385" t="str">
            <v>Sim</v>
          </cell>
          <cell r="K385" t="str">
            <v>Mecânica</v>
          </cell>
          <cell r="L385" t="str">
            <v>Substituição do(s) Componente(s)</v>
          </cell>
          <cell r="M385" t="str">
            <v>Desgaste / Fadiga</v>
          </cell>
          <cell r="N385">
            <v>0</v>
          </cell>
          <cell r="O385">
            <v>0.81944444444444453</v>
          </cell>
          <cell r="P385">
            <v>0</v>
          </cell>
          <cell r="T385">
            <v>0</v>
          </cell>
          <cell r="U385">
            <v>0.86111111111111116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AB385">
            <v>0</v>
          </cell>
          <cell r="AC385">
            <v>8</v>
          </cell>
          <cell r="AD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</row>
        <row r="386">
          <cell r="C386">
            <v>37839</v>
          </cell>
          <cell r="D386">
            <v>37993</v>
          </cell>
          <cell r="E386">
            <v>37977</v>
          </cell>
          <cell r="F386">
            <v>0.86111111111111116</v>
          </cell>
          <cell r="G386" t="str">
            <v>Prensa Jundiaí</v>
          </cell>
          <cell r="H386" t="str">
            <v>Problema no reparo do bico de ar</v>
          </cell>
          <cell r="I386">
            <v>0</v>
          </cell>
          <cell r="J386" t="str">
            <v>Sim</v>
          </cell>
          <cell r="K386" t="str">
            <v>Mecânica</v>
          </cell>
          <cell r="L386" t="str">
            <v>Substituição do(s) Componente(s)</v>
          </cell>
          <cell r="M386" t="str">
            <v>Desgaste / Fadiga</v>
          </cell>
          <cell r="N386">
            <v>0</v>
          </cell>
          <cell r="O386">
            <v>0.86111111111111116</v>
          </cell>
          <cell r="P386">
            <v>0</v>
          </cell>
          <cell r="T386">
            <v>0</v>
          </cell>
          <cell r="U386">
            <v>0.875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AB386">
            <v>0</v>
          </cell>
          <cell r="AC386">
            <v>8</v>
          </cell>
          <cell r="AD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</row>
        <row r="387">
          <cell r="C387">
            <v>37839</v>
          </cell>
          <cell r="D387">
            <v>37977</v>
          </cell>
          <cell r="E387">
            <v>37965</v>
          </cell>
          <cell r="F387">
            <v>0.95833333333333337</v>
          </cell>
          <cell r="G387" t="str">
            <v>Prensa Jundiaí Conectores</v>
          </cell>
          <cell r="H387" t="str">
            <v>Martelo travado</v>
          </cell>
          <cell r="I387">
            <v>0</v>
          </cell>
          <cell r="J387" t="str">
            <v>Sim</v>
          </cell>
          <cell r="K387" t="str">
            <v>Elétrica</v>
          </cell>
          <cell r="L387" t="str">
            <v>Destravamento dos Componentes</v>
          </cell>
          <cell r="M387" t="str">
            <v>Falha Operacional</v>
          </cell>
          <cell r="N387">
            <v>37965</v>
          </cell>
          <cell r="O387">
            <v>0.95833333333333337</v>
          </cell>
          <cell r="P387">
            <v>0</v>
          </cell>
          <cell r="T387">
            <v>37965</v>
          </cell>
          <cell r="U387">
            <v>0.97916666666666663</v>
          </cell>
          <cell r="V387">
            <v>0</v>
          </cell>
          <cell r="W387">
            <v>2.0833333330907977E-2</v>
          </cell>
          <cell r="X387">
            <v>0</v>
          </cell>
          <cell r="Y387">
            <v>0</v>
          </cell>
          <cell r="AB387">
            <v>12</v>
          </cell>
          <cell r="AC387">
            <v>8</v>
          </cell>
          <cell r="AD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12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</row>
        <row r="388">
          <cell r="C388">
            <v>37839</v>
          </cell>
          <cell r="D388">
            <v>38008</v>
          </cell>
          <cell r="E388">
            <v>37992</v>
          </cell>
          <cell r="F388">
            <v>0.85416666666666663</v>
          </cell>
          <cell r="G388" t="str">
            <v>Prensa Jundiaí</v>
          </cell>
          <cell r="H388" t="str">
            <v>Martelo travado</v>
          </cell>
          <cell r="I388">
            <v>0</v>
          </cell>
          <cell r="J388" t="str">
            <v>Sim</v>
          </cell>
          <cell r="K388" t="str">
            <v>Elétrica</v>
          </cell>
          <cell r="L388" t="str">
            <v>Destravamento dos Componentes</v>
          </cell>
          <cell r="M388" t="str">
            <v>Falha Operacional</v>
          </cell>
          <cell r="N388">
            <v>0</v>
          </cell>
          <cell r="O388">
            <v>0.85416666666666663</v>
          </cell>
          <cell r="P388">
            <v>0</v>
          </cell>
          <cell r="T388">
            <v>0</v>
          </cell>
          <cell r="U388">
            <v>0.89583333333333337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AB388">
            <v>0</v>
          </cell>
          <cell r="AC388">
            <v>8</v>
          </cell>
          <cell r="AD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</row>
        <row r="389">
          <cell r="C389">
            <v>37839</v>
          </cell>
          <cell r="I389">
            <v>0</v>
          </cell>
          <cell r="N389">
            <v>0</v>
          </cell>
          <cell r="P389">
            <v>0</v>
          </cell>
          <cell r="T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AB389">
            <v>0</v>
          </cell>
          <cell r="AC389">
            <v>8</v>
          </cell>
          <cell r="AD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</row>
        <row r="390">
          <cell r="C390">
            <v>37839</v>
          </cell>
          <cell r="D390">
            <v>37993</v>
          </cell>
          <cell r="E390">
            <v>37985</v>
          </cell>
          <cell r="F390">
            <v>0.46875</v>
          </cell>
          <cell r="G390" t="str">
            <v>Prensa Jundiaí</v>
          </cell>
          <cell r="H390" t="str">
            <v>Motor do Martelo quemado</v>
          </cell>
          <cell r="I390">
            <v>0</v>
          </cell>
          <cell r="J390" t="str">
            <v>Sim</v>
          </cell>
          <cell r="K390" t="str">
            <v>Elétrica</v>
          </cell>
          <cell r="L390" t="str">
            <v>Substituição do(s) Componente(s)</v>
          </cell>
          <cell r="M390" t="str">
            <v>Causa não especificada</v>
          </cell>
          <cell r="N390">
            <v>0</v>
          </cell>
          <cell r="O390">
            <v>0.46875</v>
          </cell>
          <cell r="P390">
            <v>0</v>
          </cell>
          <cell r="T390">
            <v>0</v>
          </cell>
          <cell r="U390">
            <v>0.58333333333333337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AB390">
            <v>0</v>
          </cell>
          <cell r="AC390">
            <v>8</v>
          </cell>
          <cell r="AD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</row>
        <row r="391">
          <cell r="C391">
            <v>37839</v>
          </cell>
          <cell r="I391">
            <v>0</v>
          </cell>
          <cell r="N391">
            <v>0</v>
          </cell>
          <cell r="P391">
            <v>0</v>
          </cell>
          <cell r="T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AB391">
            <v>0</v>
          </cell>
          <cell r="AC391">
            <v>8</v>
          </cell>
          <cell r="AD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</row>
        <row r="392">
          <cell r="C392">
            <v>37839</v>
          </cell>
          <cell r="D392">
            <v>37993</v>
          </cell>
          <cell r="E392">
            <v>37991</v>
          </cell>
          <cell r="F392">
            <v>0.49305555555555558</v>
          </cell>
          <cell r="G392" t="str">
            <v>Prensa Jundiaí</v>
          </cell>
          <cell r="H392" t="str">
            <v>Caixa do motor do martelo está solta</v>
          </cell>
          <cell r="I392">
            <v>0</v>
          </cell>
          <cell r="J392" t="str">
            <v>Sim</v>
          </cell>
          <cell r="K392" t="str">
            <v>Mecânica</v>
          </cell>
          <cell r="L392" t="str">
            <v>Reparo</v>
          </cell>
          <cell r="M392" t="str">
            <v>Vibração</v>
          </cell>
          <cell r="N392">
            <v>0</v>
          </cell>
          <cell r="O392">
            <v>0.49652777777777773</v>
          </cell>
          <cell r="P392">
            <v>0</v>
          </cell>
          <cell r="T392">
            <v>0</v>
          </cell>
          <cell r="U392">
            <v>0.66666666666666663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AB392">
            <v>0</v>
          </cell>
          <cell r="AC392">
            <v>8</v>
          </cell>
          <cell r="AD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</row>
        <row r="393">
          <cell r="C393">
            <v>37839</v>
          </cell>
          <cell r="D393">
            <v>37993</v>
          </cell>
          <cell r="E393">
            <v>37991</v>
          </cell>
          <cell r="F393">
            <v>0.85416666666666663</v>
          </cell>
          <cell r="G393" t="str">
            <v>Dobradeira Sorg</v>
          </cell>
          <cell r="H393" t="str">
            <v>Prensa não retorna</v>
          </cell>
          <cell r="I393">
            <v>0</v>
          </cell>
          <cell r="J393" t="str">
            <v>Sim</v>
          </cell>
          <cell r="K393" t="str">
            <v>Elétrica</v>
          </cell>
          <cell r="L393" t="str">
            <v>Substituição do(s) Componente(s)</v>
          </cell>
          <cell r="M393" t="str">
            <v>Desgaste / Fadiga</v>
          </cell>
          <cell r="N393">
            <v>0</v>
          </cell>
          <cell r="O393">
            <v>0.85416666666666663</v>
          </cell>
          <cell r="P393">
            <v>0</v>
          </cell>
          <cell r="T393">
            <v>0</v>
          </cell>
          <cell r="U393">
            <v>0.89583333333333337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AB393">
            <v>0</v>
          </cell>
          <cell r="AC393">
            <v>8</v>
          </cell>
          <cell r="AD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</row>
        <row r="394">
          <cell r="C394">
            <v>37839</v>
          </cell>
          <cell r="I394">
            <v>0</v>
          </cell>
          <cell r="N394">
            <v>0</v>
          </cell>
          <cell r="P394">
            <v>0</v>
          </cell>
          <cell r="T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AB394">
            <v>0</v>
          </cell>
          <cell r="AC394">
            <v>8</v>
          </cell>
          <cell r="AD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</row>
        <row r="395">
          <cell r="C395">
            <v>37839</v>
          </cell>
          <cell r="I395">
            <v>0</v>
          </cell>
          <cell r="N395">
            <v>0</v>
          </cell>
          <cell r="P395">
            <v>0</v>
          </cell>
          <cell r="T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AB395">
            <v>0</v>
          </cell>
          <cell r="AC395">
            <v>8</v>
          </cell>
          <cell r="AD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</row>
        <row r="396">
          <cell r="C396">
            <v>37839</v>
          </cell>
          <cell r="D396">
            <v>37865</v>
          </cell>
          <cell r="E396">
            <v>37859</v>
          </cell>
          <cell r="F396">
            <v>0.64583333333333337</v>
          </cell>
          <cell r="G396" t="str">
            <v>Guilhotina Sorg</v>
          </cell>
          <cell r="H396" t="str">
            <v>Máquina não referencia</v>
          </cell>
          <cell r="I396" t="str">
            <v>Corretiva</v>
          </cell>
          <cell r="J396" t="str">
            <v>Sim</v>
          </cell>
          <cell r="K396" t="str">
            <v>Elétrica</v>
          </cell>
          <cell r="L396" t="str">
            <v>Regulagem do Componente</v>
          </cell>
          <cell r="M396" t="str">
            <v>Falha Operacional</v>
          </cell>
          <cell r="N396">
            <v>37859</v>
          </cell>
          <cell r="O396">
            <v>0.75</v>
          </cell>
          <cell r="P396">
            <v>37859</v>
          </cell>
          <cell r="Q396">
            <v>0.75</v>
          </cell>
          <cell r="T396">
            <v>37859</v>
          </cell>
          <cell r="U396">
            <v>0.77777777777777779</v>
          </cell>
          <cell r="V396">
            <v>37859</v>
          </cell>
          <cell r="W396">
            <v>0.77777777777777779</v>
          </cell>
          <cell r="X396">
            <v>2.777777777777779E-2</v>
          </cell>
          <cell r="Y396">
            <v>2.7777777781011537E-2</v>
          </cell>
          <cell r="AB396">
            <v>8</v>
          </cell>
          <cell r="AC396">
            <v>8</v>
          </cell>
          <cell r="AD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8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</row>
        <row r="397">
          <cell r="C397">
            <v>37848</v>
          </cell>
          <cell r="D397">
            <v>37858</v>
          </cell>
          <cell r="E397">
            <v>37855</v>
          </cell>
          <cell r="F397">
            <v>0.3840277777777778</v>
          </cell>
          <cell r="G397" t="str">
            <v>Perfiladora Dimeco Travesaños</v>
          </cell>
          <cell r="H397" t="str">
            <v>Necessidade de substituição do Disco de Serra</v>
          </cell>
          <cell r="I397" t="str">
            <v>Corretiva</v>
          </cell>
          <cell r="J397" t="str">
            <v>Sim</v>
          </cell>
          <cell r="K397" t="str">
            <v>Mecânica</v>
          </cell>
          <cell r="L397" t="str">
            <v>Substituição do(s) Componente(s)</v>
          </cell>
          <cell r="M397" t="str">
            <v>Desgaste / Fadiga</v>
          </cell>
          <cell r="N397">
            <v>37855</v>
          </cell>
          <cell r="O397">
            <v>0.3888888888888889</v>
          </cell>
          <cell r="P397">
            <v>37855</v>
          </cell>
          <cell r="Q397">
            <v>0.3888888888888889</v>
          </cell>
          <cell r="T397">
            <v>37855</v>
          </cell>
          <cell r="U397">
            <v>0.41666666666666669</v>
          </cell>
          <cell r="V397">
            <v>37855</v>
          </cell>
          <cell r="W397">
            <v>0.41666666666666669</v>
          </cell>
          <cell r="X397">
            <v>2.777777777777779E-2</v>
          </cell>
          <cell r="Y397">
            <v>2.7777777775352452E-2</v>
          </cell>
          <cell r="AB397">
            <v>8</v>
          </cell>
          <cell r="AC397">
            <v>8</v>
          </cell>
          <cell r="AD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8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</row>
        <row r="398">
          <cell r="C398">
            <v>37848</v>
          </cell>
          <cell r="D398">
            <v>37867</v>
          </cell>
          <cell r="E398">
            <v>37865</v>
          </cell>
          <cell r="F398">
            <v>0.45833333333333331</v>
          </cell>
          <cell r="G398" t="str">
            <v>Perfiladora Dimeco Travesaños</v>
          </cell>
          <cell r="H398" t="str">
            <v>Eixo da cabeça de turco danificado, dificultando a retirada dos Rolamentos</v>
          </cell>
          <cell r="I398" t="str">
            <v>Corretiva</v>
          </cell>
          <cell r="J398" t="str">
            <v>Sim</v>
          </cell>
          <cell r="K398" t="str">
            <v>Mecânica</v>
          </cell>
          <cell r="L398" t="str">
            <v>Reparo</v>
          </cell>
          <cell r="M398" t="str">
            <v>Falha de Montagem / Preparação</v>
          </cell>
          <cell r="N398">
            <v>37865</v>
          </cell>
          <cell r="O398">
            <v>0.47916666666666669</v>
          </cell>
          <cell r="P398">
            <v>37865</v>
          </cell>
          <cell r="Q398">
            <v>0.47916666666666669</v>
          </cell>
          <cell r="T398">
            <v>37865</v>
          </cell>
          <cell r="U398">
            <v>0.52083333333333337</v>
          </cell>
          <cell r="V398">
            <v>37865</v>
          </cell>
          <cell r="W398">
            <v>0.52083333333333337</v>
          </cell>
          <cell r="X398">
            <v>4.1666666666666685E-2</v>
          </cell>
          <cell r="Y398">
            <v>4.1666666669091967E-2</v>
          </cell>
          <cell r="AB398">
            <v>9</v>
          </cell>
          <cell r="AC398">
            <v>8</v>
          </cell>
          <cell r="AD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9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</row>
        <row r="399">
          <cell r="C399">
            <v>37848</v>
          </cell>
          <cell r="D399">
            <v>37868</v>
          </cell>
          <cell r="E399">
            <v>37865</v>
          </cell>
          <cell r="F399">
            <v>0.59722222222222221</v>
          </cell>
          <cell r="G399" t="str">
            <v>Prensa Gijón</v>
          </cell>
          <cell r="H399" t="str">
            <v>Barra roscada de Regulagem de distância está torta</v>
          </cell>
          <cell r="I399" t="str">
            <v>Corretiva</v>
          </cell>
          <cell r="J399" t="str">
            <v>Não</v>
          </cell>
          <cell r="K399" t="str">
            <v>Mecânica</v>
          </cell>
          <cell r="L399" t="str">
            <v>Reparo</v>
          </cell>
          <cell r="M399" t="str">
            <v>Falha Operacional</v>
          </cell>
          <cell r="N399">
            <v>37865</v>
          </cell>
          <cell r="O399">
            <v>0.70833333333333337</v>
          </cell>
          <cell r="P399">
            <v>37865</v>
          </cell>
          <cell r="Q399">
            <v>0.70833333333333337</v>
          </cell>
          <cell r="T399">
            <v>37865</v>
          </cell>
          <cell r="U399">
            <v>0.875</v>
          </cell>
          <cell r="V399">
            <v>37865</v>
          </cell>
          <cell r="W399">
            <v>0.875</v>
          </cell>
          <cell r="X399">
            <v>0.16666666666666663</v>
          </cell>
          <cell r="Y399">
            <v>0.16666666666666663</v>
          </cell>
          <cell r="AB399">
            <v>9</v>
          </cell>
          <cell r="AC399">
            <v>8</v>
          </cell>
          <cell r="AD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9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</row>
        <row r="400">
          <cell r="C400">
            <v>37848</v>
          </cell>
          <cell r="D400">
            <v>37900</v>
          </cell>
          <cell r="E400">
            <v>37893</v>
          </cell>
          <cell r="F400">
            <v>0.44236111111111115</v>
          </cell>
          <cell r="G400" t="str">
            <v>Perfiladora Dimeco Travesaños</v>
          </cell>
          <cell r="H400" t="str">
            <v>Mangueira do Hidráulico furada</v>
          </cell>
          <cell r="I400" t="str">
            <v>Corretiva</v>
          </cell>
          <cell r="J400" t="str">
            <v>Sim</v>
          </cell>
          <cell r="K400" t="str">
            <v>Mecânica</v>
          </cell>
          <cell r="L400" t="str">
            <v>Substituição do(s) Componente(s)</v>
          </cell>
          <cell r="M400" t="str">
            <v>Desgaste / Fadiga</v>
          </cell>
          <cell r="N400">
            <v>37893</v>
          </cell>
          <cell r="O400">
            <v>0.44444444444444442</v>
          </cell>
          <cell r="P400">
            <v>37893</v>
          </cell>
          <cell r="Q400">
            <v>0.44444444444444442</v>
          </cell>
          <cell r="T400">
            <v>37893</v>
          </cell>
          <cell r="U400">
            <v>0.52777777777777779</v>
          </cell>
          <cell r="V400">
            <v>37893</v>
          </cell>
          <cell r="W400">
            <v>0.52777777777777779</v>
          </cell>
          <cell r="X400">
            <v>8.333333333333337E-2</v>
          </cell>
          <cell r="Y400">
            <v>8.3333333336567117E-2</v>
          </cell>
          <cell r="AB400">
            <v>9</v>
          </cell>
          <cell r="AC400">
            <v>8</v>
          </cell>
          <cell r="AD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9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</row>
        <row r="401">
          <cell r="C401">
            <v>37848</v>
          </cell>
          <cell r="V401">
            <v>0</v>
          </cell>
          <cell r="W401">
            <v>0</v>
          </cell>
          <cell r="X401">
            <v>0</v>
          </cell>
          <cell r="AB401">
            <v>0</v>
          </cell>
          <cell r="AC401">
            <v>8</v>
          </cell>
          <cell r="AD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</row>
        <row r="402">
          <cell r="C402">
            <v>37848</v>
          </cell>
          <cell r="D402">
            <v>37924</v>
          </cell>
          <cell r="E402">
            <v>37902</v>
          </cell>
          <cell r="F402">
            <v>0.70833333333333337</v>
          </cell>
          <cell r="G402" t="str">
            <v>Perfiladora Dimeco Travesaños</v>
          </cell>
          <cell r="H402" t="str">
            <v>Vazamento no pistão do cortante</v>
          </cell>
          <cell r="I402" t="str">
            <v>Corretiva</v>
          </cell>
          <cell r="J402" t="str">
            <v>Não</v>
          </cell>
          <cell r="K402" t="str">
            <v>Mecânica</v>
          </cell>
          <cell r="L402" t="str">
            <v>Reparo</v>
          </cell>
          <cell r="M402" t="str">
            <v>Desgaste / Fadiga</v>
          </cell>
          <cell r="N402">
            <v>37902</v>
          </cell>
          <cell r="O402">
            <v>0.70833333333333337</v>
          </cell>
          <cell r="P402">
            <v>37902</v>
          </cell>
          <cell r="Q402">
            <v>0.98958333333333337</v>
          </cell>
          <cell r="R402">
            <v>37908</v>
          </cell>
          <cell r="S402">
            <v>0.66666666666666663</v>
          </cell>
          <cell r="T402">
            <v>37908</v>
          </cell>
          <cell r="U402">
            <v>0.70833333333333337</v>
          </cell>
          <cell r="V402">
            <v>0</v>
          </cell>
          <cell r="W402">
            <v>0.32291666666666674</v>
          </cell>
          <cell r="X402">
            <v>0.32291666666666674</v>
          </cell>
          <cell r="Y402">
            <v>0.32291666666666674</v>
          </cell>
          <cell r="AB402">
            <v>10</v>
          </cell>
          <cell r="AC402">
            <v>8</v>
          </cell>
          <cell r="AD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10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</row>
        <row r="403">
          <cell r="C403">
            <v>37848</v>
          </cell>
          <cell r="D403">
            <v>37918</v>
          </cell>
          <cell r="E403">
            <v>37907</v>
          </cell>
          <cell r="F403">
            <v>0.60416666666666663</v>
          </cell>
          <cell r="G403" t="str">
            <v>Perfiladora Dimeco Travesaños</v>
          </cell>
          <cell r="H403" t="str">
            <v>Funcionamento inadequado no grupo hidráulico</v>
          </cell>
          <cell r="I403" t="str">
            <v>Corretiva</v>
          </cell>
          <cell r="J403" t="str">
            <v>Sim</v>
          </cell>
          <cell r="K403" t="str">
            <v>Elétrica</v>
          </cell>
          <cell r="L403" t="str">
            <v>Ajuste / Regulagem</v>
          </cell>
          <cell r="M403" t="str">
            <v>Falha de Comando / Sistema</v>
          </cell>
          <cell r="N403">
            <v>37907</v>
          </cell>
          <cell r="O403">
            <v>0.625</v>
          </cell>
          <cell r="P403">
            <v>37907</v>
          </cell>
          <cell r="Q403">
            <v>0.625</v>
          </cell>
          <cell r="T403">
            <v>37907</v>
          </cell>
          <cell r="U403">
            <v>0.70833333333333337</v>
          </cell>
          <cell r="V403">
            <v>37907</v>
          </cell>
          <cell r="W403">
            <v>0.70833333333333337</v>
          </cell>
          <cell r="X403">
            <v>8.333333333333337E-2</v>
          </cell>
          <cell r="Y403">
            <v>8.3333333335758653E-2</v>
          </cell>
          <cell r="AB403">
            <v>10</v>
          </cell>
          <cell r="AC403">
            <v>8</v>
          </cell>
          <cell r="AD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10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</row>
        <row r="404">
          <cell r="C404">
            <v>37848</v>
          </cell>
          <cell r="D404">
            <v>37928</v>
          </cell>
          <cell r="E404">
            <v>37902</v>
          </cell>
          <cell r="F404">
            <v>0.65833333333333333</v>
          </cell>
          <cell r="G404" t="str">
            <v>Perfiladora Dimeco Travesaños</v>
          </cell>
          <cell r="H404" t="str">
            <v>Carro de Corte não Funciona</v>
          </cell>
          <cell r="I404" t="str">
            <v>Corretiva</v>
          </cell>
          <cell r="J404" t="str">
            <v>Sim</v>
          </cell>
          <cell r="K404" t="str">
            <v>Elétrica</v>
          </cell>
          <cell r="L404" t="str">
            <v>Regulagem do Componente</v>
          </cell>
          <cell r="M404" t="str">
            <v>Causa não especificada</v>
          </cell>
          <cell r="N404">
            <v>37902</v>
          </cell>
          <cell r="O404">
            <v>0.65833333333333333</v>
          </cell>
          <cell r="P404">
            <v>37902</v>
          </cell>
          <cell r="Q404">
            <v>0.65833333333333333</v>
          </cell>
          <cell r="T404">
            <v>37902</v>
          </cell>
          <cell r="U404">
            <v>0.70138888888888884</v>
          </cell>
          <cell r="V404">
            <v>37902</v>
          </cell>
          <cell r="W404">
            <v>0.70138888888888884</v>
          </cell>
          <cell r="X404">
            <v>4.3055555555555514E-2</v>
          </cell>
          <cell r="Y404">
            <v>4.3055555557172442E-2</v>
          </cell>
          <cell r="AB404">
            <v>10</v>
          </cell>
          <cell r="AC404">
            <v>8</v>
          </cell>
          <cell r="AD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10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</row>
        <row r="405">
          <cell r="C405">
            <v>37848</v>
          </cell>
          <cell r="D405">
            <v>37928</v>
          </cell>
          <cell r="E405">
            <v>37914</v>
          </cell>
          <cell r="F405">
            <v>0.45833333333333331</v>
          </cell>
          <cell r="G405" t="str">
            <v>Perfiladora Dimeco Travesaños</v>
          </cell>
          <cell r="H405" t="str">
            <v>Serra não funciona</v>
          </cell>
          <cell r="I405" t="str">
            <v>Corretiva</v>
          </cell>
          <cell r="J405" t="str">
            <v>Sim</v>
          </cell>
          <cell r="K405" t="str">
            <v>Elétrica</v>
          </cell>
          <cell r="L405" t="str">
            <v>Regulagem do Componente</v>
          </cell>
          <cell r="M405" t="str">
            <v>Vibração</v>
          </cell>
          <cell r="N405">
            <v>37914</v>
          </cell>
          <cell r="O405">
            <v>0.45833333333333331</v>
          </cell>
          <cell r="P405">
            <v>37914</v>
          </cell>
          <cell r="Q405">
            <v>0.45833333333333331</v>
          </cell>
          <cell r="T405">
            <v>37914</v>
          </cell>
          <cell r="U405">
            <v>0.4861111111111111</v>
          </cell>
          <cell r="V405">
            <v>37914</v>
          </cell>
          <cell r="W405">
            <v>0.4861111111111111</v>
          </cell>
          <cell r="X405">
            <v>2.777777777777779E-2</v>
          </cell>
          <cell r="Y405">
            <v>2.7777777776160917E-2</v>
          </cell>
          <cell r="AB405">
            <v>10</v>
          </cell>
          <cell r="AC405">
            <v>8</v>
          </cell>
          <cell r="AD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10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</row>
        <row r="406">
          <cell r="C406">
            <v>37848</v>
          </cell>
          <cell r="D406">
            <v>37928</v>
          </cell>
          <cell r="E406">
            <v>37915</v>
          </cell>
          <cell r="F406">
            <v>0.41666666666666669</v>
          </cell>
          <cell r="G406" t="str">
            <v>Perfiladora Dimeco Travesaños</v>
          </cell>
          <cell r="H406" t="str">
            <v>Mordaça da serra enguiçando</v>
          </cell>
          <cell r="I406" t="str">
            <v>Corretiva</v>
          </cell>
          <cell r="J406" t="str">
            <v>Sim</v>
          </cell>
          <cell r="K406" t="str">
            <v>Elétrica</v>
          </cell>
          <cell r="L406" t="str">
            <v>Correção de mau contato</v>
          </cell>
          <cell r="M406" t="str">
            <v>Sujeira em excesso</v>
          </cell>
          <cell r="N406">
            <v>37915</v>
          </cell>
          <cell r="O406">
            <v>0.41666666666666669</v>
          </cell>
          <cell r="P406">
            <v>37915</v>
          </cell>
          <cell r="Q406">
            <v>0.41666666666666669</v>
          </cell>
          <cell r="T406">
            <v>37915</v>
          </cell>
          <cell r="U406">
            <v>0.44305555555555554</v>
          </cell>
          <cell r="V406">
            <v>37915</v>
          </cell>
          <cell r="W406">
            <v>0.44305555555555554</v>
          </cell>
          <cell r="X406">
            <v>2.6388888888888851E-2</v>
          </cell>
          <cell r="Y406">
            <v>2.6388888892446005E-2</v>
          </cell>
          <cell r="AB406">
            <v>10</v>
          </cell>
          <cell r="AC406">
            <v>8</v>
          </cell>
          <cell r="AD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10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</row>
        <row r="407">
          <cell r="C407">
            <v>37848</v>
          </cell>
          <cell r="D407">
            <v>37928</v>
          </cell>
          <cell r="E407">
            <v>37915</v>
          </cell>
          <cell r="F407">
            <v>0.4513888888888889</v>
          </cell>
          <cell r="G407" t="str">
            <v>Perfiladora Dimeco Travesaños</v>
          </cell>
          <cell r="H407" t="str">
            <v>Disco de serra requer troca</v>
          </cell>
          <cell r="I407" t="str">
            <v>Corretiva</v>
          </cell>
          <cell r="J407" t="str">
            <v>Sim</v>
          </cell>
          <cell r="K407" t="str">
            <v>Mecânica</v>
          </cell>
          <cell r="L407" t="str">
            <v>Substituição do(s) Componente(s)</v>
          </cell>
          <cell r="M407" t="str">
            <v>Desgaste / Fadiga</v>
          </cell>
          <cell r="N407">
            <v>37915</v>
          </cell>
          <cell r="O407">
            <v>0.4513888888888889</v>
          </cell>
          <cell r="P407">
            <v>37915</v>
          </cell>
          <cell r="Q407">
            <v>0.4513888888888889</v>
          </cell>
          <cell r="T407">
            <v>37915</v>
          </cell>
          <cell r="U407">
            <v>0.5</v>
          </cell>
          <cell r="V407">
            <v>37915</v>
          </cell>
          <cell r="W407">
            <v>0.5</v>
          </cell>
          <cell r="X407">
            <v>4.8611111111111105E-2</v>
          </cell>
          <cell r="Y407">
            <v>4.8611111111111105E-2</v>
          </cell>
          <cell r="AB407">
            <v>10</v>
          </cell>
          <cell r="AC407">
            <v>8</v>
          </cell>
          <cell r="AD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10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</row>
        <row r="408">
          <cell r="C408">
            <v>37848</v>
          </cell>
          <cell r="D408">
            <v>37928</v>
          </cell>
          <cell r="E408">
            <v>37918</v>
          </cell>
          <cell r="F408">
            <v>0.66666666666666663</v>
          </cell>
          <cell r="G408" t="str">
            <v>Perfiladora Dimeco Travesaños</v>
          </cell>
          <cell r="H408" t="str">
            <v>Disco de serra requer troca</v>
          </cell>
          <cell r="I408" t="str">
            <v>Corretiva</v>
          </cell>
          <cell r="J408" t="str">
            <v>Sim</v>
          </cell>
          <cell r="K408" t="str">
            <v>Mecânica</v>
          </cell>
          <cell r="L408" t="str">
            <v>Substituição do(s) Componente(s)</v>
          </cell>
          <cell r="M408" t="str">
            <v>Desgaste / Fadiga</v>
          </cell>
          <cell r="N408">
            <v>37918</v>
          </cell>
          <cell r="O408">
            <v>0.66666666666666663</v>
          </cell>
          <cell r="P408">
            <v>37918</v>
          </cell>
          <cell r="Q408">
            <v>0.66666666666666663</v>
          </cell>
          <cell r="T408">
            <v>37918</v>
          </cell>
          <cell r="U408">
            <v>0.69444444444444453</v>
          </cell>
          <cell r="V408">
            <v>37918</v>
          </cell>
          <cell r="W408">
            <v>0.69444444444444453</v>
          </cell>
          <cell r="X408">
            <v>2.7777777777777901E-2</v>
          </cell>
          <cell r="Y408">
            <v>2.7777777778586255E-2</v>
          </cell>
          <cell r="AB408">
            <v>10</v>
          </cell>
          <cell r="AC408">
            <v>8</v>
          </cell>
          <cell r="AD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10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</row>
        <row r="409">
          <cell r="C409">
            <v>37848</v>
          </cell>
          <cell r="I409">
            <v>0</v>
          </cell>
          <cell r="N409">
            <v>0</v>
          </cell>
          <cell r="P409">
            <v>0</v>
          </cell>
          <cell r="T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AB409">
            <v>0</v>
          </cell>
          <cell r="AC409">
            <v>8</v>
          </cell>
          <cell r="AD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</row>
        <row r="410">
          <cell r="C410">
            <v>37848</v>
          </cell>
          <cell r="D410">
            <v>37970</v>
          </cell>
          <cell r="E410">
            <v>37936</v>
          </cell>
          <cell r="F410">
            <v>37936</v>
          </cell>
          <cell r="G410">
            <v>0.37847222222222227</v>
          </cell>
          <cell r="H410" t="str">
            <v>Disco de serra requer troca</v>
          </cell>
          <cell r="I410">
            <v>0</v>
          </cell>
          <cell r="J410" t="str">
            <v>Sim</v>
          </cell>
          <cell r="K410" t="str">
            <v>Mecânica</v>
          </cell>
          <cell r="L410" t="str">
            <v>Sim</v>
          </cell>
          <cell r="M410" t="str">
            <v>Desgaste / Fadiga</v>
          </cell>
          <cell r="N410">
            <v>37936</v>
          </cell>
          <cell r="O410">
            <v>0.3888888888888889</v>
          </cell>
          <cell r="P410">
            <v>37936</v>
          </cell>
          <cell r="Q410">
            <v>0.3888888888888889</v>
          </cell>
          <cell r="T410">
            <v>37936</v>
          </cell>
          <cell r="U410">
            <v>0.41319444444444442</v>
          </cell>
          <cell r="V410">
            <v>37936</v>
          </cell>
          <cell r="W410">
            <v>0.41319444444444442</v>
          </cell>
          <cell r="X410">
            <v>2.4305555555555525E-2</v>
          </cell>
          <cell r="Y410">
            <v>2.4305555556363989E-2</v>
          </cell>
          <cell r="AB410">
            <v>11</v>
          </cell>
          <cell r="AC410">
            <v>8</v>
          </cell>
          <cell r="AD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11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</row>
        <row r="411">
          <cell r="C411">
            <v>37848</v>
          </cell>
          <cell r="D411">
            <v>38008</v>
          </cell>
          <cell r="E411">
            <v>38000</v>
          </cell>
          <cell r="F411">
            <v>0.3263888888888889</v>
          </cell>
          <cell r="G411" t="str">
            <v>Prensa Gijón</v>
          </cell>
          <cell r="H411" t="str">
            <v>Não funciona</v>
          </cell>
          <cell r="I411">
            <v>0</v>
          </cell>
          <cell r="J411" t="str">
            <v>Sim</v>
          </cell>
          <cell r="K411" t="str">
            <v>Elétrica</v>
          </cell>
          <cell r="L411" t="str">
            <v>Ajuste / Regulagem</v>
          </cell>
          <cell r="M411" t="str">
            <v>Alteração na Localização da Máquina</v>
          </cell>
          <cell r="N411">
            <v>0</v>
          </cell>
          <cell r="O411">
            <v>0.33333333333333331</v>
          </cell>
          <cell r="P411">
            <v>0</v>
          </cell>
          <cell r="T411">
            <v>0</v>
          </cell>
          <cell r="U411">
            <v>0.35416666666666669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AB411">
            <v>0</v>
          </cell>
          <cell r="AC411">
            <v>8</v>
          </cell>
          <cell r="AD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</row>
        <row r="412">
          <cell r="C412">
            <v>37848</v>
          </cell>
          <cell r="D412">
            <v>37970</v>
          </cell>
          <cell r="E412">
            <v>37946</v>
          </cell>
          <cell r="F412">
            <v>37946</v>
          </cell>
          <cell r="G412">
            <v>0.33333333333333331</v>
          </cell>
          <cell r="H412" t="str">
            <v>Suporte do sensor do carrinho da prensa quebrado</v>
          </cell>
          <cell r="I412">
            <v>0</v>
          </cell>
          <cell r="J412" t="str">
            <v>Não</v>
          </cell>
          <cell r="K412" t="str">
            <v>Mecânica</v>
          </cell>
          <cell r="L412" t="str">
            <v>Não</v>
          </cell>
          <cell r="M412" t="str">
            <v>Falha de Regulagem / Configuração / Dimensionamento</v>
          </cell>
          <cell r="N412">
            <v>37946</v>
          </cell>
          <cell r="O412">
            <v>0.41666666666666669</v>
          </cell>
          <cell r="P412">
            <v>37946</v>
          </cell>
          <cell r="Q412">
            <v>0.41666666666666669</v>
          </cell>
          <cell r="T412">
            <v>37946</v>
          </cell>
          <cell r="U412">
            <v>0.45833333333333331</v>
          </cell>
          <cell r="V412">
            <v>37946</v>
          </cell>
          <cell r="W412">
            <v>0.45833333333333331</v>
          </cell>
          <cell r="X412">
            <v>4.1666666669091967E-2</v>
          </cell>
          <cell r="Y412">
            <v>4.1666666669091967E-2</v>
          </cell>
          <cell r="AB412">
            <v>11</v>
          </cell>
          <cell r="AC412">
            <v>8</v>
          </cell>
          <cell r="AD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11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</row>
        <row r="413">
          <cell r="C413">
            <v>37848</v>
          </cell>
          <cell r="D413">
            <v>37970</v>
          </cell>
          <cell r="E413">
            <v>37950</v>
          </cell>
          <cell r="F413">
            <v>37950</v>
          </cell>
          <cell r="G413">
            <v>0.7583333333333333</v>
          </cell>
          <cell r="H413" t="str">
            <v>Vazamento de óleo no varão do parafuso de fixação da máquina</v>
          </cell>
          <cell r="I413">
            <v>0</v>
          </cell>
          <cell r="J413" t="str">
            <v>Não</v>
          </cell>
          <cell r="K413" t="str">
            <v>Mecânica</v>
          </cell>
          <cell r="L413" t="str">
            <v>Não</v>
          </cell>
          <cell r="M413" t="str">
            <v>Vibração</v>
          </cell>
          <cell r="N413">
            <v>37950</v>
          </cell>
          <cell r="O413">
            <v>0.8125</v>
          </cell>
          <cell r="P413">
            <v>37950</v>
          </cell>
          <cell r="Q413">
            <v>0.8125</v>
          </cell>
          <cell r="T413">
            <v>37950</v>
          </cell>
          <cell r="U413">
            <v>0.83333333333333337</v>
          </cell>
          <cell r="V413">
            <v>37950</v>
          </cell>
          <cell r="W413">
            <v>0.83333333333333337</v>
          </cell>
          <cell r="X413">
            <v>2.0833333335758653E-2</v>
          </cell>
          <cell r="Y413">
            <v>2.0833333335758653E-2</v>
          </cell>
          <cell r="AB413">
            <v>11</v>
          </cell>
          <cell r="AC413">
            <v>8</v>
          </cell>
          <cell r="AD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11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</row>
        <row r="414">
          <cell r="C414">
            <v>37848</v>
          </cell>
          <cell r="I414">
            <v>0</v>
          </cell>
          <cell r="N414">
            <v>0</v>
          </cell>
          <cell r="P414">
            <v>0</v>
          </cell>
          <cell r="T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AB414">
            <v>0</v>
          </cell>
          <cell r="AC414">
            <v>8</v>
          </cell>
          <cell r="AD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</row>
        <row r="415">
          <cell r="C415">
            <v>37848</v>
          </cell>
          <cell r="I415">
            <v>0</v>
          </cell>
          <cell r="N415">
            <v>0</v>
          </cell>
          <cell r="P415">
            <v>0</v>
          </cell>
          <cell r="T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AB415">
            <v>0</v>
          </cell>
          <cell r="AC415">
            <v>8</v>
          </cell>
          <cell r="AD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</row>
        <row r="416">
          <cell r="C416">
            <v>37848</v>
          </cell>
          <cell r="I416">
            <v>0</v>
          </cell>
          <cell r="N416">
            <v>0</v>
          </cell>
          <cell r="P416">
            <v>0</v>
          </cell>
          <cell r="T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AB416">
            <v>0</v>
          </cell>
          <cell r="AC416">
            <v>8</v>
          </cell>
          <cell r="AD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</row>
        <row r="417">
          <cell r="C417">
            <v>37854</v>
          </cell>
          <cell r="I417">
            <v>0</v>
          </cell>
          <cell r="N417">
            <v>0</v>
          </cell>
          <cell r="P417">
            <v>0</v>
          </cell>
          <cell r="T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AB417">
            <v>0</v>
          </cell>
          <cell r="AC417">
            <v>8</v>
          </cell>
          <cell r="AD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</row>
        <row r="418">
          <cell r="C418">
            <v>37854</v>
          </cell>
          <cell r="D418">
            <v>37970</v>
          </cell>
          <cell r="E418">
            <v>37959</v>
          </cell>
          <cell r="F418">
            <v>0.59027777777777779</v>
          </cell>
          <cell r="G418" t="str">
            <v>Linha de Pintura 8,5m</v>
          </cell>
          <cell r="H418" t="str">
            <v>Problema no carrinho hidráulico</v>
          </cell>
          <cell r="I418">
            <v>0</v>
          </cell>
          <cell r="J418" t="str">
            <v>Não</v>
          </cell>
          <cell r="K418" t="str">
            <v>Mecânica</v>
          </cell>
          <cell r="L418" t="str">
            <v>Reparo</v>
          </cell>
          <cell r="M418" t="str">
            <v>Falta de Lubrificação</v>
          </cell>
          <cell r="N418">
            <v>37959</v>
          </cell>
          <cell r="O418">
            <v>0.59375</v>
          </cell>
          <cell r="P418">
            <v>0</v>
          </cell>
          <cell r="T418">
            <v>37959</v>
          </cell>
          <cell r="U418">
            <v>0.63888888888888895</v>
          </cell>
          <cell r="V418">
            <v>0</v>
          </cell>
          <cell r="W418">
            <v>4.5138888890505768E-2</v>
          </cell>
          <cell r="X418">
            <v>0</v>
          </cell>
          <cell r="Y418">
            <v>0</v>
          </cell>
          <cell r="AB418">
            <v>12</v>
          </cell>
          <cell r="AC418">
            <v>8</v>
          </cell>
          <cell r="AD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12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</row>
        <row r="419">
          <cell r="C419">
            <v>37854</v>
          </cell>
          <cell r="D419">
            <v>37970</v>
          </cell>
          <cell r="E419">
            <v>37937</v>
          </cell>
          <cell r="F419">
            <v>0.72569444444444453</v>
          </cell>
          <cell r="G419" t="str">
            <v>Linha de Pintura 8,5m</v>
          </cell>
          <cell r="H419" t="str">
            <v>Anomalia no Queimador do Fosfato</v>
          </cell>
          <cell r="I419">
            <v>0</v>
          </cell>
          <cell r="J419" t="str">
            <v>Sim</v>
          </cell>
          <cell r="K419" t="str">
            <v>Elétrica</v>
          </cell>
          <cell r="L419" t="str">
            <v>Limpeza do Equipamento / Componente</v>
          </cell>
          <cell r="M419" t="str">
            <v>Sujeira em excesso</v>
          </cell>
          <cell r="N419">
            <v>37937</v>
          </cell>
          <cell r="O419">
            <v>0.73611111111111116</v>
          </cell>
          <cell r="P419">
            <v>0</v>
          </cell>
          <cell r="T419">
            <v>37937</v>
          </cell>
          <cell r="U419">
            <v>0.75763888888888886</v>
          </cell>
          <cell r="V419">
            <v>0</v>
          </cell>
          <cell r="W419">
            <v>3.1944444447516429E-2</v>
          </cell>
          <cell r="X419">
            <v>0</v>
          </cell>
          <cell r="Y419">
            <v>0</v>
          </cell>
          <cell r="AB419">
            <v>11</v>
          </cell>
          <cell r="AC419">
            <v>8</v>
          </cell>
          <cell r="AD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11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</row>
        <row r="420">
          <cell r="C420">
            <v>37854</v>
          </cell>
          <cell r="D420">
            <v>37970</v>
          </cell>
          <cell r="E420">
            <v>37956</v>
          </cell>
          <cell r="F420">
            <v>0.75</v>
          </cell>
          <cell r="G420" t="str">
            <v>Equipamentos diversos</v>
          </cell>
          <cell r="H420" t="str">
            <v>Problema na máquina de pressão WAP</v>
          </cell>
          <cell r="I420">
            <v>0</v>
          </cell>
          <cell r="J420" t="str">
            <v>Sim</v>
          </cell>
          <cell r="K420" t="str">
            <v>Elétrica</v>
          </cell>
          <cell r="L420" t="str">
            <v>Substituição do(s) Componente(s)</v>
          </cell>
          <cell r="M420" t="str">
            <v>Sobrecarga</v>
          </cell>
          <cell r="N420">
            <v>37956</v>
          </cell>
          <cell r="O420">
            <v>0.75</v>
          </cell>
          <cell r="P420">
            <v>0</v>
          </cell>
          <cell r="T420">
            <v>37956</v>
          </cell>
          <cell r="U420">
            <v>0.78125</v>
          </cell>
          <cell r="V420">
            <v>0</v>
          </cell>
          <cell r="W420">
            <v>3.125E-2</v>
          </cell>
          <cell r="X420">
            <v>0</v>
          </cell>
          <cell r="Y420">
            <v>0</v>
          </cell>
          <cell r="AB420">
            <v>12</v>
          </cell>
          <cell r="AC420">
            <v>8</v>
          </cell>
          <cell r="AD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12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</row>
        <row r="421">
          <cell r="C421">
            <v>37854</v>
          </cell>
          <cell r="D421">
            <v>38008</v>
          </cell>
          <cell r="E421">
            <v>37957</v>
          </cell>
          <cell r="F421">
            <v>0.33333333333333331</v>
          </cell>
          <cell r="G421" t="str">
            <v>Linha de Pintura 8,5m</v>
          </cell>
          <cell r="H421" t="str">
            <v>Parada constante no elevador (Parô 03)</v>
          </cell>
          <cell r="I421">
            <v>0</v>
          </cell>
          <cell r="J421" t="str">
            <v>Não</v>
          </cell>
          <cell r="K421" t="str">
            <v>Mecânica</v>
          </cell>
          <cell r="L421" t="str">
            <v>Ajuste / Regulagem</v>
          </cell>
          <cell r="M421" t="str">
            <v>Falha de Ajuste / Parâmetros</v>
          </cell>
          <cell r="N421">
            <v>0</v>
          </cell>
          <cell r="O421">
            <v>0.35416666666666669</v>
          </cell>
          <cell r="P421">
            <v>0</v>
          </cell>
          <cell r="T421">
            <v>0</v>
          </cell>
          <cell r="U421">
            <v>0.39583333333333331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AB421">
            <v>0</v>
          </cell>
          <cell r="AC421">
            <v>8</v>
          </cell>
          <cell r="AD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</row>
        <row r="422">
          <cell r="C422">
            <v>37854</v>
          </cell>
          <cell r="D422">
            <v>37970</v>
          </cell>
          <cell r="E422">
            <v>37935</v>
          </cell>
          <cell r="F422">
            <v>37935</v>
          </cell>
          <cell r="G422">
            <v>0.53125</v>
          </cell>
          <cell r="H422" t="str">
            <v>Parafuso do motor 01 quebrado</v>
          </cell>
          <cell r="I422">
            <v>0</v>
          </cell>
          <cell r="J422" t="str">
            <v>Sim</v>
          </cell>
          <cell r="K422" t="str">
            <v>Mecânica</v>
          </cell>
          <cell r="L422" t="str">
            <v>Sim</v>
          </cell>
          <cell r="M422" t="str">
            <v>Falha de Comando / Sistema</v>
          </cell>
          <cell r="N422">
            <v>37935</v>
          </cell>
          <cell r="O422">
            <v>0.53819444444444442</v>
          </cell>
          <cell r="P422">
            <v>37935</v>
          </cell>
          <cell r="Q422">
            <v>0.53819444444444442</v>
          </cell>
          <cell r="T422">
            <v>37935</v>
          </cell>
          <cell r="U422">
            <v>0.55208333333333337</v>
          </cell>
          <cell r="V422">
            <v>37935</v>
          </cell>
          <cell r="W422">
            <v>0.55208333333333337</v>
          </cell>
          <cell r="X422">
            <v>1.3888888888888951E-2</v>
          </cell>
          <cell r="Y422">
            <v>1.3888888891314233E-2</v>
          </cell>
          <cell r="AB422">
            <v>11</v>
          </cell>
          <cell r="AC422">
            <v>8</v>
          </cell>
          <cell r="AD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11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</row>
        <row r="423">
          <cell r="C423">
            <v>37854</v>
          </cell>
          <cell r="D423">
            <v>37993</v>
          </cell>
          <cell r="E423">
            <v>37936</v>
          </cell>
          <cell r="F423">
            <v>0.625</v>
          </cell>
          <cell r="G423" t="str">
            <v>Linha de Pintura 8,5m</v>
          </cell>
          <cell r="H423" t="str">
            <v>Módulo apresenta mau contato</v>
          </cell>
          <cell r="I423">
            <v>0</v>
          </cell>
          <cell r="J423" t="str">
            <v>Não</v>
          </cell>
          <cell r="K423" t="str">
            <v>Elétrica</v>
          </cell>
          <cell r="L423" t="str">
            <v>Reaperto dos componentes</v>
          </cell>
          <cell r="M423" t="str">
            <v>Vibração</v>
          </cell>
          <cell r="N423">
            <v>0</v>
          </cell>
          <cell r="O423">
            <v>0.625</v>
          </cell>
          <cell r="P423">
            <v>0</v>
          </cell>
          <cell r="T423">
            <v>0</v>
          </cell>
          <cell r="U423">
            <v>0.66666666666666663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AB423">
            <v>0</v>
          </cell>
          <cell r="AC423">
            <v>8</v>
          </cell>
          <cell r="AD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</row>
        <row r="424">
          <cell r="C424">
            <v>37854</v>
          </cell>
          <cell r="I424">
            <v>0</v>
          </cell>
          <cell r="N424">
            <v>0</v>
          </cell>
          <cell r="P424">
            <v>0</v>
          </cell>
          <cell r="T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AB424">
            <v>0</v>
          </cell>
          <cell r="AC424">
            <v>8</v>
          </cell>
          <cell r="AD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</row>
        <row r="425">
          <cell r="C425">
            <v>37854</v>
          </cell>
          <cell r="D425">
            <v>37970</v>
          </cell>
          <cell r="E425">
            <v>37935</v>
          </cell>
          <cell r="F425">
            <v>37935</v>
          </cell>
          <cell r="G425">
            <v>0.77083333333333337</v>
          </cell>
          <cell r="H425" t="str">
            <v>Bastidor Travado</v>
          </cell>
          <cell r="I425">
            <v>0</v>
          </cell>
          <cell r="J425" t="str">
            <v>Sim</v>
          </cell>
          <cell r="K425" t="str">
            <v>Mecânica</v>
          </cell>
          <cell r="L425" t="str">
            <v>Sim</v>
          </cell>
          <cell r="M425" t="str">
            <v>Falha de Regulagem / Configuração / Dimensionamento</v>
          </cell>
          <cell r="N425">
            <v>37935</v>
          </cell>
          <cell r="O425">
            <v>0.77083333333333337</v>
          </cell>
          <cell r="P425">
            <v>37935</v>
          </cell>
          <cell r="Q425">
            <v>0.77083333333333337</v>
          </cell>
          <cell r="T425">
            <v>37935</v>
          </cell>
          <cell r="U425">
            <v>0.85416666666666663</v>
          </cell>
          <cell r="V425">
            <v>37935</v>
          </cell>
          <cell r="W425">
            <v>0.85416666666666663</v>
          </cell>
          <cell r="X425">
            <v>8.3333333333333259E-2</v>
          </cell>
          <cell r="Y425">
            <v>8.3333333330907977E-2</v>
          </cell>
          <cell r="AB425">
            <v>11</v>
          </cell>
          <cell r="AC425">
            <v>8</v>
          </cell>
          <cell r="AD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11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</row>
        <row r="426">
          <cell r="C426">
            <v>37854</v>
          </cell>
          <cell r="D426">
            <v>37993</v>
          </cell>
          <cell r="E426">
            <v>37960</v>
          </cell>
          <cell r="F426">
            <v>0.58333333333333337</v>
          </cell>
          <cell r="G426" t="str">
            <v>Linha de Pintura 8,5m</v>
          </cell>
          <cell r="H426" t="str">
            <v>parada constante no elevador de descarga</v>
          </cell>
          <cell r="I426">
            <v>0</v>
          </cell>
          <cell r="J426" t="str">
            <v>Sim</v>
          </cell>
          <cell r="K426" t="str">
            <v>Mecânica</v>
          </cell>
          <cell r="L426" t="str">
            <v>Ajuste / Regulagem</v>
          </cell>
          <cell r="M426" t="str">
            <v>Falha de Regulagem / Configuração / Dimensionamento</v>
          </cell>
          <cell r="N426">
            <v>0</v>
          </cell>
          <cell r="O426">
            <v>0.58333333333333337</v>
          </cell>
          <cell r="P426">
            <v>0</v>
          </cell>
          <cell r="T426">
            <v>0</v>
          </cell>
          <cell r="U426">
            <v>0.625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AB426">
            <v>0</v>
          </cell>
          <cell r="AC426">
            <v>8</v>
          </cell>
          <cell r="AD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</row>
        <row r="427">
          <cell r="C427">
            <v>37854</v>
          </cell>
          <cell r="D427">
            <v>37970</v>
          </cell>
          <cell r="E427">
            <v>37946</v>
          </cell>
          <cell r="F427">
            <v>0.33333333333333331</v>
          </cell>
          <cell r="G427" t="str">
            <v>Linha de Pintura 8,5m</v>
          </cell>
          <cell r="H427" t="str">
            <v>Problema no solenóide e bóia do tanque de fosfato</v>
          </cell>
          <cell r="I427">
            <v>0</v>
          </cell>
          <cell r="J427" t="str">
            <v>Não</v>
          </cell>
          <cell r="K427" t="str">
            <v>Mecânica</v>
          </cell>
          <cell r="L427" t="str">
            <v>Limpeza do Equipamento / Componente</v>
          </cell>
          <cell r="M427" t="str">
            <v>Sujeira em excesso</v>
          </cell>
          <cell r="N427">
            <v>37946</v>
          </cell>
          <cell r="O427">
            <v>0.34027777777777773</v>
          </cell>
          <cell r="P427">
            <v>0</v>
          </cell>
          <cell r="T427">
            <v>37946</v>
          </cell>
          <cell r="U427">
            <v>0.36805555555555558</v>
          </cell>
          <cell r="V427">
            <v>0</v>
          </cell>
          <cell r="W427">
            <v>2.7777777776969381E-2</v>
          </cell>
          <cell r="X427">
            <v>0</v>
          </cell>
          <cell r="Y427">
            <v>0</v>
          </cell>
          <cell r="AB427">
            <v>11</v>
          </cell>
          <cell r="AC427">
            <v>8</v>
          </cell>
          <cell r="AD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11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</row>
        <row r="428">
          <cell r="C428">
            <v>37854</v>
          </cell>
          <cell r="I428">
            <v>0</v>
          </cell>
          <cell r="N428">
            <v>0</v>
          </cell>
          <cell r="P428">
            <v>0</v>
          </cell>
          <cell r="T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AB428">
            <v>0</v>
          </cell>
          <cell r="AC428">
            <v>8</v>
          </cell>
          <cell r="AD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</row>
        <row r="429">
          <cell r="C429">
            <v>37854</v>
          </cell>
          <cell r="D429">
            <v>37970</v>
          </cell>
          <cell r="E429">
            <v>37950</v>
          </cell>
          <cell r="F429">
            <v>37950</v>
          </cell>
          <cell r="G429">
            <v>0.33333333333333331</v>
          </cell>
          <cell r="H429" t="str">
            <v>Eliminar vazamento de ar no transportador aéreo</v>
          </cell>
          <cell r="I429">
            <v>0</v>
          </cell>
          <cell r="J429" t="str">
            <v>Não</v>
          </cell>
          <cell r="K429" t="str">
            <v>Mecânica</v>
          </cell>
          <cell r="L429" t="str">
            <v>Não</v>
          </cell>
          <cell r="M429" t="str">
            <v>Desgaste / Fadiga</v>
          </cell>
          <cell r="N429">
            <v>37950</v>
          </cell>
          <cell r="O429">
            <v>0.34722222222222227</v>
          </cell>
          <cell r="P429">
            <v>37950</v>
          </cell>
          <cell r="Q429">
            <v>0.34722222222222227</v>
          </cell>
          <cell r="T429">
            <v>37950</v>
          </cell>
          <cell r="U429">
            <v>0.38194444444444442</v>
          </cell>
          <cell r="V429">
            <v>37950</v>
          </cell>
          <cell r="W429">
            <v>0.38194444444444442</v>
          </cell>
          <cell r="X429">
            <v>3.4722222223030619E-2</v>
          </cell>
          <cell r="Y429">
            <v>3.4722222223030619E-2</v>
          </cell>
          <cell r="AB429">
            <v>11</v>
          </cell>
          <cell r="AC429">
            <v>8</v>
          </cell>
          <cell r="AD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11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</row>
        <row r="430">
          <cell r="C430">
            <v>37854</v>
          </cell>
          <cell r="D430">
            <v>37970</v>
          </cell>
          <cell r="E430">
            <v>37951</v>
          </cell>
          <cell r="F430">
            <v>37951</v>
          </cell>
          <cell r="G430">
            <v>0.41666666666666669</v>
          </cell>
          <cell r="H430" t="str">
            <v>Problema no engate rápido do Venturi</v>
          </cell>
          <cell r="I430">
            <v>0</v>
          </cell>
          <cell r="J430" t="str">
            <v>Não</v>
          </cell>
          <cell r="K430" t="str">
            <v>Mecânica</v>
          </cell>
          <cell r="L430" t="str">
            <v>Não</v>
          </cell>
          <cell r="M430" t="str">
            <v>Desgaste / Fadiga</v>
          </cell>
          <cell r="N430">
            <v>37951</v>
          </cell>
          <cell r="O430">
            <v>0.4236111111111111</v>
          </cell>
          <cell r="P430">
            <v>37951</v>
          </cell>
          <cell r="Q430">
            <v>0.4236111111111111</v>
          </cell>
          <cell r="T430">
            <v>37951</v>
          </cell>
          <cell r="U430">
            <v>0.44791666666666669</v>
          </cell>
          <cell r="V430">
            <v>37951</v>
          </cell>
          <cell r="W430">
            <v>0.44791666666666669</v>
          </cell>
          <cell r="X430">
            <v>2.4305555553130243E-2</v>
          </cell>
          <cell r="Y430">
            <v>2.4305555553130243E-2</v>
          </cell>
          <cell r="AB430">
            <v>11</v>
          </cell>
          <cell r="AC430">
            <v>8</v>
          </cell>
          <cell r="AD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11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</row>
        <row r="431">
          <cell r="C431">
            <v>37854</v>
          </cell>
          <cell r="D431">
            <v>37993</v>
          </cell>
          <cell r="E431">
            <v>37901</v>
          </cell>
          <cell r="F431">
            <v>37901</v>
          </cell>
          <cell r="G431">
            <v>0.41666666666666669</v>
          </cell>
          <cell r="H431" t="str">
            <v>Mau contato na pistola manual</v>
          </cell>
          <cell r="I431">
            <v>0</v>
          </cell>
          <cell r="J431" t="str">
            <v>Não</v>
          </cell>
          <cell r="K431" t="str">
            <v>Elétrica</v>
          </cell>
          <cell r="L431" t="str">
            <v>Não</v>
          </cell>
          <cell r="M431" t="str">
            <v>Falha de Comando / Sistema</v>
          </cell>
          <cell r="N431">
            <v>37901</v>
          </cell>
          <cell r="O431">
            <v>0.41666666666666669</v>
          </cell>
          <cell r="P431">
            <v>0</v>
          </cell>
          <cell r="Q431">
            <v>0.45833333333333331</v>
          </cell>
          <cell r="R431">
            <v>37907</v>
          </cell>
          <cell r="S431">
            <v>0.41666666666666669</v>
          </cell>
          <cell r="T431">
            <v>0</v>
          </cell>
          <cell r="U431">
            <v>0.45833333333333331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AB431">
            <v>0</v>
          </cell>
          <cell r="AC431">
            <v>8</v>
          </cell>
          <cell r="AD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1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</row>
        <row r="432">
          <cell r="C432">
            <v>37854</v>
          </cell>
          <cell r="I432">
            <v>0</v>
          </cell>
          <cell r="N432">
            <v>0</v>
          </cell>
          <cell r="P432">
            <v>0</v>
          </cell>
          <cell r="T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AB432">
            <v>0</v>
          </cell>
          <cell r="AC432">
            <v>8</v>
          </cell>
          <cell r="AD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</row>
        <row r="433">
          <cell r="C433">
            <v>37854</v>
          </cell>
          <cell r="D433">
            <v>37970</v>
          </cell>
          <cell r="E433">
            <v>37952</v>
          </cell>
          <cell r="F433">
            <v>37952</v>
          </cell>
          <cell r="G433">
            <v>0.33333333333333331</v>
          </cell>
          <cell r="H433" t="str">
            <v>Rotâmetro do túnel de tratamento apresenta sujeira em excesso</v>
          </cell>
          <cell r="I433">
            <v>0</v>
          </cell>
          <cell r="J433" t="str">
            <v>Não</v>
          </cell>
          <cell r="K433" t="str">
            <v>Mecânica</v>
          </cell>
          <cell r="L433" t="str">
            <v>Sim</v>
          </cell>
          <cell r="M433" t="str">
            <v>Sujeira em excesso</v>
          </cell>
          <cell r="N433">
            <v>37953</v>
          </cell>
          <cell r="O433">
            <v>0.34375</v>
          </cell>
          <cell r="P433">
            <v>37953</v>
          </cell>
          <cell r="Q433">
            <v>0.34375</v>
          </cell>
          <cell r="T433">
            <v>37953</v>
          </cell>
          <cell r="U433">
            <v>0.375</v>
          </cell>
          <cell r="V433">
            <v>37953</v>
          </cell>
          <cell r="W433">
            <v>0.375</v>
          </cell>
          <cell r="X433">
            <v>3.125E-2</v>
          </cell>
          <cell r="Y433">
            <v>3.125E-2</v>
          </cell>
          <cell r="AB433">
            <v>11</v>
          </cell>
          <cell r="AC433">
            <v>8</v>
          </cell>
          <cell r="AD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11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</row>
        <row r="434">
          <cell r="C434">
            <v>37854</v>
          </cell>
          <cell r="D434">
            <v>37970</v>
          </cell>
          <cell r="E434">
            <v>37953</v>
          </cell>
          <cell r="F434">
            <v>0.33333333333333331</v>
          </cell>
          <cell r="G434" t="str">
            <v>Linha de Pintura 8,5m</v>
          </cell>
          <cell r="H434" t="str">
            <v>Peneira do peneirador inadequada (muito fina)</v>
          </cell>
          <cell r="I434">
            <v>0</v>
          </cell>
          <cell r="J434" t="str">
            <v>Não</v>
          </cell>
          <cell r="K434" t="str">
            <v>Mecânica</v>
          </cell>
          <cell r="L434" t="str">
            <v>Substituição do(s) Componente(s)</v>
          </cell>
          <cell r="M434" t="str">
            <v>Umidade em excesso</v>
          </cell>
          <cell r="N434">
            <v>37957</v>
          </cell>
          <cell r="O434">
            <v>0.52777777777777779</v>
          </cell>
          <cell r="P434">
            <v>0</v>
          </cell>
          <cell r="T434">
            <v>37957</v>
          </cell>
          <cell r="U434">
            <v>0.55555555555555558</v>
          </cell>
          <cell r="V434">
            <v>0</v>
          </cell>
          <cell r="W434">
            <v>2.7777777776969326E-2</v>
          </cell>
          <cell r="X434">
            <v>0</v>
          </cell>
          <cell r="Y434">
            <v>0</v>
          </cell>
          <cell r="AB434">
            <v>12</v>
          </cell>
          <cell r="AC434">
            <v>8</v>
          </cell>
          <cell r="AD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12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</row>
        <row r="435">
          <cell r="C435">
            <v>37854</v>
          </cell>
          <cell r="D435">
            <v>37970</v>
          </cell>
          <cell r="E435">
            <v>37953</v>
          </cell>
          <cell r="F435">
            <v>0.41666666666666669</v>
          </cell>
          <cell r="G435" t="str">
            <v>Linha de Pintura 8,5m</v>
          </cell>
          <cell r="H435" t="str">
            <v>Mau contato no módulo Nº 03</v>
          </cell>
          <cell r="I435">
            <v>0</v>
          </cell>
          <cell r="J435" t="str">
            <v>Não</v>
          </cell>
          <cell r="K435" t="str">
            <v>Elétrica</v>
          </cell>
          <cell r="L435" t="str">
            <v>Limpeza do Equipamento / Componente</v>
          </cell>
          <cell r="M435" t="str">
            <v>Sujeira em excesso</v>
          </cell>
          <cell r="N435">
            <v>37953</v>
          </cell>
          <cell r="O435">
            <v>0.4375</v>
          </cell>
          <cell r="P435">
            <v>0</v>
          </cell>
          <cell r="T435">
            <v>37953</v>
          </cell>
          <cell r="U435">
            <v>0.47222222222222227</v>
          </cell>
          <cell r="V435">
            <v>0</v>
          </cell>
          <cell r="W435">
            <v>3.4722222218988463E-2</v>
          </cell>
          <cell r="X435">
            <v>0</v>
          </cell>
          <cell r="Y435">
            <v>0</v>
          </cell>
          <cell r="AB435">
            <v>11</v>
          </cell>
          <cell r="AC435">
            <v>8</v>
          </cell>
          <cell r="AD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11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</row>
        <row r="436">
          <cell r="C436">
            <v>37854</v>
          </cell>
          <cell r="D436">
            <v>37881</v>
          </cell>
          <cell r="E436">
            <v>37874</v>
          </cell>
          <cell r="F436">
            <v>0.375</v>
          </cell>
          <cell r="G436" t="str">
            <v>Linha de Pintura 8,5m</v>
          </cell>
          <cell r="H436" t="str">
            <v>Falha na chama do queimador do fosfato</v>
          </cell>
          <cell r="I436" t="str">
            <v>Corretiva</v>
          </cell>
          <cell r="J436" t="str">
            <v>Sim</v>
          </cell>
          <cell r="K436" t="str">
            <v>Elétrica</v>
          </cell>
          <cell r="L436" t="str">
            <v>Reinicialização do Equipamento / Componente</v>
          </cell>
          <cell r="M436" t="str">
            <v>Falha de Comando / Sistema</v>
          </cell>
          <cell r="N436">
            <v>37874</v>
          </cell>
          <cell r="O436">
            <v>0.38194444444444442</v>
          </cell>
          <cell r="P436">
            <v>37874</v>
          </cell>
          <cell r="Q436">
            <v>0.38194444444444442</v>
          </cell>
          <cell r="T436">
            <v>37874</v>
          </cell>
          <cell r="U436">
            <v>0.40277777777777773</v>
          </cell>
          <cell r="V436">
            <v>37874</v>
          </cell>
          <cell r="W436">
            <v>0.40277777777777773</v>
          </cell>
          <cell r="X436">
            <v>2.0833333333333315E-2</v>
          </cell>
          <cell r="Y436">
            <v>2.0833333336567117E-2</v>
          </cell>
          <cell r="AB436">
            <v>9</v>
          </cell>
          <cell r="AC436">
            <v>8</v>
          </cell>
          <cell r="AD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9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</row>
        <row r="437">
          <cell r="C437">
            <v>37858</v>
          </cell>
          <cell r="D437">
            <v>37867</v>
          </cell>
          <cell r="E437">
            <v>37839</v>
          </cell>
          <cell r="F437">
            <v>0.25</v>
          </cell>
          <cell r="G437" t="str">
            <v>Linha de Pintura 15m</v>
          </cell>
          <cell r="H437" t="str">
            <v>Peneira do fosfato Rompida</v>
          </cell>
          <cell r="I437" t="str">
            <v>Corretiva</v>
          </cell>
          <cell r="J437" t="str">
            <v>Não</v>
          </cell>
          <cell r="K437" t="str">
            <v>Mecânica</v>
          </cell>
          <cell r="L437" t="str">
            <v>Reparo</v>
          </cell>
          <cell r="M437" t="str">
            <v>Desgaste / Fadiga</v>
          </cell>
          <cell r="N437">
            <v>37839</v>
          </cell>
          <cell r="O437">
            <v>0.25</v>
          </cell>
          <cell r="P437">
            <v>37839</v>
          </cell>
          <cell r="Q437">
            <v>0.25</v>
          </cell>
          <cell r="T437">
            <v>37839</v>
          </cell>
          <cell r="U437">
            <v>0.3125</v>
          </cell>
          <cell r="V437">
            <v>37839</v>
          </cell>
          <cell r="W437">
            <v>0.3125</v>
          </cell>
          <cell r="X437">
            <v>6.25E-2</v>
          </cell>
          <cell r="Y437">
            <v>6.25E-2</v>
          </cell>
          <cell r="AB437">
            <v>8</v>
          </cell>
          <cell r="AC437">
            <v>8</v>
          </cell>
          <cell r="AD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8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</row>
        <row r="438">
          <cell r="C438">
            <v>37858</v>
          </cell>
          <cell r="D438">
            <v>37900</v>
          </cell>
          <cell r="E438">
            <v>37859</v>
          </cell>
          <cell r="F438">
            <v>0.41666666666666669</v>
          </cell>
          <cell r="G438" t="str">
            <v>Linha de Pintura 15m</v>
          </cell>
          <cell r="H438" t="str">
            <v>Pistola de Líquido parada</v>
          </cell>
          <cell r="I438" t="str">
            <v>Corretiva</v>
          </cell>
          <cell r="J438" t="str">
            <v>Não</v>
          </cell>
          <cell r="K438" t="str">
            <v>Mecânica</v>
          </cell>
          <cell r="L438" t="str">
            <v>Reparo</v>
          </cell>
          <cell r="M438" t="str">
            <v>Desgaste / Fadiga</v>
          </cell>
          <cell r="N438">
            <v>37859</v>
          </cell>
          <cell r="O438">
            <v>0.41666666666666669</v>
          </cell>
          <cell r="P438">
            <v>37859</v>
          </cell>
          <cell r="Q438">
            <v>0.4375</v>
          </cell>
          <cell r="R438">
            <v>37880</v>
          </cell>
          <cell r="S438">
            <v>0.375</v>
          </cell>
          <cell r="T438">
            <v>37881</v>
          </cell>
          <cell r="U438">
            <v>0.33333333333333331</v>
          </cell>
          <cell r="V438">
            <v>0</v>
          </cell>
          <cell r="W438">
            <v>0.97916666666666652</v>
          </cell>
          <cell r="X438">
            <v>0.97916666666666652</v>
          </cell>
          <cell r="Y438">
            <v>0.97916666666666652</v>
          </cell>
          <cell r="AB438">
            <v>9</v>
          </cell>
          <cell r="AC438">
            <v>8</v>
          </cell>
          <cell r="AD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9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</row>
        <row r="439">
          <cell r="C439">
            <v>37858</v>
          </cell>
          <cell r="D439">
            <v>37900</v>
          </cell>
          <cell r="E439">
            <v>37873</v>
          </cell>
          <cell r="F439">
            <v>0.47916666666666669</v>
          </cell>
          <cell r="G439" t="str">
            <v>Linha de Pintura 15m</v>
          </cell>
          <cell r="H439" t="str">
            <v>Venturis do Recuperador de pó danificados</v>
          </cell>
          <cell r="I439" t="str">
            <v>Corretiva</v>
          </cell>
          <cell r="J439" t="str">
            <v>Não</v>
          </cell>
          <cell r="K439" t="str">
            <v>Mecânica</v>
          </cell>
          <cell r="L439" t="str">
            <v>Substituição do(s) Componente(s)</v>
          </cell>
          <cell r="M439" t="str">
            <v>Defeito de Fabricação</v>
          </cell>
          <cell r="N439">
            <v>37886</v>
          </cell>
          <cell r="O439">
            <v>0.41666666666666669</v>
          </cell>
          <cell r="P439">
            <v>37886</v>
          </cell>
          <cell r="Q439">
            <v>0.41666666666666669</v>
          </cell>
          <cell r="T439">
            <v>37886</v>
          </cell>
          <cell r="U439">
            <v>0.45833333333333331</v>
          </cell>
          <cell r="V439">
            <v>37886</v>
          </cell>
          <cell r="W439">
            <v>0.45833333333333331</v>
          </cell>
          <cell r="X439">
            <v>4.1666666669091967E-2</v>
          </cell>
          <cell r="Y439">
            <v>4.1666666669091967E-2</v>
          </cell>
          <cell r="AB439">
            <v>9</v>
          </cell>
          <cell r="AC439">
            <v>8</v>
          </cell>
          <cell r="AD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9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</row>
        <row r="440">
          <cell r="C440">
            <v>37858</v>
          </cell>
          <cell r="D440">
            <v>37918</v>
          </cell>
          <cell r="E440">
            <v>37859</v>
          </cell>
          <cell r="F440">
            <v>0.58333333333333337</v>
          </cell>
          <cell r="G440" t="str">
            <v>Linha de Pintura 15m</v>
          </cell>
          <cell r="H440" t="str">
            <v>Há a necessidade se modificar a localização da botoeira de parada do transportador para a coluna pós-cabine</v>
          </cell>
          <cell r="I440" t="str">
            <v>Melhoria</v>
          </cell>
          <cell r="J440" t="str">
            <v>Não</v>
          </cell>
          <cell r="K440" t="str">
            <v>Elétrica</v>
          </cell>
          <cell r="L440" t="str">
            <v>Montagem / Instalação</v>
          </cell>
          <cell r="M440" t="str">
            <v>Melhoria Técnica</v>
          </cell>
          <cell r="N440">
            <v>37879</v>
          </cell>
          <cell r="O440">
            <v>0.95833333333333337</v>
          </cell>
          <cell r="P440">
            <v>37879</v>
          </cell>
          <cell r="Q440">
            <v>0.95833333333333337</v>
          </cell>
          <cell r="T440">
            <v>37880</v>
          </cell>
          <cell r="U440">
            <v>0.33333333333333331</v>
          </cell>
          <cell r="V440">
            <v>37880</v>
          </cell>
          <cell r="W440">
            <v>0.33333333333333331</v>
          </cell>
          <cell r="X440">
            <v>0.37500000000242528</v>
          </cell>
          <cell r="Y440">
            <v>0.37500000000242528</v>
          </cell>
          <cell r="AB440">
            <v>9</v>
          </cell>
          <cell r="AC440">
            <v>8</v>
          </cell>
          <cell r="AD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9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</row>
        <row r="441">
          <cell r="C441">
            <v>37858</v>
          </cell>
          <cell r="D441">
            <v>37900</v>
          </cell>
          <cell r="E441">
            <v>37873</v>
          </cell>
          <cell r="F441">
            <v>0.47916666666666669</v>
          </cell>
          <cell r="G441" t="str">
            <v>Linha de Pintura 15m</v>
          </cell>
          <cell r="H441" t="str">
            <v>Falha na agulha da pistola líquida</v>
          </cell>
          <cell r="I441" t="str">
            <v>Corretiva</v>
          </cell>
          <cell r="J441" t="str">
            <v>Não</v>
          </cell>
          <cell r="K441" t="str">
            <v>Mecânica</v>
          </cell>
          <cell r="L441" t="str">
            <v>Limpeza e troca do Kit de Reparo</v>
          </cell>
          <cell r="M441" t="str">
            <v>Desgaste / Fadiga</v>
          </cell>
          <cell r="N441">
            <v>37888</v>
          </cell>
          <cell r="O441">
            <v>0.25</v>
          </cell>
          <cell r="P441">
            <v>37888</v>
          </cell>
          <cell r="Q441">
            <v>0.25</v>
          </cell>
          <cell r="T441">
            <v>37888</v>
          </cell>
          <cell r="U441">
            <v>0.5</v>
          </cell>
          <cell r="V441">
            <v>37888</v>
          </cell>
          <cell r="W441">
            <v>0.5</v>
          </cell>
          <cell r="X441">
            <v>0.25</v>
          </cell>
          <cell r="Y441">
            <v>0.25</v>
          </cell>
          <cell r="AB441">
            <v>9</v>
          </cell>
          <cell r="AC441">
            <v>8</v>
          </cell>
          <cell r="AD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9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</row>
        <row r="442">
          <cell r="C442">
            <v>37858</v>
          </cell>
          <cell r="D442">
            <v>37900</v>
          </cell>
          <cell r="E442">
            <v>37889</v>
          </cell>
          <cell r="F442">
            <v>0.39583333333333331</v>
          </cell>
          <cell r="G442" t="str">
            <v>Linha de Pintura 15m</v>
          </cell>
          <cell r="H442" t="str">
            <v>Anomalia no variador VI</v>
          </cell>
          <cell r="I442" t="str">
            <v>Corretiva</v>
          </cell>
          <cell r="J442" t="str">
            <v>Sim</v>
          </cell>
          <cell r="K442" t="str">
            <v>Mecânica</v>
          </cell>
          <cell r="L442" t="str">
            <v>Reparo</v>
          </cell>
          <cell r="M442" t="str">
            <v>Falha de Comando / Sistema</v>
          </cell>
          <cell r="N442">
            <v>37889</v>
          </cell>
          <cell r="O442">
            <v>0.39583333333333331</v>
          </cell>
          <cell r="P442">
            <v>37889</v>
          </cell>
          <cell r="Q442">
            <v>0.39583333333333331</v>
          </cell>
          <cell r="T442">
            <v>37889</v>
          </cell>
          <cell r="U442">
            <v>0.40972222222222227</v>
          </cell>
          <cell r="V442">
            <v>37889</v>
          </cell>
          <cell r="W442">
            <v>0.40972222222222227</v>
          </cell>
          <cell r="X442">
            <v>1.3888888888888951E-2</v>
          </cell>
          <cell r="Y442">
            <v>1.3888888885655148E-2</v>
          </cell>
          <cell r="AB442">
            <v>9</v>
          </cell>
          <cell r="AC442">
            <v>8</v>
          </cell>
          <cell r="AD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9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</row>
        <row r="443">
          <cell r="C443">
            <v>37858</v>
          </cell>
          <cell r="D443">
            <v>37918</v>
          </cell>
          <cell r="E443">
            <v>37908</v>
          </cell>
          <cell r="F443">
            <v>0.5</v>
          </cell>
          <cell r="G443" t="str">
            <v>Linha de Pintura 15m</v>
          </cell>
          <cell r="H443" t="str">
            <v>Problema no painel de regulagem de pó Nº 08</v>
          </cell>
          <cell r="I443" t="str">
            <v>Corretiva</v>
          </cell>
          <cell r="J443" t="str">
            <v>Sim</v>
          </cell>
          <cell r="K443" t="str">
            <v>Elétrica</v>
          </cell>
          <cell r="L443" t="str">
            <v>Substituição do(s) Componente(s)</v>
          </cell>
          <cell r="M443" t="str">
            <v>Desgaste / Fadiga</v>
          </cell>
          <cell r="N443">
            <v>37908</v>
          </cell>
          <cell r="O443">
            <v>0.5</v>
          </cell>
          <cell r="P443">
            <v>37908</v>
          </cell>
          <cell r="Q443">
            <v>0.5</v>
          </cell>
          <cell r="T443">
            <v>37908</v>
          </cell>
          <cell r="U443">
            <v>0.58333333333333337</v>
          </cell>
          <cell r="V443">
            <v>37908</v>
          </cell>
          <cell r="W443">
            <v>0.58333333333333337</v>
          </cell>
          <cell r="X443">
            <v>8.333333333333337E-2</v>
          </cell>
          <cell r="Y443">
            <v>8.3333333335758653E-2</v>
          </cell>
          <cell r="AB443">
            <v>10</v>
          </cell>
          <cell r="AC443">
            <v>8</v>
          </cell>
          <cell r="AD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10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</row>
        <row r="444">
          <cell r="C444">
            <v>37858</v>
          </cell>
          <cell r="D444">
            <v>37928</v>
          </cell>
          <cell r="E444">
            <v>37911</v>
          </cell>
          <cell r="F444">
            <v>0.3125</v>
          </cell>
          <cell r="G444" t="str">
            <v>Linha de Pintura 15m</v>
          </cell>
          <cell r="H444" t="str">
            <v>Variador 01 de carga/descarga apresenta funcionamento inadequado</v>
          </cell>
          <cell r="I444" t="str">
            <v>Corretiva</v>
          </cell>
          <cell r="J444" t="str">
            <v>Sim</v>
          </cell>
          <cell r="K444" t="str">
            <v>Mecânica</v>
          </cell>
          <cell r="L444" t="str">
            <v>Reparo</v>
          </cell>
          <cell r="M444" t="str">
            <v>Travamento de Componente</v>
          </cell>
          <cell r="N444">
            <v>37911</v>
          </cell>
          <cell r="O444">
            <v>0.3611111111111111</v>
          </cell>
          <cell r="P444">
            <v>37911</v>
          </cell>
          <cell r="Q444">
            <v>0.3611111111111111</v>
          </cell>
          <cell r="T444">
            <v>37911</v>
          </cell>
          <cell r="U444">
            <v>0.3743055555555555</v>
          </cell>
          <cell r="V444">
            <v>37911</v>
          </cell>
          <cell r="W444">
            <v>0.3743055555555555</v>
          </cell>
          <cell r="X444">
            <v>1.3194444444444398E-2</v>
          </cell>
          <cell r="Y444">
            <v>1.3194444442180819E-2</v>
          </cell>
          <cell r="AB444">
            <v>10</v>
          </cell>
          <cell r="AC444">
            <v>8</v>
          </cell>
          <cell r="AD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10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</row>
        <row r="445">
          <cell r="C445">
            <v>37858</v>
          </cell>
          <cell r="D445">
            <v>37928</v>
          </cell>
          <cell r="E445">
            <v>37909</v>
          </cell>
          <cell r="F445">
            <v>0.52083333333333337</v>
          </cell>
          <cell r="G445" t="str">
            <v>Linha de Pintura 15m</v>
          </cell>
          <cell r="H445" t="str">
            <v>Problema no parô do "Stock 05"</v>
          </cell>
          <cell r="I445" t="str">
            <v>Corretiva</v>
          </cell>
          <cell r="J445" t="str">
            <v>Sim</v>
          </cell>
          <cell r="K445" t="str">
            <v>Mecânica</v>
          </cell>
          <cell r="L445" t="str">
            <v>Regulagem do Componente</v>
          </cell>
          <cell r="M445" t="str">
            <v>Travamento de Componente</v>
          </cell>
          <cell r="N445">
            <v>37909</v>
          </cell>
          <cell r="O445">
            <v>0.52083333333333337</v>
          </cell>
          <cell r="P445">
            <v>37909</v>
          </cell>
          <cell r="Q445">
            <v>0.52083333333333337</v>
          </cell>
          <cell r="T445">
            <v>37909</v>
          </cell>
          <cell r="U445">
            <v>0.60416666666666663</v>
          </cell>
          <cell r="V445">
            <v>37909</v>
          </cell>
          <cell r="W445">
            <v>0.60416666666666663</v>
          </cell>
          <cell r="X445">
            <v>8.3333333333333259E-2</v>
          </cell>
          <cell r="Y445">
            <v>8.3333333330907977E-2</v>
          </cell>
          <cell r="AB445">
            <v>10</v>
          </cell>
          <cell r="AC445">
            <v>8</v>
          </cell>
          <cell r="AD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10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</row>
        <row r="446">
          <cell r="C446">
            <v>37858</v>
          </cell>
          <cell r="D446">
            <v>37928</v>
          </cell>
          <cell r="E446">
            <v>37917</v>
          </cell>
          <cell r="F446">
            <v>0.58333333333333337</v>
          </cell>
          <cell r="G446" t="str">
            <v>Linha de Pintura 15m</v>
          </cell>
          <cell r="H446" t="str">
            <v>Abraçadeira do braço da pistola está quebrada</v>
          </cell>
          <cell r="I446" t="str">
            <v>Corretiva</v>
          </cell>
          <cell r="J446" t="str">
            <v>Não</v>
          </cell>
          <cell r="K446" t="str">
            <v>Mecânica</v>
          </cell>
          <cell r="L446" t="str">
            <v>Substituição do(s) Componente(s)</v>
          </cell>
          <cell r="M446" t="str">
            <v>Desgaste / Fadiga</v>
          </cell>
          <cell r="N446">
            <v>37917</v>
          </cell>
          <cell r="O446">
            <v>0.58333333333333337</v>
          </cell>
          <cell r="P446">
            <v>37917</v>
          </cell>
          <cell r="Q446">
            <v>0.58333333333333337</v>
          </cell>
          <cell r="T446">
            <v>37917</v>
          </cell>
          <cell r="U446">
            <v>0.60416666666666663</v>
          </cell>
          <cell r="V446">
            <v>37917</v>
          </cell>
          <cell r="W446">
            <v>0.60416666666666663</v>
          </cell>
          <cell r="X446">
            <v>2.0833333330907977E-2</v>
          </cell>
          <cell r="Y446">
            <v>2.0833333330907977E-2</v>
          </cell>
          <cell r="AB446">
            <v>10</v>
          </cell>
          <cell r="AC446">
            <v>8</v>
          </cell>
          <cell r="AD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10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</row>
        <row r="447">
          <cell r="C447">
            <v>37858</v>
          </cell>
          <cell r="D447">
            <v>37970</v>
          </cell>
          <cell r="E447">
            <v>37925</v>
          </cell>
          <cell r="F447">
            <v>37925</v>
          </cell>
          <cell r="G447">
            <v>0.25</v>
          </cell>
          <cell r="H447" t="str">
            <v>03 Fusíveis do painel da cabine estão queimados</v>
          </cell>
          <cell r="I447">
            <v>0</v>
          </cell>
          <cell r="J447" t="str">
            <v>Sim</v>
          </cell>
          <cell r="K447" t="str">
            <v>Elétrica</v>
          </cell>
          <cell r="L447" t="str">
            <v>Sim</v>
          </cell>
          <cell r="M447" t="str">
            <v>Sobrecarga</v>
          </cell>
          <cell r="N447">
            <v>37925</v>
          </cell>
          <cell r="O447">
            <v>0.29166666666666669</v>
          </cell>
          <cell r="P447">
            <v>37925</v>
          </cell>
          <cell r="Q447">
            <v>0.29166666666666669</v>
          </cell>
          <cell r="T447">
            <v>37925</v>
          </cell>
          <cell r="U447">
            <v>0.30208333333333331</v>
          </cell>
          <cell r="V447">
            <v>37925</v>
          </cell>
          <cell r="W447">
            <v>0.30208333333333331</v>
          </cell>
          <cell r="X447">
            <v>1.041666666666663E-2</v>
          </cell>
          <cell r="Y447">
            <v>1.0416666669091967E-2</v>
          </cell>
          <cell r="AB447">
            <v>10</v>
          </cell>
          <cell r="AC447">
            <v>8</v>
          </cell>
          <cell r="AD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10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</row>
        <row r="448">
          <cell r="C448">
            <v>37858</v>
          </cell>
          <cell r="D448">
            <v>37970</v>
          </cell>
          <cell r="E448">
            <v>37935</v>
          </cell>
          <cell r="F448">
            <v>37935</v>
          </cell>
          <cell r="G448">
            <v>0.3888888888888889</v>
          </cell>
          <cell r="H448" t="str">
            <v>Anomalia no variador VI</v>
          </cell>
          <cell r="I448">
            <v>0</v>
          </cell>
          <cell r="J448" t="str">
            <v>Sim</v>
          </cell>
          <cell r="K448" t="str">
            <v>Mecânica</v>
          </cell>
          <cell r="L448" t="str">
            <v>Sim</v>
          </cell>
          <cell r="M448" t="str">
            <v>Falha Operacional</v>
          </cell>
          <cell r="N448">
            <v>37935</v>
          </cell>
          <cell r="O448">
            <v>0.41666666666666669</v>
          </cell>
          <cell r="P448">
            <v>37935</v>
          </cell>
          <cell r="Q448">
            <v>0.41666666666666669</v>
          </cell>
          <cell r="T448">
            <v>37935</v>
          </cell>
          <cell r="U448">
            <v>0.70833333333333337</v>
          </cell>
          <cell r="V448">
            <v>37935</v>
          </cell>
          <cell r="W448">
            <v>0.70833333333333337</v>
          </cell>
          <cell r="X448">
            <v>0.29166666666666669</v>
          </cell>
          <cell r="Y448">
            <v>0.29166666666909197</v>
          </cell>
          <cell r="AB448">
            <v>11</v>
          </cell>
          <cell r="AC448">
            <v>8</v>
          </cell>
          <cell r="AD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11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</row>
        <row r="449">
          <cell r="C449">
            <v>37858</v>
          </cell>
          <cell r="D449">
            <v>37970</v>
          </cell>
          <cell r="E449">
            <v>37937</v>
          </cell>
          <cell r="F449">
            <v>37937</v>
          </cell>
          <cell r="G449">
            <v>0.45833333333333331</v>
          </cell>
          <cell r="H449" t="str">
            <v>Sobrecarga no Motor de ventilação 02</v>
          </cell>
          <cell r="I449">
            <v>0</v>
          </cell>
          <cell r="J449" t="str">
            <v>Sim</v>
          </cell>
          <cell r="K449" t="str">
            <v>Elétrica</v>
          </cell>
          <cell r="L449" t="str">
            <v>Sim</v>
          </cell>
          <cell r="M449" t="str">
            <v>Mau contato</v>
          </cell>
          <cell r="N449">
            <v>37937</v>
          </cell>
          <cell r="O449">
            <v>0.45833333333333331</v>
          </cell>
          <cell r="P449">
            <v>37937</v>
          </cell>
          <cell r="Q449">
            <v>0.45833333333333331</v>
          </cell>
          <cell r="T449">
            <v>37937</v>
          </cell>
          <cell r="U449">
            <v>0.5</v>
          </cell>
          <cell r="V449">
            <v>37937</v>
          </cell>
          <cell r="W449">
            <v>0.5</v>
          </cell>
          <cell r="X449">
            <v>4.1666666666666685E-2</v>
          </cell>
          <cell r="Y449">
            <v>4.1666666666666685E-2</v>
          </cell>
          <cell r="AB449">
            <v>11</v>
          </cell>
          <cell r="AC449">
            <v>8</v>
          </cell>
          <cell r="AD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11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</row>
        <row r="450">
          <cell r="C450">
            <v>37858</v>
          </cell>
          <cell r="D450">
            <v>37970</v>
          </cell>
          <cell r="E450">
            <v>37938</v>
          </cell>
          <cell r="F450">
            <v>37938</v>
          </cell>
          <cell r="G450">
            <v>0.4465277777777778</v>
          </cell>
          <cell r="H450" t="str">
            <v>Anomalia no variador VI</v>
          </cell>
          <cell r="I450">
            <v>0</v>
          </cell>
          <cell r="J450" t="str">
            <v>Sim</v>
          </cell>
          <cell r="K450" t="str">
            <v>Mecânica</v>
          </cell>
          <cell r="L450" t="str">
            <v>sim</v>
          </cell>
          <cell r="M450" t="str">
            <v>Falha de Comando / Sistema</v>
          </cell>
          <cell r="N450">
            <v>37938</v>
          </cell>
          <cell r="O450">
            <v>0.4513888888888889</v>
          </cell>
          <cell r="P450">
            <v>37938</v>
          </cell>
          <cell r="Q450">
            <v>0.4513888888888889</v>
          </cell>
          <cell r="T450">
            <v>37938</v>
          </cell>
          <cell r="U450">
            <v>0.46875</v>
          </cell>
          <cell r="V450">
            <v>37938</v>
          </cell>
          <cell r="W450">
            <v>0.46875</v>
          </cell>
          <cell r="X450">
            <v>1.7361111111111105E-2</v>
          </cell>
          <cell r="Y450">
            <v>1.7361111111111105E-2</v>
          </cell>
          <cell r="AB450">
            <v>11</v>
          </cell>
          <cell r="AC450">
            <v>8</v>
          </cell>
          <cell r="AD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11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</row>
        <row r="451">
          <cell r="C451">
            <v>37858</v>
          </cell>
          <cell r="D451">
            <v>37970</v>
          </cell>
          <cell r="E451">
            <v>37937</v>
          </cell>
          <cell r="F451">
            <v>37937</v>
          </cell>
          <cell r="G451">
            <v>0.41666666666666669</v>
          </cell>
          <cell r="H451" t="str">
            <v>Problema nos conectores da mangueira de ar, pistola e máquina de embalagem</v>
          </cell>
          <cell r="I451">
            <v>0</v>
          </cell>
          <cell r="J451" t="str">
            <v>Não</v>
          </cell>
          <cell r="K451" t="str">
            <v>Mecânica</v>
          </cell>
          <cell r="L451" t="str">
            <v>Não</v>
          </cell>
          <cell r="M451" t="str">
            <v>Desgaste / Fadiga</v>
          </cell>
          <cell r="N451">
            <v>37937</v>
          </cell>
          <cell r="O451">
            <v>0.4236111111111111</v>
          </cell>
          <cell r="P451">
            <v>37937</v>
          </cell>
          <cell r="Q451">
            <v>0.4236111111111111</v>
          </cell>
          <cell r="T451">
            <v>37937</v>
          </cell>
          <cell r="U451">
            <v>0.44444444444444442</v>
          </cell>
          <cell r="V451">
            <v>37937</v>
          </cell>
          <cell r="W451">
            <v>0.44444444444444442</v>
          </cell>
          <cell r="X451">
            <v>2.0833333334141779E-2</v>
          </cell>
          <cell r="Y451">
            <v>2.0833333334141779E-2</v>
          </cell>
          <cell r="AB451">
            <v>11</v>
          </cell>
          <cell r="AC451">
            <v>8</v>
          </cell>
          <cell r="AD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11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</row>
        <row r="452">
          <cell r="C452">
            <v>37858</v>
          </cell>
          <cell r="D452">
            <v>37970</v>
          </cell>
          <cell r="E452">
            <v>37943</v>
          </cell>
          <cell r="F452">
            <v>0.33333333333333331</v>
          </cell>
          <cell r="G452" t="str">
            <v>Linha de Pintura 15m</v>
          </cell>
          <cell r="H452" t="str">
            <v>Painel Nº 02 de regulagem de pó está parado</v>
          </cell>
          <cell r="I452">
            <v>0</v>
          </cell>
          <cell r="J452" t="str">
            <v>Não</v>
          </cell>
          <cell r="K452" t="str">
            <v>Elétrica</v>
          </cell>
          <cell r="L452" t="str">
            <v>Substituição do(s) Componente(s)</v>
          </cell>
          <cell r="M452" t="str">
            <v>Curto-circuito</v>
          </cell>
          <cell r="N452">
            <v>37943</v>
          </cell>
          <cell r="O452">
            <v>0.33333333333333331</v>
          </cell>
          <cell r="P452">
            <v>0</v>
          </cell>
          <cell r="T452">
            <v>37943</v>
          </cell>
          <cell r="U452">
            <v>0.375</v>
          </cell>
          <cell r="V452">
            <v>0</v>
          </cell>
          <cell r="W452">
            <v>4.1666666666666685E-2</v>
          </cell>
          <cell r="X452">
            <v>0</v>
          </cell>
          <cell r="Y452">
            <v>0</v>
          </cell>
          <cell r="AB452">
            <v>11</v>
          </cell>
          <cell r="AC452">
            <v>8</v>
          </cell>
          <cell r="AD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11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</row>
        <row r="453">
          <cell r="C453">
            <v>37858</v>
          </cell>
          <cell r="D453">
            <v>37970</v>
          </cell>
          <cell r="E453">
            <v>37947</v>
          </cell>
          <cell r="F453">
            <v>0.41666666666666669</v>
          </cell>
          <cell r="G453" t="str">
            <v>Linha de Pintura 15m</v>
          </cell>
          <cell r="H453" t="str">
            <v>Fusível do controle de regulagem de pó da pistola Nº 02 queimado</v>
          </cell>
          <cell r="I453">
            <v>0</v>
          </cell>
          <cell r="J453" t="str">
            <v>Não</v>
          </cell>
          <cell r="K453" t="str">
            <v>Elétrica</v>
          </cell>
          <cell r="L453" t="str">
            <v>Substituição do(s) Componente(s)</v>
          </cell>
          <cell r="M453" t="str">
            <v>Curto-circuito</v>
          </cell>
          <cell r="N453">
            <v>37947</v>
          </cell>
          <cell r="O453">
            <v>0.4236111111111111</v>
          </cell>
          <cell r="P453">
            <v>0</v>
          </cell>
          <cell r="T453">
            <v>37947</v>
          </cell>
          <cell r="U453">
            <v>0.46527777777777773</v>
          </cell>
          <cell r="V453">
            <v>0</v>
          </cell>
          <cell r="W453">
            <v>4.1666666669900432E-2</v>
          </cell>
          <cell r="X453">
            <v>0</v>
          </cell>
          <cell r="Y453">
            <v>0</v>
          </cell>
          <cell r="AB453">
            <v>11</v>
          </cell>
          <cell r="AC453">
            <v>8</v>
          </cell>
          <cell r="AD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11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</row>
        <row r="454">
          <cell r="C454">
            <v>37858</v>
          </cell>
          <cell r="D454">
            <v>37977</v>
          </cell>
          <cell r="E454">
            <v>37949</v>
          </cell>
          <cell r="F454">
            <v>0.36458333333333331</v>
          </cell>
          <cell r="G454" t="str">
            <v>Linha de Pintura 15m</v>
          </cell>
          <cell r="H454" t="str">
            <v>Painel Nº 02 de regulagem de pó está parado</v>
          </cell>
          <cell r="I454">
            <v>0</v>
          </cell>
          <cell r="J454" t="str">
            <v>Não</v>
          </cell>
          <cell r="K454" t="str">
            <v>Elétrica</v>
          </cell>
          <cell r="L454" t="str">
            <v>Substituição do(s) Componente(s)</v>
          </cell>
          <cell r="M454" t="str">
            <v>Curto-circuito</v>
          </cell>
          <cell r="N454">
            <v>37949</v>
          </cell>
          <cell r="O454">
            <v>0.36458333333333331</v>
          </cell>
          <cell r="P454">
            <v>0</v>
          </cell>
          <cell r="T454">
            <v>37949</v>
          </cell>
          <cell r="U454">
            <v>0.39583333333333331</v>
          </cell>
          <cell r="V454">
            <v>0</v>
          </cell>
          <cell r="W454">
            <v>3.1250000002425338E-2</v>
          </cell>
          <cell r="X454">
            <v>0</v>
          </cell>
          <cell r="Y454">
            <v>0</v>
          </cell>
          <cell r="AB454">
            <v>11</v>
          </cell>
          <cell r="AC454">
            <v>8</v>
          </cell>
          <cell r="AD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11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</row>
        <row r="455">
          <cell r="C455">
            <v>37858</v>
          </cell>
          <cell r="E455">
            <v>37951</v>
          </cell>
          <cell r="F455">
            <v>37951</v>
          </cell>
          <cell r="G455">
            <v>0.70138888888888884</v>
          </cell>
          <cell r="H455" t="str">
            <v>Engate rápido do recuperador de pó quebrado</v>
          </cell>
          <cell r="I455">
            <v>0</v>
          </cell>
          <cell r="J455" t="str">
            <v>Sim</v>
          </cell>
          <cell r="K455" t="str">
            <v>Mecânica</v>
          </cell>
          <cell r="L455" t="str">
            <v>sim</v>
          </cell>
          <cell r="M455" t="str">
            <v>Falha Operacional</v>
          </cell>
          <cell r="N455">
            <v>0</v>
          </cell>
          <cell r="P455">
            <v>0</v>
          </cell>
          <cell r="T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AB455">
            <v>0</v>
          </cell>
          <cell r="AC455">
            <v>8</v>
          </cell>
          <cell r="AD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1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</row>
        <row r="456">
          <cell r="C456">
            <v>37858</v>
          </cell>
          <cell r="D456">
            <v>37970</v>
          </cell>
          <cell r="E456">
            <v>37952</v>
          </cell>
          <cell r="F456">
            <v>0.48958333333333331</v>
          </cell>
          <cell r="G456" t="str">
            <v>Linha de Pintura 15m</v>
          </cell>
          <cell r="H456" t="str">
            <v>Sobrecarga no motor Nº 02</v>
          </cell>
          <cell r="I456">
            <v>0</v>
          </cell>
          <cell r="J456" t="str">
            <v>Sim</v>
          </cell>
          <cell r="K456" t="str">
            <v>Elétrica</v>
          </cell>
          <cell r="L456" t="str">
            <v>Destravamento dos Componentes</v>
          </cell>
          <cell r="M456" t="str">
            <v>Falha de Regulagem / Configuração / Dimensionamento</v>
          </cell>
          <cell r="N456">
            <v>37952</v>
          </cell>
          <cell r="O456">
            <v>0.49305555555555558</v>
          </cell>
          <cell r="P456">
            <v>0</v>
          </cell>
          <cell r="T456">
            <v>37952</v>
          </cell>
          <cell r="U456">
            <v>0.51388888888888895</v>
          </cell>
          <cell r="V456">
            <v>0</v>
          </cell>
          <cell r="W456">
            <v>2.4305555557172454E-2</v>
          </cell>
          <cell r="X456">
            <v>0</v>
          </cell>
          <cell r="Y456">
            <v>0</v>
          </cell>
          <cell r="AB456">
            <v>11</v>
          </cell>
          <cell r="AC456">
            <v>8</v>
          </cell>
          <cell r="AD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11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</row>
        <row r="457">
          <cell r="C457">
            <v>37861</v>
          </cell>
          <cell r="D457">
            <v>37867</v>
          </cell>
          <cell r="E457">
            <v>37865</v>
          </cell>
          <cell r="F457">
            <v>0.39930555555555558</v>
          </cell>
          <cell r="G457" t="str">
            <v>Dobradeira Sorg</v>
          </cell>
          <cell r="H457" t="str">
            <v>Pedal não Funciona</v>
          </cell>
          <cell r="I457" t="str">
            <v>Corretiva</v>
          </cell>
          <cell r="J457" t="str">
            <v>Sim</v>
          </cell>
          <cell r="K457" t="str">
            <v>Elétrica</v>
          </cell>
          <cell r="L457" t="str">
            <v>Substituição do(s) Componente(s)</v>
          </cell>
          <cell r="M457" t="str">
            <v>Desgaste / Fadiga</v>
          </cell>
          <cell r="N457">
            <v>37865</v>
          </cell>
          <cell r="O457">
            <v>0.40277777777777773</v>
          </cell>
          <cell r="P457">
            <v>37865</v>
          </cell>
          <cell r="Q457">
            <v>0.40277777777777773</v>
          </cell>
          <cell r="T457">
            <v>37865</v>
          </cell>
          <cell r="U457">
            <v>0.41666666666666669</v>
          </cell>
          <cell r="V457">
            <v>37865</v>
          </cell>
          <cell r="W457">
            <v>0.41666666666666669</v>
          </cell>
          <cell r="X457">
            <v>1.3888888888888951E-2</v>
          </cell>
          <cell r="Y457">
            <v>1.3888888886463613E-2</v>
          </cell>
          <cell r="AB457">
            <v>9</v>
          </cell>
          <cell r="AC457">
            <v>8</v>
          </cell>
          <cell r="AD457">
            <v>0</v>
          </cell>
          <cell r="BF457">
            <v>0</v>
          </cell>
          <cell r="BG457">
            <v>0</v>
          </cell>
          <cell r="BH457">
            <v>9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</row>
        <row r="458">
          <cell r="C458">
            <v>37861</v>
          </cell>
          <cell r="D458">
            <v>37881</v>
          </cell>
          <cell r="E458">
            <v>37872</v>
          </cell>
          <cell r="F458">
            <v>0.8125</v>
          </cell>
          <cell r="G458" t="str">
            <v>Prensa Jundiaí</v>
          </cell>
          <cell r="H458" t="str">
            <v>Máquina travada</v>
          </cell>
          <cell r="I458" t="str">
            <v>Corretiva</v>
          </cell>
          <cell r="J458" t="str">
            <v>Sim</v>
          </cell>
          <cell r="K458" t="str">
            <v>Elétrica</v>
          </cell>
          <cell r="L458" t="str">
            <v>Ajuste / Regulagem</v>
          </cell>
          <cell r="M458" t="str">
            <v>Falha Operacional</v>
          </cell>
          <cell r="N458">
            <v>37872</v>
          </cell>
          <cell r="O458">
            <v>0.8125</v>
          </cell>
          <cell r="P458">
            <v>37872</v>
          </cell>
          <cell r="Q458">
            <v>0.8125</v>
          </cell>
          <cell r="T458">
            <v>37872</v>
          </cell>
          <cell r="U458">
            <v>0.98611111111111116</v>
          </cell>
          <cell r="V458">
            <v>37872</v>
          </cell>
          <cell r="W458">
            <v>0.98611111111111116</v>
          </cell>
          <cell r="X458">
            <v>0.17361111111111116</v>
          </cell>
          <cell r="Y458">
            <v>0.17361111110949423</v>
          </cell>
          <cell r="AB458">
            <v>9</v>
          </cell>
          <cell r="AC458">
            <v>8</v>
          </cell>
          <cell r="AD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9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</row>
        <row r="459">
          <cell r="C459">
            <v>37861</v>
          </cell>
          <cell r="D459">
            <v>37874</v>
          </cell>
          <cell r="E459">
            <v>37873</v>
          </cell>
          <cell r="F459">
            <v>0.31944444444444448</v>
          </cell>
          <cell r="G459" t="str">
            <v>Prensa Jundiaí</v>
          </cell>
          <cell r="H459" t="str">
            <v>Posicionamento incorreto do Martelo</v>
          </cell>
          <cell r="I459" t="str">
            <v>Corretiva</v>
          </cell>
          <cell r="J459" t="str">
            <v>Sim</v>
          </cell>
          <cell r="K459" t="str">
            <v>Mecânica</v>
          </cell>
          <cell r="L459" t="str">
            <v>Ajuste / Regulagem</v>
          </cell>
          <cell r="M459" t="str">
            <v>Vibração</v>
          </cell>
          <cell r="N459">
            <v>37873</v>
          </cell>
          <cell r="O459">
            <v>0.31944444444444448</v>
          </cell>
          <cell r="P459">
            <v>37873</v>
          </cell>
          <cell r="Q459">
            <v>0.31944444444444448</v>
          </cell>
          <cell r="T459">
            <v>37873</v>
          </cell>
          <cell r="U459">
            <v>0.33333333333333331</v>
          </cell>
          <cell r="V459">
            <v>37873</v>
          </cell>
          <cell r="W459">
            <v>0.33333333333333331</v>
          </cell>
          <cell r="X459">
            <v>1.388888888888884E-2</v>
          </cell>
          <cell r="Y459">
            <v>1.3888888891314177E-2</v>
          </cell>
          <cell r="AB459">
            <v>9</v>
          </cell>
          <cell r="AC459">
            <v>8</v>
          </cell>
          <cell r="AD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9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</row>
        <row r="460">
          <cell r="C460">
            <v>37861</v>
          </cell>
          <cell r="D460">
            <v>37874</v>
          </cell>
          <cell r="E460">
            <v>37873</v>
          </cell>
          <cell r="F460">
            <v>0.41666666666666669</v>
          </cell>
          <cell r="G460" t="str">
            <v>Prensa Jundiaí</v>
          </cell>
          <cell r="H460" t="str">
            <v>Martelo travado</v>
          </cell>
          <cell r="I460" t="str">
            <v>Corretiva</v>
          </cell>
          <cell r="J460" t="str">
            <v>Sim</v>
          </cell>
          <cell r="K460" t="str">
            <v>Mecânica</v>
          </cell>
          <cell r="L460" t="str">
            <v>Ajuste / Regulagem</v>
          </cell>
          <cell r="M460" t="str">
            <v>Falha de Regulagem / Configuração / Dimensionamento</v>
          </cell>
          <cell r="N460">
            <v>37873</v>
          </cell>
          <cell r="O460">
            <v>0.41666666666666669</v>
          </cell>
          <cell r="P460">
            <v>37873</v>
          </cell>
          <cell r="Q460">
            <v>0.41666666666666669</v>
          </cell>
          <cell r="T460">
            <v>37873</v>
          </cell>
          <cell r="U460">
            <v>0.45833333333333331</v>
          </cell>
          <cell r="V460">
            <v>37873</v>
          </cell>
          <cell r="W460">
            <v>0.45833333333333331</v>
          </cell>
          <cell r="X460">
            <v>4.166666666666663E-2</v>
          </cell>
          <cell r="Y460">
            <v>4.1666666669091967E-2</v>
          </cell>
          <cell r="AB460">
            <v>9</v>
          </cell>
          <cell r="AC460">
            <v>8</v>
          </cell>
          <cell r="AD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9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</row>
        <row r="461">
          <cell r="C461">
            <v>37861</v>
          </cell>
          <cell r="D461">
            <v>37900</v>
          </cell>
          <cell r="E461">
            <v>37887</v>
          </cell>
          <cell r="F461">
            <v>0.6875</v>
          </cell>
          <cell r="G461" t="str">
            <v>Guilhotina Sorg</v>
          </cell>
          <cell r="H461" t="str">
            <v>Variação dimensional</v>
          </cell>
          <cell r="I461" t="str">
            <v>Corretiva</v>
          </cell>
          <cell r="J461" t="str">
            <v>Sim</v>
          </cell>
          <cell r="K461" t="str">
            <v>Elétrica</v>
          </cell>
          <cell r="L461" t="str">
            <v>Reinicialização do Equipamento / Componente</v>
          </cell>
          <cell r="M461" t="str">
            <v>Desgaste / Fadiga</v>
          </cell>
          <cell r="N461">
            <v>37887</v>
          </cell>
          <cell r="O461">
            <v>0.6875</v>
          </cell>
          <cell r="P461">
            <v>37887</v>
          </cell>
          <cell r="Q461">
            <v>0.6875</v>
          </cell>
          <cell r="T461">
            <v>37887</v>
          </cell>
          <cell r="U461">
            <v>0.75</v>
          </cell>
          <cell r="V461">
            <v>37887</v>
          </cell>
          <cell r="W461">
            <v>0.75</v>
          </cell>
          <cell r="X461">
            <v>6.25E-2</v>
          </cell>
          <cell r="Y461">
            <v>6.25E-2</v>
          </cell>
          <cell r="AB461">
            <v>9</v>
          </cell>
          <cell r="AC461">
            <v>8</v>
          </cell>
          <cell r="AD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9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</row>
        <row r="462">
          <cell r="C462">
            <v>37861</v>
          </cell>
          <cell r="I462">
            <v>0</v>
          </cell>
          <cell r="N462">
            <v>0</v>
          </cell>
          <cell r="P462">
            <v>0</v>
          </cell>
          <cell r="T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AB462">
            <v>0</v>
          </cell>
          <cell r="AC462">
            <v>8</v>
          </cell>
          <cell r="AD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</row>
        <row r="463">
          <cell r="C463">
            <v>37861</v>
          </cell>
          <cell r="I463">
            <v>0</v>
          </cell>
          <cell r="N463">
            <v>0</v>
          </cell>
          <cell r="P463">
            <v>0</v>
          </cell>
          <cell r="T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AB463">
            <v>0</v>
          </cell>
          <cell r="AC463">
            <v>8</v>
          </cell>
          <cell r="AD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</row>
        <row r="464">
          <cell r="C464">
            <v>37861</v>
          </cell>
          <cell r="I464">
            <v>0</v>
          </cell>
          <cell r="N464">
            <v>0</v>
          </cell>
          <cell r="P464">
            <v>0</v>
          </cell>
          <cell r="T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AB464">
            <v>0</v>
          </cell>
          <cell r="AC464">
            <v>8</v>
          </cell>
          <cell r="AD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</row>
        <row r="465">
          <cell r="C465">
            <v>37861</v>
          </cell>
          <cell r="I465">
            <v>0</v>
          </cell>
          <cell r="N465">
            <v>0</v>
          </cell>
          <cell r="P465">
            <v>0</v>
          </cell>
          <cell r="T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AB465">
            <v>0</v>
          </cell>
          <cell r="AC465">
            <v>8</v>
          </cell>
          <cell r="AD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</row>
        <row r="466">
          <cell r="C466">
            <v>37861</v>
          </cell>
          <cell r="I466">
            <v>0</v>
          </cell>
          <cell r="N466">
            <v>0</v>
          </cell>
          <cell r="P466">
            <v>0</v>
          </cell>
          <cell r="T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AB466">
            <v>0</v>
          </cell>
          <cell r="AC466">
            <v>8</v>
          </cell>
          <cell r="AD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</row>
        <row r="467">
          <cell r="C467">
            <v>37861</v>
          </cell>
          <cell r="I467">
            <v>0</v>
          </cell>
          <cell r="N467">
            <v>0</v>
          </cell>
          <cell r="P467">
            <v>0</v>
          </cell>
          <cell r="T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AB467">
            <v>0</v>
          </cell>
          <cell r="AC467">
            <v>8</v>
          </cell>
          <cell r="AD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</row>
        <row r="468">
          <cell r="C468">
            <v>37861</v>
          </cell>
          <cell r="I468">
            <v>0</v>
          </cell>
          <cell r="N468">
            <v>0</v>
          </cell>
          <cell r="P468">
            <v>0</v>
          </cell>
          <cell r="T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AB468">
            <v>0</v>
          </cell>
          <cell r="AC468">
            <v>8</v>
          </cell>
          <cell r="AD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</row>
        <row r="469">
          <cell r="C469">
            <v>37861</v>
          </cell>
          <cell r="I469">
            <v>0</v>
          </cell>
          <cell r="N469">
            <v>0</v>
          </cell>
          <cell r="P469">
            <v>0</v>
          </cell>
          <cell r="T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AB469">
            <v>0</v>
          </cell>
          <cell r="AC469">
            <v>8</v>
          </cell>
          <cell r="AD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</row>
        <row r="470">
          <cell r="C470">
            <v>37861</v>
          </cell>
          <cell r="I470">
            <v>0</v>
          </cell>
          <cell r="N470">
            <v>0</v>
          </cell>
          <cell r="P470">
            <v>0</v>
          </cell>
          <cell r="T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AB470">
            <v>0</v>
          </cell>
          <cell r="AC470">
            <v>8</v>
          </cell>
          <cell r="AD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</row>
        <row r="471">
          <cell r="C471">
            <v>37861</v>
          </cell>
          <cell r="I471">
            <v>0</v>
          </cell>
          <cell r="N471">
            <v>0</v>
          </cell>
          <cell r="P471">
            <v>0</v>
          </cell>
          <cell r="T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AB471">
            <v>0</v>
          </cell>
          <cell r="AC471">
            <v>8</v>
          </cell>
          <cell r="AD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</row>
        <row r="472">
          <cell r="C472">
            <v>37861</v>
          </cell>
          <cell r="I472">
            <v>0</v>
          </cell>
          <cell r="N472">
            <v>0</v>
          </cell>
          <cell r="P472">
            <v>0</v>
          </cell>
          <cell r="T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AB472">
            <v>0</v>
          </cell>
          <cell r="AC472">
            <v>8</v>
          </cell>
          <cell r="AD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</row>
        <row r="473">
          <cell r="C473">
            <v>37861</v>
          </cell>
          <cell r="I473">
            <v>0</v>
          </cell>
          <cell r="N473">
            <v>0</v>
          </cell>
          <cell r="P473">
            <v>0</v>
          </cell>
          <cell r="T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AB473">
            <v>0</v>
          </cell>
          <cell r="AC473">
            <v>8</v>
          </cell>
          <cell r="AD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</row>
        <row r="474">
          <cell r="C474">
            <v>37861</v>
          </cell>
          <cell r="I474">
            <v>0</v>
          </cell>
          <cell r="N474">
            <v>0</v>
          </cell>
          <cell r="P474">
            <v>0</v>
          </cell>
          <cell r="T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AB474">
            <v>0</v>
          </cell>
          <cell r="AC474">
            <v>8</v>
          </cell>
          <cell r="AD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</row>
        <row r="475">
          <cell r="C475">
            <v>37861</v>
          </cell>
          <cell r="I475">
            <v>0</v>
          </cell>
          <cell r="N475">
            <v>0</v>
          </cell>
          <cell r="P475">
            <v>0</v>
          </cell>
          <cell r="T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AB475">
            <v>0</v>
          </cell>
          <cell r="AC475">
            <v>8</v>
          </cell>
          <cell r="AD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</row>
        <row r="476">
          <cell r="C476">
            <v>37861</v>
          </cell>
          <cell r="I476">
            <v>0</v>
          </cell>
          <cell r="N476">
            <v>0</v>
          </cell>
          <cell r="P476">
            <v>0</v>
          </cell>
          <cell r="T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AB476">
            <v>0</v>
          </cell>
          <cell r="AC476">
            <v>8</v>
          </cell>
          <cell r="AD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</row>
        <row r="477">
          <cell r="C477">
            <v>37873</v>
          </cell>
          <cell r="D477">
            <v>37902</v>
          </cell>
          <cell r="E477">
            <v>37875</v>
          </cell>
          <cell r="F477">
            <v>0.29166666666666669</v>
          </cell>
          <cell r="G477" t="str">
            <v>Serra de Fita</v>
          </cell>
          <cell r="H477" t="str">
            <v>Manípulo quebrado</v>
          </cell>
          <cell r="I477" t="str">
            <v>Corretiva</v>
          </cell>
          <cell r="J477" t="str">
            <v>Não</v>
          </cell>
          <cell r="K477" t="str">
            <v>Mecânica</v>
          </cell>
          <cell r="L477" t="str">
            <v>Substituição do(s) Componente(s)</v>
          </cell>
          <cell r="M477" t="str">
            <v>Defeito de Fabricação</v>
          </cell>
          <cell r="N477">
            <v>37895</v>
          </cell>
          <cell r="O477">
            <v>0.875</v>
          </cell>
          <cell r="P477">
            <v>37895</v>
          </cell>
          <cell r="Q477">
            <v>0.99305555555555547</v>
          </cell>
          <cell r="R477">
            <v>37896</v>
          </cell>
          <cell r="S477">
            <v>0.625</v>
          </cell>
          <cell r="T477">
            <v>37896</v>
          </cell>
          <cell r="U477">
            <v>0.75</v>
          </cell>
          <cell r="V477">
            <v>0</v>
          </cell>
          <cell r="W477">
            <v>0.24305555555555547</v>
          </cell>
          <cell r="X477">
            <v>0.24305555555555547</v>
          </cell>
          <cell r="Y477">
            <v>0.24305555555555547</v>
          </cell>
          <cell r="AB477">
            <v>10</v>
          </cell>
          <cell r="AC477">
            <v>9</v>
          </cell>
          <cell r="AD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10</v>
          </cell>
          <cell r="CD477">
            <v>0</v>
          </cell>
        </row>
        <row r="478">
          <cell r="C478">
            <v>37873</v>
          </cell>
          <cell r="I478">
            <v>0</v>
          </cell>
          <cell r="N478">
            <v>0</v>
          </cell>
          <cell r="P478">
            <v>0</v>
          </cell>
          <cell r="T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AB478">
            <v>0</v>
          </cell>
          <cell r="AC478">
            <v>9</v>
          </cell>
          <cell r="AD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</row>
        <row r="479">
          <cell r="C479">
            <v>37873</v>
          </cell>
          <cell r="I479">
            <v>0</v>
          </cell>
          <cell r="N479">
            <v>0</v>
          </cell>
          <cell r="P479">
            <v>0</v>
          </cell>
          <cell r="T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AB479">
            <v>0</v>
          </cell>
          <cell r="AC479">
            <v>9</v>
          </cell>
          <cell r="AD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</row>
        <row r="480">
          <cell r="C480">
            <v>37873</v>
          </cell>
          <cell r="D480">
            <v>37900</v>
          </cell>
          <cell r="E480">
            <v>37881</v>
          </cell>
          <cell r="F480">
            <v>0.38194444444444442</v>
          </cell>
          <cell r="G480" t="str">
            <v>Células de Solda Manual</v>
          </cell>
          <cell r="H480" t="str">
            <v>Isolador de Gás quebrado</v>
          </cell>
          <cell r="I480" t="str">
            <v>Corretiva</v>
          </cell>
          <cell r="J480" t="str">
            <v>Sim</v>
          </cell>
          <cell r="K480" t="str">
            <v>Elétrica</v>
          </cell>
          <cell r="L480" t="str">
            <v>Substituição do(s) Componente(s)</v>
          </cell>
          <cell r="M480" t="str">
            <v>Desgaste / Fadiga</v>
          </cell>
          <cell r="N480">
            <v>37881</v>
          </cell>
          <cell r="O480">
            <v>0.38194444444444442</v>
          </cell>
          <cell r="P480">
            <v>37881</v>
          </cell>
          <cell r="Q480">
            <v>0.38194444444444442</v>
          </cell>
          <cell r="T480">
            <v>37881</v>
          </cell>
          <cell r="U480">
            <v>0.39583333333333331</v>
          </cell>
          <cell r="V480">
            <v>37881</v>
          </cell>
          <cell r="W480">
            <v>0.39583333333333331</v>
          </cell>
          <cell r="X480">
            <v>1.3888888888888895E-2</v>
          </cell>
          <cell r="Y480">
            <v>1.3888888891314233E-2</v>
          </cell>
          <cell r="AB480">
            <v>9</v>
          </cell>
          <cell r="AC480">
            <v>9</v>
          </cell>
          <cell r="AD480">
            <v>0</v>
          </cell>
          <cell r="BF480">
            <v>0</v>
          </cell>
          <cell r="BG480">
            <v>9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</row>
        <row r="481">
          <cell r="C481">
            <v>37873</v>
          </cell>
          <cell r="I481">
            <v>0</v>
          </cell>
          <cell r="N481">
            <v>0</v>
          </cell>
          <cell r="P481">
            <v>0</v>
          </cell>
          <cell r="T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AB481">
            <v>0</v>
          </cell>
          <cell r="AC481">
            <v>9</v>
          </cell>
          <cell r="AD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</row>
        <row r="482">
          <cell r="C482">
            <v>37873</v>
          </cell>
          <cell r="I482">
            <v>0</v>
          </cell>
          <cell r="N482">
            <v>0</v>
          </cell>
          <cell r="P482">
            <v>0</v>
          </cell>
          <cell r="T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AB482">
            <v>0</v>
          </cell>
          <cell r="AC482">
            <v>9</v>
          </cell>
          <cell r="AD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</row>
        <row r="483">
          <cell r="C483">
            <v>37873</v>
          </cell>
          <cell r="D483">
            <v>37918</v>
          </cell>
          <cell r="E483">
            <v>37900</v>
          </cell>
          <cell r="F483">
            <v>0.4375</v>
          </cell>
          <cell r="G483" t="str">
            <v>Serra de Fita</v>
          </cell>
          <cell r="H483" t="str">
            <v>Máquina não funciona</v>
          </cell>
          <cell r="I483" t="str">
            <v>Corretiva</v>
          </cell>
          <cell r="J483" t="str">
            <v>Sim</v>
          </cell>
          <cell r="K483" t="str">
            <v>Elétrica</v>
          </cell>
          <cell r="L483" t="str">
            <v>Reinicialização do Equipamento / Componente</v>
          </cell>
          <cell r="M483" t="str">
            <v>Sobrecarga</v>
          </cell>
          <cell r="N483">
            <v>37900</v>
          </cell>
          <cell r="O483">
            <v>0.4375</v>
          </cell>
          <cell r="P483">
            <v>37900</v>
          </cell>
          <cell r="Q483">
            <v>0.4375</v>
          </cell>
          <cell r="T483">
            <v>37900</v>
          </cell>
          <cell r="U483">
            <v>0.44791666666666669</v>
          </cell>
          <cell r="V483">
            <v>37900</v>
          </cell>
          <cell r="W483">
            <v>0.44791666666666669</v>
          </cell>
          <cell r="X483">
            <v>1.0416666666666685E-2</v>
          </cell>
          <cell r="Y483">
            <v>1.0416666664241347E-2</v>
          </cell>
          <cell r="AB483">
            <v>10</v>
          </cell>
          <cell r="AC483">
            <v>9</v>
          </cell>
          <cell r="AD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10</v>
          </cell>
          <cell r="CD483">
            <v>0</v>
          </cell>
        </row>
        <row r="484">
          <cell r="C484">
            <v>37873</v>
          </cell>
          <cell r="D484">
            <v>37970</v>
          </cell>
          <cell r="E484">
            <v>37910</v>
          </cell>
          <cell r="F484">
            <v>0.76388888888888884</v>
          </cell>
          <cell r="G484" t="str">
            <v>Máquina de Solda MIG</v>
          </cell>
          <cell r="H484" t="str">
            <v>Sistema de tração do arame não funciona</v>
          </cell>
          <cell r="I484">
            <v>0</v>
          </cell>
          <cell r="J484" t="str">
            <v>Não</v>
          </cell>
          <cell r="K484" t="str">
            <v>Elétrica</v>
          </cell>
          <cell r="L484" t="str">
            <v>Substituição do(s) Componente(s)</v>
          </cell>
          <cell r="M484" t="str">
            <v>Sobrecarga</v>
          </cell>
          <cell r="N484">
            <v>37911</v>
          </cell>
          <cell r="O484">
            <v>0.70833333333333337</v>
          </cell>
          <cell r="P484">
            <v>0</v>
          </cell>
          <cell r="Q484">
            <v>0.70833333333333337</v>
          </cell>
          <cell r="R484">
            <v>37916</v>
          </cell>
          <cell r="S484">
            <v>0.5</v>
          </cell>
          <cell r="T484">
            <v>37916</v>
          </cell>
          <cell r="U484">
            <v>0.53472222222222221</v>
          </cell>
          <cell r="V484">
            <v>0</v>
          </cell>
          <cell r="W484">
            <v>3.472222222222221E-2</v>
          </cell>
          <cell r="X484">
            <v>0</v>
          </cell>
          <cell r="Y484">
            <v>0</v>
          </cell>
          <cell r="AB484">
            <v>10</v>
          </cell>
          <cell r="AC484">
            <v>9</v>
          </cell>
          <cell r="AD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10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</row>
        <row r="485">
          <cell r="C485">
            <v>37873</v>
          </cell>
          <cell r="D485">
            <v>37972</v>
          </cell>
          <cell r="E485">
            <v>37951</v>
          </cell>
          <cell r="F485">
            <v>0.64583333333333337</v>
          </cell>
          <cell r="G485" t="str">
            <v>Máquina de Solda MIG</v>
          </cell>
          <cell r="H485" t="str">
            <v>Cabo terra danificado</v>
          </cell>
          <cell r="I485">
            <v>0</v>
          </cell>
          <cell r="J485" t="str">
            <v>Não</v>
          </cell>
          <cell r="K485" t="str">
            <v>Elétrica</v>
          </cell>
          <cell r="L485" t="str">
            <v>Reparo</v>
          </cell>
          <cell r="M485" t="str">
            <v>Aquecimento</v>
          </cell>
          <cell r="N485">
            <v>37951</v>
          </cell>
          <cell r="O485">
            <v>0.65277777777777779</v>
          </cell>
          <cell r="P485">
            <v>0</v>
          </cell>
          <cell r="Q485">
            <v>0.70833333333333337</v>
          </cell>
          <cell r="R485">
            <v>37964</v>
          </cell>
          <cell r="S485">
            <v>0.54166666666666663</v>
          </cell>
          <cell r="T485">
            <v>37964</v>
          </cell>
          <cell r="U485">
            <v>0.58333333333333337</v>
          </cell>
          <cell r="V485">
            <v>0</v>
          </cell>
          <cell r="W485">
            <v>9.7222222222222321E-2</v>
          </cell>
          <cell r="X485">
            <v>0</v>
          </cell>
          <cell r="Y485">
            <v>0</v>
          </cell>
          <cell r="AB485">
            <v>12</v>
          </cell>
          <cell r="AC485">
            <v>9</v>
          </cell>
          <cell r="AD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12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</row>
        <row r="486">
          <cell r="C486">
            <v>37873</v>
          </cell>
          <cell r="D486">
            <v>37918</v>
          </cell>
          <cell r="E486">
            <v>37901</v>
          </cell>
          <cell r="F486">
            <v>0.35416666666666669</v>
          </cell>
          <cell r="G486" t="str">
            <v>Máquina de Solda MIG</v>
          </cell>
          <cell r="H486" t="str">
            <v>Ventulação não funciona</v>
          </cell>
          <cell r="I486" t="str">
            <v>Corretiva</v>
          </cell>
          <cell r="J486" t="str">
            <v>Sim</v>
          </cell>
          <cell r="K486" t="str">
            <v>Elétrica</v>
          </cell>
          <cell r="L486" t="str">
            <v>Substituição do(s) Componente(s)</v>
          </cell>
          <cell r="M486" t="str">
            <v>Travamento de Componente</v>
          </cell>
          <cell r="N486">
            <v>37901</v>
          </cell>
          <cell r="O486">
            <v>0.35416666666666669</v>
          </cell>
          <cell r="P486">
            <v>37901</v>
          </cell>
          <cell r="Q486">
            <v>0.35416666666666669</v>
          </cell>
          <cell r="T486">
            <v>37901</v>
          </cell>
          <cell r="U486">
            <v>0.375</v>
          </cell>
          <cell r="V486">
            <v>37901</v>
          </cell>
          <cell r="W486">
            <v>0.375</v>
          </cell>
          <cell r="X486">
            <v>2.0833333333333315E-2</v>
          </cell>
          <cell r="Y486">
            <v>2.0833333333333315E-2</v>
          </cell>
          <cell r="AB486">
            <v>10</v>
          </cell>
          <cell r="AC486">
            <v>9</v>
          </cell>
          <cell r="AD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10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</row>
        <row r="487">
          <cell r="C487">
            <v>37873</v>
          </cell>
          <cell r="D487">
            <v>37970</v>
          </cell>
          <cell r="E487">
            <v>37953</v>
          </cell>
          <cell r="F487">
            <v>0.625</v>
          </cell>
          <cell r="G487" t="str">
            <v>Máquina de Solda MIG</v>
          </cell>
          <cell r="H487" t="str">
            <v>Ventilador não liga</v>
          </cell>
          <cell r="I487">
            <v>0</v>
          </cell>
          <cell r="J487" t="str">
            <v>Sim</v>
          </cell>
          <cell r="K487" t="str">
            <v>Elétrica</v>
          </cell>
          <cell r="L487" t="str">
            <v>Substituição do(s) Componente(s)</v>
          </cell>
          <cell r="M487" t="str">
            <v>Falha de Comando / Sistema</v>
          </cell>
          <cell r="N487">
            <v>37953</v>
          </cell>
          <cell r="O487">
            <v>0.625</v>
          </cell>
          <cell r="P487">
            <v>0</v>
          </cell>
          <cell r="T487">
            <v>37953</v>
          </cell>
          <cell r="U487">
            <v>0.70833333333333337</v>
          </cell>
          <cell r="V487">
            <v>0</v>
          </cell>
          <cell r="W487">
            <v>8.3333333335758653E-2</v>
          </cell>
          <cell r="X487">
            <v>0</v>
          </cell>
          <cell r="Y487">
            <v>0</v>
          </cell>
          <cell r="AB487">
            <v>11</v>
          </cell>
          <cell r="AC487">
            <v>9</v>
          </cell>
          <cell r="AD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11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</row>
        <row r="488">
          <cell r="C488">
            <v>37873</v>
          </cell>
          <cell r="D488">
            <v>37970</v>
          </cell>
          <cell r="E488">
            <v>37959</v>
          </cell>
          <cell r="F488">
            <v>0.96527777777777779</v>
          </cell>
          <cell r="G488" t="str">
            <v>Serra de Fita</v>
          </cell>
          <cell r="H488" t="str">
            <v>Máquina não liga</v>
          </cell>
          <cell r="I488">
            <v>0</v>
          </cell>
          <cell r="J488" t="str">
            <v>Sim</v>
          </cell>
          <cell r="K488" t="str">
            <v>Elétrica</v>
          </cell>
          <cell r="L488" t="str">
            <v>Reinicialização do Equipamento / Componente</v>
          </cell>
          <cell r="M488" t="str">
            <v>Sobrecarga</v>
          </cell>
          <cell r="N488">
            <v>37959</v>
          </cell>
          <cell r="O488">
            <v>0.97222222222222221</v>
          </cell>
          <cell r="P488">
            <v>0</v>
          </cell>
          <cell r="T488">
            <v>37959</v>
          </cell>
          <cell r="U488">
            <v>0.97916666666666663</v>
          </cell>
          <cell r="V488">
            <v>0</v>
          </cell>
          <cell r="W488">
            <v>1.3888888886463557E-2</v>
          </cell>
          <cell r="X488">
            <v>0</v>
          </cell>
          <cell r="Y488">
            <v>0</v>
          </cell>
          <cell r="AB488">
            <v>12</v>
          </cell>
          <cell r="AC488">
            <v>9</v>
          </cell>
          <cell r="AD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12</v>
          </cell>
          <cell r="CD488">
            <v>0</v>
          </cell>
        </row>
        <row r="489">
          <cell r="C489">
            <v>37873</v>
          </cell>
          <cell r="I489">
            <v>0</v>
          </cell>
          <cell r="N489">
            <v>0</v>
          </cell>
          <cell r="P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AB489">
            <v>0</v>
          </cell>
          <cell r="AC489">
            <v>9</v>
          </cell>
          <cell r="AD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</row>
        <row r="490">
          <cell r="C490">
            <v>37873</v>
          </cell>
          <cell r="D490">
            <v>37972</v>
          </cell>
          <cell r="E490">
            <v>37967</v>
          </cell>
          <cell r="F490">
            <v>0.47569444444444442</v>
          </cell>
          <cell r="G490" t="str">
            <v>Serra de Fita</v>
          </cell>
          <cell r="H490" t="str">
            <v>Máquina não funciona</v>
          </cell>
          <cell r="I490">
            <v>0</v>
          </cell>
          <cell r="J490" t="str">
            <v>Sim</v>
          </cell>
          <cell r="K490" t="str">
            <v>Elétrica</v>
          </cell>
          <cell r="L490" t="str">
            <v>Reinicialização do Equipamento / Componente</v>
          </cell>
          <cell r="M490" t="str">
            <v>Travamento de Componente</v>
          </cell>
          <cell r="N490">
            <v>37967</v>
          </cell>
          <cell r="O490">
            <v>0.49305555555555558</v>
          </cell>
          <cell r="P490">
            <v>0</v>
          </cell>
          <cell r="T490">
            <v>37967</v>
          </cell>
          <cell r="U490">
            <v>0.49861111111111112</v>
          </cell>
          <cell r="V490">
            <v>0</v>
          </cell>
          <cell r="W490">
            <v>2.2916666669415386E-2</v>
          </cell>
          <cell r="X490">
            <v>0</v>
          </cell>
          <cell r="Y490">
            <v>0</v>
          </cell>
          <cell r="AB490">
            <v>12</v>
          </cell>
          <cell r="AC490">
            <v>9</v>
          </cell>
          <cell r="AD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12</v>
          </cell>
          <cell r="CD490">
            <v>0</v>
          </cell>
        </row>
        <row r="491">
          <cell r="C491">
            <v>37873</v>
          </cell>
          <cell r="I491">
            <v>0</v>
          </cell>
          <cell r="N491">
            <v>0</v>
          </cell>
          <cell r="P491">
            <v>0</v>
          </cell>
          <cell r="T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AB491">
            <v>0</v>
          </cell>
          <cell r="AC491">
            <v>9</v>
          </cell>
          <cell r="AD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</row>
        <row r="492">
          <cell r="C492">
            <v>37873</v>
          </cell>
          <cell r="D492">
            <v>38008</v>
          </cell>
          <cell r="E492">
            <v>37999</v>
          </cell>
          <cell r="F492">
            <v>0.79166666666666663</v>
          </cell>
          <cell r="G492" t="str">
            <v>Equipamentos diversos</v>
          </cell>
          <cell r="H492" t="str">
            <v>Há a necessidade de fabricação de um pino de trava (esteira de roletes)</v>
          </cell>
          <cell r="I492">
            <v>0</v>
          </cell>
          <cell r="J492" t="str">
            <v>Não</v>
          </cell>
          <cell r="K492" t="str">
            <v>Mecânica</v>
          </cell>
          <cell r="L492" t="str">
            <v>Montagem / Instalação</v>
          </cell>
          <cell r="M492" t="str">
            <v>Melhoria Técnica</v>
          </cell>
          <cell r="N492">
            <v>0</v>
          </cell>
          <cell r="O492">
            <v>0.79166666666666663</v>
          </cell>
          <cell r="P492">
            <v>0</v>
          </cell>
          <cell r="T492">
            <v>0</v>
          </cell>
          <cell r="U492">
            <v>0.91666666666666663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AB492">
            <v>0</v>
          </cell>
          <cell r="AC492">
            <v>9</v>
          </cell>
          <cell r="AD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</row>
        <row r="493">
          <cell r="C493">
            <v>37873</v>
          </cell>
          <cell r="D493">
            <v>37928</v>
          </cell>
          <cell r="E493">
            <v>37921</v>
          </cell>
          <cell r="F493">
            <v>0.59722222222222221</v>
          </cell>
          <cell r="G493" t="str">
            <v>Equipamentos diversos</v>
          </cell>
          <cell r="H493" t="str">
            <v>Não funciona</v>
          </cell>
          <cell r="I493" t="str">
            <v>Corretiva</v>
          </cell>
          <cell r="J493" t="str">
            <v>Sim</v>
          </cell>
          <cell r="K493" t="str">
            <v>Elétrica</v>
          </cell>
          <cell r="L493" t="str">
            <v>Correção de mau contato</v>
          </cell>
          <cell r="M493" t="str">
            <v>Mau contato</v>
          </cell>
          <cell r="N493">
            <v>37921</v>
          </cell>
          <cell r="O493">
            <v>0.625</v>
          </cell>
          <cell r="P493">
            <v>37921</v>
          </cell>
          <cell r="Q493">
            <v>0.625</v>
          </cell>
          <cell r="T493">
            <v>37921</v>
          </cell>
          <cell r="U493">
            <v>0.64930555555555558</v>
          </cell>
          <cell r="V493">
            <v>37921</v>
          </cell>
          <cell r="W493">
            <v>0.64930555555555558</v>
          </cell>
          <cell r="X493">
            <v>2.430555555555558E-2</v>
          </cell>
          <cell r="Y493">
            <v>2.4305555554747116E-2</v>
          </cell>
          <cell r="AB493">
            <v>10</v>
          </cell>
          <cell r="AC493">
            <v>9</v>
          </cell>
          <cell r="AD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10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</row>
        <row r="494">
          <cell r="C494">
            <v>37873</v>
          </cell>
          <cell r="I494">
            <v>0</v>
          </cell>
          <cell r="N494">
            <v>0</v>
          </cell>
          <cell r="P494">
            <v>0</v>
          </cell>
          <cell r="T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AB494">
            <v>0</v>
          </cell>
          <cell r="AC494">
            <v>9</v>
          </cell>
          <cell r="AD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</row>
        <row r="495">
          <cell r="C495">
            <v>37873</v>
          </cell>
          <cell r="I495">
            <v>0</v>
          </cell>
          <cell r="N495">
            <v>0</v>
          </cell>
          <cell r="P495">
            <v>0</v>
          </cell>
          <cell r="T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AB495">
            <v>0</v>
          </cell>
          <cell r="AC495">
            <v>9</v>
          </cell>
          <cell r="AD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</row>
        <row r="496">
          <cell r="C496">
            <v>37873</v>
          </cell>
          <cell r="I496">
            <v>0</v>
          </cell>
          <cell r="N496">
            <v>0</v>
          </cell>
          <cell r="P496">
            <v>0</v>
          </cell>
          <cell r="T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AB496">
            <v>0</v>
          </cell>
          <cell r="AC496">
            <v>9</v>
          </cell>
          <cell r="AD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</row>
        <row r="497">
          <cell r="C497">
            <v>37894</v>
          </cell>
          <cell r="D497">
            <v>37918</v>
          </cell>
          <cell r="E497">
            <v>37890</v>
          </cell>
          <cell r="F497">
            <v>0.70833333333333337</v>
          </cell>
          <cell r="G497" t="str">
            <v>Células de Solda Manual</v>
          </cell>
          <cell r="H497" t="str">
            <v>Rotação da mesa não funciona para "Lado A"</v>
          </cell>
          <cell r="I497" t="str">
            <v>Corretiva</v>
          </cell>
          <cell r="J497" t="str">
            <v>Sim</v>
          </cell>
          <cell r="K497" t="str">
            <v>Elétrica</v>
          </cell>
          <cell r="L497" t="str">
            <v>Ajuste / Regulagem</v>
          </cell>
          <cell r="M497" t="str">
            <v>Falha Operacional</v>
          </cell>
          <cell r="N497">
            <v>37890</v>
          </cell>
          <cell r="O497">
            <v>0.72916666666666663</v>
          </cell>
          <cell r="P497">
            <v>37890</v>
          </cell>
          <cell r="Q497">
            <v>0.72916666666666663</v>
          </cell>
          <cell r="T497">
            <v>37891</v>
          </cell>
          <cell r="U497">
            <v>0.41666666666666669</v>
          </cell>
          <cell r="V497">
            <v>37891</v>
          </cell>
          <cell r="W497">
            <v>0.41666666666666669</v>
          </cell>
          <cell r="X497">
            <v>0.6875</v>
          </cell>
          <cell r="Y497">
            <v>0.68749999999757472</v>
          </cell>
          <cell r="AB497">
            <v>9</v>
          </cell>
          <cell r="AC497">
            <v>9</v>
          </cell>
          <cell r="AD497">
            <v>0</v>
          </cell>
          <cell r="BF497">
            <v>0</v>
          </cell>
          <cell r="BG497">
            <v>9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</row>
        <row r="498">
          <cell r="C498">
            <v>37894</v>
          </cell>
          <cell r="D498">
            <v>37918</v>
          </cell>
          <cell r="E498">
            <v>299</v>
          </cell>
          <cell r="F498">
            <v>0.625</v>
          </cell>
          <cell r="G498" t="str">
            <v>Células de Solda Manual</v>
          </cell>
          <cell r="H498" t="str">
            <v>O Robô solda 03 vezes do "Lado A"</v>
          </cell>
          <cell r="I498" t="str">
            <v>Corretiva</v>
          </cell>
          <cell r="J498" t="str">
            <v>Não</v>
          </cell>
          <cell r="K498" t="str">
            <v>Elétrica</v>
          </cell>
          <cell r="L498" t="str">
            <v>Ajuste / Regulagem</v>
          </cell>
          <cell r="M498" t="str">
            <v>Falha Operacional</v>
          </cell>
          <cell r="N498">
            <v>299</v>
          </cell>
          <cell r="O498">
            <v>0.625</v>
          </cell>
          <cell r="P498">
            <v>299</v>
          </cell>
          <cell r="Q498">
            <v>0.625</v>
          </cell>
          <cell r="T498">
            <v>299</v>
          </cell>
          <cell r="U498">
            <v>0.70833333333333337</v>
          </cell>
          <cell r="V498">
            <v>299</v>
          </cell>
          <cell r="W498">
            <v>0.70833333333333337</v>
          </cell>
          <cell r="X498">
            <v>8.3333333333314386E-2</v>
          </cell>
          <cell r="Y498">
            <v>8.3333333333314386E-2</v>
          </cell>
          <cell r="AB498">
            <v>10</v>
          </cell>
          <cell r="AC498">
            <v>9</v>
          </cell>
          <cell r="AD498">
            <v>0</v>
          </cell>
          <cell r="BF498">
            <v>0</v>
          </cell>
          <cell r="BG498">
            <v>10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</row>
        <row r="499">
          <cell r="C499">
            <v>37894</v>
          </cell>
          <cell r="D499">
            <v>37902</v>
          </cell>
          <cell r="E499">
            <v>37895</v>
          </cell>
          <cell r="F499">
            <v>0.29166666666666669</v>
          </cell>
          <cell r="G499" t="str">
            <v>Células de Solda Manual</v>
          </cell>
          <cell r="H499" t="str">
            <v>Máquina de Solda apresenta erro "H20"</v>
          </cell>
          <cell r="I499" t="str">
            <v>Corretiva</v>
          </cell>
          <cell r="J499" t="str">
            <v>Não</v>
          </cell>
          <cell r="K499" t="str">
            <v>Mecânica</v>
          </cell>
          <cell r="L499" t="str">
            <v>Regulagem do Componente</v>
          </cell>
          <cell r="M499" t="str">
            <v>Falha de Regulagem / Configuração / Dimensionamento</v>
          </cell>
          <cell r="N499">
            <v>37895</v>
          </cell>
          <cell r="O499">
            <v>0.33333333333333331</v>
          </cell>
          <cell r="P499">
            <v>37895</v>
          </cell>
          <cell r="Q499">
            <v>0.33333333333333331</v>
          </cell>
          <cell r="T499">
            <v>37895</v>
          </cell>
          <cell r="U499">
            <v>0.39583333333333331</v>
          </cell>
          <cell r="V499">
            <v>37895</v>
          </cell>
          <cell r="W499">
            <v>0.39583333333333331</v>
          </cell>
          <cell r="X499">
            <v>6.2500000002425338E-2</v>
          </cell>
          <cell r="Y499">
            <v>6.2500000002425338E-2</v>
          </cell>
          <cell r="AB499">
            <v>10</v>
          </cell>
          <cell r="AC499">
            <v>9</v>
          </cell>
          <cell r="AD499">
            <v>0</v>
          </cell>
          <cell r="BF499">
            <v>0</v>
          </cell>
          <cell r="BG499">
            <v>10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</row>
        <row r="500">
          <cell r="C500">
            <v>37894</v>
          </cell>
          <cell r="D500">
            <v>37918</v>
          </cell>
          <cell r="E500">
            <v>37902</v>
          </cell>
          <cell r="F500">
            <v>0.61805555555555558</v>
          </cell>
          <cell r="G500" t="str">
            <v>Células de Solda Manual</v>
          </cell>
          <cell r="H500" t="str">
            <v>Suporte do flexível quebrado</v>
          </cell>
          <cell r="I500" t="str">
            <v>Corretiva</v>
          </cell>
          <cell r="J500" t="str">
            <v>Sim</v>
          </cell>
          <cell r="K500" t="str">
            <v>Mecânica</v>
          </cell>
          <cell r="L500" t="str">
            <v>Adaptação</v>
          </cell>
          <cell r="M500" t="str">
            <v>Defeito de Fabricação</v>
          </cell>
          <cell r="N500">
            <v>37902</v>
          </cell>
          <cell r="O500">
            <v>0.625</v>
          </cell>
          <cell r="P500">
            <v>37902</v>
          </cell>
          <cell r="Q500">
            <v>0.625</v>
          </cell>
          <cell r="T500">
            <v>37902</v>
          </cell>
          <cell r="U500">
            <v>0.70833333333333337</v>
          </cell>
          <cell r="V500">
            <v>37902</v>
          </cell>
          <cell r="W500">
            <v>0.70833333333333337</v>
          </cell>
          <cell r="X500">
            <v>8.333333333333337E-2</v>
          </cell>
          <cell r="Y500">
            <v>8.3333333335758653E-2</v>
          </cell>
          <cell r="AB500">
            <v>10</v>
          </cell>
          <cell r="AC500">
            <v>9</v>
          </cell>
          <cell r="AD500">
            <v>0</v>
          </cell>
          <cell r="BF500">
            <v>0</v>
          </cell>
          <cell r="BG500">
            <v>10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</row>
        <row r="501">
          <cell r="C501">
            <v>37894</v>
          </cell>
          <cell r="D501">
            <v>37970</v>
          </cell>
          <cell r="E501">
            <v>37928</v>
          </cell>
          <cell r="F501">
            <v>37928</v>
          </cell>
          <cell r="G501">
            <v>0.61805555555555558</v>
          </cell>
          <cell r="H501" t="str">
            <v>Fresa não limpa o bocal de solda</v>
          </cell>
          <cell r="I501">
            <v>0</v>
          </cell>
          <cell r="J501" t="str">
            <v>Não</v>
          </cell>
          <cell r="K501" t="str">
            <v>Mecânica</v>
          </cell>
          <cell r="L501" t="str">
            <v>Não</v>
          </cell>
          <cell r="M501" t="str">
            <v>Falha de Regulagem / Configuração / Dimensionamento</v>
          </cell>
          <cell r="N501">
            <v>37929</v>
          </cell>
          <cell r="O501">
            <v>0.41666666666666669</v>
          </cell>
          <cell r="P501">
            <v>37929</v>
          </cell>
          <cell r="Q501">
            <v>0.41666666666666669</v>
          </cell>
          <cell r="T501">
            <v>37929</v>
          </cell>
          <cell r="U501">
            <v>0.45833333333333331</v>
          </cell>
          <cell r="V501">
            <v>37929</v>
          </cell>
          <cell r="W501">
            <v>0.45833333333333331</v>
          </cell>
          <cell r="X501">
            <v>4.1666666669091967E-2</v>
          </cell>
          <cell r="Y501">
            <v>4.1666666669091967E-2</v>
          </cell>
          <cell r="AB501">
            <v>11</v>
          </cell>
          <cell r="AC501">
            <v>9</v>
          </cell>
          <cell r="AD501">
            <v>0</v>
          </cell>
          <cell r="BF501">
            <v>0</v>
          </cell>
          <cell r="BG501">
            <v>11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</row>
        <row r="502">
          <cell r="C502">
            <v>37894</v>
          </cell>
          <cell r="D502">
            <v>37970</v>
          </cell>
          <cell r="E502">
            <v>37935</v>
          </cell>
          <cell r="F502">
            <v>37935</v>
          </cell>
          <cell r="G502">
            <v>0.59722222222222221</v>
          </cell>
          <cell r="H502" t="str">
            <v>Mangueira de água furada</v>
          </cell>
          <cell r="I502">
            <v>0</v>
          </cell>
          <cell r="J502" t="str">
            <v>Sim</v>
          </cell>
          <cell r="K502" t="str">
            <v>Mecânica</v>
          </cell>
          <cell r="L502" t="str">
            <v>Sim</v>
          </cell>
          <cell r="M502" t="str">
            <v>Desgaste / Fadiga</v>
          </cell>
          <cell r="N502">
            <v>37935</v>
          </cell>
          <cell r="O502">
            <v>0.625</v>
          </cell>
          <cell r="P502">
            <v>37935</v>
          </cell>
          <cell r="Q502">
            <v>0.625</v>
          </cell>
          <cell r="T502">
            <v>37935</v>
          </cell>
          <cell r="U502">
            <v>0.91666666666666663</v>
          </cell>
          <cell r="V502">
            <v>37935</v>
          </cell>
          <cell r="W502">
            <v>0.91666666666666663</v>
          </cell>
          <cell r="X502">
            <v>0.29166666666666663</v>
          </cell>
          <cell r="Y502">
            <v>0.29166666666424135</v>
          </cell>
          <cell r="AB502">
            <v>11</v>
          </cell>
          <cell r="AC502">
            <v>9</v>
          </cell>
          <cell r="AD502">
            <v>0</v>
          </cell>
          <cell r="BF502">
            <v>0</v>
          </cell>
          <cell r="BG502">
            <v>11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</row>
        <row r="503">
          <cell r="C503">
            <v>37894</v>
          </cell>
          <cell r="D503">
            <v>37970</v>
          </cell>
          <cell r="E503">
            <v>37937</v>
          </cell>
          <cell r="F503">
            <v>37937</v>
          </cell>
          <cell r="G503">
            <v>0.34027777777777773</v>
          </cell>
          <cell r="H503" t="str">
            <v>Micros do painel de comando com defeito</v>
          </cell>
          <cell r="I503">
            <v>0</v>
          </cell>
          <cell r="J503" t="str">
            <v>Sim</v>
          </cell>
          <cell r="K503" t="str">
            <v>Elétrica</v>
          </cell>
          <cell r="L503" t="str">
            <v>Sim</v>
          </cell>
          <cell r="M503" t="str">
            <v>Falha de Comando / Sistema</v>
          </cell>
          <cell r="N503">
            <v>37937</v>
          </cell>
          <cell r="O503">
            <v>0.34027777777777773</v>
          </cell>
          <cell r="P503">
            <v>37937</v>
          </cell>
          <cell r="Q503">
            <v>0.34027777777777773</v>
          </cell>
          <cell r="T503">
            <v>37937</v>
          </cell>
          <cell r="U503">
            <v>0.75</v>
          </cell>
          <cell r="V503">
            <v>37937</v>
          </cell>
          <cell r="W503">
            <v>0.75</v>
          </cell>
          <cell r="X503">
            <v>0.40972222222222227</v>
          </cell>
          <cell r="Y503">
            <v>0.40972222222222227</v>
          </cell>
          <cell r="AB503">
            <v>11</v>
          </cell>
          <cell r="AC503">
            <v>9</v>
          </cell>
          <cell r="AD503">
            <v>0</v>
          </cell>
          <cell r="BF503">
            <v>0</v>
          </cell>
          <cell r="BG503">
            <v>11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</row>
        <row r="504">
          <cell r="C504">
            <v>37894</v>
          </cell>
          <cell r="D504">
            <v>37970</v>
          </cell>
          <cell r="E504">
            <v>37937</v>
          </cell>
          <cell r="F504">
            <v>37937</v>
          </cell>
          <cell r="G504">
            <v>0.70833333333333337</v>
          </cell>
          <cell r="H504" t="str">
            <v>Arame de solda está enroscando</v>
          </cell>
          <cell r="I504">
            <v>0</v>
          </cell>
          <cell r="J504" t="str">
            <v>Sim</v>
          </cell>
          <cell r="K504" t="str">
            <v>Mecânica</v>
          </cell>
          <cell r="L504" t="str">
            <v>Sim</v>
          </cell>
          <cell r="M504" t="str">
            <v>Desgaste / Fadiga</v>
          </cell>
          <cell r="N504">
            <v>37937</v>
          </cell>
          <cell r="O504">
            <v>0.70833333333333337</v>
          </cell>
          <cell r="P504">
            <v>37937</v>
          </cell>
          <cell r="Q504">
            <v>0.70833333333333337</v>
          </cell>
          <cell r="T504">
            <v>37937</v>
          </cell>
          <cell r="U504">
            <v>0.79166666666666663</v>
          </cell>
          <cell r="V504">
            <v>37937</v>
          </cell>
          <cell r="W504">
            <v>0.79166666666666663</v>
          </cell>
          <cell r="X504">
            <v>8.3333333333333259E-2</v>
          </cell>
          <cell r="Y504">
            <v>8.3333333330907977E-2</v>
          </cell>
          <cell r="AB504">
            <v>11</v>
          </cell>
          <cell r="AC504">
            <v>9</v>
          </cell>
          <cell r="AD504">
            <v>0</v>
          </cell>
          <cell r="BF504">
            <v>0</v>
          </cell>
          <cell r="BG504">
            <v>11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</row>
        <row r="505">
          <cell r="C505">
            <v>37894</v>
          </cell>
          <cell r="D505">
            <v>37970</v>
          </cell>
          <cell r="E505">
            <v>37946</v>
          </cell>
          <cell r="F505">
            <v>0.59444444444444444</v>
          </cell>
          <cell r="G505" t="str">
            <v>Células de Solda Manual</v>
          </cell>
          <cell r="H505" t="str">
            <v>Barreira travada</v>
          </cell>
          <cell r="I505">
            <v>0</v>
          </cell>
          <cell r="J505" t="str">
            <v>Sim</v>
          </cell>
          <cell r="K505" t="str">
            <v>Elétrica</v>
          </cell>
          <cell r="L505" t="str">
            <v>Reparo</v>
          </cell>
          <cell r="M505" t="str">
            <v>Falha de Comando / Sistema</v>
          </cell>
          <cell r="N505">
            <v>37946</v>
          </cell>
          <cell r="O505">
            <v>0.59722222222222221</v>
          </cell>
          <cell r="P505">
            <v>0</v>
          </cell>
          <cell r="T505">
            <v>37946</v>
          </cell>
          <cell r="U505">
            <v>0.72916666666666663</v>
          </cell>
          <cell r="V505">
            <v>0</v>
          </cell>
          <cell r="W505">
            <v>0.13472222221979691</v>
          </cell>
          <cell r="X505">
            <v>0</v>
          </cell>
          <cell r="Y505">
            <v>0</v>
          </cell>
          <cell r="AB505">
            <v>11</v>
          </cell>
          <cell r="AC505">
            <v>9</v>
          </cell>
          <cell r="AD505">
            <v>0</v>
          </cell>
          <cell r="BF505">
            <v>0</v>
          </cell>
          <cell r="BG505">
            <v>11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</row>
        <row r="506">
          <cell r="C506">
            <v>37894</v>
          </cell>
          <cell r="D506">
            <v>37970</v>
          </cell>
          <cell r="E506">
            <v>37952</v>
          </cell>
          <cell r="F506">
            <v>0.90277777777777779</v>
          </cell>
          <cell r="G506" t="str">
            <v>Células de Solda Manual</v>
          </cell>
          <cell r="H506" t="str">
            <v>Bocal da tocha dos robôs desgastado</v>
          </cell>
          <cell r="I506">
            <v>0</v>
          </cell>
          <cell r="J506" t="str">
            <v>Não</v>
          </cell>
          <cell r="K506" t="str">
            <v>Mecânica</v>
          </cell>
          <cell r="L506" t="str">
            <v>Substituição do(s) Componente(s)</v>
          </cell>
          <cell r="M506" t="str">
            <v>Desgaste / Fadiga</v>
          </cell>
          <cell r="N506">
            <v>37952</v>
          </cell>
          <cell r="O506">
            <v>0.90277777777777779</v>
          </cell>
          <cell r="P506">
            <v>0</v>
          </cell>
          <cell r="T506">
            <v>37952</v>
          </cell>
          <cell r="U506">
            <v>0.92708333333333337</v>
          </cell>
          <cell r="V506">
            <v>0</v>
          </cell>
          <cell r="W506">
            <v>2.4305555557980862E-2</v>
          </cell>
          <cell r="X506">
            <v>0</v>
          </cell>
          <cell r="Y506">
            <v>0</v>
          </cell>
          <cell r="AB506">
            <v>11</v>
          </cell>
          <cell r="AC506">
            <v>9</v>
          </cell>
          <cell r="AD506">
            <v>0</v>
          </cell>
          <cell r="BF506">
            <v>0</v>
          </cell>
          <cell r="BG506">
            <v>11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</row>
        <row r="507">
          <cell r="C507">
            <v>37894</v>
          </cell>
          <cell r="D507">
            <v>37970</v>
          </cell>
          <cell r="E507">
            <v>37956</v>
          </cell>
          <cell r="F507">
            <v>0.98611111111111116</v>
          </cell>
          <cell r="G507" t="str">
            <v>Células de Solda Manual</v>
          </cell>
          <cell r="H507" t="str">
            <v>Colisão dos robôs</v>
          </cell>
          <cell r="I507">
            <v>0</v>
          </cell>
          <cell r="J507" t="str">
            <v>Sim</v>
          </cell>
          <cell r="K507" t="str">
            <v>Elétrica</v>
          </cell>
          <cell r="L507" t="str">
            <v>Substituição do(s) Componente(s)</v>
          </cell>
          <cell r="M507" t="str">
            <v>Falha Operacional</v>
          </cell>
          <cell r="N507">
            <v>37957</v>
          </cell>
          <cell r="O507">
            <v>0.29166666666666669</v>
          </cell>
          <cell r="P507">
            <v>0</v>
          </cell>
          <cell r="T507">
            <v>37957</v>
          </cell>
          <cell r="U507">
            <v>0.41666666666666669</v>
          </cell>
          <cell r="V507">
            <v>0</v>
          </cell>
          <cell r="W507">
            <v>0.18055555555313019</v>
          </cell>
          <cell r="X507">
            <v>0</v>
          </cell>
          <cell r="Y507">
            <v>0</v>
          </cell>
          <cell r="AB507">
            <v>12</v>
          </cell>
          <cell r="AC507">
            <v>9</v>
          </cell>
          <cell r="AD507">
            <v>0</v>
          </cell>
          <cell r="BF507">
            <v>0</v>
          </cell>
          <cell r="BG507">
            <v>12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</row>
        <row r="508">
          <cell r="C508">
            <v>37894</v>
          </cell>
          <cell r="I508">
            <v>0</v>
          </cell>
          <cell r="N508">
            <v>0</v>
          </cell>
          <cell r="P508">
            <v>0</v>
          </cell>
          <cell r="T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AB508">
            <v>0</v>
          </cell>
          <cell r="AC508">
            <v>9</v>
          </cell>
          <cell r="AD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</row>
        <row r="509">
          <cell r="C509">
            <v>37894</v>
          </cell>
          <cell r="D509">
            <v>37971</v>
          </cell>
          <cell r="E509">
            <v>37958</v>
          </cell>
          <cell r="F509">
            <v>0.51458333333333328</v>
          </cell>
          <cell r="G509" t="str">
            <v>Células de Solda Manual</v>
          </cell>
          <cell r="H509" t="str">
            <v>Colisão dos robôs / Mensagem de erro H20</v>
          </cell>
          <cell r="I509">
            <v>0</v>
          </cell>
          <cell r="J509" t="str">
            <v>Não</v>
          </cell>
          <cell r="K509" t="str">
            <v>Mecânica</v>
          </cell>
          <cell r="L509" t="str">
            <v>Limpeza do Equipamento / Componente</v>
          </cell>
          <cell r="M509" t="str">
            <v>Sujeira em excesso</v>
          </cell>
          <cell r="N509">
            <v>37958</v>
          </cell>
          <cell r="O509">
            <v>0.58333333333333337</v>
          </cell>
          <cell r="P509">
            <v>0</v>
          </cell>
          <cell r="T509">
            <v>37958</v>
          </cell>
          <cell r="U509">
            <v>0.60763888888888895</v>
          </cell>
          <cell r="V509">
            <v>0</v>
          </cell>
          <cell r="W509">
            <v>2.4305555557172398E-2</v>
          </cell>
          <cell r="X509">
            <v>0</v>
          </cell>
          <cell r="Y509">
            <v>0</v>
          </cell>
          <cell r="AB509">
            <v>12</v>
          </cell>
          <cell r="AC509">
            <v>9</v>
          </cell>
          <cell r="AD509">
            <v>0</v>
          </cell>
          <cell r="BF509">
            <v>0</v>
          </cell>
          <cell r="BG509">
            <v>12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</row>
        <row r="510">
          <cell r="C510">
            <v>37894</v>
          </cell>
          <cell r="D510">
            <v>37971</v>
          </cell>
          <cell r="E510">
            <v>37958</v>
          </cell>
          <cell r="F510">
            <v>0.64583333333333337</v>
          </cell>
          <cell r="G510" t="str">
            <v>Células de Solda Manual</v>
          </cell>
          <cell r="H510" t="str">
            <v>Tomadas de alimentação não funcionam</v>
          </cell>
          <cell r="I510">
            <v>0</v>
          </cell>
          <cell r="J510" t="str">
            <v>Sim</v>
          </cell>
          <cell r="K510" t="str">
            <v>Elétrica</v>
          </cell>
          <cell r="L510" t="str">
            <v>Reinicialização do Equipamento / Componente</v>
          </cell>
          <cell r="M510" t="str">
            <v>Curto-circuito</v>
          </cell>
          <cell r="N510">
            <v>37958</v>
          </cell>
          <cell r="O510">
            <v>0.64583333333333337</v>
          </cell>
          <cell r="P510">
            <v>0</v>
          </cell>
          <cell r="T510">
            <v>37958</v>
          </cell>
          <cell r="U510">
            <v>0.64930555555555558</v>
          </cell>
          <cell r="V510">
            <v>0</v>
          </cell>
          <cell r="W510">
            <v>3.4722222214137455E-3</v>
          </cell>
          <cell r="X510">
            <v>0</v>
          </cell>
          <cell r="Y510">
            <v>0</v>
          </cell>
          <cell r="AB510">
            <v>12</v>
          </cell>
          <cell r="AC510">
            <v>9</v>
          </cell>
          <cell r="AD510">
            <v>0</v>
          </cell>
          <cell r="BF510">
            <v>0</v>
          </cell>
          <cell r="BG510">
            <v>12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</row>
        <row r="511">
          <cell r="C511">
            <v>37894</v>
          </cell>
          <cell r="I511">
            <v>0</v>
          </cell>
          <cell r="N511">
            <v>0</v>
          </cell>
          <cell r="P511">
            <v>0</v>
          </cell>
          <cell r="T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AB511">
            <v>0</v>
          </cell>
          <cell r="AC511">
            <v>9</v>
          </cell>
          <cell r="AD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</row>
        <row r="512">
          <cell r="C512">
            <v>37894</v>
          </cell>
          <cell r="I512">
            <v>0</v>
          </cell>
          <cell r="N512">
            <v>0</v>
          </cell>
          <cell r="P512">
            <v>0</v>
          </cell>
          <cell r="T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AB512">
            <v>0</v>
          </cell>
          <cell r="AC512">
            <v>9</v>
          </cell>
          <cell r="AD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</row>
        <row r="513">
          <cell r="C513">
            <v>37894</v>
          </cell>
          <cell r="D513">
            <v>37971</v>
          </cell>
          <cell r="E513">
            <v>37964</v>
          </cell>
          <cell r="F513">
            <v>0.45833333333333331</v>
          </cell>
          <cell r="G513" t="str">
            <v>Equipamentos diversos</v>
          </cell>
          <cell r="H513" t="str">
            <v>Cabo de alimentação apresenta problemas</v>
          </cell>
          <cell r="I513">
            <v>0</v>
          </cell>
          <cell r="J513" t="str">
            <v>Sim</v>
          </cell>
          <cell r="K513" t="str">
            <v>Elétrica</v>
          </cell>
          <cell r="L513" t="str">
            <v>Limpeza do Equipamento / Componente</v>
          </cell>
          <cell r="M513" t="str">
            <v>Desgaste / Fadiga</v>
          </cell>
          <cell r="N513">
            <v>37964</v>
          </cell>
          <cell r="O513">
            <v>0.45833333333333331</v>
          </cell>
          <cell r="P513">
            <v>0</v>
          </cell>
          <cell r="T513">
            <v>37964</v>
          </cell>
          <cell r="U513">
            <v>0.48958333333333331</v>
          </cell>
          <cell r="V513">
            <v>0</v>
          </cell>
          <cell r="W513">
            <v>3.1250000002425338E-2</v>
          </cell>
          <cell r="X513">
            <v>0</v>
          </cell>
          <cell r="Y513">
            <v>0</v>
          </cell>
          <cell r="AB513">
            <v>12</v>
          </cell>
          <cell r="AC513">
            <v>9</v>
          </cell>
          <cell r="AD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12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</row>
        <row r="514">
          <cell r="C514">
            <v>37894</v>
          </cell>
          <cell r="I514">
            <v>0</v>
          </cell>
          <cell r="N514">
            <v>0</v>
          </cell>
          <cell r="P514">
            <v>0</v>
          </cell>
          <cell r="T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AB514">
            <v>0</v>
          </cell>
          <cell r="AC514">
            <v>9</v>
          </cell>
          <cell r="AD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</row>
        <row r="515">
          <cell r="C515">
            <v>37894</v>
          </cell>
          <cell r="D515">
            <v>37993</v>
          </cell>
          <cell r="E515">
            <v>37974</v>
          </cell>
          <cell r="F515">
            <v>0.76388888888888884</v>
          </cell>
          <cell r="G515" t="str">
            <v>Células de Solda Manual</v>
          </cell>
          <cell r="H515" t="str">
            <v>Máquina de Solda apresenta erro "H2O"</v>
          </cell>
          <cell r="I515">
            <v>0</v>
          </cell>
          <cell r="J515" t="str">
            <v>Sim</v>
          </cell>
          <cell r="K515" t="str">
            <v>Elétrica</v>
          </cell>
          <cell r="L515" t="str">
            <v>Substituição do(s) Componente(s)</v>
          </cell>
          <cell r="M515" t="str">
            <v>Falha de Comando / Sistema</v>
          </cell>
          <cell r="N515">
            <v>0</v>
          </cell>
          <cell r="O515">
            <v>0.77083333333333337</v>
          </cell>
          <cell r="P515">
            <v>0</v>
          </cell>
          <cell r="T515">
            <v>0</v>
          </cell>
          <cell r="U515">
            <v>0.83333333333333337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AB515">
            <v>0</v>
          </cell>
          <cell r="AC515">
            <v>9</v>
          </cell>
          <cell r="AD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</row>
        <row r="516">
          <cell r="C516">
            <v>37894</v>
          </cell>
          <cell r="I516">
            <v>0</v>
          </cell>
          <cell r="N516">
            <v>0</v>
          </cell>
          <cell r="P516">
            <v>0</v>
          </cell>
          <cell r="T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AB516">
            <v>0</v>
          </cell>
          <cell r="AC516">
            <v>9</v>
          </cell>
          <cell r="AD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</row>
        <row r="517">
          <cell r="C517">
            <v>37894</v>
          </cell>
          <cell r="D517">
            <v>37918</v>
          </cell>
          <cell r="E517">
            <v>37894</v>
          </cell>
          <cell r="F517">
            <v>0.625</v>
          </cell>
          <cell r="G517" t="str">
            <v>Células de Solda Automática</v>
          </cell>
          <cell r="H517" t="str">
            <v>CLP apresenta alarme e não responde ao comando em automático</v>
          </cell>
          <cell r="I517" t="str">
            <v>Corretiva</v>
          </cell>
          <cell r="J517" t="str">
            <v>Sim</v>
          </cell>
          <cell r="K517" t="str">
            <v>Elétrica</v>
          </cell>
          <cell r="L517" t="str">
            <v>Substituição do(s) Componente(s)</v>
          </cell>
          <cell r="M517" t="str">
            <v>Desgaste / Fadiga</v>
          </cell>
          <cell r="N517">
            <v>37894</v>
          </cell>
          <cell r="O517">
            <v>0.625</v>
          </cell>
          <cell r="P517">
            <v>37894</v>
          </cell>
          <cell r="Q517">
            <v>0.625</v>
          </cell>
          <cell r="T517">
            <v>37894</v>
          </cell>
          <cell r="U517">
            <v>0.68055555555555547</v>
          </cell>
          <cell r="V517">
            <v>37894</v>
          </cell>
          <cell r="W517">
            <v>0.68055555555555547</v>
          </cell>
          <cell r="X517">
            <v>5.5555555555555469E-2</v>
          </cell>
          <cell r="Y517">
            <v>5.5555555554747116E-2</v>
          </cell>
          <cell r="AB517">
            <v>9</v>
          </cell>
          <cell r="AC517">
            <v>9</v>
          </cell>
          <cell r="AD517">
            <v>0</v>
          </cell>
          <cell r="BF517">
            <v>9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</row>
        <row r="518">
          <cell r="C518">
            <v>37894</v>
          </cell>
          <cell r="D518">
            <v>37918</v>
          </cell>
          <cell r="E518">
            <v>37901</v>
          </cell>
          <cell r="F518">
            <v>0.52083333333333337</v>
          </cell>
          <cell r="G518" t="str">
            <v>Células de Solda Automática</v>
          </cell>
          <cell r="H518" t="str">
            <v>A garra de fixação do conector está soltando a peça</v>
          </cell>
          <cell r="I518" t="str">
            <v>Corretiva</v>
          </cell>
          <cell r="J518" t="str">
            <v>Sim</v>
          </cell>
          <cell r="K518" t="str">
            <v>Mecânica</v>
          </cell>
          <cell r="L518" t="str">
            <v>Regulagem do Componente</v>
          </cell>
          <cell r="M518" t="str">
            <v>Falha de Regulagem / Configuração / Dimensionamento</v>
          </cell>
          <cell r="N518">
            <v>37901</v>
          </cell>
          <cell r="O518">
            <v>0.58333333333333337</v>
          </cell>
          <cell r="P518">
            <v>37901</v>
          </cell>
          <cell r="Q518">
            <v>0.58333333333333337</v>
          </cell>
          <cell r="T518">
            <v>37901</v>
          </cell>
          <cell r="U518">
            <v>0.61111111111111105</v>
          </cell>
          <cell r="V518">
            <v>37901</v>
          </cell>
          <cell r="W518">
            <v>0.61111111111111105</v>
          </cell>
          <cell r="X518">
            <v>2.7777777777777679E-2</v>
          </cell>
          <cell r="Y518">
            <v>2.7777777776160861E-2</v>
          </cell>
          <cell r="AB518">
            <v>10</v>
          </cell>
          <cell r="AC518">
            <v>9</v>
          </cell>
          <cell r="AD518">
            <v>0</v>
          </cell>
          <cell r="BF518">
            <v>10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</row>
        <row r="519">
          <cell r="C519">
            <v>37894</v>
          </cell>
          <cell r="D519">
            <v>37918</v>
          </cell>
          <cell r="E519">
            <v>37903</v>
          </cell>
          <cell r="F519">
            <v>0.4826388888888889</v>
          </cell>
          <cell r="G519" t="str">
            <v>Células de Solda Automática</v>
          </cell>
          <cell r="H519" t="str">
            <v>Mecanismos da mesa de entrada estão frouxos</v>
          </cell>
          <cell r="I519" t="str">
            <v>Corretiva</v>
          </cell>
          <cell r="J519" t="str">
            <v>Não</v>
          </cell>
          <cell r="K519" t="str">
            <v>Mecânica</v>
          </cell>
          <cell r="L519" t="str">
            <v>Reaperto dos componentes</v>
          </cell>
          <cell r="M519" t="str">
            <v>Falha de Projeto</v>
          </cell>
          <cell r="N519">
            <v>37903</v>
          </cell>
          <cell r="O519">
            <v>0.5</v>
          </cell>
          <cell r="P519">
            <v>37903</v>
          </cell>
          <cell r="Q519">
            <v>0.5</v>
          </cell>
          <cell r="T519">
            <v>37903</v>
          </cell>
          <cell r="U519">
            <v>0.54166666666666663</v>
          </cell>
          <cell r="V519">
            <v>37903</v>
          </cell>
          <cell r="W519">
            <v>0.54166666666666663</v>
          </cell>
          <cell r="X519">
            <v>4.1666666664241347E-2</v>
          </cell>
          <cell r="Y519">
            <v>4.1666666664241347E-2</v>
          </cell>
          <cell r="AB519">
            <v>10</v>
          </cell>
          <cell r="AC519">
            <v>9</v>
          </cell>
          <cell r="AD519">
            <v>0</v>
          </cell>
          <cell r="BF519">
            <v>10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</row>
        <row r="520">
          <cell r="C520">
            <v>37894</v>
          </cell>
          <cell r="D520">
            <v>37918</v>
          </cell>
          <cell r="E520">
            <v>37905</v>
          </cell>
          <cell r="F520">
            <v>0.41666666666666669</v>
          </cell>
          <cell r="G520" t="str">
            <v>Células de Solda Automática</v>
          </cell>
          <cell r="H520" t="str">
            <v>Falha no cabo de comunicação (perda de sinal)</v>
          </cell>
          <cell r="I520" t="str">
            <v>Corretiva</v>
          </cell>
          <cell r="J520" t="str">
            <v>Sim</v>
          </cell>
          <cell r="K520" t="str">
            <v>Elétrica</v>
          </cell>
          <cell r="L520" t="str">
            <v>Correção de mau contato</v>
          </cell>
          <cell r="M520" t="str">
            <v>Vibração</v>
          </cell>
          <cell r="N520">
            <v>37905</v>
          </cell>
          <cell r="O520">
            <v>0.41666666666666669</v>
          </cell>
          <cell r="P520">
            <v>37905</v>
          </cell>
          <cell r="Q520">
            <v>0.41666666666666669</v>
          </cell>
          <cell r="T520">
            <v>37905</v>
          </cell>
          <cell r="U520">
            <v>0.46875</v>
          </cell>
          <cell r="V520">
            <v>37905</v>
          </cell>
          <cell r="W520">
            <v>0.46875</v>
          </cell>
          <cell r="X520">
            <v>5.2083333333333315E-2</v>
          </cell>
          <cell r="Y520">
            <v>5.2083333333333315E-2</v>
          </cell>
          <cell r="AB520">
            <v>10</v>
          </cell>
          <cell r="AC520">
            <v>9</v>
          </cell>
          <cell r="AD520">
            <v>0</v>
          </cell>
          <cell r="BF520">
            <v>10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</row>
        <row r="521">
          <cell r="C521">
            <v>37894</v>
          </cell>
          <cell r="D521">
            <v>37924</v>
          </cell>
          <cell r="E521">
            <v>37907</v>
          </cell>
          <cell r="F521">
            <v>0.47916666666666669</v>
          </cell>
          <cell r="G521" t="str">
            <v>Células de Solda Automática</v>
          </cell>
          <cell r="H521" t="str">
            <v>Pistão da pinça travado (Mesa A)</v>
          </cell>
          <cell r="I521" t="str">
            <v>Corretiva</v>
          </cell>
          <cell r="J521" t="str">
            <v>Sim</v>
          </cell>
          <cell r="K521" t="str">
            <v>Mecânica</v>
          </cell>
          <cell r="L521" t="str">
            <v>Limpeza e Lubrificação</v>
          </cell>
          <cell r="M521" t="str">
            <v>Sujeira em excesso</v>
          </cell>
          <cell r="N521">
            <v>37907</v>
          </cell>
          <cell r="O521">
            <v>0.47916666666666669</v>
          </cell>
          <cell r="P521">
            <v>37907</v>
          </cell>
          <cell r="Q521">
            <v>0.47916666666666669</v>
          </cell>
          <cell r="T521">
            <v>37907</v>
          </cell>
          <cell r="U521">
            <v>0.52777777777777779</v>
          </cell>
          <cell r="V521">
            <v>37907</v>
          </cell>
          <cell r="W521">
            <v>0.52777777777777779</v>
          </cell>
          <cell r="X521">
            <v>4.8611111111111105E-2</v>
          </cell>
          <cell r="Y521">
            <v>4.8611111114344852E-2</v>
          </cell>
          <cell r="AB521">
            <v>10</v>
          </cell>
          <cell r="AC521">
            <v>9</v>
          </cell>
          <cell r="AD521">
            <v>0</v>
          </cell>
          <cell r="BF521">
            <v>10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</row>
        <row r="522">
          <cell r="C522">
            <v>37894</v>
          </cell>
          <cell r="D522">
            <v>37928</v>
          </cell>
          <cell r="E522">
            <v>37915</v>
          </cell>
          <cell r="F522">
            <v>0.70833333333333337</v>
          </cell>
          <cell r="G522" t="str">
            <v>Células de Solda Automática</v>
          </cell>
          <cell r="H522" t="str">
            <v>Falha nos Sensores CLP (BOSF)</v>
          </cell>
          <cell r="I522" t="str">
            <v>Corretiva</v>
          </cell>
          <cell r="J522" t="str">
            <v>Sim</v>
          </cell>
          <cell r="K522" t="str">
            <v>Elétrica</v>
          </cell>
          <cell r="L522" t="str">
            <v>Reaperto dos componentes</v>
          </cell>
          <cell r="M522" t="str">
            <v>Vibração</v>
          </cell>
          <cell r="N522">
            <v>37915</v>
          </cell>
          <cell r="O522">
            <v>0.70833333333333337</v>
          </cell>
          <cell r="P522">
            <v>37915</v>
          </cell>
          <cell r="Q522">
            <v>0.70833333333333337</v>
          </cell>
          <cell r="T522">
            <v>37915</v>
          </cell>
          <cell r="U522">
            <v>0.73611111111111116</v>
          </cell>
          <cell r="V522">
            <v>37915</v>
          </cell>
          <cell r="W522">
            <v>0.73611111111111116</v>
          </cell>
          <cell r="X522">
            <v>2.777777777777779E-2</v>
          </cell>
          <cell r="Y522">
            <v>2.7777777776160861E-2</v>
          </cell>
          <cell r="AB522">
            <v>10</v>
          </cell>
          <cell r="AC522">
            <v>9</v>
          </cell>
          <cell r="AD522">
            <v>0</v>
          </cell>
          <cell r="BF522">
            <v>10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</row>
        <row r="523">
          <cell r="C523">
            <v>37894</v>
          </cell>
          <cell r="D523">
            <v>37928</v>
          </cell>
          <cell r="E523">
            <v>37915</v>
          </cell>
          <cell r="F523">
            <v>0.70833333333333337</v>
          </cell>
          <cell r="G523" t="str">
            <v>Células de Solda Automática</v>
          </cell>
          <cell r="H523" t="str">
            <v>Mesa parada fora de posicionamento</v>
          </cell>
          <cell r="I523" t="str">
            <v>Corretiva</v>
          </cell>
          <cell r="J523" t="str">
            <v>Sim</v>
          </cell>
          <cell r="K523" t="str">
            <v>Mecânica</v>
          </cell>
          <cell r="L523" t="str">
            <v>Regulagem do Componente</v>
          </cell>
          <cell r="M523" t="str">
            <v>Falha de Comando / Sistema</v>
          </cell>
          <cell r="N523">
            <v>37915</v>
          </cell>
          <cell r="O523">
            <v>0.70833333333333337</v>
          </cell>
          <cell r="P523">
            <v>37915</v>
          </cell>
          <cell r="Q523">
            <v>0.70833333333333337</v>
          </cell>
          <cell r="T523">
            <v>37915</v>
          </cell>
          <cell r="U523">
            <v>0.73958333333333337</v>
          </cell>
          <cell r="V523">
            <v>37915</v>
          </cell>
          <cell r="W523">
            <v>0.73958333333333337</v>
          </cell>
          <cell r="X523">
            <v>3.125E-2</v>
          </cell>
          <cell r="Y523">
            <v>3.1250000002425282E-2</v>
          </cell>
          <cell r="AB523">
            <v>10</v>
          </cell>
          <cell r="AC523">
            <v>9</v>
          </cell>
          <cell r="AD523">
            <v>0</v>
          </cell>
          <cell r="BF523">
            <v>10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</row>
        <row r="524">
          <cell r="C524">
            <v>37894</v>
          </cell>
          <cell r="D524">
            <v>37928</v>
          </cell>
          <cell r="E524">
            <v>37923</v>
          </cell>
          <cell r="F524">
            <v>0.66666666666666663</v>
          </cell>
          <cell r="G524" t="str">
            <v>Células de Solda Automática</v>
          </cell>
          <cell r="H524" t="str">
            <v>Parafuso da Fresa Danificado</v>
          </cell>
          <cell r="I524" t="str">
            <v>Corretiva</v>
          </cell>
          <cell r="J524" t="str">
            <v>Não</v>
          </cell>
          <cell r="K524" t="str">
            <v>Mecânica</v>
          </cell>
          <cell r="L524" t="str">
            <v>Reparo</v>
          </cell>
          <cell r="M524" t="str">
            <v>Desgaste / Fadiga</v>
          </cell>
          <cell r="N524">
            <v>37923</v>
          </cell>
          <cell r="O524">
            <v>0.66666666666666663</v>
          </cell>
          <cell r="P524">
            <v>37923</v>
          </cell>
          <cell r="Q524">
            <v>0.66666666666666663</v>
          </cell>
          <cell r="T524">
            <v>37923</v>
          </cell>
          <cell r="U524">
            <v>0.72916666666666663</v>
          </cell>
          <cell r="V524">
            <v>37923</v>
          </cell>
          <cell r="W524">
            <v>0.72916666666666663</v>
          </cell>
          <cell r="X524">
            <v>6.2499999997574718E-2</v>
          </cell>
          <cell r="Y524">
            <v>6.2499999997574718E-2</v>
          </cell>
          <cell r="AB524">
            <v>10</v>
          </cell>
          <cell r="AC524">
            <v>9</v>
          </cell>
          <cell r="AD524">
            <v>0</v>
          </cell>
          <cell r="BF524">
            <v>10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</row>
        <row r="525">
          <cell r="C525">
            <v>37894</v>
          </cell>
          <cell r="D525">
            <v>37971</v>
          </cell>
          <cell r="E525">
            <v>37931</v>
          </cell>
          <cell r="F525">
            <v>0.58333333333333337</v>
          </cell>
          <cell r="G525" t="str">
            <v>Células de Solda Automática</v>
          </cell>
          <cell r="H525" t="str">
            <v>Fresa não limpa o bocal de solda</v>
          </cell>
          <cell r="I525" t="str">
            <v>Corretiva</v>
          </cell>
          <cell r="J525" t="str">
            <v>Não</v>
          </cell>
          <cell r="K525" t="str">
            <v>Mecânica</v>
          </cell>
          <cell r="L525" t="str">
            <v>Sim</v>
          </cell>
          <cell r="M525" t="str">
            <v>Desgaste / Fadiga</v>
          </cell>
          <cell r="N525">
            <v>37931</v>
          </cell>
          <cell r="O525">
            <v>0.66666666666666663</v>
          </cell>
          <cell r="P525">
            <v>37931</v>
          </cell>
          <cell r="Q525">
            <v>0.66666666666666663</v>
          </cell>
          <cell r="T525">
            <v>37931</v>
          </cell>
          <cell r="U525">
            <v>0.72916666666666663</v>
          </cell>
          <cell r="V525">
            <v>37931</v>
          </cell>
          <cell r="W525">
            <v>0.72916666666666663</v>
          </cell>
          <cell r="X525">
            <v>6.25E-2</v>
          </cell>
          <cell r="Y525">
            <v>6.2499999997574718E-2</v>
          </cell>
          <cell r="AB525">
            <v>11</v>
          </cell>
          <cell r="AC525">
            <v>9</v>
          </cell>
          <cell r="AD525">
            <v>0</v>
          </cell>
          <cell r="BF525">
            <v>11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</row>
        <row r="526">
          <cell r="C526">
            <v>37894</v>
          </cell>
          <cell r="D526">
            <v>37971</v>
          </cell>
          <cell r="E526">
            <v>37932</v>
          </cell>
          <cell r="F526">
            <v>0.33333333333333331</v>
          </cell>
          <cell r="G526" t="str">
            <v>Células de Solda Automática</v>
          </cell>
          <cell r="H526" t="str">
            <v>Mesa parada fora de posicionamento</v>
          </cell>
          <cell r="I526" t="str">
            <v>Corretiva</v>
          </cell>
          <cell r="J526" t="str">
            <v>Sim</v>
          </cell>
          <cell r="K526" t="str">
            <v>Mecânica</v>
          </cell>
          <cell r="L526" t="str">
            <v>Sim</v>
          </cell>
          <cell r="M526" t="str">
            <v>Falha de Regulagem / Configuração / Dimensionamento</v>
          </cell>
          <cell r="N526">
            <v>37932</v>
          </cell>
          <cell r="O526">
            <v>0.35416666666666669</v>
          </cell>
          <cell r="P526">
            <v>37932</v>
          </cell>
          <cell r="Q526">
            <v>0.35416666666666669</v>
          </cell>
          <cell r="T526">
            <v>37932</v>
          </cell>
          <cell r="U526">
            <v>0.39583333333333331</v>
          </cell>
          <cell r="V526">
            <v>37932</v>
          </cell>
          <cell r="W526">
            <v>0.39583333333333331</v>
          </cell>
          <cell r="X526">
            <v>4.166666666666663E-2</v>
          </cell>
          <cell r="Y526">
            <v>4.1666666669091967E-2</v>
          </cell>
          <cell r="AB526">
            <v>11</v>
          </cell>
          <cell r="AC526">
            <v>9</v>
          </cell>
          <cell r="AD526">
            <v>0</v>
          </cell>
          <cell r="BF526">
            <v>11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</row>
        <row r="527">
          <cell r="C527">
            <v>37894</v>
          </cell>
          <cell r="D527">
            <v>37971</v>
          </cell>
          <cell r="E527">
            <v>37932</v>
          </cell>
          <cell r="F527">
            <v>37932</v>
          </cell>
          <cell r="G527">
            <v>0.67361111111111116</v>
          </cell>
          <cell r="H527" t="str">
            <v>O contador da esteira d eentrada entortou o pistão</v>
          </cell>
          <cell r="I527">
            <v>0</v>
          </cell>
          <cell r="J527" t="str">
            <v>Não</v>
          </cell>
          <cell r="K527" t="str">
            <v>Mecânica</v>
          </cell>
          <cell r="L527" t="str">
            <v>Não</v>
          </cell>
          <cell r="M527" t="str">
            <v>Falha de Regulagem / Configuração / Dimensionamento</v>
          </cell>
          <cell r="N527">
            <v>37932</v>
          </cell>
          <cell r="O527">
            <v>0.68055555555555547</v>
          </cell>
          <cell r="P527">
            <v>37932</v>
          </cell>
          <cell r="Q527">
            <v>0.68055555555555547</v>
          </cell>
          <cell r="T527">
            <v>37932</v>
          </cell>
          <cell r="U527">
            <v>0.71875</v>
          </cell>
          <cell r="V527">
            <v>37932</v>
          </cell>
          <cell r="W527">
            <v>0.71875</v>
          </cell>
          <cell r="X527">
            <v>3.8194444444444531E-2</v>
          </cell>
          <cell r="Y527">
            <v>3.8194444444444531E-2</v>
          </cell>
          <cell r="AB527">
            <v>11</v>
          </cell>
          <cell r="AC527">
            <v>9</v>
          </cell>
          <cell r="AD527">
            <v>0</v>
          </cell>
          <cell r="BF527">
            <v>11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</row>
        <row r="528">
          <cell r="C528">
            <v>37894</v>
          </cell>
          <cell r="D528">
            <v>37971</v>
          </cell>
          <cell r="E528">
            <v>37933</v>
          </cell>
          <cell r="F528">
            <v>37933</v>
          </cell>
          <cell r="G528">
            <v>0.83333333333333337</v>
          </cell>
          <cell r="H528" t="str">
            <v>Mesa parada fora de posicionamento</v>
          </cell>
          <cell r="I528">
            <v>0</v>
          </cell>
          <cell r="J528" t="str">
            <v>Sim</v>
          </cell>
          <cell r="K528" t="str">
            <v>Mecânica</v>
          </cell>
          <cell r="L528" t="str">
            <v>Sim</v>
          </cell>
          <cell r="M528" t="str">
            <v>Falha de Regulagem / Configuração / Dimensionamento</v>
          </cell>
          <cell r="N528">
            <v>37935</v>
          </cell>
          <cell r="O528">
            <v>0.35416666666666669</v>
          </cell>
          <cell r="P528">
            <v>0</v>
          </cell>
          <cell r="T528">
            <v>37935</v>
          </cell>
          <cell r="U528">
            <v>0.54166666666666663</v>
          </cell>
          <cell r="V528">
            <v>0</v>
          </cell>
          <cell r="W528">
            <v>1.4583333333309079</v>
          </cell>
          <cell r="X528">
            <v>0</v>
          </cell>
          <cell r="Y528">
            <v>0</v>
          </cell>
          <cell r="AB528">
            <v>11</v>
          </cell>
          <cell r="AC528">
            <v>9</v>
          </cell>
          <cell r="AD528">
            <v>0</v>
          </cell>
          <cell r="BF528">
            <v>11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</row>
        <row r="529">
          <cell r="C529">
            <v>37894</v>
          </cell>
          <cell r="I529">
            <v>0</v>
          </cell>
          <cell r="N529">
            <v>0</v>
          </cell>
          <cell r="P529">
            <v>0</v>
          </cell>
          <cell r="T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AB529">
            <v>0</v>
          </cell>
          <cell r="AC529">
            <v>9</v>
          </cell>
          <cell r="AD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</row>
        <row r="530">
          <cell r="C530">
            <v>37894</v>
          </cell>
          <cell r="D530">
            <v>37993</v>
          </cell>
          <cell r="E530">
            <v>37936</v>
          </cell>
          <cell r="F530">
            <v>0.875</v>
          </cell>
          <cell r="G530" t="str">
            <v>Células de Solda Automática</v>
          </cell>
          <cell r="H530" t="str">
            <v>Fresa com problemas</v>
          </cell>
          <cell r="I530">
            <v>0</v>
          </cell>
          <cell r="J530" t="str">
            <v>Não</v>
          </cell>
          <cell r="K530" t="str">
            <v>Mecânica</v>
          </cell>
          <cell r="L530" t="str">
            <v>Limpeza do Equipamento / Componente</v>
          </cell>
          <cell r="M530" t="str">
            <v>Sujeira em excesso</v>
          </cell>
          <cell r="N530">
            <v>0</v>
          </cell>
          <cell r="O530">
            <v>0.875</v>
          </cell>
          <cell r="P530">
            <v>0</v>
          </cell>
          <cell r="T530">
            <v>0</v>
          </cell>
          <cell r="U530">
            <v>0.90208333333333324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AB530">
            <v>0</v>
          </cell>
          <cell r="AC530">
            <v>9</v>
          </cell>
          <cell r="AD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</row>
        <row r="531">
          <cell r="C531">
            <v>37894</v>
          </cell>
          <cell r="D531">
            <v>37971</v>
          </cell>
          <cell r="E531">
            <v>37942</v>
          </cell>
          <cell r="F531">
            <v>37942</v>
          </cell>
          <cell r="G531">
            <v>0.33333333333333331</v>
          </cell>
          <cell r="H531" t="str">
            <v>Cilindro da esteira de entrada está solto</v>
          </cell>
          <cell r="I531">
            <v>0</v>
          </cell>
          <cell r="J531" t="str">
            <v>Sim</v>
          </cell>
          <cell r="K531" t="str">
            <v>Mecânica</v>
          </cell>
          <cell r="L531" t="str">
            <v>Sim</v>
          </cell>
          <cell r="M531" t="str">
            <v>Vibração</v>
          </cell>
          <cell r="N531">
            <v>37942</v>
          </cell>
          <cell r="O531">
            <v>0.34027777777777773</v>
          </cell>
          <cell r="P531">
            <v>37942</v>
          </cell>
          <cell r="Q531">
            <v>0.34027777777777773</v>
          </cell>
          <cell r="T531">
            <v>37942</v>
          </cell>
          <cell r="U531">
            <v>0.40972222222222227</v>
          </cell>
          <cell r="V531">
            <v>37942</v>
          </cell>
          <cell r="W531">
            <v>0.40972222222222227</v>
          </cell>
          <cell r="X531">
            <v>6.9444444444444531E-2</v>
          </cell>
          <cell r="Y531">
            <v>6.9444444441210729E-2</v>
          </cell>
          <cell r="AB531">
            <v>11</v>
          </cell>
          <cell r="AC531">
            <v>9</v>
          </cell>
          <cell r="AD531">
            <v>0</v>
          </cell>
          <cell r="BF531">
            <v>11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</row>
        <row r="532">
          <cell r="C532">
            <v>37894</v>
          </cell>
          <cell r="D532">
            <v>37971</v>
          </cell>
          <cell r="E532">
            <v>37943</v>
          </cell>
          <cell r="F532">
            <v>37943</v>
          </cell>
          <cell r="G532">
            <v>0.33333333333333331</v>
          </cell>
          <cell r="H532" t="str">
            <v>Sensor da esteira de entrada não funciona</v>
          </cell>
          <cell r="I532">
            <v>0</v>
          </cell>
          <cell r="J532" t="str">
            <v>Não</v>
          </cell>
          <cell r="K532" t="str">
            <v>Elétrica</v>
          </cell>
          <cell r="L532" t="str">
            <v>Não</v>
          </cell>
          <cell r="M532" t="str">
            <v>Desgaste / Fadiga</v>
          </cell>
          <cell r="N532">
            <v>37943</v>
          </cell>
          <cell r="O532">
            <v>0.33333333333333331</v>
          </cell>
          <cell r="P532">
            <v>37943</v>
          </cell>
          <cell r="Q532">
            <v>0.33333333333333331</v>
          </cell>
          <cell r="T532">
            <v>37943</v>
          </cell>
          <cell r="U532">
            <v>0.36805555555555558</v>
          </cell>
          <cell r="V532">
            <v>37943</v>
          </cell>
          <cell r="W532">
            <v>0.36805555555555558</v>
          </cell>
          <cell r="X532">
            <v>3.4722222221413801E-2</v>
          </cell>
          <cell r="Y532">
            <v>3.4722222221413801E-2</v>
          </cell>
          <cell r="AB532">
            <v>11</v>
          </cell>
          <cell r="AC532">
            <v>9</v>
          </cell>
          <cell r="AD532">
            <v>0</v>
          </cell>
          <cell r="BF532">
            <v>11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</row>
        <row r="533">
          <cell r="C533">
            <v>37894</v>
          </cell>
          <cell r="D533">
            <v>37971</v>
          </cell>
          <cell r="E533">
            <v>37943</v>
          </cell>
          <cell r="F533">
            <v>37943</v>
          </cell>
          <cell r="G533">
            <v>0.64583333333333337</v>
          </cell>
          <cell r="H533" t="str">
            <v>O robô não abre arco de solda</v>
          </cell>
          <cell r="I533">
            <v>0</v>
          </cell>
          <cell r="J533" t="str">
            <v>Sim</v>
          </cell>
          <cell r="K533" t="str">
            <v>Elétrica</v>
          </cell>
          <cell r="L533" t="str">
            <v>Sim</v>
          </cell>
          <cell r="M533" t="str">
            <v>Desgaste / Fadiga</v>
          </cell>
          <cell r="N533">
            <v>37943</v>
          </cell>
          <cell r="O533">
            <v>0.64583333333333337</v>
          </cell>
          <cell r="P533">
            <v>37943</v>
          </cell>
          <cell r="Q533">
            <v>0.64583333333333337</v>
          </cell>
          <cell r="T533">
            <v>37943</v>
          </cell>
          <cell r="U533">
            <v>0.75</v>
          </cell>
          <cell r="V533">
            <v>37943</v>
          </cell>
          <cell r="W533">
            <v>0.75</v>
          </cell>
          <cell r="X533">
            <v>0.10416666666666663</v>
          </cell>
          <cell r="Y533">
            <v>0.10416666666666663</v>
          </cell>
          <cell r="AB533">
            <v>11</v>
          </cell>
          <cell r="AC533">
            <v>9</v>
          </cell>
          <cell r="AD533">
            <v>0</v>
          </cell>
          <cell r="BF533">
            <v>11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</row>
        <row r="534">
          <cell r="C534">
            <v>37894</v>
          </cell>
          <cell r="D534">
            <v>37971</v>
          </cell>
          <cell r="E534">
            <v>37957</v>
          </cell>
          <cell r="F534">
            <v>0.33333333333333331</v>
          </cell>
          <cell r="G534" t="str">
            <v>Células de Solda Automática</v>
          </cell>
          <cell r="H534" t="str">
            <v>Colocar suporte para placa de avisos</v>
          </cell>
          <cell r="I534">
            <v>0</v>
          </cell>
          <cell r="J534" t="str">
            <v>Não</v>
          </cell>
          <cell r="K534" t="str">
            <v>Mecânica</v>
          </cell>
          <cell r="L534" t="str">
            <v>Montagem / Instalação</v>
          </cell>
          <cell r="M534" t="str">
            <v>Melhoria Técnica</v>
          </cell>
          <cell r="N534">
            <v>37957</v>
          </cell>
          <cell r="O534">
            <v>0.4375</v>
          </cell>
          <cell r="P534">
            <v>0</v>
          </cell>
          <cell r="T534">
            <v>37957</v>
          </cell>
          <cell r="U534">
            <v>0.45833333333333331</v>
          </cell>
          <cell r="V534">
            <v>0</v>
          </cell>
          <cell r="W534">
            <v>2.0833333335758653E-2</v>
          </cell>
          <cell r="X534">
            <v>0</v>
          </cell>
          <cell r="Y534">
            <v>0</v>
          </cell>
          <cell r="AB534">
            <v>12</v>
          </cell>
          <cell r="AC534">
            <v>9</v>
          </cell>
          <cell r="AD534">
            <v>0</v>
          </cell>
          <cell r="BF534">
            <v>12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</row>
        <row r="535">
          <cell r="C535">
            <v>37894</v>
          </cell>
          <cell r="D535">
            <v>37971</v>
          </cell>
          <cell r="E535">
            <v>37959</v>
          </cell>
          <cell r="F535">
            <v>0.33333333333333331</v>
          </cell>
          <cell r="G535" t="str">
            <v>Células de Solda Automática</v>
          </cell>
          <cell r="H535" t="str">
            <v>Robô de manipulação não está fechando a garra</v>
          </cell>
          <cell r="I535">
            <v>0</v>
          </cell>
          <cell r="J535" t="str">
            <v>Sim</v>
          </cell>
          <cell r="K535" t="str">
            <v>Mecânica</v>
          </cell>
          <cell r="L535" t="str">
            <v>Ajuste / Regulagem</v>
          </cell>
          <cell r="M535" t="str">
            <v>Falha de Regulagem / Configuração / Dimensionamento</v>
          </cell>
          <cell r="N535">
            <v>37959</v>
          </cell>
          <cell r="O535">
            <v>0.33333333333333331</v>
          </cell>
          <cell r="P535">
            <v>0</v>
          </cell>
          <cell r="T535">
            <v>37959</v>
          </cell>
          <cell r="U535">
            <v>0.35416666666666669</v>
          </cell>
          <cell r="V535">
            <v>0</v>
          </cell>
          <cell r="W535">
            <v>2.0833333330908033E-2</v>
          </cell>
          <cell r="X535">
            <v>0</v>
          </cell>
          <cell r="Y535">
            <v>0</v>
          </cell>
          <cell r="AB535">
            <v>12</v>
          </cell>
          <cell r="AC535">
            <v>9</v>
          </cell>
          <cell r="AD535">
            <v>0</v>
          </cell>
          <cell r="BF535">
            <v>12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</row>
        <row r="536">
          <cell r="C536">
            <v>37894</v>
          </cell>
          <cell r="D536">
            <v>37971</v>
          </cell>
          <cell r="E536">
            <v>37959</v>
          </cell>
          <cell r="F536">
            <v>0.65277777777777779</v>
          </cell>
          <cell r="G536" t="str">
            <v>Células de Solda Automática</v>
          </cell>
          <cell r="H536" t="str">
            <v>O robô não abre arco de solda</v>
          </cell>
          <cell r="I536">
            <v>0</v>
          </cell>
          <cell r="J536" t="str">
            <v>Sim</v>
          </cell>
          <cell r="K536" t="str">
            <v>Elétrica</v>
          </cell>
          <cell r="L536" t="str">
            <v>Substituição do(s) Componente(s)</v>
          </cell>
          <cell r="M536" t="str">
            <v>Desgaste / Fadiga</v>
          </cell>
          <cell r="N536">
            <v>37959</v>
          </cell>
          <cell r="O536">
            <v>0.66666666666666663</v>
          </cell>
          <cell r="P536">
            <v>0</v>
          </cell>
          <cell r="T536">
            <v>37959</v>
          </cell>
          <cell r="U536">
            <v>0.70833333333333337</v>
          </cell>
          <cell r="V536">
            <v>0</v>
          </cell>
          <cell r="W536">
            <v>5.5555555557980862E-2</v>
          </cell>
          <cell r="X536">
            <v>0</v>
          </cell>
          <cell r="Y536">
            <v>0</v>
          </cell>
          <cell r="AB536">
            <v>12</v>
          </cell>
          <cell r="AC536">
            <v>9</v>
          </cell>
          <cell r="AD536">
            <v>0</v>
          </cell>
          <cell r="BF536">
            <v>12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</row>
        <row r="537">
          <cell r="C537">
            <v>37908</v>
          </cell>
          <cell r="D537">
            <v>37924</v>
          </cell>
          <cell r="E537">
            <v>37908</v>
          </cell>
          <cell r="F537">
            <v>0.33333333333333331</v>
          </cell>
          <cell r="G537" t="str">
            <v>Perfiladora Zikeli</v>
          </cell>
          <cell r="H537" t="str">
            <v>Rolo de Entrada da Perfiladora quebrado</v>
          </cell>
          <cell r="I537" t="str">
            <v>Corretiva</v>
          </cell>
          <cell r="J537" t="str">
            <v>Sim</v>
          </cell>
          <cell r="K537" t="str">
            <v>Mecânica</v>
          </cell>
          <cell r="L537" t="str">
            <v>Reparo</v>
          </cell>
          <cell r="M537" t="str">
            <v>Falha de Regulagem / Configuração / Dimensionamento</v>
          </cell>
          <cell r="N537">
            <v>37908</v>
          </cell>
          <cell r="O537">
            <v>0.33333333333333331</v>
          </cell>
          <cell r="P537">
            <v>37908</v>
          </cell>
          <cell r="Q537">
            <v>0.33333333333333331</v>
          </cell>
          <cell r="T537">
            <v>37908</v>
          </cell>
          <cell r="U537">
            <v>0.54166666666666663</v>
          </cell>
          <cell r="V537">
            <v>37908</v>
          </cell>
          <cell r="W537">
            <v>0.54166666666666663</v>
          </cell>
          <cell r="X537">
            <v>0.20833333333333331</v>
          </cell>
          <cell r="Y537">
            <v>0.20833333333090803</v>
          </cell>
          <cell r="AB537">
            <v>10</v>
          </cell>
          <cell r="AC537">
            <v>10</v>
          </cell>
          <cell r="AD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10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</row>
        <row r="538">
          <cell r="C538">
            <v>37908</v>
          </cell>
          <cell r="I538">
            <v>0</v>
          </cell>
          <cell r="N538">
            <v>0</v>
          </cell>
          <cell r="P538">
            <v>0</v>
          </cell>
          <cell r="T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AB538">
            <v>0</v>
          </cell>
          <cell r="AC538">
            <v>10</v>
          </cell>
          <cell r="AD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</row>
        <row r="539">
          <cell r="C539">
            <v>37908</v>
          </cell>
          <cell r="D539">
            <v>37971</v>
          </cell>
          <cell r="E539">
            <v>37923</v>
          </cell>
          <cell r="F539">
            <v>0.60416666666666663</v>
          </cell>
          <cell r="G539" t="str">
            <v>Serra de Fita</v>
          </cell>
          <cell r="H539" t="str">
            <v>Máquina não liga</v>
          </cell>
          <cell r="I539">
            <v>0</v>
          </cell>
          <cell r="J539" t="str">
            <v>Sim</v>
          </cell>
          <cell r="K539" t="str">
            <v>Elétrica</v>
          </cell>
          <cell r="L539" t="str">
            <v>Substituição do(s) Componente(s)</v>
          </cell>
          <cell r="M539" t="str">
            <v>Travamento de Componente</v>
          </cell>
          <cell r="N539">
            <v>37923</v>
          </cell>
          <cell r="O539">
            <v>0.60416666666666663</v>
          </cell>
          <cell r="P539">
            <v>0</v>
          </cell>
          <cell r="T539">
            <v>37924</v>
          </cell>
          <cell r="U539">
            <v>0.72222222222222221</v>
          </cell>
          <cell r="V539">
            <v>0</v>
          </cell>
          <cell r="W539">
            <v>1.1180555555523219</v>
          </cell>
          <cell r="X539">
            <v>0</v>
          </cell>
          <cell r="Y539">
            <v>0</v>
          </cell>
          <cell r="AB539">
            <v>10</v>
          </cell>
          <cell r="AC539">
            <v>10</v>
          </cell>
          <cell r="AD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10</v>
          </cell>
          <cell r="CD539">
            <v>0</v>
          </cell>
        </row>
        <row r="540">
          <cell r="C540">
            <v>37908</v>
          </cell>
          <cell r="I540">
            <v>0</v>
          </cell>
          <cell r="N540">
            <v>0</v>
          </cell>
          <cell r="P540">
            <v>0</v>
          </cell>
          <cell r="T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AB540">
            <v>0</v>
          </cell>
          <cell r="AC540">
            <v>10</v>
          </cell>
          <cell r="AD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</row>
        <row r="541">
          <cell r="C541">
            <v>37908</v>
          </cell>
          <cell r="I541">
            <v>0</v>
          </cell>
          <cell r="N541">
            <v>0</v>
          </cell>
          <cell r="P541">
            <v>0</v>
          </cell>
          <cell r="T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AB541">
            <v>0</v>
          </cell>
          <cell r="AC541">
            <v>10</v>
          </cell>
          <cell r="AD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</row>
        <row r="542">
          <cell r="C542">
            <v>37908</v>
          </cell>
          <cell r="I542">
            <v>0</v>
          </cell>
          <cell r="N542">
            <v>0</v>
          </cell>
          <cell r="P542">
            <v>0</v>
          </cell>
          <cell r="T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AB542">
            <v>0</v>
          </cell>
          <cell r="AC542">
            <v>10</v>
          </cell>
          <cell r="AD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</row>
        <row r="543">
          <cell r="C543">
            <v>37908</v>
          </cell>
          <cell r="I543">
            <v>0</v>
          </cell>
          <cell r="N543">
            <v>0</v>
          </cell>
          <cell r="P543">
            <v>0</v>
          </cell>
          <cell r="T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AB543">
            <v>0</v>
          </cell>
          <cell r="AC543">
            <v>10</v>
          </cell>
          <cell r="AD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</row>
        <row r="544">
          <cell r="C544">
            <v>37908</v>
          </cell>
          <cell r="I544">
            <v>0</v>
          </cell>
          <cell r="N544">
            <v>0</v>
          </cell>
          <cell r="P544">
            <v>0</v>
          </cell>
          <cell r="T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AB544">
            <v>0</v>
          </cell>
          <cell r="AC544">
            <v>10</v>
          </cell>
          <cell r="AD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</row>
        <row r="545">
          <cell r="C545">
            <v>37908</v>
          </cell>
          <cell r="I545">
            <v>0</v>
          </cell>
          <cell r="N545">
            <v>0</v>
          </cell>
          <cell r="P545">
            <v>0</v>
          </cell>
          <cell r="T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AB545">
            <v>0</v>
          </cell>
          <cell r="AC545">
            <v>10</v>
          </cell>
          <cell r="AD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</row>
        <row r="546">
          <cell r="C546">
            <v>37908</v>
          </cell>
          <cell r="I546">
            <v>0</v>
          </cell>
          <cell r="N546">
            <v>0</v>
          </cell>
          <cell r="P546">
            <v>0</v>
          </cell>
          <cell r="T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AB546">
            <v>0</v>
          </cell>
          <cell r="AC546">
            <v>10</v>
          </cell>
          <cell r="AD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</row>
        <row r="547">
          <cell r="C547">
            <v>37908</v>
          </cell>
          <cell r="I547">
            <v>0</v>
          </cell>
          <cell r="N547">
            <v>0</v>
          </cell>
          <cell r="P547">
            <v>0</v>
          </cell>
          <cell r="T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AB547">
            <v>0</v>
          </cell>
          <cell r="AC547">
            <v>10</v>
          </cell>
          <cell r="AD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</row>
        <row r="548">
          <cell r="C548">
            <v>37908</v>
          </cell>
          <cell r="I548">
            <v>0</v>
          </cell>
          <cell r="N548">
            <v>0</v>
          </cell>
          <cell r="P548">
            <v>0</v>
          </cell>
          <cell r="T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AB548">
            <v>0</v>
          </cell>
          <cell r="AC548">
            <v>10</v>
          </cell>
          <cell r="AD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</row>
        <row r="549">
          <cell r="C549">
            <v>37908</v>
          </cell>
          <cell r="I549">
            <v>0</v>
          </cell>
          <cell r="N549">
            <v>0</v>
          </cell>
          <cell r="P549">
            <v>0</v>
          </cell>
          <cell r="T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AB549">
            <v>0</v>
          </cell>
          <cell r="AC549">
            <v>10</v>
          </cell>
          <cell r="AD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</row>
        <row r="550">
          <cell r="C550">
            <v>37908</v>
          </cell>
          <cell r="I550">
            <v>0</v>
          </cell>
          <cell r="N550">
            <v>0</v>
          </cell>
          <cell r="P550">
            <v>0</v>
          </cell>
          <cell r="T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AB550">
            <v>0</v>
          </cell>
          <cell r="AC550">
            <v>10</v>
          </cell>
          <cell r="AD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</row>
        <row r="551">
          <cell r="C551">
            <v>37908</v>
          </cell>
          <cell r="I551">
            <v>0</v>
          </cell>
          <cell r="N551">
            <v>0</v>
          </cell>
          <cell r="P551">
            <v>0</v>
          </cell>
          <cell r="T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AB551">
            <v>0</v>
          </cell>
          <cell r="AC551">
            <v>10</v>
          </cell>
          <cell r="AD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</row>
        <row r="552">
          <cell r="C552">
            <v>37908</v>
          </cell>
          <cell r="D552">
            <v>37971</v>
          </cell>
          <cell r="E552">
            <v>37943</v>
          </cell>
          <cell r="F552">
            <v>37943</v>
          </cell>
          <cell r="G552">
            <v>0.54166666666666663</v>
          </cell>
          <cell r="H552" t="str">
            <v>Braço superior Prensa rompido</v>
          </cell>
          <cell r="I552">
            <v>0</v>
          </cell>
          <cell r="J552" t="str">
            <v>Não</v>
          </cell>
          <cell r="K552" t="str">
            <v>Mecânica</v>
          </cell>
          <cell r="L552" t="str">
            <v>sim</v>
          </cell>
          <cell r="M552" t="str">
            <v>Vibração</v>
          </cell>
          <cell r="N552">
            <v>37943</v>
          </cell>
          <cell r="O552">
            <v>0.5625</v>
          </cell>
          <cell r="P552">
            <v>37943</v>
          </cell>
          <cell r="Q552">
            <v>0.5625</v>
          </cell>
          <cell r="T552">
            <v>37944</v>
          </cell>
          <cell r="U552">
            <v>0.52777777777777779</v>
          </cell>
          <cell r="V552">
            <v>37944</v>
          </cell>
          <cell r="W552">
            <v>0.52777777777777779</v>
          </cell>
          <cell r="X552">
            <v>0.96527777777777779</v>
          </cell>
          <cell r="Y552">
            <v>0.96527777778101154</v>
          </cell>
          <cell r="AB552">
            <v>11</v>
          </cell>
          <cell r="AC552">
            <v>10</v>
          </cell>
          <cell r="AD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11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</row>
        <row r="553">
          <cell r="C553">
            <v>37908</v>
          </cell>
          <cell r="I553">
            <v>0</v>
          </cell>
          <cell r="N553">
            <v>0</v>
          </cell>
          <cell r="P553">
            <v>0</v>
          </cell>
          <cell r="T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AB553">
            <v>0</v>
          </cell>
          <cell r="AC553">
            <v>10</v>
          </cell>
          <cell r="AD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</row>
        <row r="554">
          <cell r="C554">
            <v>37908</v>
          </cell>
          <cell r="I554">
            <v>0</v>
          </cell>
          <cell r="N554">
            <v>0</v>
          </cell>
          <cell r="P554">
            <v>0</v>
          </cell>
          <cell r="T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AB554">
            <v>0</v>
          </cell>
          <cell r="AC554">
            <v>10</v>
          </cell>
          <cell r="AD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</row>
        <row r="555">
          <cell r="C555">
            <v>37908</v>
          </cell>
          <cell r="I555">
            <v>0</v>
          </cell>
          <cell r="N555">
            <v>0</v>
          </cell>
          <cell r="P555">
            <v>0</v>
          </cell>
          <cell r="T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AB555">
            <v>0</v>
          </cell>
          <cell r="AC555">
            <v>10</v>
          </cell>
          <cell r="AD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</row>
        <row r="556">
          <cell r="C556">
            <v>37908</v>
          </cell>
          <cell r="I556">
            <v>0</v>
          </cell>
          <cell r="N556">
            <v>0</v>
          </cell>
          <cell r="P556">
            <v>0</v>
          </cell>
          <cell r="T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AB556">
            <v>0</v>
          </cell>
          <cell r="AC556">
            <v>10</v>
          </cell>
          <cell r="AD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</row>
        <row r="557">
          <cell r="C557">
            <v>37911</v>
          </cell>
          <cell r="D557">
            <v>37928</v>
          </cell>
          <cell r="E557">
            <v>37911</v>
          </cell>
          <cell r="F557">
            <v>0.25</v>
          </cell>
          <cell r="G557" t="str">
            <v>Perfiladora Fagor Largueros</v>
          </cell>
          <cell r="H557" t="str">
            <v>Cortante G70 travado</v>
          </cell>
          <cell r="I557" t="str">
            <v>Corretiva</v>
          </cell>
          <cell r="J557" t="str">
            <v>Sim</v>
          </cell>
          <cell r="K557" t="str">
            <v>Mecânica</v>
          </cell>
          <cell r="L557" t="str">
            <v>Reparo</v>
          </cell>
          <cell r="M557" t="str">
            <v>Falha de Regulagem / Configuração / Dimensionamento</v>
          </cell>
          <cell r="N557">
            <v>37911</v>
          </cell>
          <cell r="O557">
            <v>0.4375</v>
          </cell>
          <cell r="P557">
            <v>37911</v>
          </cell>
          <cell r="Q557">
            <v>0.72916666666666663</v>
          </cell>
          <cell r="R557">
            <v>37912</v>
          </cell>
          <cell r="S557">
            <v>0.29166666666666669</v>
          </cell>
          <cell r="T557">
            <v>37912</v>
          </cell>
          <cell r="U557">
            <v>0.66666666666666663</v>
          </cell>
          <cell r="V557">
            <v>0.1875</v>
          </cell>
          <cell r="W557">
            <v>0.85416666666666652</v>
          </cell>
          <cell r="X557">
            <v>0.66666666666666652</v>
          </cell>
          <cell r="Y557">
            <v>0.66666666666666652</v>
          </cell>
          <cell r="AB557">
            <v>10</v>
          </cell>
          <cell r="AC557">
            <v>10</v>
          </cell>
          <cell r="AD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10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</row>
        <row r="558">
          <cell r="C558">
            <v>37911</v>
          </cell>
          <cell r="I558">
            <v>0</v>
          </cell>
          <cell r="N558">
            <v>0</v>
          </cell>
          <cell r="P558">
            <v>0</v>
          </cell>
          <cell r="T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AB558">
            <v>0</v>
          </cell>
          <cell r="AC558">
            <v>10</v>
          </cell>
          <cell r="AD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</row>
        <row r="559">
          <cell r="C559">
            <v>37911</v>
          </cell>
          <cell r="D559">
            <v>37928</v>
          </cell>
          <cell r="E559">
            <v>37919</v>
          </cell>
          <cell r="F559">
            <v>0.25</v>
          </cell>
          <cell r="G559" t="str">
            <v>Perfiladora Fagor Largueros</v>
          </cell>
          <cell r="H559" t="str">
            <v>Guia de chapa está quebrada</v>
          </cell>
          <cell r="I559" t="str">
            <v>Corretiva</v>
          </cell>
          <cell r="J559" t="str">
            <v>Não</v>
          </cell>
          <cell r="K559" t="str">
            <v>Mecânica</v>
          </cell>
          <cell r="L559" t="str">
            <v>Reparo</v>
          </cell>
          <cell r="M559" t="str">
            <v>Falha de Regulagem / Configuração / Dimensionamento</v>
          </cell>
          <cell r="N559">
            <v>37919</v>
          </cell>
          <cell r="O559">
            <v>0.35416666666666669</v>
          </cell>
          <cell r="P559">
            <v>37919</v>
          </cell>
          <cell r="Q559">
            <v>0.35416666666666669</v>
          </cell>
          <cell r="T559">
            <v>37919</v>
          </cell>
          <cell r="U559">
            <v>0.375</v>
          </cell>
          <cell r="V559">
            <v>37919</v>
          </cell>
          <cell r="W559">
            <v>0.375</v>
          </cell>
          <cell r="X559">
            <v>2.0833333333333315E-2</v>
          </cell>
          <cell r="Y559">
            <v>2.0833333333333315E-2</v>
          </cell>
          <cell r="AB559">
            <v>10</v>
          </cell>
          <cell r="AC559">
            <v>10</v>
          </cell>
          <cell r="AD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10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</row>
        <row r="560">
          <cell r="C560">
            <v>37911</v>
          </cell>
          <cell r="D560">
            <v>37928</v>
          </cell>
          <cell r="E560">
            <v>37918</v>
          </cell>
          <cell r="F560">
            <v>0.3888888888888889</v>
          </cell>
          <cell r="G560" t="str">
            <v>Perfiladora Fagor Largueros</v>
          </cell>
          <cell r="H560" t="str">
            <v>Guia de chapa está quebrada</v>
          </cell>
          <cell r="I560" t="str">
            <v>Corretiva</v>
          </cell>
          <cell r="J560" t="str">
            <v>Não</v>
          </cell>
          <cell r="K560" t="str">
            <v>Mecânica</v>
          </cell>
          <cell r="L560" t="str">
            <v>Reparo</v>
          </cell>
          <cell r="M560" t="str">
            <v>Falha de Regulagem / Configuração / Dimensionamento</v>
          </cell>
          <cell r="N560">
            <v>37918</v>
          </cell>
          <cell r="O560">
            <v>0.39583333333333331</v>
          </cell>
          <cell r="P560">
            <v>37918</v>
          </cell>
          <cell r="Q560">
            <v>0.39583333333333331</v>
          </cell>
          <cell r="T560">
            <v>37918</v>
          </cell>
          <cell r="U560">
            <v>0.41666666666666669</v>
          </cell>
          <cell r="V560">
            <v>37918</v>
          </cell>
          <cell r="W560">
            <v>0.41666666666666669</v>
          </cell>
          <cell r="X560">
            <v>2.0833333330908033E-2</v>
          </cell>
          <cell r="Y560">
            <v>2.0833333330908033E-2</v>
          </cell>
          <cell r="AB560">
            <v>10</v>
          </cell>
          <cell r="AC560">
            <v>10</v>
          </cell>
          <cell r="AD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10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</row>
        <row r="561">
          <cell r="C561">
            <v>37911</v>
          </cell>
          <cell r="D561">
            <v>37971</v>
          </cell>
          <cell r="E561">
            <v>37928</v>
          </cell>
          <cell r="F561">
            <v>37928</v>
          </cell>
          <cell r="G561">
            <v>0.25</v>
          </cell>
          <cell r="H561" t="str">
            <v>Suporte do Sensor da passagem 01 está amassado</v>
          </cell>
          <cell r="I561">
            <v>0</v>
          </cell>
          <cell r="J561" t="str">
            <v>Não</v>
          </cell>
          <cell r="K561" t="str">
            <v>Mecânica</v>
          </cell>
          <cell r="L561" t="str">
            <v>Não</v>
          </cell>
          <cell r="M561" t="str">
            <v>Falha de Montagem / Preparação</v>
          </cell>
          <cell r="N561">
            <v>37928</v>
          </cell>
          <cell r="O561">
            <v>0.4375</v>
          </cell>
          <cell r="P561">
            <v>37928</v>
          </cell>
          <cell r="Q561">
            <v>0.4375</v>
          </cell>
          <cell r="T561">
            <v>37928</v>
          </cell>
          <cell r="U561">
            <v>0.47916666666666669</v>
          </cell>
          <cell r="V561">
            <v>37928</v>
          </cell>
          <cell r="W561">
            <v>0.47916666666666669</v>
          </cell>
          <cell r="X561">
            <v>4.1666666664241347E-2</v>
          </cell>
          <cell r="Y561">
            <v>4.1666666664241347E-2</v>
          </cell>
          <cell r="AB561">
            <v>11</v>
          </cell>
          <cell r="AC561">
            <v>10</v>
          </cell>
          <cell r="AD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11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</row>
        <row r="562">
          <cell r="C562">
            <v>37911</v>
          </cell>
          <cell r="D562">
            <v>37971</v>
          </cell>
          <cell r="E562">
            <v>37957</v>
          </cell>
          <cell r="F562">
            <v>0.70138888888888884</v>
          </cell>
          <cell r="G562" t="str">
            <v>Perfiladora Fagor Largueros</v>
          </cell>
          <cell r="H562" t="str">
            <v>Suporte dos sensores de avanço da perfiladora está quebrado</v>
          </cell>
          <cell r="I562">
            <v>0</v>
          </cell>
          <cell r="J562" t="str">
            <v>Sim</v>
          </cell>
          <cell r="K562" t="str">
            <v>Mecânica</v>
          </cell>
          <cell r="L562" t="str">
            <v>Reparo</v>
          </cell>
          <cell r="M562" t="str">
            <v>Defeito de Fabricação</v>
          </cell>
          <cell r="N562">
            <v>37957</v>
          </cell>
          <cell r="O562">
            <v>0.70138888888888884</v>
          </cell>
          <cell r="P562">
            <v>0</v>
          </cell>
          <cell r="T562">
            <v>37957</v>
          </cell>
          <cell r="U562">
            <v>0.71875</v>
          </cell>
          <cell r="V562">
            <v>0</v>
          </cell>
          <cell r="W562">
            <v>1.736111111111116E-2</v>
          </cell>
          <cell r="X562">
            <v>0</v>
          </cell>
          <cell r="Y562">
            <v>0</v>
          </cell>
          <cell r="AB562">
            <v>12</v>
          </cell>
          <cell r="AC562">
            <v>10</v>
          </cell>
          <cell r="AD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12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</row>
        <row r="563">
          <cell r="C563">
            <v>37911</v>
          </cell>
          <cell r="I563">
            <v>0</v>
          </cell>
          <cell r="N563">
            <v>0</v>
          </cell>
          <cell r="P563">
            <v>0</v>
          </cell>
          <cell r="T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AB563">
            <v>0</v>
          </cell>
          <cell r="AC563">
            <v>10</v>
          </cell>
          <cell r="AD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</row>
        <row r="564">
          <cell r="C564">
            <v>37911</v>
          </cell>
          <cell r="I564">
            <v>0</v>
          </cell>
          <cell r="N564">
            <v>0</v>
          </cell>
          <cell r="P564">
            <v>0</v>
          </cell>
          <cell r="T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AB564">
            <v>0</v>
          </cell>
          <cell r="AC564">
            <v>10</v>
          </cell>
          <cell r="AD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</row>
        <row r="565">
          <cell r="C565">
            <v>37911</v>
          </cell>
          <cell r="I565">
            <v>0</v>
          </cell>
          <cell r="N565">
            <v>0</v>
          </cell>
          <cell r="P565">
            <v>0</v>
          </cell>
          <cell r="T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AB565">
            <v>0</v>
          </cell>
          <cell r="AC565">
            <v>10</v>
          </cell>
          <cell r="AD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</row>
        <row r="566">
          <cell r="C566">
            <v>37911</v>
          </cell>
          <cell r="I566">
            <v>0</v>
          </cell>
          <cell r="N566">
            <v>0</v>
          </cell>
          <cell r="P566">
            <v>0</v>
          </cell>
          <cell r="T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AB566">
            <v>0</v>
          </cell>
          <cell r="AC566">
            <v>10</v>
          </cell>
          <cell r="AD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</row>
        <row r="567">
          <cell r="C567">
            <v>37911</v>
          </cell>
          <cell r="I567">
            <v>0</v>
          </cell>
          <cell r="N567">
            <v>0</v>
          </cell>
          <cell r="P567">
            <v>0</v>
          </cell>
          <cell r="T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AB567">
            <v>0</v>
          </cell>
          <cell r="AC567">
            <v>10</v>
          </cell>
          <cell r="AD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</row>
        <row r="568">
          <cell r="C568">
            <v>37911</v>
          </cell>
          <cell r="D568">
            <v>38008</v>
          </cell>
          <cell r="E568">
            <v>37998</v>
          </cell>
          <cell r="F568">
            <v>0.91666666666666663</v>
          </cell>
          <cell r="G568" t="str">
            <v>Perfiladora Fagor Largueros</v>
          </cell>
          <cell r="H568" t="str">
            <v>Regulador lateral solto</v>
          </cell>
          <cell r="I568">
            <v>0</v>
          </cell>
          <cell r="J568" t="str">
            <v>Sim</v>
          </cell>
          <cell r="K568" t="str">
            <v>Mecânica</v>
          </cell>
          <cell r="L568" t="str">
            <v>Reparo</v>
          </cell>
          <cell r="M568" t="str">
            <v>Falha de Ajuste / Parâmetros</v>
          </cell>
          <cell r="N568">
            <v>0</v>
          </cell>
          <cell r="P568">
            <v>0</v>
          </cell>
          <cell r="T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AB568">
            <v>0</v>
          </cell>
          <cell r="AC568">
            <v>10</v>
          </cell>
          <cell r="AD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</row>
        <row r="569">
          <cell r="C569">
            <v>37911</v>
          </cell>
          <cell r="I569">
            <v>0</v>
          </cell>
          <cell r="N569">
            <v>0</v>
          </cell>
          <cell r="P569">
            <v>0</v>
          </cell>
          <cell r="T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AB569">
            <v>0</v>
          </cell>
          <cell r="AC569">
            <v>10</v>
          </cell>
          <cell r="AD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</row>
        <row r="570">
          <cell r="C570">
            <v>37911</v>
          </cell>
          <cell r="I570">
            <v>0</v>
          </cell>
          <cell r="N570">
            <v>0</v>
          </cell>
          <cell r="P570">
            <v>0</v>
          </cell>
          <cell r="T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AB570">
            <v>0</v>
          </cell>
          <cell r="AC570">
            <v>10</v>
          </cell>
          <cell r="AD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</row>
        <row r="571">
          <cell r="C571">
            <v>37911</v>
          </cell>
          <cell r="I571">
            <v>0</v>
          </cell>
          <cell r="N571">
            <v>0</v>
          </cell>
          <cell r="P571">
            <v>0</v>
          </cell>
          <cell r="T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AB571">
            <v>0</v>
          </cell>
          <cell r="AC571">
            <v>10</v>
          </cell>
          <cell r="AD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</row>
        <row r="572">
          <cell r="C572">
            <v>37911</v>
          </cell>
          <cell r="I572">
            <v>0</v>
          </cell>
          <cell r="N572">
            <v>0</v>
          </cell>
          <cell r="P572">
            <v>0</v>
          </cell>
          <cell r="T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AB572">
            <v>0</v>
          </cell>
          <cell r="AC572">
            <v>10</v>
          </cell>
          <cell r="AD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</row>
        <row r="573">
          <cell r="C573">
            <v>37911</v>
          </cell>
          <cell r="I573">
            <v>0</v>
          </cell>
          <cell r="N573">
            <v>0</v>
          </cell>
          <cell r="P573">
            <v>0</v>
          </cell>
          <cell r="T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AB573">
            <v>0</v>
          </cell>
          <cell r="AC573">
            <v>10</v>
          </cell>
          <cell r="AD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</row>
        <row r="574">
          <cell r="C574">
            <v>37911</v>
          </cell>
          <cell r="I574">
            <v>0</v>
          </cell>
          <cell r="N574">
            <v>0</v>
          </cell>
          <cell r="P574">
            <v>0</v>
          </cell>
          <cell r="T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AB574">
            <v>0</v>
          </cell>
          <cell r="AC574">
            <v>10</v>
          </cell>
          <cell r="AD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</row>
        <row r="575">
          <cell r="C575">
            <v>37911</v>
          </cell>
          <cell r="I575">
            <v>0</v>
          </cell>
          <cell r="N575">
            <v>0</v>
          </cell>
          <cell r="P575">
            <v>0</v>
          </cell>
          <cell r="T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AB575">
            <v>0</v>
          </cell>
          <cell r="AC575">
            <v>10</v>
          </cell>
          <cell r="AD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</row>
        <row r="576">
          <cell r="C576">
            <v>37911</v>
          </cell>
          <cell r="I576">
            <v>0</v>
          </cell>
          <cell r="N576">
            <v>0</v>
          </cell>
          <cell r="P576">
            <v>0</v>
          </cell>
          <cell r="T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AB576">
            <v>0</v>
          </cell>
          <cell r="AC576">
            <v>10</v>
          </cell>
          <cell r="AD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</row>
        <row r="577">
          <cell r="C577">
            <v>37938</v>
          </cell>
          <cell r="D577">
            <v>37971</v>
          </cell>
          <cell r="E577">
            <v>37937</v>
          </cell>
          <cell r="F577">
            <v>37937</v>
          </cell>
          <cell r="G577">
            <v>0.70833333333333337</v>
          </cell>
          <cell r="H577" t="str">
            <v>Pinça do robô de manipulação de madeira está rompida</v>
          </cell>
          <cell r="I577">
            <v>0</v>
          </cell>
          <cell r="J577" t="str">
            <v>Sim</v>
          </cell>
          <cell r="K577" t="str">
            <v>Mecânica</v>
          </cell>
          <cell r="L577" t="str">
            <v>Sim</v>
          </cell>
          <cell r="M577" t="str">
            <v>Defeito de Fabricação</v>
          </cell>
          <cell r="N577">
            <v>37937</v>
          </cell>
          <cell r="O577">
            <v>0.71180555555555547</v>
          </cell>
          <cell r="P577">
            <v>37937</v>
          </cell>
          <cell r="Q577">
            <v>0.71180555555555547</v>
          </cell>
          <cell r="T577">
            <v>37937</v>
          </cell>
          <cell r="U577">
            <v>0.73958333333333337</v>
          </cell>
          <cell r="V577">
            <v>37937</v>
          </cell>
          <cell r="W577">
            <v>0.73958333333333337</v>
          </cell>
          <cell r="X577">
            <v>2.7777777777777901E-2</v>
          </cell>
          <cell r="Y577">
            <v>2.7777777780203183E-2</v>
          </cell>
          <cell r="AB577">
            <v>11</v>
          </cell>
          <cell r="AC577">
            <v>11</v>
          </cell>
          <cell r="AD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11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</row>
        <row r="578">
          <cell r="C578">
            <v>37938</v>
          </cell>
          <cell r="D578">
            <v>37971</v>
          </cell>
          <cell r="E578">
            <v>37938</v>
          </cell>
          <cell r="F578">
            <v>0.78472222222222221</v>
          </cell>
          <cell r="G578" t="str">
            <v>Linha de Pintura 3,2m</v>
          </cell>
          <cell r="H578" t="str">
            <v>Mesa N° 02 do robô está travada</v>
          </cell>
          <cell r="I578">
            <v>0</v>
          </cell>
          <cell r="J578" t="str">
            <v>Sim</v>
          </cell>
          <cell r="K578" t="str">
            <v>Elétrica</v>
          </cell>
          <cell r="L578" t="str">
            <v>Correção de mau contato</v>
          </cell>
          <cell r="M578" t="str">
            <v>Mau contato</v>
          </cell>
          <cell r="N578">
            <v>37938</v>
          </cell>
          <cell r="O578">
            <v>0.79166666666666663</v>
          </cell>
          <cell r="P578">
            <v>0</v>
          </cell>
          <cell r="T578">
            <v>37938</v>
          </cell>
          <cell r="U578">
            <v>0.80555555555555547</v>
          </cell>
          <cell r="V578">
            <v>0</v>
          </cell>
          <cell r="W578">
            <v>2.0833333332524906E-2</v>
          </cell>
          <cell r="X578">
            <v>0</v>
          </cell>
          <cell r="Y578">
            <v>0</v>
          </cell>
          <cell r="AB578">
            <v>11</v>
          </cell>
          <cell r="AC578">
            <v>11</v>
          </cell>
          <cell r="AD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11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</row>
        <row r="579">
          <cell r="C579">
            <v>37938</v>
          </cell>
          <cell r="D579">
            <v>37971</v>
          </cell>
          <cell r="E579">
            <v>37938</v>
          </cell>
          <cell r="F579">
            <v>0.57291666666666663</v>
          </cell>
          <cell r="G579" t="str">
            <v>Linha de Pintura 3,2m</v>
          </cell>
          <cell r="H579" t="str">
            <v>Cabo de aço que sustenta os cabos elétricos acima da garra do robô está rompido</v>
          </cell>
          <cell r="I579">
            <v>0</v>
          </cell>
          <cell r="J579" t="str">
            <v>Não</v>
          </cell>
          <cell r="K579" t="str">
            <v>Mecânica</v>
          </cell>
          <cell r="L579" t="str">
            <v>Substituição do(s) Componente(s)</v>
          </cell>
          <cell r="M579" t="str">
            <v>Desgaste / Fadiga</v>
          </cell>
          <cell r="N579">
            <v>37939</v>
          </cell>
          <cell r="O579">
            <v>0.35416666666666669</v>
          </cell>
          <cell r="P579">
            <v>0</v>
          </cell>
          <cell r="T579">
            <v>37939</v>
          </cell>
          <cell r="U579">
            <v>0.41666666666666669</v>
          </cell>
          <cell r="V579">
            <v>0</v>
          </cell>
          <cell r="W579">
            <v>6.2499999997574662E-2</v>
          </cell>
          <cell r="X579">
            <v>0</v>
          </cell>
          <cell r="Y579">
            <v>0</v>
          </cell>
          <cell r="AB579">
            <v>11</v>
          </cell>
          <cell r="AC579">
            <v>11</v>
          </cell>
          <cell r="AD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11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</row>
        <row r="580">
          <cell r="C580">
            <v>37938</v>
          </cell>
          <cell r="D580">
            <v>37971</v>
          </cell>
          <cell r="E580">
            <v>37947</v>
          </cell>
          <cell r="F580">
            <v>0.56944444444444442</v>
          </cell>
          <cell r="G580" t="str">
            <v>Linha de Pintura 3,2m</v>
          </cell>
          <cell r="H580" t="str">
            <v>O fio do Aspirador escapou do plug da tomada</v>
          </cell>
          <cell r="I580">
            <v>0</v>
          </cell>
          <cell r="J580" t="str">
            <v>Não</v>
          </cell>
          <cell r="K580" t="str">
            <v>Elétrica</v>
          </cell>
          <cell r="L580" t="str">
            <v>Substituição do(s) Componente(s)</v>
          </cell>
          <cell r="M580" t="str">
            <v>Falha Operacional</v>
          </cell>
          <cell r="N580">
            <v>37947</v>
          </cell>
          <cell r="O580">
            <v>0.56944444444444442</v>
          </cell>
          <cell r="P580">
            <v>0</v>
          </cell>
          <cell r="T580">
            <v>37947</v>
          </cell>
          <cell r="U580">
            <v>0.59027777777777779</v>
          </cell>
          <cell r="V580">
            <v>0</v>
          </cell>
          <cell r="W580">
            <v>2.0833333336567117E-2</v>
          </cell>
          <cell r="X580">
            <v>0</v>
          </cell>
          <cell r="Y580">
            <v>0</v>
          </cell>
          <cell r="AB580">
            <v>11</v>
          </cell>
          <cell r="AC580">
            <v>11</v>
          </cell>
          <cell r="AD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11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</row>
        <row r="581">
          <cell r="C581">
            <v>37938</v>
          </cell>
          <cell r="D581">
            <v>37971</v>
          </cell>
          <cell r="E581">
            <v>37947</v>
          </cell>
          <cell r="F581">
            <v>0.5708333333333333</v>
          </cell>
          <cell r="G581" t="str">
            <v>Linha de Pintura 3,2m</v>
          </cell>
          <cell r="H581" t="str">
            <v>Vazamento de ar comprimido em excesso</v>
          </cell>
          <cell r="I581">
            <v>0</v>
          </cell>
          <cell r="J581" t="str">
            <v>Sim</v>
          </cell>
          <cell r="K581" t="str">
            <v>Mecânica</v>
          </cell>
          <cell r="L581" t="str">
            <v>Reparo</v>
          </cell>
          <cell r="M581" t="str">
            <v>Desgaste / Fadiga</v>
          </cell>
          <cell r="N581">
            <v>37947</v>
          </cell>
          <cell r="O581">
            <v>0.58333333333333337</v>
          </cell>
          <cell r="P581">
            <v>0</v>
          </cell>
          <cell r="T581">
            <v>37947</v>
          </cell>
          <cell r="U581">
            <v>0.60416666666666663</v>
          </cell>
          <cell r="V581">
            <v>0</v>
          </cell>
          <cell r="W581">
            <v>3.3333333330908044E-2</v>
          </cell>
          <cell r="X581">
            <v>0</v>
          </cell>
          <cell r="Y581">
            <v>0</v>
          </cell>
          <cell r="AB581">
            <v>11</v>
          </cell>
          <cell r="AC581">
            <v>11</v>
          </cell>
          <cell r="AD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11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</row>
        <row r="582">
          <cell r="C582">
            <v>37938</v>
          </cell>
          <cell r="D582">
            <v>37971</v>
          </cell>
          <cell r="E582">
            <v>37950</v>
          </cell>
          <cell r="F582">
            <v>37950</v>
          </cell>
          <cell r="G582">
            <v>0.40277777777777773</v>
          </cell>
          <cell r="H582" t="str">
            <v>Filtro de ar não está permitindo regulagem</v>
          </cell>
          <cell r="I582">
            <v>0</v>
          </cell>
          <cell r="J582" t="str">
            <v>Não</v>
          </cell>
          <cell r="K582" t="str">
            <v>Mecânica</v>
          </cell>
          <cell r="L582" t="str">
            <v>Não</v>
          </cell>
          <cell r="M582" t="str">
            <v>Falha Operacional</v>
          </cell>
          <cell r="N582">
            <v>37950</v>
          </cell>
          <cell r="O582">
            <v>0.40625</v>
          </cell>
          <cell r="P582">
            <v>37950</v>
          </cell>
          <cell r="Q582">
            <v>0.40625</v>
          </cell>
          <cell r="T582">
            <v>37950</v>
          </cell>
          <cell r="U582">
            <v>0.43055555555555558</v>
          </cell>
          <cell r="V582">
            <v>37950</v>
          </cell>
          <cell r="W582">
            <v>0.43055555555555558</v>
          </cell>
          <cell r="X582">
            <v>2.4305555554747116E-2</v>
          </cell>
          <cell r="Y582">
            <v>2.4305555554747116E-2</v>
          </cell>
          <cell r="AB582">
            <v>11</v>
          </cell>
          <cell r="AC582">
            <v>11</v>
          </cell>
          <cell r="AD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11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</row>
        <row r="583">
          <cell r="C583">
            <v>37938</v>
          </cell>
          <cell r="D583">
            <v>37971</v>
          </cell>
          <cell r="E583">
            <v>37950</v>
          </cell>
          <cell r="F583">
            <v>37950</v>
          </cell>
          <cell r="G583">
            <v>0.4375</v>
          </cell>
          <cell r="H583" t="str">
            <v>Máquina de embalar com um pedaço de fita travado</v>
          </cell>
          <cell r="I583">
            <v>0</v>
          </cell>
          <cell r="J583" t="str">
            <v>Sim</v>
          </cell>
          <cell r="K583" t="str">
            <v>Mecânica</v>
          </cell>
          <cell r="L583" t="str">
            <v>Sim</v>
          </cell>
          <cell r="M583" t="str">
            <v>Falha Operacional</v>
          </cell>
          <cell r="N583">
            <v>37950</v>
          </cell>
          <cell r="O583">
            <v>0.44444444444444442</v>
          </cell>
          <cell r="P583">
            <v>37950</v>
          </cell>
          <cell r="Q583">
            <v>0.44444444444444442</v>
          </cell>
          <cell r="T583">
            <v>37950</v>
          </cell>
          <cell r="U583">
            <v>0.45833333333333331</v>
          </cell>
          <cell r="V583">
            <v>37950</v>
          </cell>
          <cell r="W583">
            <v>0.45833333333333331</v>
          </cell>
          <cell r="X583">
            <v>1.3888888888888895E-2</v>
          </cell>
          <cell r="Y583">
            <v>1.3888888891314233E-2</v>
          </cell>
          <cell r="AB583">
            <v>11</v>
          </cell>
          <cell r="AC583">
            <v>11</v>
          </cell>
          <cell r="AD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11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</row>
        <row r="584">
          <cell r="C584">
            <v>37938</v>
          </cell>
          <cell r="D584">
            <v>37971</v>
          </cell>
          <cell r="E584">
            <v>37952</v>
          </cell>
          <cell r="F584">
            <v>0.47569444444444442</v>
          </cell>
          <cell r="G584" t="str">
            <v>Linha de Pintura 3,2m</v>
          </cell>
          <cell r="H584" t="str">
            <v>Queimador do tanque de fosfato não funciona</v>
          </cell>
          <cell r="I584">
            <v>0</v>
          </cell>
          <cell r="J584" t="str">
            <v>Sim</v>
          </cell>
          <cell r="K584" t="str">
            <v>Elétrica</v>
          </cell>
          <cell r="L584" t="str">
            <v>Ajuste / Regulagem</v>
          </cell>
          <cell r="M584" t="str">
            <v>Falha de Projeto</v>
          </cell>
          <cell r="N584">
            <v>37952</v>
          </cell>
          <cell r="O584">
            <v>0.5</v>
          </cell>
          <cell r="P584">
            <v>0</v>
          </cell>
          <cell r="Q584">
            <v>1</v>
          </cell>
          <cell r="R584">
            <v>37953</v>
          </cell>
          <cell r="S584">
            <v>0.25</v>
          </cell>
          <cell r="T584">
            <v>37953</v>
          </cell>
          <cell r="U584">
            <v>0.45833333333333331</v>
          </cell>
          <cell r="V584">
            <v>0</v>
          </cell>
          <cell r="W584">
            <v>0.73263888888888884</v>
          </cell>
          <cell r="X584">
            <v>0</v>
          </cell>
          <cell r="Y584">
            <v>0</v>
          </cell>
          <cell r="AB584">
            <v>11</v>
          </cell>
          <cell r="AC584">
            <v>11</v>
          </cell>
          <cell r="AD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11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</row>
        <row r="585">
          <cell r="C585">
            <v>37938</v>
          </cell>
          <cell r="D585">
            <v>37971</v>
          </cell>
          <cell r="E585">
            <v>37953</v>
          </cell>
          <cell r="F585">
            <v>0.53819444444444442</v>
          </cell>
          <cell r="G585" t="str">
            <v>Linha de Pintura 3,2m</v>
          </cell>
          <cell r="H585" t="str">
            <v>Transportador apresentou ruído estranho e apresentou a mensagem de "corrente travada"</v>
          </cell>
          <cell r="I585">
            <v>0</v>
          </cell>
          <cell r="J585" t="str">
            <v>Sim</v>
          </cell>
          <cell r="K585" t="str">
            <v>Mecânica</v>
          </cell>
          <cell r="L585" t="str">
            <v>Reparo</v>
          </cell>
          <cell r="M585" t="str">
            <v>Desgaste / Fadiga</v>
          </cell>
          <cell r="N585">
            <v>37953</v>
          </cell>
          <cell r="O585">
            <v>0.54166666666666663</v>
          </cell>
          <cell r="P585">
            <v>0</v>
          </cell>
          <cell r="T585">
            <v>37954</v>
          </cell>
          <cell r="U585">
            <v>0.79166666666666663</v>
          </cell>
          <cell r="V585">
            <v>0</v>
          </cell>
          <cell r="W585">
            <v>1.2534722222197971</v>
          </cell>
          <cell r="X585">
            <v>0</v>
          </cell>
          <cell r="Y585">
            <v>0</v>
          </cell>
          <cell r="AB585">
            <v>11</v>
          </cell>
          <cell r="AC585">
            <v>11</v>
          </cell>
          <cell r="AD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11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</row>
        <row r="586">
          <cell r="C586">
            <v>37938</v>
          </cell>
          <cell r="D586">
            <v>37993</v>
          </cell>
          <cell r="E586">
            <v>37960</v>
          </cell>
          <cell r="F586">
            <v>0.34722222222222227</v>
          </cell>
          <cell r="G586" t="str">
            <v>Linha de Pintura 3,2m</v>
          </cell>
          <cell r="H586" t="str">
            <v>Corrente transportadora com defeito</v>
          </cell>
          <cell r="I586">
            <v>0</v>
          </cell>
          <cell r="J586" t="str">
            <v>Sim</v>
          </cell>
          <cell r="K586" t="str">
            <v>Mecânica</v>
          </cell>
          <cell r="L586" t="str">
            <v>Ajuste / Regulagem</v>
          </cell>
          <cell r="M586" t="str">
            <v>Desgaste / Fadiga</v>
          </cell>
          <cell r="N586">
            <v>0</v>
          </cell>
          <cell r="O586">
            <v>0.35416666666666669</v>
          </cell>
          <cell r="P586">
            <v>0</v>
          </cell>
          <cell r="T586">
            <v>0</v>
          </cell>
          <cell r="U586">
            <v>0.625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AB586">
            <v>0</v>
          </cell>
          <cell r="AC586">
            <v>11</v>
          </cell>
          <cell r="AD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</row>
        <row r="587">
          <cell r="C587">
            <v>37938</v>
          </cell>
          <cell r="D587">
            <v>37977</v>
          </cell>
          <cell r="E587">
            <v>37965</v>
          </cell>
          <cell r="F587">
            <v>0.61458333333333337</v>
          </cell>
          <cell r="G587" t="str">
            <v>Linha de Pintura 3,2m</v>
          </cell>
          <cell r="H587" t="str">
            <v>Sensor da garra não aciona</v>
          </cell>
          <cell r="I587">
            <v>0</v>
          </cell>
          <cell r="J587" t="str">
            <v>Sim</v>
          </cell>
          <cell r="K587" t="str">
            <v>Elétrica</v>
          </cell>
          <cell r="L587" t="str">
            <v>Reaperto dos componentes</v>
          </cell>
          <cell r="M587" t="str">
            <v>Vibração</v>
          </cell>
          <cell r="N587">
            <v>37965</v>
          </cell>
          <cell r="O587">
            <v>0.625</v>
          </cell>
          <cell r="P587">
            <v>0</v>
          </cell>
          <cell r="T587">
            <v>37965</v>
          </cell>
          <cell r="U587">
            <v>0.63888888888888895</v>
          </cell>
          <cell r="V587">
            <v>0</v>
          </cell>
          <cell r="W587">
            <v>2.4305555557172398E-2</v>
          </cell>
          <cell r="X587">
            <v>0</v>
          </cell>
          <cell r="Y587">
            <v>0</v>
          </cell>
          <cell r="AB587">
            <v>12</v>
          </cell>
          <cell r="AC587">
            <v>11</v>
          </cell>
          <cell r="AD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12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</row>
        <row r="588">
          <cell r="C588">
            <v>37938</v>
          </cell>
          <cell r="D588">
            <v>37993</v>
          </cell>
          <cell r="E588">
            <v>37972</v>
          </cell>
          <cell r="F588">
            <v>0.27083333333333331</v>
          </cell>
          <cell r="G588" t="str">
            <v>Linha de Pintura 3,2m</v>
          </cell>
          <cell r="H588" t="str">
            <v>Robô não se movimenta</v>
          </cell>
          <cell r="I588">
            <v>0</v>
          </cell>
          <cell r="J588" t="str">
            <v>Sim</v>
          </cell>
          <cell r="K588" t="str">
            <v>Elétrica</v>
          </cell>
          <cell r="L588" t="str">
            <v>Correção de mau contato</v>
          </cell>
          <cell r="M588" t="str">
            <v>Mau contato</v>
          </cell>
          <cell r="N588">
            <v>0</v>
          </cell>
          <cell r="O588">
            <v>0.27083333333333331</v>
          </cell>
          <cell r="P588">
            <v>0</v>
          </cell>
          <cell r="T588">
            <v>0</v>
          </cell>
          <cell r="U588">
            <v>0.56944444444444442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AB588">
            <v>0</v>
          </cell>
          <cell r="AC588">
            <v>11</v>
          </cell>
          <cell r="AD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</row>
        <row r="589">
          <cell r="C589">
            <v>37938</v>
          </cell>
          <cell r="D589">
            <v>37993</v>
          </cell>
          <cell r="E589">
            <v>37984</v>
          </cell>
          <cell r="F589">
            <v>0.33333333333333331</v>
          </cell>
          <cell r="G589" t="str">
            <v>Linha de Pintura 3,2m</v>
          </cell>
          <cell r="H589" t="str">
            <v>Suporte para apoio das gancheiras está fora de posição</v>
          </cell>
          <cell r="I589">
            <v>0</v>
          </cell>
          <cell r="J589" t="str">
            <v>Sim</v>
          </cell>
          <cell r="K589" t="str">
            <v>Mecânica</v>
          </cell>
          <cell r="L589" t="str">
            <v>Ajuste / Regulagem</v>
          </cell>
          <cell r="M589" t="str">
            <v>Sobrecarga</v>
          </cell>
          <cell r="N589">
            <v>0</v>
          </cell>
          <cell r="O589">
            <v>0.34027777777777773</v>
          </cell>
          <cell r="P589">
            <v>0</v>
          </cell>
          <cell r="T589">
            <v>0</v>
          </cell>
          <cell r="U589">
            <v>0.41666666666666669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AB589">
            <v>0</v>
          </cell>
          <cell r="AC589">
            <v>11</v>
          </cell>
          <cell r="AD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</row>
        <row r="590">
          <cell r="C590">
            <v>37938</v>
          </cell>
          <cell r="D590">
            <v>37993</v>
          </cell>
          <cell r="E590">
            <v>37984</v>
          </cell>
          <cell r="F590">
            <v>0.59027777777777779</v>
          </cell>
          <cell r="G590" t="str">
            <v>Linha de Pintura 3,2m</v>
          </cell>
          <cell r="H590" t="str">
            <v>Sistema de emergência da mesa Nº 02 do robô acionado</v>
          </cell>
          <cell r="I590">
            <v>0</v>
          </cell>
          <cell r="J590" t="str">
            <v>Sim</v>
          </cell>
          <cell r="K590" t="str">
            <v>Elétrica</v>
          </cell>
          <cell r="L590" t="str">
            <v>Ajuste / Regulagem</v>
          </cell>
          <cell r="M590" t="str">
            <v>Falha de Comando / Sistema</v>
          </cell>
          <cell r="N590">
            <v>0</v>
          </cell>
          <cell r="O590">
            <v>0.59027777777777779</v>
          </cell>
          <cell r="P590">
            <v>0</v>
          </cell>
          <cell r="T590">
            <v>0</v>
          </cell>
          <cell r="U590">
            <v>0.60416666666666663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AB590">
            <v>0</v>
          </cell>
          <cell r="AC590">
            <v>11</v>
          </cell>
          <cell r="AD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</row>
        <row r="591">
          <cell r="C591">
            <v>37938</v>
          </cell>
          <cell r="D591">
            <v>37993</v>
          </cell>
          <cell r="E591">
            <v>37984</v>
          </cell>
          <cell r="F591">
            <v>0.75</v>
          </cell>
          <cell r="G591" t="str">
            <v>Linha de Pintura 3,2m</v>
          </cell>
          <cell r="H591" t="str">
            <v>Timer do lubrificador da corrente transportadora inadequado</v>
          </cell>
          <cell r="I591">
            <v>0</v>
          </cell>
          <cell r="J591" t="str">
            <v>Não</v>
          </cell>
          <cell r="K591" t="str">
            <v>Elétrica</v>
          </cell>
          <cell r="L591" t="str">
            <v>Desligamento do Componente</v>
          </cell>
          <cell r="M591" t="str">
            <v>Falha de Regulagem / Configuração / Dimensionamento</v>
          </cell>
          <cell r="N591">
            <v>0</v>
          </cell>
          <cell r="O591">
            <v>0.75</v>
          </cell>
          <cell r="P591">
            <v>0</v>
          </cell>
          <cell r="T591">
            <v>0</v>
          </cell>
          <cell r="U591">
            <v>0.77083333333333337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AB591">
            <v>0</v>
          </cell>
          <cell r="AC591">
            <v>11</v>
          </cell>
          <cell r="AD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</row>
        <row r="592">
          <cell r="C592">
            <v>37938</v>
          </cell>
          <cell r="I592">
            <v>0</v>
          </cell>
          <cell r="N592">
            <v>0</v>
          </cell>
          <cell r="P592">
            <v>0</v>
          </cell>
          <cell r="T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AB592">
            <v>0</v>
          </cell>
          <cell r="AC592">
            <v>11</v>
          </cell>
          <cell r="AD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</row>
        <row r="593">
          <cell r="C593">
            <v>37938</v>
          </cell>
          <cell r="I593">
            <v>0</v>
          </cell>
          <cell r="N593">
            <v>0</v>
          </cell>
          <cell r="P593">
            <v>0</v>
          </cell>
          <cell r="T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AB593">
            <v>0</v>
          </cell>
          <cell r="AC593">
            <v>11</v>
          </cell>
          <cell r="AD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</row>
        <row r="594">
          <cell r="C594">
            <v>37938</v>
          </cell>
          <cell r="I594">
            <v>0</v>
          </cell>
          <cell r="N594">
            <v>0</v>
          </cell>
          <cell r="P594">
            <v>0</v>
          </cell>
          <cell r="T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AB594">
            <v>0</v>
          </cell>
          <cell r="AC594">
            <v>11</v>
          </cell>
          <cell r="AD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</row>
        <row r="595">
          <cell r="C595">
            <v>37938</v>
          </cell>
          <cell r="D595">
            <v>38008</v>
          </cell>
          <cell r="E595">
            <v>38001</v>
          </cell>
          <cell r="F595">
            <v>0.26944444444444443</v>
          </cell>
          <cell r="G595" t="str">
            <v>Linha de Pintura 3,2m</v>
          </cell>
          <cell r="H595" t="str">
            <v>Engate rápido da Pistola de pintura líquida quebrado</v>
          </cell>
          <cell r="I595">
            <v>0</v>
          </cell>
          <cell r="J595" t="str">
            <v>Não</v>
          </cell>
          <cell r="K595" t="str">
            <v>Mecânica</v>
          </cell>
          <cell r="L595" t="str">
            <v>Substituição do(s) Componente(s)</v>
          </cell>
          <cell r="M595" t="str">
            <v>Desgaste / Fadiga</v>
          </cell>
          <cell r="N595">
            <v>0</v>
          </cell>
          <cell r="O595">
            <v>0.27083333333333331</v>
          </cell>
          <cell r="P595">
            <v>0</v>
          </cell>
          <cell r="T595">
            <v>0</v>
          </cell>
          <cell r="U595">
            <v>0.29166666666666669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AB595">
            <v>0</v>
          </cell>
          <cell r="AC595">
            <v>11</v>
          </cell>
          <cell r="AD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</row>
        <row r="596">
          <cell r="C596">
            <v>37938</v>
          </cell>
          <cell r="I596">
            <v>0</v>
          </cell>
          <cell r="N596">
            <v>0</v>
          </cell>
          <cell r="P596">
            <v>0</v>
          </cell>
          <cell r="T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AB596">
            <v>0</v>
          </cell>
          <cell r="AC596">
            <v>11</v>
          </cell>
          <cell r="AD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</row>
        <row r="597">
          <cell r="C597">
            <v>37950</v>
          </cell>
          <cell r="D597">
            <v>37971</v>
          </cell>
          <cell r="E597">
            <v>37964</v>
          </cell>
          <cell r="F597">
            <v>0.27083333333333331</v>
          </cell>
          <cell r="G597" t="str">
            <v>Perfiladora Gasparini</v>
          </cell>
          <cell r="H597" t="str">
            <v>Mangueira de Lubrificação furada</v>
          </cell>
          <cell r="I597">
            <v>0</v>
          </cell>
          <cell r="J597" t="str">
            <v>Sim</v>
          </cell>
          <cell r="K597" t="str">
            <v>Mecânica</v>
          </cell>
          <cell r="L597" t="str">
            <v>Reparo</v>
          </cell>
          <cell r="M597" t="str">
            <v>Falha Operacional</v>
          </cell>
          <cell r="N597">
            <v>37964</v>
          </cell>
          <cell r="O597">
            <v>0.27083333333333331</v>
          </cell>
          <cell r="P597">
            <v>0</v>
          </cell>
          <cell r="T597">
            <v>37964</v>
          </cell>
          <cell r="U597">
            <v>0.29166666666666669</v>
          </cell>
          <cell r="V597">
            <v>0</v>
          </cell>
          <cell r="W597">
            <v>2.0833333330908033E-2</v>
          </cell>
          <cell r="X597">
            <v>0</v>
          </cell>
          <cell r="Y597">
            <v>0</v>
          </cell>
          <cell r="AB597">
            <v>12</v>
          </cell>
          <cell r="AC597">
            <v>11</v>
          </cell>
          <cell r="AD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12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</row>
        <row r="598">
          <cell r="C598">
            <v>37950</v>
          </cell>
          <cell r="D598">
            <v>37993</v>
          </cell>
          <cell r="E598">
            <v>37973</v>
          </cell>
          <cell r="F598">
            <v>0.29166666666666669</v>
          </cell>
          <cell r="G598" t="str">
            <v>Perfiladora Gasparini</v>
          </cell>
          <cell r="H598" t="str">
            <v>Máquina não liga - Alarme 37</v>
          </cell>
          <cell r="I598">
            <v>0</v>
          </cell>
          <cell r="J598" t="str">
            <v>Sim</v>
          </cell>
          <cell r="K598" t="str">
            <v>Elétrica</v>
          </cell>
          <cell r="L598" t="str">
            <v>Reinicialização do Equipamento / Componente</v>
          </cell>
          <cell r="M598" t="str">
            <v>Travamento de Componente</v>
          </cell>
          <cell r="N598">
            <v>0</v>
          </cell>
          <cell r="O598">
            <v>0.29166666666666669</v>
          </cell>
          <cell r="P598">
            <v>0</v>
          </cell>
          <cell r="T598">
            <v>0</v>
          </cell>
          <cell r="U598">
            <v>0.31805555555555554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AB598">
            <v>0</v>
          </cell>
          <cell r="AC598">
            <v>11</v>
          </cell>
          <cell r="AD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</row>
        <row r="599">
          <cell r="C599">
            <v>37950</v>
          </cell>
          <cell r="D599">
            <v>38008</v>
          </cell>
          <cell r="E599">
            <v>37992</v>
          </cell>
          <cell r="F599">
            <v>0.48958333333333331</v>
          </cell>
          <cell r="G599" t="str">
            <v>Perfiladora Gasparini</v>
          </cell>
          <cell r="H599" t="str">
            <v>Excesso de fluxo de lubrificante de chapa</v>
          </cell>
          <cell r="I599">
            <v>0</v>
          </cell>
          <cell r="J599" t="str">
            <v>Não</v>
          </cell>
          <cell r="K599" t="str">
            <v>Mecânica</v>
          </cell>
          <cell r="L599" t="str">
            <v>Ajuste / Regulagem</v>
          </cell>
          <cell r="M599" t="str">
            <v>Falha de Ajuste / Parâmetros</v>
          </cell>
          <cell r="N599">
            <v>0</v>
          </cell>
          <cell r="O599">
            <v>0.48958333333333331</v>
          </cell>
          <cell r="P599">
            <v>0</v>
          </cell>
          <cell r="T599">
            <v>0</v>
          </cell>
          <cell r="U599">
            <v>0.5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AB599">
            <v>0</v>
          </cell>
          <cell r="AC599">
            <v>11</v>
          </cell>
          <cell r="AD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</row>
        <row r="600">
          <cell r="C600">
            <v>37950</v>
          </cell>
          <cell r="D600">
            <v>38008</v>
          </cell>
          <cell r="E600">
            <v>37994</v>
          </cell>
          <cell r="F600">
            <v>0.25</v>
          </cell>
          <cell r="G600" t="str">
            <v>Perfiladora Gasparini</v>
          </cell>
          <cell r="H600" t="str">
            <v>Tesoura cortando fora do tempo</v>
          </cell>
          <cell r="I600">
            <v>0</v>
          </cell>
          <cell r="N600">
            <v>0</v>
          </cell>
          <cell r="P600">
            <v>0</v>
          </cell>
          <cell r="T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AB600">
            <v>0</v>
          </cell>
          <cell r="AC600">
            <v>11</v>
          </cell>
          <cell r="AD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</row>
        <row r="601">
          <cell r="C601">
            <v>37950</v>
          </cell>
          <cell r="I601">
            <v>0</v>
          </cell>
          <cell r="N601">
            <v>0</v>
          </cell>
          <cell r="P601">
            <v>0</v>
          </cell>
          <cell r="T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AB601">
            <v>0</v>
          </cell>
          <cell r="AC601">
            <v>11</v>
          </cell>
          <cell r="AD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</row>
        <row r="602">
          <cell r="C602">
            <v>37950</v>
          </cell>
          <cell r="I602">
            <v>0</v>
          </cell>
          <cell r="N602">
            <v>0</v>
          </cell>
          <cell r="P602">
            <v>0</v>
          </cell>
          <cell r="T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AB602">
            <v>0</v>
          </cell>
          <cell r="AC602">
            <v>11</v>
          </cell>
          <cell r="AD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</row>
        <row r="603">
          <cell r="C603">
            <v>37950</v>
          </cell>
          <cell r="I603">
            <v>0</v>
          </cell>
          <cell r="N603">
            <v>0</v>
          </cell>
          <cell r="P603">
            <v>0</v>
          </cell>
          <cell r="T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AB603">
            <v>0</v>
          </cell>
          <cell r="AC603">
            <v>11</v>
          </cell>
          <cell r="AD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</row>
        <row r="604">
          <cell r="C604">
            <v>37950</v>
          </cell>
          <cell r="I604">
            <v>0</v>
          </cell>
          <cell r="N604">
            <v>0</v>
          </cell>
          <cell r="P604">
            <v>0</v>
          </cell>
          <cell r="T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AB604">
            <v>0</v>
          </cell>
          <cell r="AC604">
            <v>11</v>
          </cell>
          <cell r="AD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</row>
        <row r="605">
          <cell r="C605">
            <v>37950</v>
          </cell>
          <cell r="I605">
            <v>0</v>
          </cell>
          <cell r="N605">
            <v>0</v>
          </cell>
          <cell r="P605">
            <v>0</v>
          </cell>
          <cell r="T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AB605">
            <v>0</v>
          </cell>
          <cell r="AC605">
            <v>11</v>
          </cell>
          <cell r="AD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</row>
        <row r="606">
          <cell r="C606">
            <v>37950</v>
          </cell>
          <cell r="I606">
            <v>0</v>
          </cell>
          <cell r="N606">
            <v>0</v>
          </cell>
          <cell r="P606">
            <v>0</v>
          </cell>
          <cell r="T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AB606">
            <v>0</v>
          </cell>
          <cell r="AC606">
            <v>11</v>
          </cell>
          <cell r="AD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</row>
        <row r="607">
          <cell r="C607">
            <v>37950</v>
          </cell>
          <cell r="I607">
            <v>0</v>
          </cell>
          <cell r="N607">
            <v>0</v>
          </cell>
          <cell r="P607">
            <v>0</v>
          </cell>
          <cell r="T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AB607">
            <v>0</v>
          </cell>
          <cell r="AC607">
            <v>11</v>
          </cell>
          <cell r="AD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</row>
        <row r="608">
          <cell r="C608">
            <v>37950</v>
          </cell>
          <cell r="I608">
            <v>0</v>
          </cell>
          <cell r="N608">
            <v>0</v>
          </cell>
          <cell r="P608">
            <v>0</v>
          </cell>
          <cell r="T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AB608">
            <v>0</v>
          </cell>
          <cell r="AC608">
            <v>11</v>
          </cell>
          <cell r="AD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</row>
        <row r="609">
          <cell r="C609">
            <v>37950</v>
          </cell>
          <cell r="I609">
            <v>0</v>
          </cell>
          <cell r="N609">
            <v>0</v>
          </cell>
          <cell r="P609">
            <v>0</v>
          </cell>
          <cell r="T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AB609">
            <v>0</v>
          </cell>
          <cell r="AC609">
            <v>11</v>
          </cell>
          <cell r="AD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</row>
        <row r="610">
          <cell r="C610">
            <v>37950</v>
          </cell>
          <cell r="I610">
            <v>0</v>
          </cell>
          <cell r="N610">
            <v>0</v>
          </cell>
          <cell r="P610">
            <v>0</v>
          </cell>
          <cell r="T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AB610">
            <v>0</v>
          </cell>
          <cell r="AC610">
            <v>11</v>
          </cell>
          <cell r="AD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</row>
        <row r="611">
          <cell r="C611">
            <v>37950</v>
          </cell>
          <cell r="I611">
            <v>0</v>
          </cell>
          <cell r="N611">
            <v>0</v>
          </cell>
          <cell r="P611">
            <v>0</v>
          </cell>
          <cell r="T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AB611">
            <v>0</v>
          </cell>
          <cell r="AC611">
            <v>11</v>
          </cell>
          <cell r="AD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</row>
        <row r="612">
          <cell r="C612">
            <v>37950</v>
          </cell>
          <cell r="I612">
            <v>0</v>
          </cell>
          <cell r="N612">
            <v>0</v>
          </cell>
          <cell r="P612">
            <v>0</v>
          </cell>
          <cell r="T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AB612">
            <v>0</v>
          </cell>
          <cell r="AC612">
            <v>11</v>
          </cell>
          <cell r="AD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</row>
        <row r="613">
          <cell r="C613">
            <v>37950</v>
          </cell>
          <cell r="I613">
            <v>0</v>
          </cell>
          <cell r="N613">
            <v>0</v>
          </cell>
          <cell r="P613">
            <v>0</v>
          </cell>
          <cell r="T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AB613">
            <v>0</v>
          </cell>
          <cell r="AC613">
            <v>11</v>
          </cell>
          <cell r="AD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</row>
        <row r="614">
          <cell r="C614">
            <v>37950</v>
          </cell>
          <cell r="I614">
            <v>0</v>
          </cell>
          <cell r="N614">
            <v>0</v>
          </cell>
          <cell r="P614">
            <v>0</v>
          </cell>
          <cell r="T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AB614">
            <v>0</v>
          </cell>
          <cell r="AC614">
            <v>11</v>
          </cell>
          <cell r="AD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</row>
        <row r="615">
          <cell r="C615">
            <v>37950</v>
          </cell>
          <cell r="I615">
            <v>0</v>
          </cell>
          <cell r="N615">
            <v>0</v>
          </cell>
          <cell r="P615">
            <v>0</v>
          </cell>
          <cell r="T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AB615">
            <v>0</v>
          </cell>
          <cell r="AC615">
            <v>11</v>
          </cell>
          <cell r="AD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</row>
        <row r="616">
          <cell r="C616">
            <v>37950</v>
          </cell>
          <cell r="I616">
            <v>0</v>
          </cell>
          <cell r="N616">
            <v>0</v>
          </cell>
          <cell r="P616">
            <v>0</v>
          </cell>
          <cell r="T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AB616">
            <v>0</v>
          </cell>
          <cell r="AC616">
            <v>11</v>
          </cell>
          <cell r="AD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</row>
        <row r="617">
          <cell r="C617">
            <v>37950</v>
          </cell>
          <cell r="D617">
            <v>37971</v>
          </cell>
          <cell r="E617">
            <v>37956</v>
          </cell>
          <cell r="F617">
            <v>0.52430555555555558</v>
          </cell>
          <cell r="G617" t="str">
            <v>Perfiladora Fagor Largueros</v>
          </cell>
          <cell r="H617" t="str">
            <v>Motor do eixo está com problemas</v>
          </cell>
          <cell r="I617">
            <v>0</v>
          </cell>
          <cell r="J617" t="str">
            <v>Sim</v>
          </cell>
          <cell r="K617" t="str">
            <v>Mecânica</v>
          </cell>
          <cell r="L617" t="str">
            <v>Destravamento dos Componentes</v>
          </cell>
          <cell r="M617" t="str">
            <v>Falha de Montagem / Preparação</v>
          </cell>
          <cell r="N617">
            <v>37956</v>
          </cell>
          <cell r="O617">
            <v>0.52777777777777779</v>
          </cell>
          <cell r="P617">
            <v>0</v>
          </cell>
          <cell r="T617">
            <v>37956</v>
          </cell>
          <cell r="U617">
            <v>0.55555555555555558</v>
          </cell>
          <cell r="V617">
            <v>3.4722222222222099E-3</v>
          </cell>
          <cell r="W617">
            <v>3.1249999999191536E-2</v>
          </cell>
          <cell r="X617">
            <v>0</v>
          </cell>
          <cell r="Y617">
            <v>0</v>
          </cell>
          <cell r="AB617">
            <v>12</v>
          </cell>
          <cell r="AC617">
            <v>11</v>
          </cell>
          <cell r="AD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12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</row>
        <row r="618">
          <cell r="C618">
            <v>37950</v>
          </cell>
          <cell r="D618">
            <v>37972</v>
          </cell>
          <cell r="E618">
            <v>37964</v>
          </cell>
          <cell r="F618">
            <v>0.58333333333333337</v>
          </cell>
          <cell r="G618" t="str">
            <v>Células de Solda Automática</v>
          </cell>
          <cell r="H618" t="str">
            <v>Máquina não liga</v>
          </cell>
          <cell r="I618">
            <v>0</v>
          </cell>
          <cell r="J618" t="str">
            <v>Sim</v>
          </cell>
          <cell r="K618" t="str">
            <v>Elétrica</v>
          </cell>
          <cell r="L618" t="str">
            <v>Reparo</v>
          </cell>
          <cell r="M618" t="str">
            <v>Desgaste / Fadiga</v>
          </cell>
          <cell r="N618">
            <v>37964</v>
          </cell>
          <cell r="O618">
            <v>0.59722222222222221</v>
          </cell>
          <cell r="P618">
            <v>0</v>
          </cell>
          <cell r="T618">
            <v>37964</v>
          </cell>
          <cell r="U618">
            <v>0.61111111111111105</v>
          </cell>
          <cell r="V618">
            <v>0</v>
          </cell>
          <cell r="W618">
            <v>2.7777777776160861E-2</v>
          </cell>
          <cell r="X618">
            <v>0</v>
          </cell>
          <cell r="Y618">
            <v>0</v>
          </cell>
          <cell r="AB618">
            <v>12</v>
          </cell>
          <cell r="AC618">
            <v>11</v>
          </cell>
          <cell r="AD618">
            <v>0</v>
          </cell>
          <cell r="BF618">
            <v>12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</row>
        <row r="619">
          <cell r="C619">
            <v>37950</v>
          </cell>
          <cell r="D619">
            <v>37972</v>
          </cell>
          <cell r="E619">
            <v>37965</v>
          </cell>
          <cell r="F619">
            <v>0.90277777777777779</v>
          </cell>
          <cell r="G619" t="str">
            <v>Células de Solda Automática</v>
          </cell>
          <cell r="H619" t="str">
            <v>A fresa de limpeza da tocha não pára de jogar óleo (anti-respingos)</v>
          </cell>
          <cell r="I619">
            <v>0</v>
          </cell>
          <cell r="J619" t="str">
            <v>Não</v>
          </cell>
          <cell r="K619" t="str">
            <v>Mecânica</v>
          </cell>
          <cell r="L619" t="str">
            <v>Destravamento dos Componentes</v>
          </cell>
          <cell r="M619" t="str">
            <v>Falha de Comando / Sistema</v>
          </cell>
          <cell r="N619">
            <v>37965</v>
          </cell>
          <cell r="O619">
            <v>0.90625</v>
          </cell>
          <cell r="P619">
            <v>0</v>
          </cell>
          <cell r="T619">
            <v>37965</v>
          </cell>
          <cell r="U619">
            <v>0.92361111111111116</v>
          </cell>
          <cell r="V619">
            <v>0</v>
          </cell>
          <cell r="W619">
            <v>1.7361111109494232E-2</v>
          </cell>
          <cell r="X619">
            <v>0</v>
          </cell>
          <cell r="Y619">
            <v>0</v>
          </cell>
          <cell r="AB619">
            <v>12</v>
          </cell>
          <cell r="AC619">
            <v>11</v>
          </cell>
          <cell r="AD619">
            <v>0</v>
          </cell>
          <cell r="BF619">
            <v>12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</row>
        <row r="620">
          <cell r="C620">
            <v>37950</v>
          </cell>
          <cell r="I620">
            <v>0</v>
          </cell>
          <cell r="N620">
            <v>0</v>
          </cell>
          <cell r="P620">
            <v>0</v>
          </cell>
          <cell r="T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AB620">
            <v>0</v>
          </cell>
          <cell r="AC620">
            <v>11</v>
          </cell>
          <cell r="AD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</row>
        <row r="621">
          <cell r="C621">
            <v>37950</v>
          </cell>
          <cell r="D621">
            <v>37972</v>
          </cell>
          <cell r="E621">
            <v>37967</v>
          </cell>
          <cell r="F621">
            <v>0.25</v>
          </cell>
          <cell r="G621" t="str">
            <v>Células de Solda Automática</v>
          </cell>
          <cell r="H621" t="str">
            <v>Mangueira de ar furada</v>
          </cell>
          <cell r="I621">
            <v>0</v>
          </cell>
          <cell r="J621" t="str">
            <v>Sim</v>
          </cell>
          <cell r="K621" t="str">
            <v>Mecânica</v>
          </cell>
          <cell r="L621" t="str">
            <v>Substituição do(s) Componente(s)</v>
          </cell>
          <cell r="M621" t="str">
            <v>Falha Operacional</v>
          </cell>
          <cell r="N621">
            <v>37967</v>
          </cell>
          <cell r="O621">
            <v>0.27083333333333331</v>
          </cell>
          <cell r="P621">
            <v>0</v>
          </cell>
          <cell r="T621">
            <v>37967</v>
          </cell>
          <cell r="U621">
            <v>0.3125</v>
          </cell>
          <cell r="V621">
            <v>0</v>
          </cell>
          <cell r="W621">
            <v>6.25E-2</v>
          </cell>
          <cell r="X621">
            <v>0</v>
          </cell>
          <cell r="Y621">
            <v>0</v>
          </cell>
          <cell r="AB621">
            <v>12</v>
          </cell>
          <cell r="AC621">
            <v>11</v>
          </cell>
          <cell r="AD621">
            <v>0</v>
          </cell>
          <cell r="BF621">
            <v>12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</row>
        <row r="622">
          <cell r="C622">
            <v>37950</v>
          </cell>
          <cell r="I622">
            <v>0</v>
          </cell>
          <cell r="N622">
            <v>0</v>
          </cell>
          <cell r="P622">
            <v>0</v>
          </cell>
          <cell r="T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AB622">
            <v>0</v>
          </cell>
          <cell r="AC622">
            <v>11</v>
          </cell>
          <cell r="AD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</row>
        <row r="623">
          <cell r="C623">
            <v>37950</v>
          </cell>
          <cell r="D623">
            <v>37977</v>
          </cell>
          <cell r="E623">
            <v>37962</v>
          </cell>
          <cell r="F623">
            <v>0.69444444444444453</v>
          </cell>
          <cell r="G623" t="str">
            <v>Células de Solda Automática</v>
          </cell>
          <cell r="H623" t="str">
            <v>Came de segurança da divisória de proteção está mal fixado</v>
          </cell>
          <cell r="I623">
            <v>0</v>
          </cell>
          <cell r="J623" t="str">
            <v>Não</v>
          </cell>
          <cell r="K623" t="str">
            <v>Mecânica</v>
          </cell>
          <cell r="L623" t="str">
            <v>Montagem / Instalação</v>
          </cell>
          <cell r="M623" t="str">
            <v>Falha de Montagem / Preparação</v>
          </cell>
          <cell r="N623">
            <v>37962</v>
          </cell>
          <cell r="O623">
            <v>0.69444444444444453</v>
          </cell>
          <cell r="P623">
            <v>0</v>
          </cell>
          <cell r="T623">
            <v>37962</v>
          </cell>
          <cell r="U623">
            <v>0.70833333333333337</v>
          </cell>
          <cell r="V623">
            <v>0</v>
          </cell>
          <cell r="W623">
            <v>1.3888888891314122E-2</v>
          </cell>
          <cell r="X623">
            <v>0</v>
          </cell>
          <cell r="Y623">
            <v>0</v>
          </cell>
          <cell r="AB623">
            <v>12</v>
          </cell>
          <cell r="AC623">
            <v>11</v>
          </cell>
          <cell r="AD623">
            <v>0</v>
          </cell>
          <cell r="BF623">
            <v>12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</row>
        <row r="624">
          <cell r="C624">
            <v>37950</v>
          </cell>
          <cell r="D624">
            <v>37977</v>
          </cell>
          <cell r="E624">
            <v>37962</v>
          </cell>
          <cell r="F624">
            <v>0.66666666666666663</v>
          </cell>
          <cell r="G624" t="str">
            <v>Células de Solda Automática</v>
          </cell>
          <cell r="H624" t="str">
            <v>Sensor de impacto com problema (robô n.04)</v>
          </cell>
          <cell r="I624">
            <v>0</v>
          </cell>
          <cell r="J624" t="str">
            <v>Não</v>
          </cell>
          <cell r="K624" t="str">
            <v>Elétrica</v>
          </cell>
          <cell r="L624" t="str">
            <v>Substituição do(s) Componente(s)</v>
          </cell>
          <cell r="M624" t="str">
            <v>Falha Operacional</v>
          </cell>
          <cell r="N624">
            <v>37962</v>
          </cell>
          <cell r="O624">
            <v>0.66666666666666663</v>
          </cell>
          <cell r="P624">
            <v>0</v>
          </cell>
          <cell r="Q624">
            <v>0.66666666666666663</v>
          </cell>
          <cell r="R624">
            <v>37971</v>
          </cell>
          <cell r="S624">
            <v>0.58333333333333337</v>
          </cell>
          <cell r="T624">
            <v>37971</v>
          </cell>
          <cell r="U624">
            <v>0.625</v>
          </cell>
          <cell r="V624">
            <v>0</v>
          </cell>
          <cell r="W624">
            <v>4.166666666666663E-2</v>
          </cell>
          <cell r="X624">
            <v>0</v>
          </cell>
          <cell r="Y624">
            <v>0</v>
          </cell>
          <cell r="AB624">
            <v>12</v>
          </cell>
          <cell r="AC624">
            <v>11</v>
          </cell>
          <cell r="AD624">
            <v>0</v>
          </cell>
          <cell r="BF624">
            <v>12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</row>
        <row r="625">
          <cell r="C625">
            <v>37950</v>
          </cell>
          <cell r="D625">
            <v>37972</v>
          </cell>
          <cell r="E625">
            <v>37967</v>
          </cell>
          <cell r="F625">
            <v>0.85416666666666663</v>
          </cell>
          <cell r="G625" t="str">
            <v>Células de Solda Automática</v>
          </cell>
          <cell r="H625" t="str">
            <v>Fresa não limpa o bocal de solda</v>
          </cell>
          <cell r="I625">
            <v>0</v>
          </cell>
          <cell r="J625" t="str">
            <v>Não</v>
          </cell>
          <cell r="K625" t="str">
            <v>Mecânica</v>
          </cell>
          <cell r="L625" t="str">
            <v>Substituição do(s) Componente(s)</v>
          </cell>
          <cell r="M625" t="str">
            <v>Falha de Comando / Sistema</v>
          </cell>
          <cell r="N625">
            <v>37967</v>
          </cell>
          <cell r="O625">
            <v>0.85763888888888884</v>
          </cell>
          <cell r="P625">
            <v>0</v>
          </cell>
          <cell r="T625">
            <v>37967</v>
          </cell>
          <cell r="U625">
            <v>0.87152777777777779</v>
          </cell>
          <cell r="V625">
            <v>0</v>
          </cell>
          <cell r="W625">
            <v>1.3888888892122697E-2</v>
          </cell>
          <cell r="X625">
            <v>0</v>
          </cell>
          <cell r="Y625">
            <v>0</v>
          </cell>
          <cell r="AB625">
            <v>12</v>
          </cell>
          <cell r="AC625">
            <v>11</v>
          </cell>
          <cell r="AD625">
            <v>0</v>
          </cell>
          <cell r="BF625">
            <v>12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</row>
        <row r="626">
          <cell r="C626">
            <v>37950</v>
          </cell>
          <cell r="D626">
            <v>37993</v>
          </cell>
          <cell r="E626">
            <v>37979</v>
          </cell>
          <cell r="F626">
            <v>0.66666666666666663</v>
          </cell>
          <cell r="G626" t="str">
            <v>Células de Solda Automática</v>
          </cell>
          <cell r="H626" t="str">
            <v>Alarme no CLP (BUSF): falha de comunicação da mesa com o CLP</v>
          </cell>
          <cell r="I626">
            <v>0</v>
          </cell>
          <cell r="J626" t="str">
            <v>Sim</v>
          </cell>
          <cell r="K626" t="str">
            <v>Elétrica</v>
          </cell>
          <cell r="L626" t="str">
            <v>Correção de mau contato</v>
          </cell>
          <cell r="M626" t="str">
            <v>Mau contato</v>
          </cell>
          <cell r="N626">
            <v>0</v>
          </cell>
          <cell r="O626">
            <v>0.66666666666666663</v>
          </cell>
          <cell r="P626">
            <v>0</v>
          </cell>
          <cell r="T626">
            <v>0</v>
          </cell>
          <cell r="U626">
            <v>0.68194444444444446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AB626">
            <v>0</v>
          </cell>
          <cell r="AC626">
            <v>11</v>
          </cell>
          <cell r="AD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</row>
        <row r="627">
          <cell r="C627">
            <v>37950</v>
          </cell>
          <cell r="D627">
            <v>37993</v>
          </cell>
          <cell r="E627">
            <v>37970</v>
          </cell>
          <cell r="F627">
            <v>0.27777777777777779</v>
          </cell>
          <cell r="G627" t="str">
            <v>Perfiladora Fagor Largueros</v>
          </cell>
          <cell r="H627" t="str">
            <v>Máquina não funciona no comando do robô</v>
          </cell>
          <cell r="I627">
            <v>0</v>
          </cell>
          <cell r="J627" t="str">
            <v>Não</v>
          </cell>
          <cell r="K627" t="str">
            <v>Elétrica</v>
          </cell>
          <cell r="L627" t="str">
            <v>Mesmo após acompanhamento do funcionamento, o problema não foi detectado</v>
          </cell>
          <cell r="M627" t="str">
            <v>Falha de Comando / Sistema</v>
          </cell>
          <cell r="N627">
            <v>0</v>
          </cell>
          <cell r="O627">
            <v>0.29166666666666669</v>
          </cell>
          <cell r="P627">
            <v>0</v>
          </cell>
          <cell r="T627">
            <v>0</v>
          </cell>
          <cell r="U627">
            <v>0.34722222222222227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AB627">
            <v>0</v>
          </cell>
          <cell r="AC627">
            <v>11</v>
          </cell>
          <cell r="AD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</row>
        <row r="628">
          <cell r="C628">
            <v>37950</v>
          </cell>
          <cell r="I628">
            <v>0</v>
          </cell>
          <cell r="N628">
            <v>0</v>
          </cell>
          <cell r="P628">
            <v>0</v>
          </cell>
          <cell r="T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AB628">
            <v>0</v>
          </cell>
          <cell r="AC628">
            <v>11</v>
          </cell>
          <cell r="AD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</row>
        <row r="629">
          <cell r="C629">
            <v>37950</v>
          </cell>
          <cell r="D629">
            <v>37993</v>
          </cell>
          <cell r="E629">
            <v>37909</v>
          </cell>
          <cell r="F629">
            <v>0.38263888888888892</v>
          </cell>
          <cell r="G629" t="str">
            <v>Células de Solda Automática</v>
          </cell>
          <cell r="H629" t="str">
            <v>Vazamento de água na conexão de refrigeração da tocha</v>
          </cell>
          <cell r="I629">
            <v>0</v>
          </cell>
          <cell r="J629" t="str">
            <v>Sim</v>
          </cell>
          <cell r="K629" t="str">
            <v>Mecânica</v>
          </cell>
          <cell r="L629" t="str">
            <v>Contenção do vazamento</v>
          </cell>
          <cell r="M629" t="str">
            <v>Desgaste / Fadiga</v>
          </cell>
          <cell r="N629">
            <v>0</v>
          </cell>
          <cell r="O629">
            <v>0.41666666666666669</v>
          </cell>
          <cell r="P629">
            <v>0</v>
          </cell>
          <cell r="T629">
            <v>0</v>
          </cell>
          <cell r="U629">
            <v>0.45833333333333331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AB629">
            <v>0</v>
          </cell>
          <cell r="AC629">
            <v>11</v>
          </cell>
          <cell r="AD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</row>
        <row r="630">
          <cell r="C630">
            <v>37950</v>
          </cell>
          <cell r="D630">
            <v>37972</v>
          </cell>
          <cell r="E630">
            <v>37970</v>
          </cell>
          <cell r="F630">
            <v>0.54166666666666663</v>
          </cell>
          <cell r="G630" t="str">
            <v>Células de Solda Automática</v>
          </cell>
          <cell r="H630" t="str">
            <v>Cilindro de contagem na esteira está quebrado</v>
          </cell>
          <cell r="I630">
            <v>0</v>
          </cell>
          <cell r="J630" t="str">
            <v>Não</v>
          </cell>
          <cell r="K630" t="str">
            <v>Mecânica</v>
          </cell>
          <cell r="L630" t="str">
            <v>Reparo</v>
          </cell>
          <cell r="M630" t="str">
            <v>Falha Operacional</v>
          </cell>
          <cell r="N630">
            <v>37970</v>
          </cell>
          <cell r="O630">
            <v>0.62847222222222221</v>
          </cell>
          <cell r="P630">
            <v>0</v>
          </cell>
          <cell r="T630">
            <v>37970</v>
          </cell>
          <cell r="U630">
            <v>0.66666666666666663</v>
          </cell>
          <cell r="V630">
            <v>0</v>
          </cell>
          <cell r="W630">
            <v>3.8194444442019138E-2</v>
          </cell>
          <cell r="X630">
            <v>0</v>
          </cell>
          <cell r="Y630">
            <v>0</v>
          </cell>
          <cell r="AB630">
            <v>12</v>
          </cell>
          <cell r="AC630">
            <v>11</v>
          </cell>
          <cell r="AD630">
            <v>0</v>
          </cell>
          <cell r="BF630">
            <v>12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</row>
        <row r="631">
          <cell r="C631">
            <v>37950</v>
          </cell>
          <cell r="D631">
            <v>37993</v>
          </cell>
          <cell r="E631">
            <v>37972</v>
          </cell>
          <cell r="F631">
            <v>0.27430555555555552</v>
          </cell>
          <cell r="G631" t="str">
            <v>Células de Solda Automática</v>
          </cell>
          <cell r="H631" t="str">
            <v>Cilindro da esfera alimentadora</v>
          </cell>
          <cell r="I631">
            <v>0</v>
          </cell>
          <cell r="J631" t="str">
            <v>Sim</v>
          </cell>
          <cell r="K631" t="str">
            <v>Mecânica</v>
          </cell>
          <cell r="L631" t="str">
            <v>Substituição do(s) Componente(s)</v>
          </cell>
          <cell r="M631" t="str">
            <v>Falha de Regulagem / Configuração / Dimensionamento</v>
          </cell>
          <cell r="N631">
            <v>0</v>
          </cell>
          <cell r="O631">
            <v>0.375</v>
          </cell>
          <cell r="P631">
            <v>0</v>
          </cell>
          <cell r="T631">
            <v>0</v>
          </cell>
          <cell r="U631">
            <v>0.4375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AB631">
            <v>0</v>
          </cell>
          <cell r="AC631">
            <v>11</v>
          </cell>
          <cell r="AD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</row>
        <row r="632">
          <cell r="C632">
            <v>37950</v>
          </cell>
          <cell r="D632">
            <v>37993</v>
          </cell>
          <cell r="E632">
            <v>38345</v>
          </cell>
          <cell r="F632">
            <v>0.5625</v>
          </cell>
          <cell r="G632" t="str">
            <v>Células de Solda Automática</v>
          </cell>
          <cell r="H632" t="str">
            <v>Motor Power do robô de Manipulação não está acionando</v>
          </cell>
          <cell r="I632">
            <v>0</v>
          </cell>
          <cell r="J632" t="str">
            <v>Sim</v>
          </cell>
          <cell r="K632" t="str">
            <v>Elétrica</v>
          </cell>
          <cell r="L632" t="str">
            <v>Substituição do(s) Componente(s)</v>
          </cell>
          <cell r="M632" t="str">
            <v>Falha de Comando / Sistema</v>
          </cell>
          <cell r="N632">
            <v>0</v>
          </cell>
          <cell r="O632">
            <v>0.61111111111111105</v>
          </cell>
          <cell r="P632">
            <v>0</v>
          </cell>
          <cell r="T632">
            <v>0</v>
          </cell>
          <cell r="U632">
            <v>0.62430555555555556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AB632">
            <v>0</v>
          </cell>
          <cell r="AC632">
            <v>11</v>
          </cell>
          <cell r="AD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</row>
        <row r="633">
          <cell r="C633">
            <v>37950</v>
          </cell>
          <cell r="D633">
            <v>37993</v>
          </cell>
          <cell r="E633">
            <v>37984</v>
          </cell>
          <cell r="F633">
            <v>0.29166666666666669</v>
          </cell>
          <cell r="G633" t="str">
            <v>Células de Solda Automática</v>
          </cell>
          <cell r="H633" t="str">
            <v>Cabo de Comunicação BUSF rompido</v>
          </cell>
          <cell r="I633">
            <v>0</v>
          </cell>
          <cell r="J633" t="str">
            <v>Sim</v>
          </cell>
          <cell r="K633" t="str">
            <v>Elétrica</v>
          </cell>
          <cell r="L633" t="str">
            <v>Reparo</v>
          </cell>
          <cell r="M633" t="str">
            <v>Desgaste / Fadiga</v>
          </cell>
          <cell r="N633">
            <v>0</v>
          </cell>
          <cell r="O633">
            <v>0.29166666666666669</v>
          </cell>
          <cell r="P633">
            <v>0</v>
          </cell>
          <cell r="T633">
            <v>0</v>
          </cell>
          <cell r="U633">
            <v>0.33333333333333331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AB633">
            <v>0</v>
          </cell>
          <cell r="AC633">
            <v>11</v>
          </cell>
          <cell r="AD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</row>
        <row r="634">
          <cell r="C634">
            <v>37950</v>
          </cell>
          <cell r="D634">
            <v>37993</v>
          </cell>
          <cell r="E634">
            <v>37984</v>
          </cell>
          <cell r="F634">
            <v>0.3923611111111111</v>
          </cell>
          <cell r="G634" t="str">
            <v>Células de Solda Automática</v>
          </cell>
          <cell r="H634" t="str">
            <v>Falha no sensor ao depositar o conector Esquerdo</v>
          </cell>
          <cell r="I634">
            <v>0</v>
          </cell>
          <cell r="J634" t="str">
            <v>Sim</v>
          </cell>
          <cell r="K634" t="str">
            <v>Elétrica</v>
          </cell>
          <cell r="L634" t="str">
            <v>Regulagem do Componente</v>
          </cell>
          <cell r="M634" t="str">
            <v>Falha de Comando / Sistema</v>
          </cell>
          <cell r="N634">
            <v>0</v>
          </cell>
          <cell r="O634">
            <v>0.39583333333333331</v>
          </cell>
          <cell r="P634">
            <v>0</v>
          </cell>
          <cell r="T634">
            <v>0</v>
          </cell>
          <cell r="U634">
            <v>0.41666666666666669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AB634">
            <v>0</v>
          </cell>
          <cell r="AC634">
            <v>11</v>
          </cell>
          <cell r="AD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</row>
        <row r="635">
          <cell r="C635">
            <v>37950</v>
          </cell>
          <cell r="D635">
            <v>37993</v>
          </cell>
          <cell r="E635">
            <v>37992</v>
          </cell>
          <cell r="F635">
            <v>0.4236111111111111</v>
          </cell>
          <cell r="G635" t="str">
            <v>Células de Solda Automática</v>
          </cell>
          <cell r="H635" t="str">
            <v>Problema no Cabo de Comunicação BUSF</v>
          </cell>
          <cell r="I635">
            <v>0</v>
          </cell>
          <cell r="J635" t="str">
            <v>Sim</v>
          </cell>
          <cell r="K635" t="str">
            <v>Elétrica</v>
          </cell>
          <cell r="L635" t="str">
            <v>Substituição do(s) Componente(s)</v>
          </cell>
          <cell r="M635" t="str">
            <v>Desgaste / Fadiga</v>
          </cell>
          <cell r="N635">
            <v>0</v>
          </cell>
          <cell r="O635">
            <v>0.44791666666666669</v>
          </cell>
          <cell r="P635">
            <v>0</v>
          </cell>
          <cell r="T635">
            <v>0</v>
          </cell>
          <cell r="U635">
            <v>0.46527777777777773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AB635">
            <v>0</v>
          </cell>
          <cell r="AC635">
            <v>11</v>
          </cell>
          <cell r="AD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</row>
        <row r="636">
          <cell r="C636">
            <v>37950</v>
          </cell>
          <cell r="D636">
            <v>37993</v>
          </cell>
          <cell r="E636">
            <v>37992</v>
          </cell>
          <cell r="F636">
            <v>0.52777777777777779</v>
          </cell>
          <cell r="G636" t="str">
            <v>Células de Solda Automática</v>
          </cell>
          <cell r="H636" t="str">
            <v>Problema no Cabo de Comunicação BUSF</v>
          </cell>
          <cell r="I636">
            <v>0</v>
          </cell>
          <cell r="J636" t="str">
            <v>Sim</v>
          </cell>
          <cell r="K636" t="str">
            <v>Elétrica</v>
          </cell>
          <cell r="N636">
            <v>0</v>
          </cell>
          <cell r="P636">
            <v>0</v>
          </cell>
          <cell r="T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AB636">
            <v>0</v>
          </cell>
          <cell r="AC636">
            <v>11</v>
          </cell>
          <cell r="AD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</row>
        <row r="637">
          <cell r="C637">
            <v>37953</v>
          </cell>
          <cell r="D637">
            <v>37971</v>
          </cell>
          <cell r="E637">
            <v>37953</v>
          </cell>
          <cell r="F637">
            <v>0.34027777777777773</v>
          </cell>
          <cell r="G637" t="str">
            <v>Linha de Pintura 15m</v>
          </cell>
          <cell r="H637" t="str">
            <v>Anomalia no Variador V2</v>
          </cell>
          <cell r="I637">
            <v>0</v>
          </cell>
          <cell r="J637" t="str">
            <v>Sim</v>
          </cell>
          <cell r="K637" t="str">
            <v>Elétrica</v>
          </cell>
          <cell r="L637" t="str">
            <v>Destravamento dos Componentes</v>
          </cell>
          <cell r="M637" t="str">
            <v>Sobrecarga</v>
          </cell>
          <cell r="N637">
            <v>37953</v>
          </cell>
          <cell r="O637">
            <v>0.35416666666666669</v>
          </cell>
          <cell r="P637">
            <v>0</v>
          </cell>
          <cell r="T637">
            <v>37953</v>
          </cell>
          <cell r="U637">
            <v>0.375</v>
          </cell>
          <cell r="V637">
            <v>1.3888888888888951E-2</v>
          </cell>
          <cell r="W637">
            <v>3.4722222222222265E-2</v>
          </cell>
          <cell r="X637">
            <v>0</v>
          </cell>
          <cell r="Y637">
            <v>0</v>
          </cell>
          <cell r="AB637">
            <v>11</v>
          </cell>
          <cell r="AC637">
            <v>11</v>
          </cell>
          <cell r="AD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11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</row>
        <row r="638">
          <cell r="C638">
            <v>37953</v>
          </cell>
          <cell r="D638">
            <v>37971</v>
          </cell>
          <cell r="E638">
            <v>37953</v>
          </cell>
          <cell r="F638">
            <v>0.84375</v>
          </cell>
          <cell r="G638" t="str">
            <v>Linha de Pintura 15m</v>
          </cell>
          <cell r="H638" t="str">
            <v>Linha Travada</v>
          </cell>
          <cell r="I638">
            <v>0</v>
          </cell>
          <cell r="J638" t="str">
            <v>Sim</v>
          </cell>
          <cell r="K638" t="str">
            <v>Mecânica</v>
          </cell>
          <cell r="L638" t="str">
            <v>Destravamento dos Componentes</v>
          </cell>
          <cell r="M638" t="str">
            <v>Falha de Comando / Sistema</v>
          </cell>
          <cell r="N638">
            <v>37953</v>
          </cell>
          <cell r="O638">
            <v>0.84375</v>
          </cell>
          <cell r="P638">
            <v>0</v>
          </cell>
          <cell r="T638">
            <v>37953</v>
          </cell>
          <cell r="U638">
            <v>0.88541666666666663</v>
          </cell>
          <cell r="V638">
            <v>0</v>
          </cell>
          <cell r="W638">
            <v>4.1666666664241347E-2</v>
          </cell>
          <cell r="X638">
            <v>0</v>
          </cell>
          <cell r="Y638">
            <v>0</v>
          </cell>
          <cell r="AB638">
            <v>11</v>
          </cell>
          <cell r="AC638">
            <v>11</v>
          </cell>
          <cell r="AD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11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</row>
        <row r="639">
          <cell r="C639">
            <v>37953</v>
          </cell>
          <cell r="D639">
            <v>37971</v>
          </cell>
          <cell r="E639">
            <v>37958</v>
          </cell>
          <cell r="F639">
            <v>0.52083333333333337</v>
          </cell>
          <cell r="G639" t="str">
            <v>Linha de Pintura 15m</v>
          </cell>
          <cell r="H639" t="str">
            <v>Nível baixo na bomba do fosfato</v>
          </cell>
          <cell r="I639">
            <v>0</v>
          </cell>
          <cell r="J639" t="str">
            <v>Sim</v>
          </cell>
          <cell r="K639" t="str">
            <v>Elétrica</v>
          </cell>
          <cell r="L639" t="str">
            <v>Ajuste / Regulagem</v>
          </cell>
          <cell r="M639" t="str">
            <v>Falha Operacional</v>
          </cell>
          <cell r="N639">
            <v>37958</v>
          </cell>
          <cell r="O639">
            <v>0.52083333333333337</v>
          </cell>
          <cell r="P639">
            <v>0</v>
          </cell>
          <cell r="T639">
            <v>37958</v>
          </cell>
          <cell r="U639">
            <v>0.52430555555555558</v>
          </cell>
          <cell r="V639">
            <v>0</v>
          </cell>
          <cell r="W639">
            <v>3.4722222214137455E-3</v>
          </cell>
          <cell r="X639">
            <v>0</v>
          </cell>
          <cell r="Y639">
            <v>0</v>
          </cell>
          <cell r="AB639">
            <v>12</v>
          </cell>
          <cell r="AC639">
            <v>11</v>
          </cell>
          <cell r="AD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12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</row>
        <row r="640">
          <cell r="C640">
            <v>37953</v>
          </cell>
          <cell r="D640">
            <v>37971</v>
          </cell>
          <cell r="E640">
            <v>37957</v>
          </cell>
          <cell r="F640">
            <v>0.91666666666666663</v>
          </cell>
          <cell r="G640" t="str">
            <v>Linha de Pintura 15m</v>
          </cell>
          <cell r="H640" t="str">
            <v>Vazamento no reservatório do fosfato</v>
          </cell>
          <cell r="I640">
            <v>0</v>
          </cell>
          <cell r="J640" t="str">
            <v>Não</v>
          </cell>
          <cell r="K640" t="str">
            <v>Mecânica</v>
          </cell>
          <cell r="L640" t="str">
            <v>Contenção do vazamento</v>
          </cell>
          <cell r="M640" t="str">
            <v>Falha de Montagem / Preparação</v>
          </cell>
          <cell r="N640">
            <v>37957</v>
          </cell>
          <cell r="O640">
            <v>0.91666666666666663</v>
          </cell>
          <cell r="P640">
            <v>0</v>
          </cell>
          <cell r="T640">
            <v>37957</v>
          </cell>
          <cell r="U640">
            <v>0.95833333333333337</v>
          </cell>
          <cell r="V640">
            <v>0</v>
          </cell>
          <cell r="W640">
            <v>4.1666666669092023E-2</v>
          </cell>
          <cell r="X640">
            <v>0</v>
          </cell>
          <cell r="Y640">
            <v>0</v>
          </cell>
          <cell r="AB640">
            <v>12</v>
          </cell>
          <cell r="AC640">
            <v>11</v>
          </cell>
          <cell r="AD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12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</row>
        <row r="641">
          <cell r="C641">
            <v>37953</v>
          </cell>
          <cell r="I641">
            <v>0</v>
          </cell>
          <cell r="N641">
            <v>0</v>
          </cell>
          <cell r="P641">
            <v>0</v>
          </cell>
          <cell r="T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AB641">
            <v>0</v>
          </cell>
          <cell r="AC641">
            <v>11</v>
          </cell>
          <cell r="AD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</row>
        <row r="642">
          <cell r="C642">
            <v>37953</v>
          </cell>
          <cell r="D642">
            <v>37971</v>
          </cell>
          <cell r="E642">
            <v>37957</v>
          </cell>
          <cell r="F642">
            <v>0.85416666666666663</v>
          </cell>
          <cell r="G642" t="str">
            <v>Linha de Pintura 8,5m</v>
          </cell>
          <cell r="H642" t="str">
            <v>Linha Travada</v>
          </cell>
          <cell r="I642">
            <v>0</v>
          </cell>
          <cell r="J642" t="str">
            <v>Sim</v>
          </cell>
          <cell r="K642" t="str">
            <v>Mecânica</v>
          </cell>
          <cell r="L642" t="str">
            <v>Destravamento dos Componentes</v>
          </cell>
          <cell r="M642" t="str">
            <v>Falha de Comando / Sistema</v>
          </cell>
          <cell r="N642">
            <v>37957</v>
          </cell>
          <cell r="O642">
            <v>0.85416666666666663</v>
          </cell>
          <cell r="P642">
            <v>0</v>
          </cell>
          <cell r="T642">
            <v>37957</v>
          </cell>
          <cell r="U642">
            <v>0.875</v>
          </cell>
          <cell r="V642">
            <v>0</v>
          </cell>
          <cell r="W642">
            <v>2.083333333333337E-2</v>
          </cell>
          <cell r="X642">
            <v>0</v>
          </cell>
          <cell r="Y642">
            <v>0</v>
          </cell>
          <cell r="AB642">
            <v>12</v>
          </cell>
          <cell r="AC642">
            <v>11</v>
          </cell>
          <cell r="AD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12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</row>
        <row r="643">
          <cell r="C643">
            <v>37953</v>
          </cell>
          <cell r="D643">
            <v>37971</v>
          </cell>
          <cell r="E643">
            <v>37959</v>
          </cell>
          <cell r="F643">
            <v>0.375</v>
          </cell>
          <cell r="G643" t="str">
            <v>Linha de Pintura 15m</v>
          </cell>
          <cell r="H643" t="str">
            <v>Mangueira da Pistola Manual danificada</v>
          </cell>
          <cell r="I643">
            <v>0</v>
          </cell>
          <cell r="J643" t="str">
            <v>Não</v>
          </cell>
          <cell r="K643" t="str">
            <v>Mecânica</v>
          </cell>
          <cell r="L643" t="str">
            <v>Substituição do(s) Componente(s)</v>
          </cell>
          <cell r="M643" t="str">
            <v>Desgaste / Fadiga</v>
          </cell>
          <cell r="N643">
            <v>37959</v>
          </cell>
          <cell r="O643">
            <v>0.37847222222222227</v>
          </cell>
          <cell r="P643">
            <v>0</v>
          </cell>
          <cell r="T643">
            <v>37959</v>
          </cell>
          <cell r="U643">
            <v>0.3923611111111111</v>
          </cell>
          <cell r="V643">
            <v>0</v>
          </cell>
          <cell r="W643">
            <v>1.3888888887271966E-2</v>
          </cell>
          <cell r="X643">
            <v>0</v>
          </cell>
          <cell r="Y643">
            <v>0</v>
          </cell>
          <cell r="AB643">
            <v>12</v>
          </cell>
          <cell r="AC643">
            <v>11</v>
          </cell>
          <cell r="AD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12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</row>
        <row r="644">
          <cell r="C644">
            <v>37953</v>
          </cell>
          <cell r="D644">
            <v>37971</v>
          </cell>
          <cell r="E644">
            <v>37959</v>
          </cell>
          <cell r="F644">
            <v>0.67361111111111116</v>
          </cell>
          <cell r="G644" t="str">
            <v>Linha de Pintura 15m</v>
          </cell>
          <cell r="H644" t="str">
            <v>Elevador fora do nível</v>
          </cell>
          <cell r="I644">
            <v>0</v>
          </cell>
          <cell r="J644" t="str">
            <v>Sim</v>
          </cell>
          <cell r="K644" t="str">
            <v>Elétrica</v>
          </cell>
          <cell r="L644" t="str">
            <v>Ajuste / Regulagem</v>
          </cell>
          <cell r="M644" t="str">
            <v>Falha de Comando / Sistema</v>
          </cell>
          <cell r="N644">
            <v>37959</v>
          </cell>
          <cell r="O644">
            <v>0.68055555555555547</v>
          </cell>
          <cell r="P644">
            <v>0</v>
          </cell>
          <cell r="T644">
            <v>37959</v>
          </cell>
          <cell r="U644">
            <v>0.70138888888888884</v>
          </cell>
          <cell r="V644">
            <v>0</v>
          </cell>
          <cell r="W644">
            <v>2.7777777779394608E-2</v>
          </cell>
          <cell r="X644">
            <v>0</v>
          </cell>
          <cell r="Y644">
            <v>0</v>
          </cell>
          <cell r="AB644">
            <v>12</v>
          </cell>
          <cell r="AC644">
            <v>11</v>
          </cell>
          <cell r="AD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12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</row>
        <row r="645">
          <cell r="C645">
            <v>37953</v>
          </cell>
          <cell r="D645">
            <v>37971</v>
          </cell>
          <cell r="E645">
            <v>37959</v>
          </cell>
          <cell r="F645">
            <v>0.68402777777777779</v>
          </cell>
          <cell r="G645" t="str">
            <v>Linha de Pintura 15m</v>
          </cell>
          <cell r="H645" t="str">
            <v>Bastidor Travado</v>
          </cell>
          <cell r="I645">
            <v>0</v>
          </cell>
          <cell r="J645" t="str">
            <v>Sim</v>
          </cell>
          <cell r="K645" t="str">
            <v>Mecânica</v>
          </cell>
          <cell r="L645" t="str">
            <v>Destravamento dos Componentes</v>
          </cell>
          <cell r="M645" t="str">
            <v>Travamento de Componente</v>
          </cell>
          <cell r="N645">
            <v>37959</v>
          </cell>
          <cell r="O645">
            <v>0.6875</v>
          </cell>
          <cell r="P645">
            <v>0</v>
          </cell>
          <cell r="T645">
            <v>37959</v>
          </cell>
          <cell r="U645">
            <v>0.69444444444444453</v>
          </cell>
          <cell r="V645">
            <v>0</v>
          </cell>
          <cell r="W645">
            <v>1.0416666667475094E-2</v>
          </cell>
          <cell r="X645">
            <v>0</v>
          </cell>
          <cell r="Y645">
            <v>0</v>
          </cell>
          <cell r="AB645">
            <v>12</v>
          </cell>
          <cell r="AC645">
            <v>11</v>
          </cell>
          <cell r="AD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12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</row>
        <row r="646">
          <cell r="C646">
            <v>37953</v>
          </cell>
          <cell r="D646">
            <v>37971</v>
          </cell>
          <cell r="E646">
            <v>37960</v>
          </cell>
          <cell r="F646">
            <v>0.86111111111111116</v>
          </cell>
          <cell r="G646" t="str">
            <v>Linha de Pintura 8,5m</v>
          </cell>
          <cell r="H646" t="str">
            <v>Vazamento de ar comprimido em excesso</v>
          </cell>
          <cell r="I646">
            <v>0</v>
          </cell>
          <cell r="J646" t="str">
            <v>Não</v>
          </cell>
          <cell r="K646" t="str">
            <v>Mecânica</v>
          </cell>
          <cell r="L646" t="str">
            <v>Contenção do vazamento</v>
          </cell>
          <cell r="M646" t="str">
            <v>Defeito de Fabricação</v>
          </cell>
          <cell r="N646">
            <v>37960</v>
          </cell>
          <cell r="O646">
            <v>0.875</v>
          </cell>
          <cell r="P646">
            <v>0</v>
          </cell>
          <cell r="T646">
            <v>37960</v>
          </cell>
          <cell r="U646">
            <v>0.93055555555555547</v>
          </cell>
          <cell r="V646">
            <v>0</v>
          </cell>
          <cell r="W646">
            <v>5.5555555554747116E-2</v>
          </cell>
          <cell r="X646">
            <v>0</v>
          </cell>
          <cell r="Y646">
            <v>0</v>
          </cell>
          <cell r="AB646">
            <v>12</v>
          </cell>
          <cell r="AC646">
            <v>11</v>
          </cell>
          <cell r="AD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12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</row>
        <row r="647">
          <cell r="C647">
            <v>37953</v>
          </cell>
          <cell r="D647">
            <v>37971</v>
          </cell>
          <cell r="E647">
            <v>37963</v>
          </cell>
          <cell r="F647">
            <v>0.65277777777777779</v>
          </cell>
          <cell r="G647" t="str">
            <v>Linha de Pintura 8,5m</v>
          </cell>
          <cell r="H647" t="str">
            <v>Exaustor não funciona</v>
          </cell>
          <cell r="I647">
            <v>0</v>
          </cell>
          <cell r="J647" t="str">
            <v>Sim</v>
          </cell>
          <cell r="K647" t="str">
            <v>Elétrica</v>
          </cell>
          <cell r="L647" t="str">
            <v>Substituição do(s) Componente(s)</v>
          </cell>
          <cell r="M647" t="str">
            <v>Sobrecarga</v>
          </cell>
          <cell r="N647">
            <v>37963</v>
          </cell>
          <cell r="O647">
            <v>0.65277777777777779</v>
          </cell>
          <cell r="P647">
            <v>0</v>
          </cell>
          <cell r="T647">
            <v>37963</v>
          </cell>
          <cell r="U647">
            <v>0.67361111111111116</v>
          </cell>
          <cell r="V647">
            <v>0</v>
          </cell>
          <cell r="W647">
            <v>2.0833333331716442E-2</v>
          </cell>
          <cell r="X647">
            <v>0</v>
          </cell>
          <cell r="Y647">
            <v>0</v>
          </cell>
          <cell r="AB647">
            <v>12</v>
          </cell>
          <cell r="AC647">
            <v>11</v>
          </cell>
          <cell r="AD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12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</row>
        <row r="648">
          <cell r="C648">
            <v>37953</v>
          </cell>
          <cell r="I648">
            <v>0</v>
          </cell>
          <cell r="N648">
            <v>0</v>
          </cell>
          <cell r="P648">
            <v>0</v>
          </cell>
          <cell r="T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AB648">
            <v>0</v>
          </cell>
          <cell r="AC648">
            <v>11</v>
          </cell>
          <cell r="AD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</row>
        <row r="649">
          <cell r="C649">
            <v>37953</v>
          </cell>
          <cell r="I649">
            <v>0</v>
          </cell>
          <cell r="N649">
            <v>0</v>
          </cell>
          <cell r="P649">
            <v>0</v>
          </cell>
          <cell r="T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AB649">
            <v>0</v>
          </cell>
          <cell r="AC649">
            <v>11</v>
          </cell>
          <cell r="AD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</row>
        <row r="650">
          <cell r="C650">
            <v>37953</v>
          </cell>
          <cell r="I650">
            <v>0</v>
          </cell>
          <cell r="N650">
            <v>0</v>
          </cell>
          <cell r="P650">
            <v>0</v>
          </cell>
          <cell r="T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AB650">
            <v>0</v>
          </cell>
          <cell r="AC650">
            <v>11</v>
          </cell>
          <cell r="AD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</row>
        <row r="651">
          <cell r="C651">
            <v>37953</v>
          </cell>
          <cell r="I651">
            <v>0</v>
          </cell>
          <cell r="N651">
            <v>0</v>
          </cell>
          <cell r="P651">
            <v>0</v>
          </cell>
          <cell r="T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AB651">
            <v>0</v>
          </cell>
          <cell r="AC651">
            <v>11</v>
          </cell>
          <cell r="AD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</row>
        <row r="652">
          <cell r="C652">
            <v>37953</v>
          </cell>
          <cell r="I652">
            <v>0</v>
          </cell>
          <cell r="N652">
            <v>0</v>
          </cell>
          <cell r="P652">
            <v>0</v>
          </cell>
          <cell r="T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AB652">
            <v>0</v>
          </cell>
          <cell r="AC652">
            <v>11</v>
          </cell>
          <cell r="AD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</row>
        <row r="653">
          <cell r="C653">
            <v>37953</v>
          </cell>
          <cell r="I653">
            <v>0</v>
          </cell>
          <cell r="N653">
            <v>0</v>
          </cell>
          <cell r="P653">
            <v>0</v>
          </cell>
          <cell r="T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AB653">
            <v>0</v>
          </cell>
          <cell r="AC653">
            <v>11</v>
          </cell>
          <cell r="AD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</row>
        <row r="654">
          <cell r="C654">
            <v>37953</v>
          </cell>
          <cell r="I654">
            <v>0</v>
          </cell>
          <cell r="N654">
            <v>0</v>
          </cell>
          <cell r="P654">
            <v>0</v>
          </cell>
          <cell r="T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AB654">
            <v>0</v>
          </cell>
          <cell r="AC654">
            <v>11</v>
          </cell>
          <cell r="AD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</row>
        <row r="655">
          <cell r="C655">
            <v>37953</v>
          </cell>
          <cell r="I655">
            <v>0</v>
          </cell>
          <cell r="N655">
            <v>0</v>
          </cell>
          <cell r="P655">
            <v>0</v>
          </cell>
          <cell r="T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AB655">
            <v>0</v>
          </cell>
          <cell r="AC655">
            <v>11</v>
          </cell>
          <cell r="AD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</row>
        <row r="656">
          <cell r="C656">
            <v>37953</v>
          </cell>
          <cell r="I656">
            <v>0</v>
          </cell>
          <cell r="N656">
            <v>0</v>
          </cell>
          <cell r="P656">
            <v>0</v>
          </cell>
          <cell r="T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AB656">
            <v>0</v>
          </cell>
          <cell r="AC656">
            <v>11</v>
          </cell>
          <cell r="AD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</row>
        <row r="657">
          <cell r="C657">
            <v>37963</v>
          </cell>
          <cell r="D657">
            <v>37971</v>
          </cell>
          <cell r="E657">
            <v>37963</v>
          </cell>
          <cell r="F657">
            <v>0.41666666666666669</v>
          </cell>
          <cell r="G657" t="str">
            <v>Linha de Pintura 8,5m</v>
          </cell>
          <cell r="H657" t="str">
            <v>Vazamento de ar comprimido em excesso</v>
          </cell>
          <cell r="I657">
            <v>0</v>
          </cell>
          <cell r="J657" t="str">
            <v>Não</v>
          </cell>
          <cell r="K657" t="str">
            <v>Mecânica</v>
          </cell>
          <cell r="L657" t="str">
            <v>Contenção do vazamento</v>
          </cell>
          <cell r="M657" t="str">
            <v>Defeito de Fabricação</v>
          </cell>
          <cell r="N657">
            <v>37963</v>
          </cell>
          <cell r="O657">
            <v>0.41666666666666669</v>
          </cell>
          <cell r="P657">
            <v>0</v>
          </cell>
          <cell r="T657">
            <v>37963</v>
          </cell>
          <cell r="U657">
            <v>0.5625</v>
          </cell>
          <cell r="V657">
            <v>0</v>
          </cell>
          <cell r="W657">
            <v>0.14583333333333331</v>
          </cell>
          <cell r="X657">
            <v>0</v>
          </cell>
          <cell r="Y657">
            <v>0</v>
          </cell>
          <cell r="AB657">
            <v>12</v>
          </cell>
          <cell r="AC657">
            <v>12</v>
          </cell>
          <cell r="AD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12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</row>
        <row r="658">
          <cell r="C658">
            <v>37963</v>
          </cell>
          <cell r="D658">
            <v>37971</v>
          </cell>
          <cell r="E658">
            <v>37962</v>
          </cell>
          <cell r="F658">
            <v>0.41666666666666669</v>
          </cell>
          <cell r="G658" t="str">
            <v>Linha de Pintura 8,5m</v>
          </cell>
          <cell r="H658" t="str">
            <v>Problemas nos módulos 03 e 06</v>
          </cell>
          <cell r="I658">
            <v>0</v>
          </cell>
          <cell r="J658" t="str">
            <v>Não</v>
          </cell>
          <cell r="K658" t="str">
            <v>Elétrica</v>
          </cell>
          <cell r="L658" t="str">
            <v>Substituição do(s) Componente(s)</v>
          </cell>
          <cell r="M658" t="str">
            <v>Curto-circuito</v>
          </cell>
          <cell r="N658">
            <v>37962</v>
          </cell>
          <cell r="O658">
            <v>0.41666666666666669</v>
          </cell>
          <cell r="P658">
            <v>0</v>
          </cell>
          <cell r="T658">
            <v>37962</v>
          </cell>
          <cell r="U658">
            <v>0.4375</v>
          </cell>
          <cell r="V658">
            <v>0</v>
          </cell>
          <cell r="W658">
            <v>2.0833333333333315E-2</v>
          </cell>
          <cell r="X658">
            <v>0</v>
          </cell>
          <cell r="Y658">
            <v>0</v>
          </cell>
          <cell r="AB658">
            <v>12</v>
          </cell>
          <cell r="AC658">
            <v>12</v>
          </cell>
          <cell r="AD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12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</row>
        <row r="659">
          <cell r="C659">
            <v>37963</v>
          </cell>
          <cell r="D659">
            <v>37993</v>
          </cell>
          <cell r="E659">
            <v>37965</v>
          </cell>
          <cell r="F659">
            <v>0.58333333333333337</v>
          </cell>
          <cell r="G659" t="str">
            <v>Linha de Pintura 8,5m</v>
          </cell>
          <cell r="H659" t="str">
            <v>Anomalia no parô 03</v>
          </cell>
          <cell r="I659">
            <v>0</v>
          </cell>
          <cell r="J659" t="str">
            <v>Sim</v>
          </cell>
          <cell r="K659" t="str">
            <v>Elétrica</v>
          </cell>
          <cell r="L659" t="str">
            <v>Ajuste / Regulagem</v>
          </cell>
          <cell r="M659" t="str">
            <v>Falha de Regulagem / Configuração / Dimensionamento</v>
          </cell>
          <cell r="N659">
            <v>0</v>
          </cell>
          <cell r="O659">
            <v>0.58680555555555558</v>
          </cell>
          <cell r="P659">
            <v>0</v>
          </cell>
          <cell r="T659">
            <v>0</v>
          </cell>
          <cell r="U659">
            <v>0.625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AB659">
            <v>0</v>
          </cell>
          <cell r="AC659">
            <v>12</v>
          </cell>
          <cell r="AD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</row>
        <row r="660">
          <cell r="C660">
            <v>37963</v>
          </cell>
          <cell r="D660">
            <v>37977</v>
          </cell>
          <cell r="E660">
            <v>37965</v>
          </cell>
          <cell r="F660">
            <v>0.66666666666666663</v>
          </cell>
          <cell r="G660" t="str">
            <v>Linha de Pintura 8,5m</v>
          </cell>
          <cell r="H660" t="str">
            <v>Anomalia na Descarga</v>
          </cell>
          <cell r="I660">
            <v>0</v>
          </cell>
          <cell r="J660" t="str">
            <v>Sim</v>
          </cell>
          <cell r="K660" t="str">
            <v>Elétrica</v>
          </cell>
          <cell r="L660" t="str">
            <v>Reaperto dos componentes</v>
          </cell>
          <cell r="M660" t="str">
            <v>Vibração</v>
          </cell>
          <cell r="N660">
            <v>37965</v>
          </cell>
          <cell r="O660">
            <v>0.6875</v>
          </cell>
          <cell r="P660">
            <v>0</v>
          </cell>
          <cell r="T660">
            <v>37965</v>
          </cell>
          <cell r="U660">
            <v>0.70833333333333337</v>
          </cell>
          <cell r="V660">
            <v>0</v>
          </cell>
          <cell r="W660">
            <v>4.1666666669092023E-2</v>
          </cell>
          <cell r="X660">
            <v>0</v>
          </cell>
          <cell r="Y660">
            <v>0</v>
          </cell>
          <cell r="AB660">
            <v>12</v>
          </cell>
          <cell r="AC660">
            <v>12</v>
          </cell>
          <cell r="AD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12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</row>
        <row r="661">
          <cell r="C661">
            <v>37963</v>
          </cell>
          <cell r="D661">
            <v>37972</v>
          </cell>
          <cell r="E661">
            <v>37965</v>
          </cell>
          <cell r="F661">
            <v>0.83333333333333337</v>
          </cell>
          <cell r="G661" t="str">
            <v>Linha de Pintura 8,5m</v>
          </cell>
          <cell r="H661" t="str">
            <v>Linha Travada</v>
          </cell>
          <cell r="I661">
            <v>0</v>
          </cell>
          <cell r="J661" t="str">
            <v>Sim</v>
          </cell>
          <cell r="K661" t="str">
            <v>Mecânica</v>
          </cell>
          <cell r="L661" t="str">
            <v>Destravamento dos Componentes</v>
          </cell>
          <cell r="M661" t="str">
            <v>Falha de Comando / Sistema</v>
          </cell>
          <cell r="N661">
            <v>37965</v>
          </cell>
          <cell r="O661">
            <v>0.84375</v>
          </cell>
          <cell r="P661">
            <v>0</v>
          </cell>
          <cell r="Q661">
            <v>1</v>
          </cell>
          <cell r="R661">
            <v>37966</v>
          </cell>
          <cell r="S661">
            <v>0.25</v>
          </cell>
          <cell r="T661">
            <v>37966</v>
          </cell>
          <cell r="U661">
            <v>0.3125</v>
          </cell>
          <cell r="V661">
            <v>0</v>
          </cell>
          <cell r="W661">
            <v>0.22916666666666663</v>
          </cell>
          <cell r="X661">
            <v>0</v>
          </cell>
          <cell r="Y661">
            <v>0</v>
          </cell>
          <cell r="AB661">
            <v>12</v>
          </cell>
          <cell r="AC661">
            <v>12</v>
          </cell>
          <cell r="AD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12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</row>
        <row r="662">
          <cell r="C662">
            <v>37963</v>
          </cell>
          <cell r="D662">
            <v>37993</v>
          </cell>
          <cell r="E662">
            <v>37971</v>
          </cell>
          <cell r="F662">
            <v>0.25</v>
          </cell>
          <cell r="G662" t="str">
            <v>Linha de Pintura 8,5m</v>
          </cell>
          <cell r="H662" t="str">
            <v>Vazamento no sistema de exaustão</v>
          </cell>
          <cell r="I662">
            <v>0</v>
          </cell>
          <cell r="J662" t="str">
            <v>Sim</v>
          </cell>
          <cell r="K662" t="str">
            <v>Mecânica</v>
          </cell>
          <cell r="L662" t="str">
            <v>Soldagem da Caixa do Pulmão</v>
          </cell>
          <cell r="M662" t="str">
            <v>Defeito de Fabricação</v>
          </cell>
          <cell r="N662">
            <v>0</v>
          </cell>
          <cell r="O662">
            <v>0.27083333333333331</v>
          </cell>
          <cell r="P662">
            <v>0</v>
          </cell>
          <cell r="T662">
            <v>0</v>
          </cell>
          <cell r="U662">
            <v>0.33333333333333331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AB662">
            <v>0</v>
          </cell>
          <cell r="AC662">
            <v>12</v>
          </cell>
          <cell r="AD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</row>
        <row r="663">
          <cell r="C663">
            <v>37963</v>
          </cell>
          <cell r="D663">
            <v>37993</v>
          </cell>
          <cell r="E663">
            <v>37974</v>
          </cell>
          <cell r="F663">
            <v>0.25</v>
          </cell>
          <cell r="G663" t="str">
            <v>Linha de Pintura 8,5m</v>
          </cell>
          <cell r="H663" t="str">
            <v>Vazamento no sistema de exaustão</v>
          </cell>
          <cell r="I663">
            <v>0</v>
          </cell>
          <cell r="J663" t="str">
            <v>Sim</v>
          </cell>
          <cell r="K663" t="str">
            <v>Mecânica</v>
          </cell>
          <cell r="L663" t="str">
            <v>Soldagem da Caixa do Pulmão</v>
          </cell>
          <cell r="M663" t="str">
            <v>Falha de Projeto</v>
          </cell>
          <cell r="N663">
            <v>0</v>
          </cell>
          <cell r="O663">
            <v>0.25</v>
          </cell>
          <cell r="P663">
            <v>0</v>
          </cell>
          <cell r="T663">
            <v>0</v>
          </cell>
          <cell r="U663">
            <v>0.30555555555555552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AB663">
            <v>0</v>
          </cell>
          <cell r="AC663">
            <v>12</v>
          </cell>
          <cell r="AD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</row>
        <row r="664">
          <cell r="C664">
            <v>37963</v>
          </cell>
          <cell r="I664">
            <v>0</v>
          </cell>
          <cell r="N664">
            <v>0</v>
          </cell>
          <cell r="P664">
            <v>0</v>
          </cell>
          <cell r="T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AB664">
            <v>0</v>
          </cell>
          <cell r="AC664">
            <v>12</v>
          </cell>
          <cell r="AD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</row>
        <row r="665">
          <cell r="C665">
            <v>37963</v>
          </cell>
          <cell r="I665">
            <v>0</v>
          </cell>
          <cell r="N665">
            <v>0</v>
          </cell>
          <cell r="P665">
            <v>0</v>
          </cell>
          <cell r="T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AB665">
            <v>0</v>
          </cell>
          <cell r="AC665">
            <v>12</v>
          </cell>
          <cell r="AD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</row>
        <row r="666">
          <cell r="C666">
            <v>37963</v>
          </cell>
          <cell r="I666">
            <v>0</v>
          </cell>
          <cell r="N666">
            <v>0</v>
          </cell>
          <cell r="P666">
            <v>0</v>
          </cell>
          <cell r="T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AB666">
            <v>0</v>
          </cell>
          <cell r="AC666">
            <v>12</v>
          </cell>
          <cell r="AD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</row>
        <row r="667">
          <cell r="C667">
            <v>37963</v>
          </cell>
          <cell r="I667">
            <v>0</v>
          </cell>
          <cell r="N667">
            <v>0</v>
          </cell>
          <cell r="P667">
            <v>0</v>
          </cell>
          <cell r="T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AB667">
            <v>0</v>
          </cell>
          <cell r="AC667">
            <v>12</v>
          </cell>
          <cell r="AD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</row>
        <row r="668">
          <cell r="C668">
            <v>37963</v>
          </cell>
          <cell r="I668">
            <v>0</v>
          </cell>
          <cell r="N668">
            <v>0</v>
          </cell>
          <cell r="P668">
            <v>0</v>
          </cell>
          <cell r="T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AB668">
            <v>0</v>
          </cell>
          <cell r="AC668">
            <v>12</v>
          </cell>
          <cell r="AD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</row>
        <row r="669">
          <cell r="C669">
            <v>37963</v>
          </cell>
          <cell r="D669">
            <v>37993</v>
          </cell>
          <cell r="E669">
            <v>37991</v>
          </cell>
          <cell r="F669">
            <v>0.33333333333333331</v>
          </cell>
          <cell r="G669" t="str">
            <v>Linha de Pintura 8,5m</v>
          </cell>
          <cell r="H669" t="str">
            <v>Pistola manual apresenta mau contato no cabo</v>
          </cell>
          <cell r="I669">
            <v>0</v>
          </cell>
          <cell r="J669" t="str">
            <v>Não</v>
          </cell>
          <cell r="K669" t="str">
            <v>Elétrica</v>
          </cell>
          <cell r="L669" t="str">
            <v>Correção de mau contato</v>
          </cell>
          <cell r="M669" t="str">
            <v>Mau contato</v>
          </cell>
          <cell r="N669">
            <v>0</v>
          </cell>
          <cell r="O669">
            <v>0.33333333333333331</v>
          </cell>
          <cell r="P669">
            <v>0</v>
          </cell>
          <cell r="T669">
            <v>0</v>
          </cell>
          <cell r="U669">
            <v>0.375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AB669">
            <v>0</v>
          </cell>
          <cell r="AC669">
            <v>12</v>
          </cell>
          <cell r="AD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</row>
        <row r="670">
          <cell r="C670">
            <v>37963</v>
          </cell>
          <cell r="I670">
            <v>0</v>
          </cell>
          <cell r="N670">
            <v>0</v>
          </cell>
          <cell r="P670">
            <v>0</v>
          </cell>
          <cell r="T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AB670">
            <v>0</v>
          </cell>
          <cell r="AC670">
            <v>12</v>
          </cell>
          <cell r="AD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</row>
        <row r="671">
          <cell r="C671">
            <v>37963</v>
          </cell>
          <cell r="I671">
            <v>0</v>
          </cell>
          <cell r="N671">
            <v>0</v>
          </cell>
          <cell r="P671">
            <v>0</v>
          </cell>
          <cell r="T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AB671">
            <v>0</v>
          </cell>
          <cell r="AC671">
            <v>12</v>
          </cell>
          <cell r="AD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</row>
        <row r="672">
          <cell r="C672">
            <v>37963</v>
          </cell>
          <cell r="D672">
            <v>37993</v>
          </cell>
          <cell r="E672">
            <v>37992</v>
          </cell>
          <cell r="F672">
            <v>0.375</v>
          </cell>
          <cell r="G672" t="str">
            <v>Linha de Pintura 8,5m</v>
          </cell>
          <cell r="H672" t="str">
            <v>Cabo da pistola manual rompido</v>
          </cell>
          <cell r="I672">
            <v>0</v>
          </cell>
          <cell r="J672" t="str">
            <v>Não</v>
          </cell>
          <cell r="K672" t="str">
            <v>Elétrica</v>
          </cell>
          <cell r="L672" t="str">
            <v>Reparo</v>
          </cell>
          <cell r="M672" t="str">
            <v>Falha Operacional</v>
          </cell>
          <cell r="N672">
            <v>0</v>
          </cell>
          <cell r="O672">
            <v>0.375</v>
          </cell>
          <cell r="P672">
            <v>0</v>
          </cell>
          <cell r="T672">
            <v>0</v>
          </cell>
          <cell r="U672">
            <v>0.41180555555555554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AB672">
            <v>0</v>
          </cell>
          <cell r="AC672">
            <v>12</v>
          </cell>
          <cell r="AD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</row>
        <row r="673">
          <cell r="C673">
            <v>37963</v>
          </cell>
          <cell r="I673">
            <v>0</v>
          </cell>
          <cell r="N673">
            <v>0</v>
          </cell>
          <cell r="P673">
            <v>0</v>
          </cell>
          <cell r="T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AB673">
            <v>0</v>
          </cell>
          <cell r="AC673">
            <v>12</v>
          </cell>
          <cell r="AD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</row>
        <row r="674">
          <cell r="C674">
            <v>37963</v>
          </cell>
          <cell r="I674">
            <v>0</v>
          </cell>
          <cell r="N674">
            <v>0</v>
          </cell>
          <cell r="P674">
            <v>0</v>
          </cell>
          <cell r="T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AB674">
            <v>0</v>
          </cell>
          <cell r="AC674">
            <v>12</v>
          </cell>
          <cell r="AD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</row>
        <row r="675">
          <cell r="C675">
            <v>37963</v>
          </cell>
          <cell r="I675">
            <v>0</v>
          </cell>
          <cell r="N675">
            <v>0</v>
          </cell>
          <cell r="P675">
            <v>0</v>
          </cell>
          <cell r="T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AB675">
            <v>0</v>
          </cell>
          <cell r="AC675">
            <v>12</v>
          </cell>
          <cell r="AD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</row>
        <row r="676">
          <cell r="C676">
            <v>37963</v>
          </cell>
          <cell r="I676">
            <v>0</v>
          </cell>
          <cell r="N676">
            <v>0</v>
          </cell>
          <cell r="P676">
            <v>0</v>
          </cell>
          <cell r="T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AB676">
            <v>0</v>
          </cell>
          <cell r="AC676">
            <v>12</v>
          </cell>
          <cell r="AD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</row>
        <row r="677">
          <cell r="C677">
            <v>37963</v>
          </cell>
          <cell r="I677">
            <v>0</v>
          </cell>
          <cell r="N677">
            <v>0</v>
          </cell>
          <cell r="P677">
            <v>0</v>
          </cell>
          <cell r="T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AB677">
            <v>0</v>
          </cell>
          <cell r="AC677">
            <v>12</v>
          </cell>
          <cell r="AD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</row>
        <row r="678">
          <cell r="C678">
            <v>37963</v>
          </cell>
          <cell r="I678">
            <v>0</v>
          </cell>
          <cell r="N678">
            <v>0</v>
          </cell>
          <cell r="P678">
            <v>0</v>
          </cell>
          <cell r="T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AB678">
            <v>0</v>
          </cell>
          <cell r="AC678">
            <v>12</v>
          </cell>
          <cell r="AD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</row>
        <row r="679">
          <cell r="C679">
            <v>37963</v>
          </cell>
          <cell r="D679">
            <v>37977</v>
          </cell>
          <cell r="E679">
            <v>37966</v>
          </cell>
          <cell r="F679">
            <v>0.85416666666666663</v>
          </cell>
          <cell r="G679" t="str">
            <v>Linha de Pintura 15m</v>
          </cell>
          <cell r="H679" t="str">
            <v>Exaustor não funciona</v>
          </cell>
          <cell r="I679">
            <v>0</v>
          </cell>
          <cell r="J679" t="str">
            <v>Sim</v>
          </cell>
          <cell r="K679" t="str">
            <v>Elétrica</v>
          </cell>
          <cell r="L679" t="str">
            <v>Substituição do(s) Componente(s)</v>
          </cell>
          <cell r="M679" t="str">
            <v>Sobrecarga</v>
          </cell>
          <cell r="N679">
            <v>37966</v>
          </cell>
          <cell r="O679">
            <v>0.86111111111111116</v>
          </cell>
          <cell r="P679">
            <v>0</v>
          </cell>
          <cell r="T679">
            <v>37966</v>
          </cell>
          <cell r="U679">
            <v>0.86805555555555547</v>
          </cell>
          <cell r="V679">
            <v>0</v>
          </cell>
          <cell r="W679">
            <v>1.3888888888080486E-2</v>
          </cell>
          <cell r="X679">
            <v>0</v>
          </cell>
          <cell r="Y679">
            <v>0</v>
          </cell>
          <cell r="AB679">
            <v>12</v>
          </cell>
          <cell r="AC679">
            <v>12</v>
          </cell>
          <cell r="AD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12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</row>
        <row r="680">
          <cell r="C680">
            <v>37963</v>
          </cell>
          <cell r="D680">
            <v>37993</v>
          </cell>
          <cell r="E680">
            <v>37965</v>
          </cell>
          <cell r="F680">
            <v>0.43333333333333335</v>
          </cell>
          <cell r="G680" t="str">
            <v>Linha de Pintura 15m</v>
          </cell>
          <cell r="H680" t="str">
            <v>Elevador fora do nível</v>
          </cell>
          <cell r="I680">
            <v>0</v>
          </cell>
          <cell r="J680" t="str">
            <v>Não</v>
          </cell>
          <cell r="K680" t="str">
            <v>Elétrica</v>
          </cell>
          <cell r="L680" t="str">
            <v>Ajuste / Regulagem</v>
          </cell>
          <cell r="M680" t="str">
            <v>Falha de Comando / Sistema</v>
          </cell>
          <cell r="N680">
            <v>0</v>
          </cell>
          <cell r="O680">
            <v>0.4375</v>
          </cell>
          <cell r="P680">
            <v>0</v>
          </cell>
          <cell r="T680">
            <v>0</v>
          </cell>
          <cell r="U680">
            <v>0.4513888888888889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AB680">
            <v>0</v>
          </cell>
          <cell r="AC680">
            <v>12</v>
          </cell>
          <cell r="AD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</row>
        <row r="681">
          <cell r="C681">
            <v>37963</v>
          </cell>
          <cell r="D681">
            <v>37977</v>
          </cell>
          <cell r="E681">
            <v>37966</v>
          </cell>
          <cell r="F681">
            <v>0.79166666666666663</v>
          </cell>
          <cell r="G681" t="str">
            <v>Linha de Pintura 15m</v>
          </cell>
          <cell r="H681" t="str">
            <v>Pistola de Líquido parada</v>
          </cell>
          <cell r="I681">
            <v>0</v>
          </cell>
          <cell r="J681" t="str">
            <v>Não</v>
          </cell>
          <cell r="K681" t="str">
            <v>Mecânica</v>
          </cell>
          <cell r="L681" t="str">
            <v>Substituição do(s) Componente(s)</v>
          </cell>
          <cell r="M681" t="str">
            <v>Falha Operacional</v>
          </cell>
          <cell r="N681">
            <v>37966</v>
          </cell>
          <cell r="O681">
            <v>0.79166666666666663</v>
          </cell>
          <cell r="P681">
            <v>0</v>
          </cell>
          <cell r="T681">
            <v>37966</v>
          </cell>
          <cell r="U681">
            <v>0.81944444444444453</v>
          </cell>
          <cell r="V681">
            <v>0</v>
          </cell>
          <cell r="W681">
            <v>2.7777777778586255E-2</v>
          </cell>
          <cell r="X681">
            <v>0</v>
          </cell>
          <cell r="Y681">
            <v>0</v>
          </cell>
          <cell r="AB681">
            <v>12</v>
          </cell>
          <cell r="AC681">
            <v>12</v>
          </cell>
          <cell r="AD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12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</row>
        <row r="682">
          <cell r="C682">
            <v>37963</v>
          </cell>
          <cell r="D682">
            <v>37977</v>
          </cell>
          <cell r="E682">
            <v>37967</v>
          </cell>
          <cell r="F682">
            <v>0.45833333333333331</v>
          </cell>
          <cell r="G682" t="str">
            <v>Linha de Pintura 15m</v>
          </cell>
          <cell r="H682" t="str">
            <v>Pistola no. 07 com problema no Venturi</v>
          </cell>
          <cell r="I682">
            <v>0</v>
          </cell>
          <cell r="J682" t="str">
            <v>Sim</v>
          </cell>
          <cell r="K682" t="str">
            <v>Mecânica</v>
          </cell>
          <cell r="L682" t="str">
            <v>Substituição do(s) Componente(s)</v>
          </cell>
          <cell r="M682" t="str">
            <v>Desgaste / Fadiga</v>
          </cell>
          <cell r="N682">
            <v>37967</v>
          </cell>
          <cell r="O682">
            <v>0.45833333333333331</v>
          </cell>
          <cell r="P682">
            <v>0</v>
          </cell>
          <cell r="T682">
            <v>37967</v>
          </cell>
          <cell r="U682">
            <v>0.46875</v>
          </cell>
          <cell r="V682">
            <v>0</v>
          </cell>
          <cell r="W682">
            <v>1.0416666666666685E-2</v>
          </cell>
          <cell r="X682">
            <v>0</v>
          </cell>
          <cell r="Y682">
            <v>0</v>
          </cell>
          <cell r="AB682">
            <v>12</v>
          </cell>
          <cell r="AC682">
            <v>12</v>
          </cell>
          <cell r="AD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12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</row>
        <row r="683">
          <cell r="C683">
            <v>37963</v>
          </cell>
          <cell r="E683">
            <v>37971</v>
          </cell>
          <cell r="F683">
            <v>0.84375</v>
          </cell>
          <cell r="G683" t="str">
            <v>Linha de Pintura 8,5m</v>
          </cell>
          <cell r="H683" t="str">
            <v>Exaustor não funciona</v>
          </cell>
          <cell r="I683">
            <v>0</v>
          </cell>
          <cell r="J683" t="str">
            <v>Sim</v>
          </cell>
          <cell r="K683" t="str">
            <v>Elétrica</v>
          </cell>
          <cell r="L683" t="str">
            <v>Substituição do(s) Componente(s)</v>
          </cell>
          <cell r="M683" t="str">
            <v>Sobrecarga</v>
          </cell>
          <cell r="N683">
            <v>0</v>
          </cell>
          <cell r="P683">
            <v>0</v>
          </cell>
          <cell r="T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AB683">
            <v>0</v>
          </cell>
          <cell r="AC683">
            <v>12</v>
          </cell>
          <cell r="AD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1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</row>
        <row r="684">
          <cell r="C684">
            <v>37963</v>
          </cell>
          <cell r="D684">
            <v>37993</v>
          </cell>
          <cell r="E684">
            <v>37972</v>
          </cell>
          <cell r="F684">
            <v>0.29166666666666669</v>
          </cell>
          <cell r="G684" t="str">
            <v>Linha de Pintura 15m</v>
          </cell>
          <cell r="H684" t="str">
            <v>Prendedor do braço da pistola 13 quebrado conforme regulagem</v>
          </cell>
          <cell r="I684">
            <v>0</v>
          </cell>
          <cell r="J684" t="str">
            <v>Não</v>
          </cell>
          <cell r="K684" t="str">
            <v>Mecânica</v>
          </cell>
          <cell r="L684" t="str">
            <v>Substituição do(s) Componente(s)</v>
          </cell>
          <cell r="M684" t="str">
            <v>Defeito de Fabricação</v>
          </cell>
          <cell r="N684">
            <v>0</v>
          </cell>
          <cell r="O684">
            <v>0.30208333333333331</v>
          </cell>
          <cell r="P684">
            <v>0</v>
          </cell>
          <cell r="T684">
            <v>0</v>
          </cell>
          <cell r="U684">
            <v>0.34722222222222227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AB684">
            <v>0</v>
          </cell>
          <cell r="AC684">
            <v>12</v>
          </cell>
          <cell r="AD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</row>
        <row r="685">
          <cell r="C685">
            <v>37963</v>
          </cell>
          <cell r="D685">
            <v>37993</v>
          </cell>
          <cell r="E685">
            <v>37973</v>
          </cell>
          <cell r="F685">
            <v>0.38194444444444442</v>
          </cell>
          <cell r="G685" t="str">
            <v>Linha de Pintura 15m</v>
          </cell>
          <cell r="H685" t="str">
            <v>Elevador fora do nível</v>
          </cell>
          <cell r="I685">
            <v>0</v>
          </cell>
          <cell r="J685" t="str">
            <v>Não</v>
          </cell>
          <cell r="K685" t="str">
            <v>Elétrica</v>
          </cell>
          <cell r="L685" t="str">
            <v>Ajuste / Regulagem</v>
          </cell>
          <cell r="M685" t="str">
            <v>Falha de Comando / Sistema</v>
          </cell>
          <cell r="N685">
            <v>0</v>
          </cell>
          <cell r="O685">
            <v>0.38194444444444442</v>
          </cell>
          <cell r="P685">
            <v>0</v>
          </cell>
          <cell r="T685">
            <v>0</v>
          </cell>
          <cell r="U685">
            <v>0.3888888888888889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AB685">
            <v>0</v>
          </cell>
          <cell r="AC685">
            <v>12</v>
          </cell>
          <cell r="AD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</row>
        <row r="686">
          <cell r="C686">
            <v>37963</v>
          </cell>
          <cell r="D686">
            <v>37993</v>
          </cell>
          <cell r="E686">
            <v>37973</v>
          </cell>
          <cell r="F686">
            <v>0.72916666666666663</v>
          </cell>
          <cell r="G686" t="str">
            <v>Linha de Pintura 8,5m</v>
          </cell>
          <cell r="H686" t="str">
            <v>Bastidor Travado</v>
          </cell>
          <cell r="I686">
            <v>0</v>
          </cell>
          <cell r="J686" t="str">
            <v>Não</v>
          </cell>
          <cell r="K686" t="str">
            <v>Mecânica</v>
          </cell>
          <cell r="L686" t="str">
            <v>Destravamento dos Componentes</v>
          </cell>
          <cell r="M686" t="str">
            <v>Falha de Comando / Sistema</v>
          </cell>
          <cell r="N686">
            <v>0</v>
          </cell>
          <cell r="O686">
            <v>0.73263888888888884</v>
          </cell>
          <cell r="P686">
            <v>0</v>
          </cell>
          <cell r="T686">
            <v>0</v>
          </cell>
          <cell r="U686">
            <v>0.74305555555555547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AB686">
            <v>0</v>
          </cell>
          <cell r="AC686">
            <v>12</v>
          </cell>
          <cell r="AD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</row>
        <row r="687">
          <cell r="C687">
            <v>37963</v>
          </cell>
          <cell r="D687">
            <v>37993</v>
          </cell>
          <cell r="E687">
            <v>37974</v>
          </cell>
          <cell r="F687">
            <v>0.60416666666666663</v>
          </cell>
          <cell r="G687" t="str">
            <v>Linha de Pintura 15m</v>
          </cell>
          <cell r="H687" t="str">
            <v>Bomba do Enxágüe 02 travada</v>
          </cell>
          <cell r="I687">
            <v>0</v>
          </cell>
          <cell r="J687" t="str">
            <v>Não</v>
          </cell>
          <cell r="K687" t="str">
            <v>Mecânica</v>
          </cell>
          <cell r="L687" t="str">
            <v>Mesmo após acompanhamento do funcionamento, o problema não foi detectado</v>
          </cell>
          <cell r="M687" t="str">
            <v>Falha Operacional</v>
          </cell>
          <cell r="N687">
            <v>0</v>
          </cell>
          <cell r="O687">
            <v>0.60763888888888895</v>
          </cell>
          <cell r="P687">
            <v>0</v>
          </cell>
          <cell r="T687">
            <v>0</v>
          </cell>
          <cell r="U687">
            <v>0.61805555555555558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AB687">
            <v>0</v>
          </cell>
          <cell r="AC687">
            <v>12</v>
          </cell>
          <cell r="AD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</row>
        <row r="688">
          <cell r="C688">
            <v>37963</v>
          </cell>
          <cell r="D688">
            <v>37993</v>
          </cell>
          <cell r="E688">
            <v>37974</v>
          </cell>
          <cell r="F688">
            <v>0.66666666666666663</v>
          </cell>
          <cell r="G688" t="str">
            <v>Linha de Pintura 15m</v>
          </cell>
          <cell r="H688" t="str">
            <v>Linha Travada</v>
          </cell>
          <cell r="I688">
            <v>0</v>
          </cell>
          <cell r="J688" t="str">
            <v>Sim</v>
          </cell>
          <cell r="K688" t="str">
            <v>Elétrica</v>
          </cell>
          <cell r="L688" t="str">
            <v>Mesmo após acompanhamento do funcionamento, o problema não foi detectado</v>
          </cell>
          <cell r="M688" t="str">
            <v>Falha Operacional</v>
          </cell>
          <cell r="N688">
            <v>0</v>
          </cell>
          <cell r="O688">
            <v>0.68055555555555547</v>
          </cell>
          <cell r="P688">
            <v>0</v>
          </cell>
          <cell r="T688">
            <v>0</v>
          </cell>
          <cell r="U688">
            <v>0.6875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AB688">
            <v>0</v>
          </cell>
          <cell r="AC688">
            <v>12</v>
          </cell>
          <cell r="AD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</row>
        <row r="689">
          <cell r="C689">
            <v>37963</v>
          </cell>
          <cell r="D689">
            <v>37993</v>
          </cell>
          <cell r="E689">
            <v>37978</v>
          </cell>
          <cell r="F689">
            <v>0.70833333333333337</v>
          </cell>
          <cell r="G689" t="str">
            <v>Linha de Pintura 15m</v>
          </cell>
          <cell r="H689" t="str">
            <v>Linha Travada</v>
          </cell>
          <cell r="I689">
            <v>0</v>
          </cell>
          <cell r="J689" t="str">
            <v>Sim</v>
          </cell>
          <cell r="K689" t="str">
            <v>Elétrica</v>
          </cell>
          <cell r="L689" t="str">
            <v>Recontagem dos bastidores nos estoques e correção</v>
          </cell>
          <cell r="M689" t="str">
            <v>Falha Operacional</v>
          </cell>
          <cell r="N689">
            <v>0</v>
          </cell>
          <cell r="O689">
            <v>0.70833333333333337</v>
          </cell>
          <cell r="P689">
            <v>0</v>
          </cell>
          <cell r="T689">
            <v>0</v>
          </cell>
          <cell r="U689">
            <v>0.77430555555555547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AB689">
            <v>0</v>
          </cell>
          <cell r="AC689">
            <v>12</v>
          </cell>
          <cell r="AD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</row>
        <row r="690">
          <cell r="C690">
            <v>37963</v>
          </cell>
          <cell r="I690">
            <v>0</v>
          </cell>
          <cell r="N690">
            <v>0</v>
          </cell>
          <cell r="P690">
            <v>0</v>
          </cell>
          <cell r="T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AB690">
            <v>0</v>
          </cell>
          <cell r="AC690">
            <v>12</v>
          </cell>
          <cell r="AD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</row>
        <row r="691">
          <cell r="C691">
            <v>37963</v>
          </cell>
          <cell r="I691">
            <v>0</v>
          </cell>
          <cell r="N691">
            <v>0</v>
          </cell>
          <cell r="P691">
            <v>0</v>
          </cell>
          <cell r="T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AB691">
            <v>0</v>
          </cell>
          <cell r="AC691">
            <v>12</v>
          </cell>
          <cell r="AD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</row>
        <row r="692">
          <cell r="C692">
            <v>37963</v>
          </cell>
          <cell r="D692">
            <v>37993</v>
          </cell>
          <cell r="E692">
            <v>37985</v>
          </cell>
          <cell r="F692">
            <v>0.58333333333333337</v>
          </cell>
          <cell r="G692" t="str">
            <v>Linha de Pintura 15m</v>
          </cell>
          <cell r="H692" t="str">
            <v>Parôs 03 e 11 não estão liberando</v>
          </cell>
          <cell r="I692">
            <v>0</v>
          </cell>
          <cell r="J692" t="str">
            <v>Sim</v>
          </cell>
          <cell r="K692" t="str">
            <v>Elétrica</v>
          </cell>
          <cell r="L692" t="str">
            <v>Recontagem dos bastidores nos estoques e correção</v>
          </cell>
          <cell r="M692" t="str">
            <v>Falha Operacional</v>
          </cell>
          <cell r="N692">
            <v>0</v>
          </cell>
          <cell r="O692">
            <v>0.58333333333333337</v>
          </cell>
          <cell r="P692">
            <v>0</v>
          </cell>
          <cell r="T692">
            <v>0</v>
          </cell>
          <cell r="U692">
            <v>0.66666666666666663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AB692">
            <v>0</v>
          </cell>
          <cell r="AC692">
            <v>12</v>
          </cell>
          <cell r="AD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</row>
        <row r="693">
          <cell r="C693">
            <v>37963</v>
          </cell>
          <cell r="I693">
            <v>0</v>
          </cell>
          <cell r="N693">
            <v>0</v>
          </cell>
          <cell r="P693">
            <v>0</v>
          </cell>
          <cell r="T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AB693">
            <v>0</v>
          </cell>
          <cell r="AC693">
            <v>12</v>
          </cell>
          <cell r="AD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</row>
        <row r="694">
          <cell r="C694">
            <v>37963</v>
          </cell>
          <cell r="I694">
            <v>0</v>
          </cell>
          <cell r="N694">
            <v>0</v>
          </cell>
          <cell r="P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AB694">
            <v>0</v>
          </cell>
          <cell r="AC694">
            <v>12</v>
          </cell>
          <cell r="AD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</row>
        <row r="695">
          <cell r="C695">
            <v>37963</v>
          </cell>
          <cell r="I695">
            <v>0</v>
          </cell>
          <cell r="N695">
            <v>0</v>
          </cell>
          <cell r="P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AB695">
            <v>0</v>
          </cell>
          <cell r="AC695">
            <v>12</v>
          </cell>
          <cell r="AD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</row>
        <row r="696">
          <cell r="C696">
            <v>37963</v>
          </cell>
          <cell r="I696">
            <v>0</v>
          </cell>
          <cell r="N696">
            <v>0</v>
          </cell>
          <cell r="P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AB696">
            <v>0</v>
          </cell>
          <cell r="AC696">
            <v>12</v>
          </cell>
          <cell r="AD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</row>
        <row r="697">
          <cell r="C697">
            <v>37963</v>
          </cell>
          <cell r="I697">
            <v>0</v>
          </cell>
          <cell r="N697">
            <v>0</v>
          </cell>
          <cell r="P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AB697">
            <v>0</v>
          </cell>
          <cell r="AC697">
            <v>12</v>
          </cell>
          <cell r="AD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</row>
        <row r="698">
          <cell r="C698">
            <v>37963</v>
          </cell>
          <cell r="I698">
            <v>0</v>
          </cell>
          <cell r="N698">
            <v>0</v>
          </cell>
          <cell r="P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AB698">
            <v>0</v>
          </cell>
          <cell r="AC698">
            <v>12</v>
          </cell>
          <cell r="AD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</row>
        <row r="699">
          <cell r="C699">
            <v>37963</v>
          </cell>
          <cell r="D699" t="str">
            <v>,0,</v>
          </cell>
          <cell r="E699">
            <v>37985</v>
          </cell>
          <cell r="F699">
            <v>0.38541666666666669</v>
          </cell>
          <cell r="G699" t="str">
            <v>Linha de Pintura 3,2m</v>
          </cell>
          <cell r="H699" t="str">
            <v>Pinça quebrada</v>
          </cell>
          <cell r="I699">
            <v>0</v>
          </cell>
          <cell r="J699" t="str">
            <v>Sim</v>
          </cell>
          <cell r="K699" t="str">
            <v>Mecânica</v>
          </cell>
          <cell r="L699" t="str">
            <v>Substituição do(s) Componente(s)</v>
          </cell>
          <cell r="M699" t="str">
            <v>Desgaste / Fadiga</v>
          </cell>
          <cell r="N699">
            <v>0</v>
          </cell>
          <cell r="O699">
            <v>0.3888888888888889</v>
          </cell>
          <cell r="P699">
            <v>0</v>
          </cell>
          <cell r="T699">
            <v>0</v>
          </cell>
          <cell r="U699">
            <v>0.42708333333333331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AB699">
            <v>0</v>
          </cell>
          <cell r="AC699">
            <v>12</v>
          </cell>
          <cell r="AD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</row>
        <row r="700">
          <cell r="C700">
            <v>37963</v>
          </cell>
          <cell r="I700">
            <v>0</v>
          </cell>
          <cell r="N700">
            <v>0</v>
          </cell>
          <cell r="P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AB700">
            <v>0</v>
          </cell>
          <cell r="AC700">
            <v>12</v>
          </cell>
          <cell r="AD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</row>
        <row r="701">
          <cell r="C701">
            <v>37963</v>
          </cell>
          <cell r="I701">
            <v>0</v>
          </cell>
          <cell r="N701">
            <v>0</v>
          </cell>
          <cell r="P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AB701">
            <v>0</v>
          </cell>
          <cell r="AC701">
            <v>12</v>
          </cell>
          <cell r="AD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</row>
        <row r="702">
          <cell r="C702">
            <v>37963</v>
          </cell>
          <cell r="I702">
            <v>0</v>
          </cell>
          <cell r="N702">
            <v>0</v>
          </cell>
          <cell r="P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AB702">
            <v>0</v>
          </cell>
          <cell r="AC702">
            <v>12</v>
          </cell>
          <cell r="AD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</row>
        <row r="703">
          <cell r="C703">
            <v>37963</v>
          </cell>
          <cell r="I703">
            <v>0</v>
          </cell>
          <cell r="N703">
            <v>0</v>
          </cell>
          <cell r="P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AB703">
            <v>0</v>
          </cell>
          <cell r="AC703">
            <v>12</v>
          </cell>
          <cell r="AD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</row>
        <row r="704">
          <cell r="C704">
            <v>37963</v>
          </cell>
          <cell r="I704">
            <v>0</v>
          </cell>
          <cell r="N704">
            <v>0</v>
          </cell>
          <cell r="P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AB704">
            <v>0</v>
          </cell>
          <cell r="AC704">
            <v>12</v>
          </cell>
          <cell r="AD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</row>
        <row r="705">
          <cell r="C705">
            <v>37963</v>
          </cell>
          <cell r="I705">
            <v>0</v>
          </cell>
          <cell r="N705">
            <v>0</v>
          </cell>
          <cell r="P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AB705">
            <v>0</v>
          </cell>
          <cell r="AC705">
            <v>12</v>
          </cell>
          <cell r="AD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</row>
        <row r="706">
          <cell r="C706">
            <v>37963</v>
          </cell>
          <cell r="I706">
            <v>0</v>
          </cell>
          <cell r="N706">
            <v>0</v>
          </cell>
          <cell r="P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AB706">
            <v>0</v>
          </cell>
          <cell r="AC706">
            <v>12</v>
          </cell>
          <cell r="AD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</row>
        <row r="707">
          <cell r="C707">
            <v>37963</v>
          </cell>
          <cell r="I707">
            <v>0</v>
          </cell>
          <cell r="N707">
            <v>0</v>
          </cell>
          <cell r="P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AB707">
            <v>0</v>
          </cell>
          <cell r="AC707">
            <v>12</v>
          </cell>
          <cell r="AD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</row>
        <row r="708">
          <cell r="C708">
            <v>37963</v>
          </cell>
          <cell r="I708">
            <v>0</v>
          </cell>
          <cell r="N708">
            <v>0</v>
          </cell>
          <cell r="P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AB708">
            <v>0</v>
          </cell>
          <cell r="AC708">
            <v>12</v>
          </cell>
          <cell r="AD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</row>
        <row r="709">
          <cell r="C709">
            <v>37963</v>
          </cell>
          <cell r="I709">
            <v>0</v>
          </cell>
          <cell r="N709">
            <v>0</v>
          </cell>
          <cell r="P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AB709">
            <v>0</v>
          </cell>
          <cell r="AC709">
            <v>12</v>
          </cell>
          <cell r="AD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</row>
        <row r="710">
          <cell r="C710">
            <v>37963</v>
          </cell>
          <cell r="I710">
            <v>0</v>
          </cell>
          <cell r="N710">
            <v>0</v>
          </cell>
          <cell r="P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AB710">
            <v>0</v>
          </cell>
          <cell r="AC710">
            <v>12</v>
          </cell>
          <cell r="AD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</row>
        <row r="711">
          <cell r="C711">
            <v>37963</v>
          </cell>
          <cell r="I711">
            <v>0</v>
          </cell>
          <cell r="N711">
            <v>0</v>
          </cell>
          <cell r="P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AB711">
            <v>0</v>
          </cell>
          <cell r="AC711">
            <v>12</v>
          </cell>
          <cell r="AD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</row>
        <row r="712">
          <cell r="C712">
            <v>37963</v>
          </cell>
          <cell r="I712">
            <v>0</v>
          </cell>
          <cell r="N712">
            <v>0</v>
          </cell>
          <cell r="P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AB712">
            <v>0</v>
          </cell>
          <cell r="AC712">
            <v>12</v>
          </cell>
          <cell r="AD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</row>
        <row r="713">
          <cell r="C713">
            <v>37963</v>
          </cell>
          <cell r="I713">
            <v>0</v>
          </cell>
          <cell r="N713">
            <v>0</v>
          </cell>
          <cell r="P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AB713">
            <v>0</v>
          </cell>
          <cell r="AC713">
            <v>12</v>
          </cell>
          <cell r="AD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</row>
        <row r="714">
          <cell r="C714">
            <v>37963</v>
          </cell>
          <cell r="I714">
            <v>0</v>
          </cell>
          <cell r="N714">
            <v>0</v>
          </cell>
          <cell r="P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AB714">
            <v>0</v>
          </cell>
          <cell r="AC714">
            <v>12</v>
          </cell>
          <cell r="AD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</row>
        <row r="715">
          <cell r="C715">
            <v>37963</v>
          </cell>
          <cell r="I715">
            <v>0</v>
          </cell>
          <cell r="N715">
            <v>0</v>
          </cell>
          <cell r="P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AB715">
            <v>0</v>
          </cell>
          <cell r="AC715">
            <v>12</v>
          </cell>
          <cell r="AD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</row>
        <row r="716">
          <cell r="C716">
            <v>37963</v>
          </cell>
          <cell r="I716">
            <v>0</v>
          </cell>
          <cell r="N716">
            <v>0</v>
          </cell>
          <cell r="P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AB716">
            <v>0</v>
          </cell>
          <cell r="AC716">
            <v>12</v>
          </cell>
          <cell r="AD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Nome</v>
          </cell>
          <cell r="B2" t="str">
            <v>Descrição</v>
          </cell>
          <cell r="C2" t="str">
            <v>Apelido</v>
          </cell>
          <cell r="D2" t="str">
            <v>Centro Custo</v>
          </cell>
          <cell r="E2" t="str">
            <v>Código SAP</v>
          </cell>
        </row>
        <row r="3">
          <cell r="A3" t="str">
            <v>Cabine de Pintura 15m</v>
          </cell>
          <cell r="B3" t="str">
            <v>Linha de Pintura Colunas (Até 15 m)</v>
          </cell>
          <cell r="C3" t="str">
            <v>Picasso</v>
          </cell>
          <cell r="D3" t="str">
            <v>EI32205803</v>
          </cell>
          <cell r="E3">
            <v>5803</v>
          </cell>
        </row>
        <row r="4">
          <cell r="A4" t="str">
            <v>Cabine de Pintura 3,2m</v>
          </cell>
          <cell r="B4" t="str">
            <v>Linha de Pintura Longarinas (Até 3,2 m)</v>
          </cell>
          <cell r="C4" t="str">
            <v>Dalí</v>
          </cell>
          <cell r="D4" t="str">
            <v>EI32205802</v>
          </cell>
          <cell r="E4">
            <v>5802</v>
          </cell>
        </row>
        <row r="5">
          <cell r="A5" t="str">
            <v>Cabine de Pintura 8,5m</v>
          </cell>
          <cell r="B5" t="str">
            <v>Linha de Pintura Produtos Gerais (Até 8,5 m)</v>
          </cell>
          <cell r="C5" t="str">
            <v>Goya</v>
          </cell>
          <cell r="D5" t="str">
            <v>EI32205801</v>
          </cell>
          <cell r="E5">
            <v>5801</v>
          </cell>
        </row>
        <row r="6">
          <cell r="A6" t="str">
            <v>Dobradeira Sorg</v>
          </cell>
          <cell r="B6" t="str">
            <v>Dobradeira Sorg</v>
          </cell>
          <cell r="D6" t="str">
            <v>EI32105201</v>
          </cell>
          <cell r="E6">
            <v>5201</v>
          </cell>
        </row>
        <row r="7">
          <cell r="A7" t="str">
            <v>Empilhadeira Elétrica</v>
          </cell>
          <cell r="B7" t="str">
            <v>Chefia e Movimentação</v>
          </cell>
          <cell r="D7" t="str">
            <v>EI32000000</v>
          </cell>
          <cell r="E7" t="str">
            <v>EI32000000</v>
          </cell>
        </row>
        <row r="8">
          <cell r="A8" t="str">
            <v>Esmerilhadeira</v>
          </cell>
          <cell r="B8" t="str">
            <v>Solda Manual</v>
          </cell>
          <cell r="D8" t="str">
            <v>EI32305701</v>
          </cell>
          <cell r="E8">
            <v>5701</v>
          </cell>
        </row>
        <row r="9">
          <cell r="A9" t="str">
            <v>Fresadora Universal</v>
          </cell>
          <cell r="B9" t="str">
            <v>Ferramentaria (Máquinas diversas)</v>
          </cell>
          <cell r="D9" t="str">
            <v>EI34000000</v>
          </cell>
          <cell r="E9" t="str">
            <v>EI34000000</v>
          </cell>
        </row>
        <row r="10">
          <cell r="A10" t="str">
            <v>Furadeira de Coluna</v>
          </cell>
          <cell r="B10" t="str">
            <v>Ferramentaria (Máquinas diversas)</v>
          </cell>
          <cell r="D10" t="str">
            <v>EI34000000</v>
          </cell>
          <cell r="E10" t="str">
            <v>EI34000000</v>
          </cell>
        </row>
        <row r="11">
          <cell r="A11" t="str">
            <v>Guilhotina Sorg</v>
          </cell>
          <cell r="B11" t="str">
            <v>Guilhotina Sorg</v>
          </cell>
          <cell r="D11" t="str">
            <v>EI32105402</v>
          </cell>
          <cell r="E11">
            <v>5402</v>
          </cell>
        </row>
        <row r="12">
          <cell r="A12" t="str">
            <v>Máquina de Embalar</v>
          </cell>
          <cell r="B12" t="str">
            <v>Pintura</v>
          </cell>
          <cell r="D12" t="str">
            <v>EI32200000</v>
          </cell>
        </row>
        <row r="13">
          <cell r="A13" t="str">
            <v>Máquina de Solda MIG</v>
          </cell>
          <cell r="B13" t="str">
            <v>Solda Manual</v>
          </cell>
          <cell r="D13" t="str">
            <v>EI32305700</v>
          </cell>
          <cell r="E13">
            <v>5700</v>
          </cell>
        </row>
        <row r="14">
          <cell r="A14" t="str">
            <v>Perfiladora Dimeco Conectores</v>
          </cell>
          <cell r="B14" t="str">
            <v>Perfiladora Dimeco Conectores + Prensa Jundiaí 200t com Alimentador</v>
          </cell>
          <cell r="C14" t="str">
            <v>Picún</v>
          </cell>
          <cell r="D14" t="str">
            <v>EI32105311</v>
          </cell>
          <cell r="E14">
            <v>5311</v>
          </cell>
        </row>
        <row r="15">
          <cell r="A15" t="str">
            <v>Perfiladora Dimeco Travesaños</v>
          </cell>
          <cell r="B15" t="str">
            <v>Perfiladora Dimeco Travesaños</v>
          </cell>
          <cell r="C15" t="str">
            <v>Pravia</v>
          </cell>
          <cell r="D15" t="str">
            <v>EI32105112</v>
          </cell>
          <cell r="E15">
            <v>5112</v>
          </cell>
        </row>
        <row r="16">
          <cell r="A16" t="str">
            <v>Perfiladora Fagor Largueros</v>
          </cell>
          <cell r="B16" t="str">
            <v>Perfiladora Fagor Largueros</v>
          </cell>
          <cell r="C16" t="str">
            <v>Asturias</v>
          </cell>
          <cell r="D16" t="str">
            <v>EI32105113</v>
          </cell>
          <cell r="E16">
            <v>5113</v>
          </cell>
        </row>
        <row r="17">
          <cell r="A17" t="str">
            <v>Perfiladora Fagor Montantes</v>
          </cell>
          <cell r="B17" t="str">
            <v>Perfiladora Fagor Montantes</v>
          </cell>
          <cell r="C17" t="str">
            <v>Iberia</v>
          </cell>
          <cell r="D17" t="str">
            <v>EI32105102</v>
          </cell>
          <cell r="E17">
            <v>5102</v>
          </cell>
        </row>
        <row r="18">
          <cell r="A18" t="str">
            <v>Perfiladora Gasparini</v>
          </cell>
          <cell r="B18" t="str">
            <v>Perfiladora de Colunas Gasparini</v>
          </cell>
          <cell r="C18" t="str">
            <v>Filippo</v>
          </cell>
          <cell r="D18" t="str">
            <v>EI32105101</v>
          </cell>
          <cell r="E18">
            <v>5101</v>
          </cell>
        </row>
        <row r="19">
          <cell r="A19" t="str">
            <v>Perfiladora Zikeli</v>
          </cell>
          <cell r="B19" t="str">
            <v>Perfiladora Zikeli</v>
          </cell>
          <cell r="C19" t="str">
            <v>María</v>
          </cell>
          <cell r="D19" t="str">
            <v>EI32105111</v>
          </cell>
          <cell r="E19">
            <v>5111</v>
          </cell>
        </row>
        <row r="20">
          <cell r="A20" t="str">
            <v>Prensa Gijón</v>
          </cell>
          <cell r="B20" t="str">
            <v>Prensa Gijón</v>
          </cell>
          <cell r="D20" t="str">
            <v>EI32105321</v>
          </cell>
          <cell r="E20">
            <v>5321</v>
          </cell>
        </row>
        <row r="21">
          <cell r="A21" t="str">
            <v>Prensa Jundiaí</v>
          </cell>
          <cell r="B21" t="str">
            <v>Prensa Jundiaí</v>
          </cell>
          <cell r="D21" t="str">
            <v>EI32105301</v>
          </cell>
          <cell r="E21">
            <v>5301</v>
          </cell>
        </row>
        <row r="22">
          <cell r="A22" t="str">
            <v>Retífica Plana</v>
          </cell>
          <cell r="B22" t="str">
            <v>Ferramentaria (Máquinas diversas)</v>
          </cell>
          <cell r="D22" t="str">
            <v>EI34000000</v>
          </cell>
          <cell r="E22" t="str">
            <v>EI34000000</v>
          </cell>
        </row>
        <row r="23">
          <cell r="A23" t="str">
            <v>Robô de Solda Automática</v>
          </cell>
          <cell r="B23" t="str">
            <v>Células de Solda Robotizadas / Longarinas</v>
          </cell>
          <cell r="C23" t="str">
            <v>Brasil</v>
          </cell>
          <cell r="D23" t="str">
            <v>EI32305724</v>
          </cell>
          <cell r="E23">
            <v>5724</v>
          </cell>
        </row>
        <row r="24">
          <cell r="A24" t="str">
            <v>Robô de Solda Automática</v>
          </cell>
          <cell r="B24" t="str">
            <v>Células de Solda Robotizadas / Longarinas</v>
          </cell>
          <cell r="C24" t="str">
            <v>España</v>
          </cell>
          <cell r="D24" t="str">
            <v>EI32305724</v>
          </cell>
          <cell r="E24">
            <v>5724</v>
          </cell>
        </row>
        <row r="25">
          <cell r="A25" t="str">
            <v>Robô de Solda Manual</v>
          </cell>
          <cell r="B25" t="str">
            <v>Célula de Solda Robotizada / Bases</v>
          </cell>
          <cell r="C25" t="str">
            <v>Pelé</v>
          </cell>
          <cell r="D25" t="str">
            <v>EI32305723</v>
          </cell>
          <cell r="E25">
            <v>5723</v>
          </cell>
        </row>
        <row r="26">
          <cell r="A26" t="str">
            <v>Robô de Solda Manual</v>
          </cell>
          <cell r="B26" t="str">
            <v>Célula de Solda Robotizada / Longarinas</v>
          </cell>
          <cell r="C26" t="str">
            <v>Pim-Pam-Pum</v>
          </cell>
          <cell r="D26" t="str">
            <v>EI32305721</v>
          </cell>
          <cell r="E26">
            <v>5721</v>
          </cell>
        </row>
        <row r="27">
          <cell r="A27" t="str">
            <v>Robô de Solda Manual</v>
          </cell>
          <cell r="B27" t="str">
            <v>Célula de Solda Robotizada / Longarinas</v>
          </cell>
          <cell r="C27" t="str">
            <v>Samba</v>
          </cell>
          <cell r="D27" t="str">
            <v>EI32305722</v>
          </cell>
          <cell r="E27">
            <v>5722</v>
          </cell>
        </row>
        <row r="28">
          <cell r="A28" t="str">
            <v>Sala dos Compressores</v>
          </cell>
          <cell r="B28" t="str">
            <v>Prédio Fábrica</v>
          </cell>
          <cell r="D28" t="str">
            <v>EI30500000</v>
          </cell>
        </row>
        <row r="29">
          <cell r="A29" t="str">
            <v>Serra de Fita</v>
          </cell>
          <cell r="B29" t="str">
            <v>Serra de Fita</v>
          </cell>
          <cell r="D29" t="str">
            <v>EI32105501</v>
          </cell>
          <cell r="E29">
            <v>5501</v>
          </cell>
        </row>
        <row r="30">
          <cell r="A30" t="str">
            <v>Serra Elétrica Circular</v>
          </cell>
          <cell r="B30" t="str">
            <v>Serras Brasil</v>
          </cell>
          <cell r="D30" t="str">
            <v>EI32105500</v>
          </cell>
          <cell r="E30">
            <v>5500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órico de Manutenção"/>
      <sheetName val="Coleta de Dados"/>
      <sheetName val="Abril a Agosto"/>
      <sheetName val="Gráficos Abril a Agosto"/>
      <sheetName val="Setembro"/>
      <sheetName val="Gráficos (Setembro)"/>
      <sheetName val="Outubro"/>
      <sheetName val="Gráficos (Outubro)"/>
      <sheetName val="Total"/>
      <sheetName val="Gráficos (Total)"/>
      <sheetName val="Divulgação"/>
      <sheetName val="Consulta"/>
      <sheetName val="Consulta e Referência"/>
      <sheetName val="Filtragem"/>
      <sheetName val="Máquinas Mês a Mês"/>
      <sheetName val="Causas Raiz Mês a Mês"/>
      <sheetName val="gráfico"/>
    </sheetNames>
    <sheetDataSet>
      <sheetData sheetId="0"/>
      <sheetData sheetId="1">
        <row r="5">
          <cell r="AD5">
            <v>37712</v>
          </cell>
        </row>
        <row r="6">
          <cell r="AD6" t="str">
            <v>S/N</v>
          </cell>
        </row>
        <row r="7">
          <cell r="C7">
            <v>37712</v>
          </cell>
          <cell r="D7">
            <v>37718</v>
          </cell>
          <cell r="E7">
            <v>37718</v>
          </cell>
          <cell r="F7">
            <v>0.40625</v>
          </cell>
          <cell r="G7" t="str">
            <v>Guilhotina Sorg</v>
          </cell>
          <cell r="H7" t="str">
            <v>Falha no comando</v>
          </cell>
          <cell r="I7" t="str">
            <v>Corretiva</v>
          </cell>
          <cell r="J7" t="str">
            <v>Não</v>
          </cell>
          <cell r="K7" t="str">
            <v>Elétrica</v>
          </cell>
          <cell r="L7" t="str">
            <v>Ajuste / Regulagem</v>
          </cell>
          <cell r="M7" t="str">
            <v>Falha de Regulagem / Configuração / Dimensionamento</v>
          </cell>
          <cell r="N7">
            <v>37722</v>
          </cell>
          <cell r="O7">
            <v>0.41666666666666669</v>
          </cell>
          <cell r="P7">
            <v>37722</v>
          </cell>
          <cell r="Q7">
            <v>0.41666666666666669</v>
          </cell>
          <cell r="T7">
            <v>37722</v>
          </cell>
          <cell r="U7">
            <v>0.5</v>
          </cell>
          <cell r="V7">
            <v>37722</v>
          </cell>
          <cell r="W7">
            <v>0.5</v>
          </cell>
          <cell r="X7">
            <v>8.3333333333333315E-2</v>
          </cell>
          <cell r="Y7">
            <v>8.3333333333333315E-2</v>
          </cell>
          <cell r="AB7">
            <v>4</v>
          </cell>
          <cell r="AC7">
            <v>4</v>
          </cell>
          <cell r="AD7" t="str">
            <v>N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4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</row>
        <row r="8">
          <cell r="C8">
            <v>37712</v>
          </cell>
          <cell r="D8">
            <v>37725</v>
          </cell>
          <cell r="E8">
            <v>37725</v>
          </cell>
          <cell r="F8">
            <v>0.47222222222222227</v>
          </cell>
          <cell r="G8" t="str">
            <v>Prensa Jundiaí</v>
          </cell>
          <cell r="H8" t="str">
            <v>Martelo travado</v>
          </cell>
          <cell r="I8" t="str">
            <v>Corretiva</v>
          </cell>
          <cell r="J8" t="str">
            <v>Sim</v>
          </cell>
          <cell r="K8" t="str">
            <v>Elétrica</v>
          </cell>
          <cell r="L8" t="str">
            <v>Destravamento dos Componentes</v>
          </cell>
          <cell r="M8" t="str">
            <v>Travamento de Componente</v>
          </cell>
          <cell r="N8">
            <v>37725</v>
          </cell>
          <cell r="O8">
            <v>0.47569444444444442</v>
          </cell>
          <cell r="P8">
            <v>37725</v>
          </cell>
          <cell r="Q8">
            <v>0.47569444444444442</v>
          </cell>
          <cell r="T8">
            <v>37725</v>
          </cell>
          <cell r="U8">
            <v>0.4861111111111111</v>
          </cell>
          <cell r="V8">
            <v>37725</v>
          </cell>
          <cell r="W8">
            <v>0.4861111111111111</v>
          </cell>
          <cell r="X8">
            <v>1.0416666666666685E-2</v>
          </cell>
          <cell r="Y8">
            <v>1.0416666665049812E-2</v>
          </cell>
          <cell r="AB8">
            <v>4</v>
          </cell>
          <cell r="AC8">
            <v>4</v>
          </cell>
          <cell r="AD8" t="str">
            <v>S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4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</row>
        <row r="9">
          <cell r="C9">
            <v>37712</v>
          </cell>
          <cell r="D9">
            <v>37728</v>
          </cell>
          <cell r="E9">
            <v>37727</v>
          </cell>
          <cell r="F9">
            <v>0.66666666666666663</v>
          </cell>
          <cell r="G9" t="str">
            <v>Guilhotina Sorg</v>
          </cell>
          <cell r="H9" t="str">
            <v>Suporte para chapas está solto;  fazer um stop p/ peças longas; mudar a localização da régua de esquadro</v>
          </cell>
          <cell r="I9" t="str">
            <v>Corretiva</v>
          </cell>
          <cell r="J9" t="str">
            <v>Não</v>
          </cell>
          <cell r="K9" t="str">
            <v>Mecânica</v>
          </cell>
          <cell r="L9" t="str">
            <v>Melhoria no Sistema de Fixação</v>
          </cell>
          <cell r="M9" t="str">
            <v>Melhoria Técnica</v>
          </cell>
          <cell r="N9">
            <v>37728</v>
          </cell>
          <cell r="O9">
            <v>0.53125</v>
          </cell>
          <cell r="P9">
            <v>37728</v>
          </cell>
          <cell r="Q9">
            <v>0.57291666666666663</v>
          </cell>
          <cell r="R9">
            <v>37729</v>
          </cell>
          <cell r="S9">
            <v>0.33333333333333331</v>
          </cell>
          <cell r="T9">
            <v>37729</v>
          </cell>
          <cell r="U9">
            <v>0.41666666666666669</v>
          </cell>
          <cell r="V9">
            <v>0</v>
          </cell>
          <cell r="W9">
            <v>0.125</v>
          </cell>
          <cell r="X9">
            <v>0.125</v>
          </cell>
          <cell r="Y9">
            <v>0.125</v>
          </cell>
          <cell r="AB9">
            <v>4</v>
          </cell>
          <cell r="AC9">
            <v>4</v>
          </cell>
          <cell r="AD9" t="str">
            <v>N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4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</row>
        <row r="10">
          <cell r="C10">
            <v>37712</v>
          </cell>
          <cell r="D10">
            <v>37736</v>
          </cell>
          <cell r="E10">
            <v>37735</v>
          </cell>
          <cell r="F10">
            <v>0.75</v>
          </cell>
          <cell r="G10" t="str">
            <v>Guilhotina Sorg</v>
          </cell>
          <cell r="H10" t="str">
            <v>Defeito no Sistema Hidráulico</v>
          </cell>
          <cell r="I10" t="str">
            <v>Corretiva</v>
          </cell>
          <cell r="J10" t="str">
            <v>Sim</v>
          </cell>
          <cell r="K10" t="str">
            <v>Mecânica</v>
          </cell>
          <cell r="L10" t="str">
            <v>Regulagem no Sistema Hidráulico e Elétrico</v>
          </cell>
          <cell r="M10" t="str">
            <v>Falha de Regulagem / Configuração / Dimensionamento</v>
          </cell>
          <cell r="N10">
            <v>37735</v>
          </cell>
          <cell r="O10">
            <v>0.8125</v>
          </cell>
          <cell r="P10">
            <v>37735</v>
          </cell>
          <cell r="Q10">
            <v>0.83333333333333337</v>
          </cell>
          <cell r="R10">
            <v>37736</v>
          </cell>
          <cell r="S10">
            <v>0.33333333333333331</v>
          </cell>
          <cell r="T10">
            <v>37736</v>
          </cell>
          <cell r="U10">
            <v>0.41666666666666669</v>
          </cell>
          <cell r="V10">
            <v>6.25E-2</v>
          </cell>
          <cell r="W10">
            <v>0.16666666666666674</v>
          </cell>
          <cell r="X10">
            <v>0.10416666666666674</v>
          </cell>
          <cell r="Y10">
            <v>0.10416666666666674</v>
          </cell>
          <cell r="AB10">
            <v>4</v>
          </cell>
          <cell r="AC10">
            <v>4</v>
          </cell>
          <cell r="AD10" t="str">
            <v>S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4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</row>
        <row r="11">
          <cell r="C11">
            <v>37712</v>
          </cell>
          <cell r="D11">
            <v>37763</v>
          </cell>
          <cell r="E11">
            <v>37761</v>
          </cell>
          <cell r="F11">
            <v>0.61805555555555558</v>
          </cell>
          <cell r="G11" t="str">
            <v>Dobradeira Sorg</v>
          </cell>
          <cell r="H11" t="str">
            <v>Capa de Proteção do Motor está solta</v>
          </cell>
          <cell r="I11" t="str">
            <v>Corretiva</v>
          </cell>
          <cell r="J11" t="str">
            <v>Não</v>
          </cell>
          <cell r="K11" t="str">
            <v>Mecânica</v>
          </cell>
          <cell r="L11" t="str">
            <v>Reparo</v>
          </cell>
          <cell r="M11" t="str">
            <v>Vibração</v>
          </cell>
          <cell r="N11">
            <v>37762</v>
          </cell>
          <cell r="O11">
            <v>0.375</v>
          </cell>
          <cell r="P11">
            <v>37762</v>
          </cell>
          <cell r="Q11">
            <v>0.375</v>
          </cell>
          <cell r="T11">
            <v>37762</v>
          </cell>
          <cell r="U11">
            <v>0.4375</v>
          </cell>
          <cell r="V11">
            <v>37762</v>
          </cell>
          <cell r="W11">
            <v>0.4375</v>
          </cell>
          <cell r="X11">
            <v>6.25E-2</v>
          </cell>
          <cell r="Y11">
            <v>6.25E-2</v>
          </cell>
          <cell r="AB11">
            <v>5</v>
          </cell>
          <cell r="AC11">
            <v>4</v>
          </cell>
          <cell r="AD11">
            <v>0</v>
          </cell>
          <cell r="BF11">
            <v>0</v>
          </cell>
          <cell r="BG11">
            <v>0</v>
          </cell>
          <cell r="BH11">
            <v>5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</row>
        <row r="12">
          <cell r="C12">
            <v>37712</v>
          </cell>
          <cell r="I12">
            <v>0</v>
          </cell>
          <cell r="N12">
            <v>0</v>
          </cell>
          <cell r="P12">
            <v>0</v>
          </cell>
          <cell r="T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AB12">
            <v>0</v>
          </cell>
          <cell r="AC12">
            <v>4</v>
          </cell>
          <cell r="AD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</row>
        <row r="13">
          <cell r="C13">
            <v>37712</v>
          </cell>
          <cell r="D13">
            <v>37819</v>
          </cell>
          <cell r="E13">
            <v>37772</v>
          </cell>
          <cell r="F13">
            <v>0.58333333333333337</v>
          </cell>
          <cell r="G13" t="str">
            <v>Prensa Jundiaí</v>
          </cell>
          <cell r="H13" t="str">
            <v>Capa do fio do painel bimanual escapou</v>
          </cell>
          <cell r="I13" t="str">
            <v>Corretiva</v>
          </cell>
          <cell r="J13" t="str">
            <v>Não</v>
          </cell>
          <cell r="K13" t="str">
            <v>Elétrica</v>
          </cell>
          <cell r="L13" t="str">
            <v>Reparo</v>
          </cell>
          <cell r="M13" t="str">
            <v>Causa não especificada</v>
          </cell>
          <cell r="N13">
            <v>37774</v>
          </cell>
          <cell r="O13">
            <v>0.375</v>
          </cell>
          <cell r="P13">
            <v>37774</v>
          </cell>
          <cell r="Q13">
            <v>0.375</v>
          </cell>
          <cell r="T13">
            <v>37774</v>
          </cell>
          <cell r="U13">
            <v>0.39930555555555558</v>
          </cell>
          <cell r="V13">
            <v>37774</v>
          </cell>
          <cell r="W13">
            <v>0.39930555555555558</v>
          </cell>
          <cell r="X13">
            <v>2.4305555554747116E-2</v>
          </cell>
          <cell r="Y13">
            <v>2.4305555554747116E-2</v>
          </cell>
          <cell r="AB13">
            <v>6</v>
          </cell>
          <cell r="AC13">
            <v>4</v>
          </cell>
          <cell r="AD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6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</row>
        <row r="14">
          <cell r="C14">
            <v>37712</v>
          </cell>
          <cell r="D14">
            <v>37785</v>
          </cell>
          <cell r="E14">
            <v>37770</v>
          </cell>
          <cell r="F14">
            <v>0.72916666666666663</v>
          </cell>
          <cell r="G14" t="str">
            <v>Dobradeira Sorg</v>
          </cell>
          <cell r="H14" t="str">
            <v>Travamento dos movimentos</v>
          </cell>
          <cell r="I14" t="str">
            <v>Corretiva</v>
          </cell>
          <cell r="J14" t="str">
            <v>Sim</v>
          </cell>
          <cell r="K14" t="str">
            <v>Elétrica</v>
          </cell>
          <cell r="L14" t="str">
            <v>Substituição do(s) Componente(s)</v>
          </cell>
          <cell r="M14" t="str">
            <v>Desgaste / Fadiga</v>
          </cell>
          <cell r="N14">
            <v>37770</v>
          </cell>
          <cell r="O14">
            <v>0.72916666666666663</v>
          </cell>
          <cell r="P14">
            <v>37770</v>
          </cell>
          <cell r="Q14">
            <v>0.72916666666666663</v>
          </cell>
          <cell r="T14">
            <v>37771</v>
          </cell>
          <cell r="U14">
            <v>0.4375</v>
          </cell>
          <cell r="V14">
            <v>37771</v>
          </cell>
          <cell r="W14">
            <v>0.4375</v>
          </cell>
          <cell r="X14">
            <v>0.125</v>
          </cell>
          <cell r="Y14">
            <v>0.125</v>
          </cell>
          <cell r="AB14">
            <v>5</v>
          </cell>
          <cell r="AC14">
            <v>4</v>
          </cell>
          <cell r="AD14">
            <v>0</v>
          </cell>
          <cell r="BF14">
            <v>0</v>
          </cell>
          <cell r="BG14">
            <v>0</v>
          </cell>
          <cell r="BH14">
            <v>5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</row>
        <row r="15">
          <cell r="C15">
            <v>37712</v>
          </cell>
          <cell r="D15">
            <v>37803</v>
          </cell>
          <cell r="E15">
            <v>37777</v>
          </cell>
          <cell r="F15">
            <v>0.74305555555555547</v>
          </cell>
          <cell r="G15" t="str">
            <v>Guilhotina Sorg</v>
          </cell>
          <cell r="H15" t="str">
            <v>Máquina não referencia</v>
          </cell>
          <cell r="I15" t="str">
            <v>Corretiva</v>
          </cell>
          <cell r="J15" t="str">
            <v>Sim</v>
          </cell>
          <cell r="K15" t="str">
            <v>Elétrica</v>
          </cell>
          <cell r="L15" t="str">
            <v>Regulagem e Referência da Máquina</v>
          </cell>
          <cell r="M15" t="str">
            <v>Falha de Comando / Sistema</v>
          </cell>
          <cell r="N15">
            <v>37777</v>
          </cell>
          <cell r="O15">
            <v>0.74305555555555547</v>
          </cell>
          <cell r="P15">
            <v>37777</v>
          </cell>
          <cell r="Q15">
            <v>0.72916666666666663</v>
          </cell>
          <cell r="T15">
            <v>37777</v>
          </cell>
          <cell r="U15">
            <v>0.8125</v>
          </cell>
          <cell r="V15">
            <v>37777</v>
          </cell>
          <cell r="W15">
            <v>0.8125</v>
          </cell>
          <cell r="X15">
            <v>8.333333333333337E-2</v>
          </cell>
          <cell r="Y15">
            <v>8.333333333333337E-2</v>
          </cell>
          <cell r="AB15">
            <v>6</v>
          </cell>
          <cell r="AC15">
            <v>4</v>
          </cell>
          <cell r="AD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6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</row>
        <row r="16">
          <cell r="C16">
            <v>37712</v>
          </cell>
          <cell r="D16">
            <v>37803</v>
          </cell>
          <cell r="E16">
            <v>37798</v>
          </cell>
          <cell r="F16">
            <v>0.5</v>
          </cell>
          <cell r="G16" t="str">
            <v>Guilhotina Sorg</v>
          </cell>
          <cell r="H16" t="str">
            <v>Vazamento no fluido Hidráulico</v>
          </cell>
          <cell r="I16" t="str">
            <v>Corretiva</v>
          </cell>
          <cell r="J16" t="str">
            <v>Sim</v>
          </cell>
          <cell r="K16" t="str">
            <v>Mecânica</v>
          </cell>
          <cell r="L16" t="str">
            <v>Retirado vazamento de óleo mediante reaperto</v>
          </cell>
          <cell r="M16" t="str">
            <v>Falha de Regulagem / Configuração / Dimensionamento</v>
          </cell>
          <cell r="N16">
            <v>37798</v>
          </cell>
          <cell r="O16">
            <v>0.5</v>
          </cell>
          <cell r="P16">
            <v>37798</v>
          </cell>
          <cell r="Q16">
            <v>0.5</v>
          </cell>
          <cell r="T16">
            <v>37798</v>
          </cell>
          <cell r="U16">
            <v>0.51388888888888895</v>
          </cell>
          <cell r="V16">
            <v>37798</v>
          </cell>
          <cell r="W16">
            <v>0.51388888888888895</v>
          </cell>
          <cell r="X16">
            <v>1.3888888888888951E-2</v>
          </cell>
          <cell r="Y16">
            <v>1.3888888890505768E-2</v>
          </cell>
          <cell r="AB16">
            <v>6</v>
          </cell>
          <cell r="AC16">
            <v>4</v>
          </cell>
          <cell r="AD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6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</row>
        <row r="17">
          <cell r="C17">
            <v>37712</v>
          </cell>
          <cell r="D17">
            <v>37721</v>
          </cell>
          <cell r="E17">
            <v>37721</v>
          </cell>
          <cell r="F17">
            <v>0.42499999999999999</v>
          </cell>
          <cell r="G17" t="str">
            <v>Perfiladora Dimeco Travesaños</v>
          </cell>
          <cell r="H17" t="str">
            <v>Alimentador com Defeito</v>
          </cell>
          <cell r="I17" t="str">
            <v>Corretiva</v>
          </cell>
          <cell r="J17" t="str">
            <v>Sim</v>
          </cell>
          <cell r="K17" t="str">
            <v>Mecânica</v>
          </cell>
          <cell r="L17" t="str">
            <v>Regulagem do eixo do alimentador</v>
          </cell>
          <cell r="M17" t="str">
            <v>Desgaste / Fadiga</v>
          </cell>
          <cell r="N17">
            <v>37721</v>
          </cell>
          <cell r="O17">
            <v>0.42499999999999999</v>
          </cell>
          <cell r="P17">
            <v>37721</v>
          </cell>
          <cell r="Q17">
            <v>0.42499999999999999</v>
          </cell>
          <cell r="T17">
            <v>37721</v>
          </cell>
          <cell r="U17">
            <v>0.43402777777777773</v>
          </cell>
          <cell r="V17">
            <v>37721</v>
          </cell>
          <cell r="W17">
            <v>0.43402777777777773</v>
          </cell>
          <cell r="X17">
            <v>9.0277777777777457E-3</v>
          </cell>
          <cell r="Y17">
            <v>9.0277777810115478E-3</v>
          </cell>
          <cell r="AB17">
            <v>4</v>
          </cell>
          <cell r="AC17">
            <v>4</v>
          </cell>
          <cell r="AD17" t="str">
            <v>S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4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</row>
        <row r="18">
          <cell r="C18">
            <v>37712</v>
          </cell>
          <cell r="D18">
            <v>37727</v>
          </cell>
          <cell r="E18">
            <v>37726</v>
          </cell>
          <cell r="F18">
            <v>0.41666666666666669</v>
          </cell>
          <cell r="G18" t="str">
            <v>Perfiladora Dimeco Travesaños</v>
          </cell>
          <cell r="H18" t="str">
            <v>Pistão do Encoder torto</v>
          </cell>
          <cell r="I18" t="str">
            <v>Corretiva</v>
          </cell>
          <cell r="J18" t="str">
            <v>Não</v>
          </cell>
          <cell r="K18" t="str">
            <v>Mecânica</v>
          </cell>
          <cell r="L18" t="str">
            <v>Substituição do(s) Componente(s)</v>
          </cell>
          <cell r="M18" t="str">
            <v>Falha Operacional</v>
          </cell>
          <cell r="N18">
            <v>37762</v>
          </cell>
          <cell r="O18">
            <v>0.60416666666666663</v>
          </cell>
          <cell r="P18">
            <v>37762</v>
          </cell>
          <cell r="Q18">
            <v>0.60416666666666663</v>
          </cell>
          <cell r="T18">
            <v>37762</v>
          </cell>
          <cell r="U18">
            <v>0.6875</v>
          </cell>
          <cell r="V18">
            <v>37762</v>
          </cell>
          <cell r="W18">
            <v>0.6875</v>
          </cell>
          <cell r="X18">
            <v>8.333333333333337E-2</v>
          </cell>
          <cell r="Y18">
            <v>8.333333333333337E-2</v>
          </cell>
          <cell r="AB18">
            <v>5</v>
          </cell>
          <cell r="AC18">
            <v>4</v>
          </cell>
          <cell r="AD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5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</row>
        <row r="19">
          <cell r="C19">
            <v>37712</v>
          </cell>
          <cell r="D19">
            <v>37733</v>
          </cell>
          <cell r="E19">
            <v>37733</v>
          </cell>
          <cell r="F19">
            <v>0.34375</v>
          </cell>
          <cell r="G19" t="str">
            <v>Perfiladora Dimeco Travesaños</v>
          </cell>
          <cell r="H19" t="str">
            <v>Pino Guia Quebrado</v>
          </cell>
          <cell r="I19" t="str">
            <v>Corretiva</v>
          </cell>
          <cell r="J19" t="str">
            <v>Sim</v>
          </cell>
          <cell r="K19" t="str">
            <v>Mecânica</v>
          </cell>
          <cell r="L19" t="str">
            <v>O pino danificado foi substituído por um novo, confeccionado internamente (Ferramentaria)</v>
          </cell>
          <cell r="M19" t="str">
            <v>Defeito de Fabricação</v>
          </cell>
          <cell r="N19">
            <v>37733</v>
          </cell>
          <cell r="O19">
            <v>0.34375</v>
          </cell>
          <cell r="P19">
            <v>37733</v>
          </cell>
          <cell r="Q19">
            <v>0.34375</v>
          </cell>
          <cell r="T19">
            <v>37733</v>
          </cell>
          <cell r="U19">
            <v>0.375</v>
          </cell>
          <cell r="V19">
            <v>37733</v>
          </cell>
          <cell r="W19">
            <v>0.375</v>
          </cell>
          <cell r="X19">
            <v>3.125E-2</v>
          </cell>
          <cell r="Y19">
            <v>3.125E-2</v>
          </cell>
          <cell r="AB19">
            <v>4</v>
          </cell>
          <cell r="AC19">
            <v>4</v>
          </cell>
          <cell r="AD19" t="str">
            <v>S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4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</row>
        <row r="20">
          <cell r="C20">
            <v>37712</v>
          </cell>
          <cell r="D20">
            <v>37810</v>
          </cell>
          <cell r="E20">
            <v>37756</v>
          </cell>
          <cell r="F20">
            <v>0.44097222222222227</v>
          </cell>
          <cell r="G20" t="str">
            <v>Perfiladora Dimeco Travesaños</v>
          </cell>
          <cell r="H20" t="str">
            <v>Máquina não liga</v>
          </cell>
          <cell r="I20" t="str">
            <v>Corretiva</v>
          </cell>
          <cell r="J20" t="str">
            <v>Sim</v>
          </cell>
          <cell r="K20" t="str">
            <v>Elétrica</v>
          </cell>
          <cell r="L20" t="str">
            <v>Substituição do(s) Componente(s)</v>
          </cell>
          <cell r="M20" t="str">
            <v>Causa não especificada</v>
          </cell>
          <cell r="N20">
            <v>37756</v>
          </cell>
          <cell r="O20">
            <v>0.44097222222222227</v>
          </cell>
          <cell r="P20">
            <v>37756</v>
          </cell>
          <cell r="Q20">
            <v>0.44097222222222227</v>
          </cell>
          <cell r="T20">
            <v>37757</v>
          </cell>
          <cell r="U20">
            <v>0.45833333333333331</v>
          </cell>
          <cell r="V20">
            <v>37757</v>
          </cell>
          <cell r="W20">
            <v>0.45833333333333331</v>
          </cell>
          <cell r="X20">
            <v>0.5590277777777779</v>
          </cell>
          <cell r="Y20">
            <v>0.55902777778020307</v>
          </cell>
          <cell r="AB20">
            <v>5</v>
          </cell>
          <cell r="AC20">
            <v>4</v>
          </cell>
          <cell r="AD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5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</row>
        <row r="21">
          <cell r="C21">
            <v>37712</v>
          </cell>
          <cell r="D21">
            <v>37763</v>
          </cell>
          <cell r="E21">
            <v>37756</v>
          </cell>
          <cell r="F21">
            <v>0.41666666666666669</v>
          </cell>
          <cell r="G21" t="str">
            <v>Perfiladora Dimeco Travesaños</v>
          </cell>
          <cell r="H21" t="str">
            <v>Trocar filtro de óleo hidráulico; Eliminar vazamento; Arrumar guia dos mordentes</v>
          </cell>
          <cell r="I21" t="str">
            <v>Corretiva</v>
          </cell>
          <cell r="J21" t="str">
            <v>Não</v>
          </cell>
          <cell r="K21" t="str">
            <v>Mecânica</v>
          </cell>
          <cell r="L21" t="str">
            <v>Trocado filtro hidráulico novo; retirado vazamento e arrumadas as guias dos mordentes</v>
          </cell>
          <cell r="M21" t="str">
            <v>Desgaste / Fadiga</v>
          </cell>
          <cell r="N21">
            <v>37756</v>
          </cell>
          <cell r="O21">
            <v>0.41666666666666669</v>
          </cell>
          <cell r="P21">
            <v>37756</v>
          </cell>
          <cell r="Q21">
            <v>0.41666666666666669</v>
          </cell>
          <cell r="T21">
            <v>37756</v>
          </cell>
          <cell r="U21">
            <v>0.75</v>
          </cell>
          <cell r="V21">
            <v>37756</v>
          </cell>
          <cell r="W21">
            <v>0.75</v>
          </cell>
          <cell r="X21">
            <v>0.33333333333333331</v>
          </cell>
          <cell r="Y21">
            <v>0.33333333333333331</v>
          </cell>
          <cell r="AB21">
            <v>5</v>
          </cell>
          <cell r="AC21">
            <v>4</v>
          </cell>
          <cell r="AD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5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</row>
        <row r="22">
          <cell r="C22">
            <v>37712</v>
          </cell>
          <cell r="D22">
            <v>37776</v>
          </cell>
          <cell r="E22">
            <v>37775</v>
          </cell>
          <cell r="F22">
            <v>0.83333333333333337</v>
          </cell>
          <cell r="G22" t="str">
            <v>Perfiladora Dimeco Travesaños</v>
          </cell>
          <cell r="H22" t="str">
            <v>Disco de Serra danificado</v>
          </cell>
          <cell r="I22" t="str">
            <v>Corretiva</v>
          </cell>
          <cell r="J22" t="str">
            <v>Sim</v>
          </cell>
          <cell r="K22" t="str">
            <v>Mecânica</v>
          </cell>
          <cell r="L22" t="str">
            <v>Substituição do(s) Componente(s)</v>
          </cell>
          <cell r="M22" t="str">
            <v>Desgaste / Fadiga</v>
          </cell>
          <cell r="N22">
            <v>37775</v>
          </cell>
          <cell r="O22">
            <v>0.83333333333333337</v>
          </cell>
          <cell r="P22">
            <v>37775</v>
          </cell>
          <cell r="Q22">
            <v>0.83333333333333337</v>
          </cell>
          <cell r="T22">
            <v>37775</v>
          </cell>
          <cell r="U22">
            <v>0.91666666666666663</v>
          </cell>
          <cell r="V22">
            <v>37775</v>
          </cell>
          <cell r="W22">
            <v>0.91666666666666663</v>
          </cell>
          <cell r="X22">
            <v>8.3333333333333259E-2</v>
          </cell>
          <cell r="Y22">
            <v>8.3333333330907977E-2</v>
          </cell>
          <cell r="AB22">
            <v>6</v>
          </cell>
          <cell r="AC22">
            <v>4</v>
          </cell>
          <cell r="AD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6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</row>
        <row r="23">
          <cell r="C23">
            <v>37712</v>
          </cell>
          <cell r="D23">
            <v>37783</v>
          </cell>
          <cell r="E23">
            <v>37777</v>
          </cell>
          <cell r="F23">
            <v>0.45624999999999999</v>
          </cell>
          <cell r="G23" t="str">
            <v>Perfiladora Dimeco Travesaños</v>
          </cell>
          <cell r="H23" t="str">
            <v>Disco de serra causa excesso de rebarbas no material</v>
          </cell>
          <cell r="I23" t="str">
            <v>Corretiva</v>
          </cell>
          <cell r="J23" t="str">
            <v>Sim</v>
          </cell>
          <cell r="K23" t="str">
            <v>Mecânica</v>
          </cell>
          <cell r="L23" t="str">
            <v>Substituição do(s) Componente(s)</v>
          </cell>
          <cell r="M23" t="str">
            <v>Desgaste / Fadiga</v>
          </cell>
          <cell r="N23">
            <v>37777</v>
          </cell>
          <cell r="O23">
            <v>0.45624999999999999</v>
          </cell>
          <cell r="P23">
            <v>37777</v>
          </cell>
          <cell r="Q23">
            <v>0.45624999999999999</v>
          </cell>
          <cell r="T23">
            <v>37777</v>
          </cell>
          <cell r="U23">
            <v>0.47083333333333338</v>
          </cell>
          <cell r="V23">
            <v>37777</v>
          </cell>
          <cell r="W23">
            <v>0.47083333333333338</v>
          </cell>
          <cell r="X23">
            <v>1.4583333333333393E-2</v>
          </cell>
          <cell r="Y23">
            <v>1.4583333332848281E-2</v>
          </cell>
          <cell r="AB23">
            <v>6</v>
          </cell>
          <cell r="AC23">
            <v>4</v>
          </cell>
          <cell r="AD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6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</row>
        <row r="24">
          <cell r="C24">
            <v>37712</v>
          </cell>
          <cell r="D24">
            <v>37810</v>
          </cell>
          <cell r="E24">
            <v>37778</v>
          </cell>
          <cell r="F24">
            <v>0.39583333333333331</v>
          </cell>
          <cell r="G24" t="str">
            <v>Perfiladora Dimeco Travesaños</v>
          </cell>
          <cell r="H24" t="str">
            <v>Mordente da serra está travando</v>
          </cell>
          <cell r="I24" t="str">
            <v>Corretiva</v>
          </cell>
          <cell r="J24" t="str">
            <v>Sim</v>
          </cell>
          <cell r="K24" t="str">
            <v>Elétrica</v>
          </cell>
          <cell r="L24" t="str">
            <v>Substituição do(s) Componente(s)</v>
          </cell>
          <cell r="M24" t="str">
            <v>Desgaste / Fadiga</v>
          </cell>
          <cell r="N24">
            <v>37778</v>
          </cell>
          <cell r="O24">
            <v>0.39583333333333331</v>
          </cell>
          <cell r="P24">
            <v>37778</v>
          </cell>
          <cell r="Q24">
            <v>0.39583333333333331</v>
          </cell>
          <cell r="T24">
            <v>37779</v>
          </cell>
          <cell r="U24">
            <v>0.52777777777777779</v>
          </cell>
          <cell r="V24">
            <v>37779</v>
          </cell>
          <cell r="W24">
            <v>0.52777777777777779</v>
          </cell>
          <cell r="X24">
            <v>1.1319444444444444</v>
          </cell>
          <cell r="Y24">
            <v>1.1319444444476783</v>
          </cell>
          <cell r="AB24">
            <v>6</v>
          </cell>
          <cell r="AC24">
            <v>4</v>
          </cell>
          <cell r="AD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6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</row>
        <row r="25">
          <cell r="C25">
            <v>37712</v>
          </cell>
          <cell r="D25">
            <v>37810</v>
          </cell>
          <cell r="E25">
            <v>37778</v>
          </cell>
          <cell r="F25">
            <v>0.39583333333333331</v>
          </cell>
          <cell r="G25" t="str">
            <v>Perfiladora Dimeco Travesaños</v>
          </cell>
          <cell r="H25" t="str">
            <v>Serrote da mordaça com problema</v>
          </cell>
          <cell r="I25" t="str">
            <v>Corretiva</v>
          </cell>
          <cell r="J25" t="str">
            <v>Sim</v>
          </cell>
          <cell r="K25" t="str">
            <v>Mecânica</v>
          </cell>
          <cell r="L25" t="str">
            <v>Regulagem no sistema Hidráulico e Elétrico</v>
          </cell>
          <cell r="M25" t="str">
            <v>Desgaste / Fadiga</v>
          </cell>
          <cell r="N25">
            <v>37778</v>
          </cell>
          <cell r="O25">
            <v>0.39583333333333331</v>
          </cell>
          <cell r="P25">
            <v>37778</v>
          </cell>
          <cell r="Q25">
            <v>0.39583333333333331</v>
          </cell>
          <cell r="T25">
            <v>37778</v>
          </cell>
          <cell r="U25">
            <v>0.47916666666666669</v>
          </cell>
          <cell r="V25">
            <v>37778</v>
          </cell>
          <cell r="W25">
            <v>0.47916666666666669</v>
          </cell>
          <cell r="X25">
            <v>8.333333333333337E-2</v>
          </cell>
          <cell r="Y25">
            <v>8.3333333330908033E-2</v>
          </cell>
          <cell r="AB25">
            <v>6</v>
          </cell>
          <cell r="AC25">
            <v>4</v>
          </cell>
          <cell r="AD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6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</row>
        <row r="26">
          <cell r="C26">
            <v>37712</v>
          </cell>
          <cell r="D26">
            <v>37721</v>
          </cell>
          <cell r="E26">
            <v>37720</v>
          </cell>
          <cell r="F26">
            <v>0.47916666666666669</v>
          </cell>
          <cell r="G26" t="str">
            <v>Perfiladora Dimeco Travesaños</v>
          </cell>
          <cell r="H26" t="str">
            <v>Problema no sistema hidráulico da Prensa Gijón</v>
          </cell>
          <cell r="I26" t="str">
            <v>Corretiva</v>
          </cell>
          <cell r="J26" t="str">
            <v>Sim</v>
          </cell>
          <cell r="K26" t="str">
            <v>Mecânica</v>
          </cell>
          <cell r="L26" t="str">
            <v>Regulagem do Sistema Hidráulico e ajustes na Máquina</v>
          </cell>
          <cell r="M26" t="str">
            <v>Desgaste / Fadiga</v>
          </cell>
          <cell r="N26">
            <v>37720</v>
          </cell>
          <cell r="O26">
            <v>0.47916666666666669</v>
          </cell>
          <cell r="P26">
            <v>37720</v>
          </cell>
          <cell r="Q26">
            <v>0.47916666666666669</v>
          </cell>
          <cell r="T26">
            <v>37720</v>
          </cell>
          <cell r="U26">
            <v>0.5</v>
          </cell>
          <cell r="V26">
            <v>37720</v>
          </cell>
          <cell r="W26">
            <v>0.5</v>
          </cell>
          <cell r="X26">
            <v>2.0833333333333315E-2</v>
          </cell>
          <cell r="Y26">
            <v>2.0833333333333315E-2</v>
          </cell>
          <cell r="AB26">
            <v>4</v>
          </cell>
          <cell r="AC26">
            <v>4</v>
          </cell>
          <cell r="AD26" t="str">
            <v>S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4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</row>
        <row r="27">
          <cell r="C27">
            <v>37718</v>
          </cell>
          <cell r="D27">
            <v>37858</v>
          </cell>
          <cell r="E27">
            <v>37806</v>
          </cell>
          <cell r="F27">
            <v>0.63888888888888895</v>
          </cell>
          <cell r="G27" t="str">
            <v>Células de Solda Manual</v>
          </cell>
          <cell r="H27" t="str">
            <v>A fresa de limpeza da tocha não está jogando óleo (anti-respingos)</v>
          </cell>
          <cell r="I27" t="str">
            <v>Corretiva</v>
          </cell>
          <cell r="J27" t="str">
            <v>Não</v>
          </cell>
          <cell r="K27" t="str">
            <v>Mecânica</v>
          </cell>
          <cell r="L27" t="str">
            <v>Limpeza do Equipamento / Componente</v>
          </cell>
          <cell r="M27" t="str">
            <v>Sujeira em excesso</v>
          </cell>
          <cell r="N27">
            <v>37844</v>
          </cell>
          <cell r="O27">
            <v>0.33333333333333331</v>
          </cell>
          <cell r="P27">
            <v>37844</v>
          </cell>
          <cell r="Q27">
            <v>0.33333333333333331</v>
          </cell>
          <cell r="T27">
            <v>37844</v>
          </cell>
          <cell r="U27">
            <v>0.375</v>
          </cell>
          <cell r="V27">
            <v>37844</v>
          </cell>
          <cell r="W27">
            <v>0.375</v>
          </cell>
          <cell r="X27">
            <v>4.1666666666666685E-2</v>
          </cell>
          <cell r="Y27">
            <v>4.1666666666666685E-2</v>
          </cell>
          <cell r="AB27">
            <v>8</v>
          </cell>
          <cell r="AC27">
            <v>4</v>
          </cell>
          <cell r="AD27">
            <v>0</v>
          </cell>
          <cell r="BF27">
            <v>0</v>
          </cell>
          <cell r="BG27">
            <v>8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</row>
        <row r="28">
          <cell r="C28">
            <v>37718</v>
          </cell>
          <cell r="D28">
            <v>37718</v>
          </cell>
          <cell r="E28">
            <v>37718</v>
          </cell>
          <cell r="F28">
            <v>0.62847222222222221</v>
          </cell>
          <cell r="G28" t="str">
            <v>Máquina de Solda MIG</v>
          </cell>
          <cell r="H28" t="str">
            <v>Plug incompatível com a tomada da linha da Solda Manual</v>
          </cell>
          <cell r="I28" t="str">
            <v>Corretiva</v>
          </cell>
          <cell r="J28" t="str">
            <v>Sim</v>
          </cell>
          <cell r="K28" t="str">
            <v>Elétrica</v>
          </cell>
          <cell r="L28" t="str">
            <v>Substituição do(s) Componente(s)</v>
          </cell>
          <cell r="M28" t="str">
            <v>Alteração na Localização da Máquina</v>
          </cell>
          <cell r="N28">
            <v>37718</v>
          </cell>
          <cell r="O28">
            <v>0.65625</v>
          </cell>
          <cell r="P28">
            <v>37718</v>
          </cell>
          <cell r="Q28">
            <v>0.65625</v>
          </cell>
          <cell r="T28">
            <v>37718</v>
          </cell>
          <cell r="U28">
            <v>0.66527777777777775</v>
          </cell>
          <cell r="V28">
            <v>37718</v>
          </cell>
          <cell r="W28">
            <v>0.66527777777777775</v>
          </cell>
          <cell r="X28">
            <v>9.0277777777777457E-3</v>
          </cell>
          <cell r="Y28">
            <v>9.0277777781011537E-3</v>
          </cell>
          <cell r="AB28">
            <v>4</v>
          </cell>
          <cell r="AC28">
            <v>4</v>
          </cell>
          <cell r="AD28" t="str">
            <v>S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4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</row>
        <row r="29">
          <cell r="C29">
            <v>37718</v>
          </cell>
          <cell r="D29">
            <v>37727</v>
          </cell>
          <cell r="E29">
            <v>37727</v>
          </cell>
          <cell r="F29">
            <v>0.5</v>
          </cell>
          <cell r="G29" t="str">
            <v>Células de Solda Manual</v>
          </cell>
          <cell r="H29" t="str">
            <v>A fresa de limpeza da tocha não está jogando óleo (anti-respingos)</v>
          </cell>
          <cell r="I29" t="str">
            <v>Corretiva</v>
          </cell>
          <cell r="J29" t="str">
            <v>Não</v>
          </cell>
          <cell r="K29" t="str">
            <v>Mecânica</v>
          </cell>
          <cell r="L29" t="str">
            <v>Limpeza do Equipamento / Componente</v>
          </cell>
          <cell r="M29" t="str">
            <v>Sujeira em excesso</v>
          </cell>
          <cell r="N29">
            <v>37727</v>
          </cell>
          <cell r="O29">
            <v>0.54166666666666663</v>
          </cell>
          <cell r="P29">
            <v>37727</v>
          </cell>
          <cell r="Q29">
            <v>0.54166666666666663</v>
          </cell>
          <cell r="T29">
            <v>37727</v>
          </cell>
          <cell r="U29">
            <v>0.5625</v>
          </cell>
          <cell r="V29">
            <v>37727</v>
          </cell>
          <cell r="W29">
            <v>0.5625</v>
          </cell>
          <cell r="X29">
            <v>2.083333333333337E-2</v>
          </cell>
          <cell r="Y29">
            <v>2.083333333333337E-2</v>
          </cell>
          <cell r="AB29">
            <v>4</v>
          </cell>
          <cell r="AC29">
            <v>4</v>
          </cell>
          <cell r="AD29" t="str">
            <v>N</v>
          </cell>
          <cell r="BF29">
            <v>0</v>
          </cell>
          <cell r="BG29">
            <v>4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</row>
        <row r="30">
          <cell r="C30">
            <v>37718</v>
          </cell>
          <cell r="D30">
            <v>37767</v>
          </cell>
          <cell r="E30">
            <v>37767</v>
          </cell>
          <cell r="F30">
            <v>0.46250000000000002</v>
          </cell>
          <cell r="G30" t="str">
            <v>Células de Solda Manual</v>
          </cell>
          <cell r="H30" t="str">
            <v>Mau contato no bocal da tocha</v>
          </cell>
          <cell r="I30" t="str">
            <v>Corretiva</v>
          </cell>
          <cell r="J30" t="str">
            <v>Não</v>
          </cell>
          <cell r="K30" t="str">
            <v>Mecânica</v>
          </cell>
          <cell r="L30" t="str">
            <v>Substituição do(s) Componente(s)</v>
          </cell>
          <cell r="M30" t="str">
            <v>Desgaste / Fadiga</v>
          </cell>
          <cell r="N30">
            <v>37767</v>
          </cell>
          <cell r="O30">
            <v>0.47222222222222227</v>
          </cell>
          <cell r="P30">
            <v>37767</v>
          </cell>
          <cell r="Q30">
            <v>0.47222222222222227</v>
          </cell>
          <cell r="T30">
            <v>37767</v>
          </cell>
          <cell r="U30">
            <v>0.5</v>
          </cell>
          <cell r="V30">
            <v>37767</v>
          </cell>
          <cell r="W30">
            <v>0.5</v>
          </cell>
          <cell r="X30">
            <v>2.7777777777777735E-2</v>
          </cell>
          <cell r="Y30">
            <v>2.7777777777777735E-2</v>
          </cell>
          <cell r="AB30">
            <v>5</v>
          </cell>
          <cell r="AC30">
            <v>4</v>
          </cell>
          <cell r="AD30">
            <v>0</v>
          </cell>
          <cell r="BF30">
            <v>0</v>
          </cell>
          <cell r="BG30">
            <v>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</row>
        <row r="31">
          <cell r="C31">
            <v>37718</v>
          </cell>
          <cell r="D31">
            <v>37735</v>
          </cell>
          <cell r="E31">
            <v>37734</v>
          </cell>
          <cell r="F31">
            <v>0.45833333333333331</v>
          </cell>
          <cell r="G31" t="str">
            <v>Células de Solda Manual</v>
          </cell>
          <cell r="H31" t="str">
            <v>Condutor elétrico (conduite) entupido</v>
          </cell>
          <cell r="I31" t="str">
            <v>Corretiva</v>
          </cell>
          <cell r="J31" t="str">
            <v>Sim</v>
          </cell>
          <cell r="K31" t="str">
            <v>Mecânica</v>
          </cell>
          <cell r="L31" t="str">
            <v>Substituição do(s) Componente(s)</v>
          </cell>
          <cell r="M31" t="str">
            <v>Desgaste / Fadiga</v>
          </cell>
          <cell r="N31">
            <v>37734</v>
          </cell>
          <cell r="O31">
            <v>0.45833333333333331</v>
          </cell>
          <cell r="P31">
            <v>37734</v>
          </cell>
          <cell r="Q31">
            <v>0.45833333333333331</v>
          </cell>
          <cell r="T31">
            <v>37734</v>
          </cell>
          <cell r="U31">
            <v>0.47916666666666669</v>
          </cell>
          <cell r="V31">
            <v>37734</v>
          </cell>
          <cell r="W31">
            <v>0.47916666666666669</v>
          </cell>
          <cell r="X31">
            <v>2.083333333333337E-2</v>
          </cell>
          <cell r="Y31">
            <v>2.0833333330908033E-2</v>
          </cell>
          <cell r="AB31">
            <v>4</v>
          </cell>
          <cell r="AC31">
            <v>4</v>
          </cell>
          <cell r="AD31" t="str">
            <v>S</v>
          </cell>
          <cell r="BF31">
            <v>0</v>
          </cell>
          <cell r="BG31">
            <v>4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</row>
        <row r="32">
          <cell r="C32">
            <v>37718</v>
          </cell>
          <cell r="D32">
            <v>37776</v>
          </cell>
          <cell r="E32">
            <v>37776</v>
          </cell>
          <cell r="F32">
            <v>0.40277777777777773</v>
          </cell>
          <cell r="G32" t="str">
            <v>Células de Solda Manual</v>
          </cell>
          <cell r="H32" t="str">
            <v>Bocal Danificado</v>
          </cell>
          <cell r="I32" t="str">
            <v>Corretiva</v>
          </cell>
          <cell r="J32" t="str">
            <v>Sim</v>
          </cell>
          <cell r="K32" t="str">
            <v>Mecânica</v>
          </cell>
          <cell r="L32" t="str">
            <v>Substituição do(s) Componente(s)</v>
          </cell>
          <cell r="M32" t="str">
            <v>Desgaste / Fadiga</v>
          </cell>
          <cell r="N32">
            <v>37776</v>
          </cell>
          <cell r="O32">
            <v>0.42708333333333331</v>
          </cell>
          <cell r="P32">
            <v>37776</v>
          </cell>
          <cell r="Q32">
            <v>0.42708333333333331</v>
          </cell>
          <cell r="T32">
            <v>37776</v>
          </cell>
          <cell r="U32">
            <v>0.4375</v>
          </cell>
          <cell r="V32">
            <v>37776</v>
          </cell>
          <cell r="W32">
            <v>0.4375</v>
          </cell>
          <cell r="X32">
            <v>1.0416666666666685E-2</v>
          </cell>
          <cell r="Y32">
            <v>1.0416666666666685E-2</v>
          </cell>
          <cell r="AB32">
            <v>6</v>
          </cell>
          <cell r="AC32">
            <v>4</v>
          </cell>
          <cell r="AD32">
            <v>0</v>
          </cell>
          <cell r="BF32">
            <v>0</v>
          </cell>
          <cell r="BG32">
            <v>6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</row>
        <row r="33">
          <cell r="C33">
            <v>37718</v>
          </cell>
          <cell r="D33">
            <v>37722</v>
          </cell>
          <cell r="E33">
            <v>37722</v>
          </cell>
          <cell r="F33">
            <v>0.41666666666666669</v>
          </cell>
          <cell r="G33" t="str">
            <v>Máquina de Solda MIG</v>
          </cell>
          <cell r="H33" t="str">
            <v>Plug incompatível com a tomada da linha da Solda Manual</v>
          </cell>
          <cell r="I33" t="str">
            <v>Corretiva</v>
          </cell>
          <cell r="J33" t="str">
            <v>Sim</v>
          </cell>
          <cell r="K33" t="str">
            <v>Elétrica</v>
          </cell>
          <cell r="L33" t="str">
            <v>Substituição do(s) Componente(s)</v>
          </cell>
          <cell r="M33" t="str">
            <v>Alteração na Localização da Máquina</v>
          </cell>
          <cell r="N33">
            <v>37722</v>
          </cell>
          <cell r="O33">
            <v>0.41666666666666669</v>
          </cell>
          <cell r="P33">
            <v>37722</v>
          </cell>
          <cell r="Q33">
            <v>0.41666666666666669</v>
          </cell>
          <cell r="T33">
            <v>37722</v>
          </cell>
          <cell r="U33">
            <v>0.42708333333333331</v>
          </cell>
          <cell r="V33">
            <v>37722</v>
          </cell>
          <cell r="W33">
            <v>0.42708333333333331</v>
          </cell>
          <cell r="X33">
            <v>1.041666666666663E-2</v>
          </cell>
          <cell r="Y33">
            <v>1.0416666669091967E-2</v>
          </cell>
          <cell r="AB33">
            <v>4</v>
          </cell>
          <cell r="AC33">
            <v>4</v>
          </cell>
          <cell r="AD33" t="str">
            <v>S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4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</row>
        <row r="34">
          <cell r="C34">
            <v>37718</v>
          </cell>
          <cell r="I34">
            <v>0</v>
          </cell>
          <cell r="N34">
            <v>0</v>
          </cell>
          <cell r="P34">
            <v>0</v>
          </cell>
          <cell r="T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B34">
            <v>0</v>
          </cell>
          <cell r="AC34">
            <v>4</v>
          </cell>
          <cell r="AD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</row>
        <row r="35">
          <cell r="C35">
            <v>37718</v>
          </cell>
          <cell r="D35">
            <v>37846</v>
          </cell>
          <cell r="E35">
            <v>37820</v>
          </cell>
          <cell r="F35">
            <v>0.61805555555555558</v>
          </cell>
          <cell r="G35" t="str">
            <v>Máquina de Solda MIG</v>
          </cell>
          <cell r="H35" t="str">
            <v>Cabo de alimentação com mau contato / Isolador Quebrado</v>
          </cell>
          <cell r="I35" t="str">
            <v>Corretiva</v>
          </cell>
          <cell r="J35" t="str">
            <v>Sim</v>
          </cell>
          <cell r="K35" t="str">
            <v>Elétrica</v>
          </cell>
          <cell r="L35" t="str">
            <v>Reparo</v>
          </cell>
          <cell r="M35" t="str">
            <v>Falha de Comando / Sistema</v>
          </cell>
          <cell r="N35">
            <v>37820</v>
          </cell>
          <cell r="O35">
            <v>0.625</v>
          </cell>
          <cell r="P35">
            <v>37820</v>
          </cell>
          <cell r="Q35">
            <v>0.625</v>
          </cell>
          <cell r="T35">
            <v>37820</v>
          </cell>
          <cell r="U35">
            <v>0.63541666666666663</v>
          </cell>
          <cell r="V35">
            <v>37820</v>
          </cell>
          <cell r="W35">
            <v>0.63541666666666663</v>
          </cell>
          <cell r="X35">
            <v>1.041666666666663E-2</v>
          </cell>
          <cell r="Y35">
            <v>1.0416666664241347E-2</v>
          </cell>
          <cell r="AB35">
            <v>7</v>
          </cell>
          <cell r="AC35">
            <v>4</v>
          </cell>
          <cell r="AD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7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</row>
        <row r="36">
          <cell r="C36">
            <v>37718</v>
          </cell>
          <cell r="D36">
            <v>37838</v>
          </cell>
          <cell r="E36">
            <v>37825</v>
          </cell>
          <cell r="F36">
            <v>0.45833333333333331</v>
          </cell>
          <cell r="G36" t="str">
            <v>Células de Solda Manual</v>
          </cell>
          <cell r="H36" t="str">
            <v>A fresa de limpeza da tocha não está jogando óleo (anti-respingos)</v>
          </cell>
          <cell r="I36" t="str">
            <v>Corretiva</v>
          </cell>
          <cell r="J36" t="str">
            <v>Não</v>
          </cell>
          <cell r="K36" t="str">
            <v>Mecânica</v>
          </cell>
          <cell r="L36" t="str">
            <v>Limpeza do Equipamento / Componente</v>
          </cell>
          <cell r="M36" t="str">
            <v>Sujeira em excesso</v>
          </cell>
          <cell r="N36">
            <v>37834</v>
          </cell>
          <cell r="O36">
            <v>0.33333333333333331</v>
          </cell>
          <cell r="P36">
            <v>37834</v>
          </cell>
          <cell r="Q36">
            <v>0.33333333333333331</v>
          </cell>
          <cell r="T36">
            <v>37834</v>
          </cell>
          <cell r="U36">
            <v>0.4375</v>
          </cell>
          <cell r="V36">
            <v>37834</v>
          </cell>
          <cell r="W36">
            <v>0.4375</v>
          </cell>
          <cell r="X36">
            <v>0.10416666666666669</v>
          </cell>
          <cell r="Y36">
            <v>0.10416666666666669</v>
          </cell>
          <cell r="AB36">
            <v>8</v>
          </cell>
          <cell r="AC36">
            <v>4</v>
          </cell>
          <cell r="AD36">
            <v>0</v>
          </cell>
          <cell r="BF36">
            <v>0</v>
          </cell>
          <cell r="BG36">
            <v>8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</row>
        <row r="37">
          <cell r="C37">
            <v>37718</v>
          </cell>
          <cell r="D37">
            <v>37719</v>
          </cell>
          <cell r="E37">
            <v>37719</v>
          </cell>
          <cell r="F37">
            <v>0.62152777777777779</v>
          </cell>
          <cell r="G37" t="str">
            <v>Linha de Pintura 8,5m</v>
          </cell>
          <cell r="H37" t="str">
            <v>Travamento na Corrente de Carga e Descarga</v>
          </cell>
          <cell r="I37" t="str">
            <v>Corretiva</v>
          </cell>
          <cell r="J37" t="str">
            <v>Sim</v>
          </cell>
          <cell r="K37" t="str">
            <v>Mecânica</v>
          </cell>
          <cell r="L37" t="str">
            <v>Reaperto dos componentes</v>
          </cell>
          <cell r="M37" t="str">
            <v>Vibração</v>
          </cell>
          <cell r="N37">
            <v>37719</v>
          </cell>
          <cell r="O37">
            <v>0.62152777777777779</v>
          </cell>
          <cell r="P37">
            <v>37719</v>
          </cell>
          <cell r="Q37">
            <v>0.62152777777777779</v>
          </cell>
          <cell r="T37">
            <v>37719</v>
          </cell>
          <cell r="U37">
            <v>0.68055555555555547</v>
          </cell>
          <cell r="V37">
            <v>37719</v>
          </cell>
          <cell r="W37">
            <v>0.68055555555555547</v>
          </cell>
          <cell r="X37">
            <v>5.9027777777777679E-2</v>
          </cell>
          <cell r="Y37">
            <v>5.9027777776969326E-2</v>
          </cell>
          <cell r="AB37">
            <v>4</v>
          </cell>
          <cell r="AC37">
            <v>4</v>
          </cell>
          <cell r="AD37" t="str">
            <v>S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4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</row>
        <row r="38">
          <cell r="C38">
            <v>37718</v>
          </cell>
          <cell r="D38">
            <v>37726</v>
          </cell>
          <cell r="E38">
            <v>37726</v>
          </cell>
          <cell r="F38">
            <v>0.34027777777777773</v>
          </cell>
          <cell r="G38" t="str">
            <v>Linha de Pintura 8,5m</v>
          </cell>
          <cell r="H38" t="str">
            <v>Máquina não liga</v>
          </cell>
          <cell r="I38" t="str">
            <v>Corretiva</v>
          </cell>
          <cell r="J38" t="str">
            <v>Sim</v>
          </cell>
          <cell r="K38" t="str">
            <v>Elétrica</v>
          </cell>
          <cell r="L38" t="str">
            <v>Substituição do(s) Componente(s)</v>
          </cell>
          <cell r="M38" t="str">
            <v>Sobrecarga</v>
          </cell>
          <cell r="N38">
            <v>37726</v>
          </cell>
          <cell r="O38">
            <v>0.34027777777777773</v>
          </cell>
          <cell r="P38">
            <v>37726</v>
          </cell>
          <cell r="Q38">
            <v>0.34027777777777773</v>
          </cell>
          <cell r="T38">
            <v>37726</v>
          </cell>
          <cell r="U38">
            <v>0.4375</v>
          </cell>
          <cell r="V38">
            <v>37726</v>
          </cell>
          <cell r="W38">
            <v>0.4375</v>
          </cell>
          <cell r="X38">
            <v>9.7222222222222265E-2</v>
          </cell>
          <cell r="Y38">
            <v>9.7222222222222265E-2</v>
          </cell>
          <cell r="AB38">
            <v>4</v>
          </cell>
          <cell r="AC38">
            <v>4</v>
          </cell>
          <cell r="AD38" t="str">
            <v>S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4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</row>
        <row r="39">
          <cell r="C39">
            <v>37718</v>
          </cell>
          <cell r="D39">
            <v>37736</v>
          </cell>
          <cell r="E39">
            <v>37735</v>
          </cell>
          <cell r="F39">
            <v>0.75</v>
          </cell>
          <cell r="G39" t="str">
            <v>Linha de Pintura 8,5m</v>
          </cell>
          <cell r="H39" t="str">
            <v>Transportador Catalunha (linha mais rápida) não funciona</v>
          </cell>
          <cell r="I39" t="str">
            <v>Corretiva</v>
          </cell>
          <cell r="J39" t="str">
            <v>Sim</v>
          </cell>
          <cell r="K39" t="str">
            <v>Mecânica</v>
          </cell>
          <cell r="L39" t="str">
            <v>Substituição do(s) Componente(s)</v>
          </cell>
          <cell r="M39" t="str">
            <v>Desgaste / Fadiga</v>
          </cell>
          <cell r="N39">
            <v>37735</v>
          </cell>
          <cell r="O39">
            <v>0.75</v>
          </cell>
          <cell r="P39">
            <v>37735</v>
          </cell>
          <cell r="Q39">
            <v>0.75</v>
          </cell>
          <cell r="T39">
            <v>37735</v>
          </cell>
          <cell r="U39">
            <v>0.8125</v>
          </cell>
          <cell r="V39">
            <v>37735</v>
          </cell>
          <cell r="W39">
            <v>0.8125</v>
          </cell>
          <cell r="X39">
            <v>6.25E-2</v>
          </cell>
          <cell r="Y39">
            <v>6.25E-2</v>
          </cell>
          <cell r="AB39">
            <v>4</v>
          </cell>
          <cell r="AC39">
            <v>4</v>
          </cell>
          <cell r="AD39" t="str">
            <v>S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4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</row>
        <row r="40">
          <cell r="C40">
            <v>37718</v>
          </cell>
          <cell r="D40">
            <v>37753</v>
          </cell>
          <cell r="E40">
            <v>37753</v>
          </cell>
          <cell r="F40">
            <v>0.52083333333333337</v>
          </cell>
          <cell r="G40" t="str">
            <v>Linha de Pintura 8,5m</v>
          </cell>
          <cell r="H40" t="str">
            <v>A porca que segura o pistão de entrada do secador está solta</v>
          </cell>
          <cell r="I40" t="str">
            <v>Corretiva</v>
          </cell>
          <cell r="J40" t="str">
            <v>Sim</v>
          </cell>
          <cell r="K40" t="str">
            <v>Mecânica</v>
          </cell>
          <cell r="L40" t="str">
            <v>Reparo</v>
          </cell>
          <cell r="M40" t="str">
            <v>Vibração</v>
          </cell>
          <cell r="N40">
            <v>37753</v>
          </cell>
          <cell r="O40">
            <v>0.52083333333333337</v>
          </cell>
          <cell r="P40">
            <v>37753</v>
          </cell>
          <cell r="Q40">
            <v>0.52083333333333337</v>
          </cell>
          <cell r="T40">
            <v>37753</v>
          </cell>
          <cell r="U40">
            <v>0.53125</v>
          </cell>
          <cell r="V40">
            <v>37753</v>
          </cell>
          <cell r="W40">
            <v>0.53125</v>
          </cell>
          <cell r="X40">
            <v>1.041666666666663E-2</v>
          </cell>
          <cell r="Y40">
            <v>1.041666666666663E-2</v>
          </cell>
          <cell r="AB40">
            <v>5</v>
          </cell>
          <cell r="AC40">
            <v>4</v>
          </cell>
          <cell r="AD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</row>
        <row r="41">
          <cell r="C41">
            <v>37718</v>
          </cell>
          <cell r="D41">
            <v>37746</v>
          </cell>
          <cell r="E41">
            <v>37741</v>
          </cell>
          <cell r="F41">
            <v>0.70833333333333337</v>
          </cell>
          <cell r="G41" t="str">
            <v>Linha de Pintura 8,5m</v>
          </cell>
          <cell r="H41" t="str">
            <v>Parô com o pino quebrado</v>
          </cell>
          <cell r="I41" t="str">
            <v>Corretiva</v>
          </cell>
          <cell r="J41" t="str">
            <v>Não</v>
          </cell>
          <cell r="K41" t="str">
            <v>Mecânica</v>
          </cell>
          <cell r="L41" t="str">
            <v>Ajuste / Regulagem</v>
          </cell>
          <cell r="M41" t="str">
            <v>Falha de Regulagem / Configuração / Dimensionamento</v>
          </cell>
          <cell r="N41">
            <v>37747</v>
          </cell>
          <cell r="O41">
            <v>0.53125</v>
          </cell>
          <cell r="P41">
            <v>37747</v>
          </cell>
          <cell r="Q41">
            <v>0.53125</v>
          </cell>
          <cell r="T41">
            <v>37747</v>
          </cell>
          <cell r="U41">
            <v>0.57291666666666663</v>
          </cell>
          <cell r="V41">
            <v>37747</v>
          </cell>
          <cell r="W41">
            <v>0.57291666666666663</v>
          </cell>
          <cell r="X41">
            <v>4.1666666664241347E-2</v>
          </cell>
          <cell r="Y41">
            <v>4.1666666664241347E-2</v>
          </cell>
          <cell r="AB41">
            <v>5</v>
          </cell>
          <cell r="AC41">
            <v>4</v>
          </cell>
          <cell r="AD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</row>
        <row r="42">
          <cell r="C42">
            <v>37718</v>
          </cell>
          <cell r="D42">
            <v>37740</v>
          </cell>
          <cell r="E42">
            <v>37739</v>
          </cell>
          <cell r="F42">
            <v>37739</v>
          </cell>
          <cell r="G42" t="str">
            <v>Linha de Pintura 8,5m</v>
          </cell>
          <cell r="H42" t="str">
            <v>Cabine de Pintura 8,5m</v>
          </cell>
          <cell r="I42" t="str">
            <v>EI32205801</v>
          </cell>
          <cell r="J42" t="str">
            <v>Sim</v>
          </cell>
          <cell r="K42" t="str">
            <v>Corretiva</v>
          </cell>
          <cell r="L42" t="str">
            <v>Sim</v>
          </cell>
          <cell r="M42" t="str">
            <v>Elétrica</v>
          </cell>
          <cell r="N42">
            <v>0</v>
          </cell>
          <cell r="P42">
            <v>0</v>
          </cell>
          <cell r="T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AB42">
            <v>0</v>
          </cell>
          <cell r="AC42">
            <v>4</v>
          </cell>
          <cell r="AD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1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</row>
        <row r="43">
          <cell r="C43">
            <v>37718</v>
          </cell>
          <cell r="D43">
            <v>37736</v>
          </cell>
          <cell r="E43">
            <v>37734</v>
          </cell>
          <cell r="F43">
            <v>0.33333333333333331</v>
          </cell>
          <cell r="G43" t="str">
            <v>Equipamentos diversos</v>
          </cell>
          <cell r="H43" t="str">
            <v>Máquina não traciona a fita</v>
          </cell>
          <cell r="I43" t="str">
            <v>Corretiva</v>
          </cell>
          <cell r="J43" t="str">
            <v>Sim</v>
          </cell>
          <cell r="K43" t="str">
            <v>Mecânica</v>
          </cell>
          <cell r="L43" t="str">
            <v>Ajuste / Regulagem</v>
          </cell>
          <cell r="M43" t="str">
            <v>Causa não especificada</v>
          </cell>
          <cell r="N43">
            <v>37734</v>
          </cell>
          <cell r="O43">
            <v>0.33333333333333331</v>
          </cell>
          <cell r="P43">
            <v>37734</v>
          </cell>
          <cell r="Q43">
            <v>0.33333333333333331</v>
          </cell>
          <cell r="T43">
            <v>37734</v>
          </cell>
          <cell r="U43">
            <v>0.45833333333333331</v>
          </cell>
          <cell r="V43">
            <v>37734</v>
          </cell>
          <cell r="W43">
            <v>0.45833333333333331</v>
          </cell>
          <cell r="X43">
            <v>0.125</v>
          </cell>
          <cell r="Y43">
            <v>0.12500000000242534</v>
          </cell>
          <cell r="AB43">
            <v>4</v>
          </cell>
          <cell r="AC43">
            <v>4</v>
          </cell>
          <cell r="AD43" t="str">
            <v>S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4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</row>
        <row r="44">
          <cell r="C44">
            <v>37718</v>
          </cell>
          <cell r="D44">
            <v>37733</v>
          </cell>
          <cell r="E44">
            <v>37728</v>
          </cell>
          <cell r="F44">
            <v>0.70833333333333337</v>
          </cell>
          <cell r="G44" t="str">
            <v>Linha de Pintura 8,5m</v>
          </cell>
          <cell r="H44" t="str">
            <v>Verificar o sistema de recuperação de pó</v>
          </cell>
          <cell r="I44" t="str">
            <v>Melhoria</v>
          </cell>
          <cell r="J44" t="str">
            <v>Não</v>
          </cell>
          <cell r="K44" t="str">
            <v>Mecânica</v>
          </cell>
          <cell r="L44" t="str">
            <v>Ajuste / Regulagem</v>
          </cell>
          <cell r="M44" t="str">
            <v>Melhoria Técnica</v>
          </cell>
          <cell r="N44">
            <v>37733</v>
          </cell>
          <cell r="O44">
            <v>0.45833333333333331</v>
          </cell>
          <cell r="P44">
            <v>37733</v>
          </cell>
          <cell r="Q44">
            <v>0.45833333333333331</v>
          </cell>
          <cell r="T44">
            <v>37733</v>
          </cell>
          <cell r="U44">
            <v>0.5</v>
          </cell>
          <cell r="V44">
            <v>37733</v>
          </cell>
          <cell r="W44">
            <v>0.5</v>
          </cell>
          <cell r="X44">
            <v>4.1666666666666685E-2</v>
          </cell>
          <cell r="Y44">
            <v>4.1666666666666685E-2</v>
          </cell>
          <cell r="AB44">
            <v>4</v>
          </cell>
          <cell r="AC44">
            <v>4</v>
          </cell>
          <cell r="AD44" t="str">
            <v>N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4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</row>
        <row r="45">
          <cell r="C45">
            <v>37718</v>
          </cell>
          <cell r="D45">
            <v>37722</v>
          </cell>
          <cell r="E45">
            <v>37722</v>
          </cell>
          <cell r="F45">
            <v>0.47916666666666669</v>
          </cell>
          <cell r="G45" t="str">
            <v>Linha de Pintura 8,5m</v>
          </cell>
          <cell r="H45" t="str">
            <v>Mau funcionamento no Painel de Controle de Pistola no. 05</v>
          </cell>
          <cell r="I45" t="str">
            <v>Corretiva</v>
          </cell>
          <cell r="J45" t="str">
            <v>Sim</v>
          </cell>
          <cell r="K45" t="str">
            <v>Elétrica</v>
          </cell>
          <cell r="L45" t="str">
            <v>Verificação dos terminais e soldas, e correção das falhas</v>
          </cell>
          <cell r="M45" t="str">
            <v>Mau contato</v>
          </cell>
          <cell r="N45">
            <v>37722</v>
          </cell>
          <cell r="O45">
            <v>0.47916666666666669</v>
          </cell>
          <cell r="P45">
            <v>37722</v>
          </cell>
          <cell r="Q45">
            <v>0.47916666666666669</v>
          </cell>
          <cell r="T45">
            <v>37722</v>
          </cell>
          <cell r="U45">
            <v>0.625</v>
          </cell>
          <cell r="V45">
            <v>37722</v>
          </cell>
          <cell r="W45">
            <v>0.625</v>
          </cell>
          <cell r="X45">
            <v>0.14583333333333331</v>
          </cell>
          <cell r="Y45">
            <v>0.14583333333333331</v>
          </cell>
          <cell r="AB45">
            <v>4</v>
          </cell>
          <cell r="AC45">
            <v>4</v>
          </cell>
          <cell r="AD45" t="str">
            <v>S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4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</row>
        <row r="46">
          <cell r="C46">
            <v>37718</v>
          </cell>
          <cell r="D46">
            <v>37721</v>
          </cell>
          <cell r="E46">
            <v>37720</v>
          </cell>
          <cell r="F46">
            <v>0.375</v>
          </cell>
          <cell r="G46" t="str">
            <v>Linha de Pintura 8,5m</v>
          </cell>
          <cell r="H46" t="str">
            <v>Elevador de Pintura no. 04 - Fusível Queimado</v>
          </cell>
          <cell r="I46" t="str">
            <v>Corretiva</v>
          </cell>
          <cell r="J46" t="str">
            <v>Sim</v>
          </cell>
          <cell r="K46" t="str">
            <v>Elétrica</v>
          </cell>
          <cell r="L46" t="str">
            <v>Substituição do(s) Componente(s)</v>
          </cell>
          <cell r="M46" t="str">
            <v>Travamento de Componente</v>
          </cell>
          <cell r="N46">
            <v>37720</v>
          </cell>
          <cell r="O46">
            <v>0.375</v>
          </cell>
          <cell r="P46">
            <v>37720</v>
          </cell>
          <cell r="Q46">
            <v>0.375</v>
          </cell>
          <cell r="T46">
            <v>37720</v>
          </cell>
          <cell r="U46">
            <v>0.38194444444444442</v>
          </cell>
          <cell r="V46">
            <v>37720</v>
          </cell>
          <cell r="W46">
            <v>0.38194444444444442</v>
          </cell>
          <cell r="X46">
            <v>6.9444444444444198E-3</v>
          </cell>
          <cell r="Y46">
            <v>6.9444444452528842E-3</v>
          </cell>
          <cell r="AB46">
            <v>4</v>
          </cell>
          <cell r="AC46">
            <v>4</v>
          </cell>
          <cell r="AD46" t="str">
            <v>S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4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</row>
        <row r="47">
          <cell r="C47">
            <v>37718</v>
          </cell>
          <cell r="D47">
            <v>37719</v>
          </cell>
          <cell r="E47">
            <v>37719</v>
          </cell>
          <cell r="F47">
            <v>0.625</v>
          </cell>
          <cell r="G47" t="str">
            <v>Perfiladora Gasparini</v>
          </cell>
          <cell r="H47" t="str">
            <v>Alarme</v>
          </cell>
          <cell r="I47" t="str">
            <v>Corretiva</v>
          </cell>
          <cell r="J47" t="str">
            <v>Sim</v>
          </cell>
          <cell r="K47" t="str">
            <v>Elétrica</v>
          </cell>
          <cell r="L47" t="str">
            <v>Verificação dos Relés e disjuntores de alimentação de comando</v>
          </cell>
          <cell r="M47" t="str">
            <v>Falha Operacional</v>
          </cell>
          <cell r="N47">
            <v>37719</v>
          </cell>
          <cell r="O47">
            <v>0.625</v>
          </cell>
          <cell r="P47">
            <v>37719</v>
          </cell>
          <cell r="Q47">
            <v>0.625</v>
          </cell>
          <cell r="T47">
            <v>37719</v>
          </cell>
          <cell r="U47">
            <v>0.69444444444444453</v>
          </cell>
          <cell r="V47">
            <v>37719</v>
          </cell>
          <cell r="W47">
            <v>0.69444444444444453</v>
          </cell>
          <cell r="X47">
            <v>6.9444444444444531E-2</v>
          </cell>
          <cell r="Y47">
            <v>6.9444444445252884E-2</v>
          </cell>
          <cell r="AB47">
            <v>4</v>
          </cell>
          <cell r="AC47">
            <v>4</v>
          </cell>
          <cell r="AD47" t="str">
            <v>S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4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</row>
        <row r="48">
          <cell r="C48">
            <v>37718</v>
          </cell>
          <cell r="D48">
            <v>37722</v>
          </cell>
          <cell r="E48">
            <v>37722</v>
          </cell>
          <cell r="F48">
            <v>0.58333333333333337</v>
          </cell>
          <cell r="G48" t="str">
            <v>Perfiladora Gasparini</v>
          </cell>
          <cell r="H48" t="str">
            <v>Reparar Cerâmica - Máquina de Solda</v>
          </cell>
          <cell r="I48" t="str">
            <v>Corretiva</v>
          </cell>
          <cell r="J48" t="str">
            <v>Não</v>
          </cell>
          <cell r="K48" t="str">
            <v>Mecânica</v>
          </cell>
          <cell r="L48" t="str">
            <v>Substituição do(s) Componente(s)</v>
          </cell>
          <cell r="M48" t="str">
            <v>Falha Operacional</v>
          </cell>
          <cell r="N48">
            <v>37720</v>
          </cell>
          <cell r="O48">
            <v>0.58333333333333337</v>
          </cell>
          <cell r="P48">
            <v>37720</v>
          </cell>
          <cell r="Q48">
            <v>0.58333333333333337</v>
          </cell>
          <cell r="R48">
            <v>37725</v>
          </cell>
          <cell r="S48">
            <v>0.625</v>
          </cell>
          <cell r="T48">
            <v>37725</v>
          </cell>
          <cell r="U48">
            <v>0.63888888888888895</v>
          </cell>
          <cell r="V48">
            <v>0</v>
          </cell>
          <cell r="W48">
            <v>1.3888888888888951E-2</v>
          </cell>
          <cell r="X48">
            <v>1.3888888888888951E-2</v>
          </cell>
          <cell r="Y48">
            <v>1.3888888888888951E-2</v>
          </cell>
          <cell r="AB48">
            <v>4</v>
          </cell>
          <cell r="AC48">
            <v>4</v>
          </cell>
          <cell r="AD48" t="str">
            <v>N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4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</row>
        <row r="49">
          <cell r="C49">
            <v>37718</v>
          </cell>
          <cell r="D49">
            <v>37775</v>
          </cell>
          <cell r="E49">
            <v>37770</v>
          </cell>
          <cell r="F49">
            <v>0.45833333333333331</v>
          </cell>
          <cell r="G49" t="str">
            <v>Perfiladora Gasparini</v>
          </cell>
          <cell r="H49" t="str">
            <v>Reparar mesa de coleta do perfil</v>
          </cell>
          <cell r="I49" t="str">
            <v>Corretiva</v>
          </cell>
          <cell r="J49" t="str">
            <v>Sim</v>
          </cell>
          <cell r="K49" t="str">
            <v>Mecânica</v>
          </cell>
          <cell r="L49" t="str">
            <v>Ajuste / Regulagem</v>
          </cell>
          <cell r="M49" t="str">
            <v>Desgaste / Fadiga</v>
          </cell>
          <cell r="N49">
            <v>37770</v>
          </cell>
          <cell r="O49">
            <v>0.45833333333333331</v>
          </cell>
          <cell r="P49">
            <v>37770</v>
          </cell>
          <cell r="Q49">
            <v>0.45833333333333331</v>
          </cell>
          <cell r="T49">
            <v>37770</v>
          </cell>
          <cell r="U49">
            <v>0.47916666666666669</v>
          </cell>
          <cell r="V49">
            <v>37770</v>
          </cell>
          <cell r="W49">
            <v>0.47916666666666669</v>
          </cell>
          <cell r="X49">
            <v>2.083333333333337E-2</v>
          </cell>
          <cell r="Y49">
            <v>2.0833333330908033E-2</v>
          </cell>
          <cell r="AB49">
            <v>5</v>
          </cell>
          <cell r="AC49">
            <v>4</v>
          </cell>
          <cell r="AD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5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</row>
        <row r="50">
          <cell r="C50">
            <v>37718</v>
          </cell>
          <cell r="D50">
            <v>37775</v>
          </cell>
          <cell r="E50">
            <v>37770</v>
          </cell>
          <cell r="F50">
            <v>0.39583333333333331</v>
          </cell>
          <cell r="G50" t="str">
            <v>Perfiladora Gasparini</v>
          </cell>
          <cell r="H50" t="str">
            <v>Vazamento de óleo da prensa</v>
          </cell>
          <cell r="I50" t="str">
            <v>Corretiva</v>
          </cell>
          <cell r="J50" t="str">
            <v>Sim</v>
          </cell>
          <cell r="K50" t="str">
            <v>Mecânica</v>
          </cell>
          <cell r="L50" t="str">
            <v>Contenção do vazamento</v>
          </cell>
          <cell r="M50" t="str">
            <v>Defeito de Fabricação</v>
          </cell>
          <cell r="N50">
            <v>37770</v>
          </cell>
          <cell r="O50">
            <v>0.39583333333333331</v>
          </cell>
          <cell r="P50">
            <v>37770</v>
          </cell>
          <cell r="Q50">
            <v>0.39583333333333331</v>
          </cell>
          <cell r="T50">
            <v>37770</v>
          </cell>
          <cell r="U50">
            <v>0.57986111111111105</v>
          </cell>
          <cell r="V50">
            <v>37770</v>
          </cell>
          <cell r="W50">
            <v>0.57986111111111105</v>
          </cell>
          <cell r="X50">
            <v>0.18402777777777773</v>
          </cell>
          <cell r="Y50">
            <v>0.18402777777616092</v>
          </cell>
          <cell r="AB50">
            <v>5</v>
          </cell>
          <cell r="AC50">
            <v>4</v>
          </cell>
          <cell r="AD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5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</row>
        <row r="51">
          <cell r="C51">
            <v>37718</v>
          </cell>
          <cell r="D51">
            <v>37775</v>
          </cell>
          <cell r="E51">
            <v>37769</v>
          </cell>
          <cell r="F51">
            <v>0.61458333333333337</v>
          </cell>
          <cell r="G51" t="str">
            <v>Perfiladora Gasparini</v>
          </cell>
          <cell r="H51" t="str">
            <v>Substituir cerâmica da Máquina de Solda</v>
          </cell>
          <cell r="I51" t="str">
            <v>Corretiva</v>
          </cell>
          <cell r="J51" t="str">
            <v>Sim</v>
          </cell>
          <cell r="K51" t="str">
            <v>Mecânica</v>
          </cell>
          <cell r="L51" t="str">
            <v>Substituição do(s) Componente(s)</v>
          </cell>
          <cell r="M51" t="str">
            <v>Causa não especificada</v>
          </cell>
          <cell r="N51">
            <v>37769</v>
          </cell>
          <cell r="O51">
            <v>0.61458333333333337</v>
          </cell>
          <cell r="P51">
            <v>37769</v>
          </cell>
          <cell r="Q51">
            <v>0.61458333333333337</v>
          </cell>
          <cell r="T51">
            <v>37769</v>
          </cell>
          <cell r="U51">
            <v>0.625</v>
          </cell>
          <cell r="V51">
            <v>37769</v>
          </cell>
          <cell r="W51">
            <v>0.625</v>
          </cell>
          <cell r="X51">
            <v>1.041666666666663E-2</v>
          </cell>
          <cell r="Y51">
            <v>1.041666666666663E-2</v>
          </cell>
          <cell r="AB51">
            <v>5</v>
          </cell>
          <cell r="AC51">
            <v>4</v>
          </cell>
          <cell r="AD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5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</row>
        <row r="52">
          <cell r="C52">
            <v>37718</v>
          </cell>
          <cell r="D52">
            <v>37831</v>
          </cell>
          <cell r="E52" t="str">
            <v>Márcio</v>
          </cell>
          <cell r="I52">
            <v>0</v>
          </cell>
          <cell r="M52" t="str">
            <v>OS Cancelada</v>
          </cell>
          <cell r="N52">
            <v>0</v>
          </cell>
          <cell r="O52" t="str">
            <v>OS Cancelada</v>
          </cell>
          <cell r="P52">
            <v>0</v>
          </cell>
          <cell r="T52">
            <v>37831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AB52">
            <v>7</v>
          </cell>
          <cell r="AC52">
            <v>4</v>
          </cell>
          <cell r="AD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</row>
        <row r="53">
          <cell r="C53">
            <v>37718</v>
          </cell>
          <cell r="D53">
            <v>37831</v>
          </cell>
          <cell r="E53" t="str">
            <v>Márcio</v>
          </cell>
          <cell r="I53">
            <v>0</v>
          </cell>
          <cell r="M53" t="str">
            <v>OS Cancelada</v>
          </cell>
          <cell r="N53">
            <v>0</v>
          </cell>
          <cell r="O53" t="str">
            <v>OS Cancelada</v>
          </cell>
          <cell r="P53">
            <v>0</v>
          </cell>
          <cell r="T53">
            <v>37831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AB53">
            <v>7</v>
          </cell>
          <cell r="AC53">
            <v>4</v>
          </cell>
          <cell r="AD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</row>
        <row r="54">
          <cell r="C54">
            <v>37718</v>
          </cell>
          <cell r="D54">
            <v>37831</v>
          </cell>
          <cell r="E54" t="str">
            <v>Márcio</v>
          </cell>
          <cell r="I54">
            <v>0</v>
          </cell>
          <cell r="M54" t="str">
            <v>OS Cancelada</v>
          </cell>
          <cell r="N54">
            <v>0</v>
          </cell>
          <cell r="O54" t="str">
            <v>OS Cancelada</v>
          </cell>
          <cell r="P54">
            <v>0</v>
          </cell>
          <cell r="T54">
            <v>37831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AB54">
            <v>7</v>
          </cell>
          <cell r="AC54">
            <v>4</v>
          </cell>
          <cell r="AD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</row>
        <row r="55">
          <cell r="C55">
            <v>37718</v>
          </cell>
          <cell r="D55">
            <v>37785</v>
          </cell>
          <cell r="E55">
            <v>37774</v>
          </cell>
          <cell r="F55">
            <v>0.375</v>
          </cell>
          <cell r="G55" t="str">
            <v>Perfiladora Gasparini</v>
          </cell>
          <cell r="H55" t="str">
            <v>Esteira não funciona (evacuação Viruta)</v>
          </cell>
          <cell r="I55" t="str">
            <v>Corretiva</v>
          </cell>
          <cell r="J55" t="str">
            <v>Sim</v>
          </cell>
          <cell r="K55" t="str">
            <v>Mecânica</v>
          </cell>
          <cell r="L55" t="str">
            <v>Limpeza do Equipamento / Componente</v>
          </cell>
          <cell r="M55" t="str">
            <v>Sujeira em excesso</v>
          </cell>
          <cell r="N55">
            <v>37774</v>
          </cell>
          <cell r="O55">
            <v>0.375</v>
          </cell>
          <cell r="P55">
            <v>37774</v>
          </cell>
          <cell r="Q55">
            <v>0.375</v>
          </cell>
          <cell r="T55">
            <v>37774</v>
          </cell>
          <cell r="U55">
            <v>0.39930555555555558</v>
          </cell>
          <cell r="V55">
            <v>37774</v>
          </cell>
          <cell r="W55">
            <v>0.39930555555555558</v>
          </cell>
          <cell r="X55">
            <v>2.430555555555558E-2</v>
          </cell>
          <cell r="Y55">
            <v>2.4305555554747116E-2</v>
          </cell>
          <cell r="AB55">
            <v>6</v>
          </cell>
          <cell r="AC55">
            <v>4</v>
          </cell>
          <cell r="AD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6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</row>
        <row r="56">
          <cell r="C56">
            <v>37718</v>
          </cell>
          <cell r="D56">
            <v>37785</v>
          </cell>
          <cell r="E56">
            <v>37774</v>
          </cell>
          <cell r="F56">
            <v>0.6875</v>
          </cell>
          <cell r="G56" t="str">
            <v>Perfiladora Gasparini</v>
          </cell>
          <cell r="H56" t="str">
            <v>Esteira danificada (evacuação Viruta)</v>
          </cell>
          <cell r="I56" t="str">
            <v>Corretiva</v>
          </cell>
          <cell r="J56" t="str">
            <v>Sim</v>
          </cell>
          <cell r="K56" t="str">
            <v>Elétrica</v>
          </cell>
          <cell r="L56" t="str">
            <v>Regulagem do comando da máquina</v>
          </cell>
          <cell r="M56" t="str">
            <v>Falha de Comando / Sistema</v>
          </cell>
          <cell r="N56">
            <v>37774</v>
          </cell>
          <cell r="O56">
            <v>0.6875</v>
          </cell>
          <cell r="P56">
            <v>37774</v>
          </cell>
          <cell r="Q56">
            <v>0.6875</v>
          </cell>
          <cell r="T56">
            <v>37774</v>
          </cell>
          <cell r="U56">
            <v>0.74305555555555547</v>
          </cell>
          <cell r="V56">
            <v>37774</v>
          </cell>
          <cell r="W56">
            <v>0.74305555555555547</v>
          </cell>
          <cell r="X56">
            <v>5.5555555555555469E-2</v>
          </cell>
          <cell r="Y56">
            <v>5.5555555554747116E-2</v>
          </cell>
          <cell r="AB56">
            <v>6</v>
          </cell>
          <cell r="AC56">
            <v>4</v>
          </cell>
          <cell r="AD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6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</row>
        <row r="57">
          <cell r="C57">
            <v>37718</v>
          </cell>
          <cell r="D57">
            <v>37727</v>
          </cell>
          <cell r="E57">
            <v>37725</v>
          </cell>
          <cell r="F57">
            <v>0.66666666666666663</v>
          </cell>
          <cell r="G57" t="str">
            <v>Linha de Pintura 3,2m</v>
          </cell>
          <cell r="H57" t="str">
            <v>Necessidade de melhoria quanto à regulagem de ar para a máquina de embalar e para o Revólver</v>
          </cell>
          <cell r="I57" t="str">
            <v>Melhoria</v>
          </cell>
          <cell r="J57" t="str">
            <v>Não</v>
          </cell>
          <cell r="K57" t="str">
            <v>Mecânica</v>
          </cell>
          <cell r="L57" t="str">
            <v>Foi instalada uma conexão tipo "T", de forma que apenas o revólver possua regulagem</v>
          </cell>
          <cell r="M57" t="str">
            <v>Melhoria Técnica</v>
          </cell>
          <cell r="N57">
            <v>37726</v>
          </cell>
          <cell r="O57">
            <v>0.53472222222222221</v>
          </cell>
          <cell r="P57">
            <v>37726</v>
          </cell>
          <cell r="Q57">
            <v>0.53472222222222221</v>
          </cell>
          <cell r="T57">
            <v>37726</v>
          </cell>
          <cell r="U57">
            <v>0.55555555555555558</v>
          </cell>
          <cell r="V57">
            <v>37726</v>
          </cell>
          <cell r="W57">
            <v>0.55555555555555558</v>
          </cell>
          <cell r="X57">
            <v>2.0833333332524906E-2</v>
          </cell>
          <cell r="Y57">
            <v>2.0833333332524906E-2</v>
          </cell>
          <cell r="AB57">
            <v>4</v>
          </cell>
          <cell r="AC57">
            <v>4</v>
          </cell>
          <cell r="AD57" t="str">
            <v>N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4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</row>
        <row r="58">
          <cell r="C58">
            <v>37718</v>
          </cell>
          <cell r="I58">
            <v>0</v>
          </cell>
          <cell r="N58">
            <v>0</v>
          </cell>
          <cell r="P58">
            <v>0</v>
          </cell>
          <cell r="T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AB58">
            <v>0</v>
          </cell>
          <cell r="AC58">
            <v>4</v>
          </cell>
          <cell r="AD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</row>
        <row r="59">
          <cell r="C59">
            <v>37718</v>
          </cell>
          <cell r="D59">
            <v>37746</v>
          </cell>
          <cell r="E59">
            <v>37741</v>
          </cell>
          <cell r="F59">
            <v>0.71527777777777779</v>
          </cell>
          <cell r="G59" t="str">
            <v>Linha de Pintura 3,2m</v>
          </cell>
          <cell r="H59" t="str">
            <v>Mau posicionamento das pistolas da cabine 02. Necessidade de mudança de posicionamento</v>
          </cell>
          <cell r="I59" t="str">
            <v>Melhoria</v>
          </cell>
          <cell r="J59" t="str">
            <v>Não</v>
          </cell>
          <cell r="K59" t="str">
            <v>Mecânica</v>
          </cell>
          <cell r="L59" t="str">
            <v>Mudança e fixação das pistolas e suporte do lado oposto da cabine</v>
          </cell>
          <cell r="M59" t="str">
            <v>Melhoria Técnica</v>
          </cell>
          <cell r="N59">
            <v>37743</v>
          </cell>
          <cell r="O59">
            <v>0.33333333333333331</v>
          </cell>
          <cell r="P59">
            <v>37743</v>
          </cell>
          <cell r="Q59">
            <v>0.33333333333333331</v>
          </cell>
          <cell r="T59">
            <v>37743</v>
          </cell>
          <cell r="U59">
            <v>0.70833333333333337</v>
          </cell>
          <cell r="V59">
            <v>37743</v>
          </cell>
          <cell r="W59">
            <v>0.70833333333333337</v>
          </cell>
          <cell r="X59">
            <v>0.37500000000242534</v>
          </cell>
          <cell r="Y59">
            <v>0.37500000000242534</v>
          </cell>
          <cell r="AB59">
            <v>5</v>
          </cell>
          <cell r="AC59">
            <v>4</v>
          </cell>
          <cell r="AD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5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</row>
        <row r="60">
          <cell r="C60">
            <v>37718</v>
          </cell>
          <cell r="D60">
            <v>37756</v>
          </cell>
          <cell r="E60">
            <v>37746</v>
          </cell>
          <cell r="F60">
            <v>0.52083333333333337</v>
          </cell>
          <cell r="G60" t="str">
            <v>Linha de Pintura 15m</v>
          </cell>
          <cell r="H60" t="str">
            <v>Anomalias no elevador 02 e na pistola 10</v>
          </cell>
          <cell r="I60" t="str">
            <v>Corretiva</v>
          </cell>
          <cell r="J60" t="str">
            <v>Sim</v>
          </cell>
          <cell r="K60" t="str">
            <v>Elétrica</v>
          </cell>
          <cell r="L60" t="str">
            <v>Substituição do(s) Componente(s)</v>
          </cell>
          <cell r="M60" t="str">
            <v>Falha de Comando / Sistema</v>
          </cell>
          <cell r="N60">
            <v>37747</v>
          </cell>
          <cell r="O60">
            <v>0.58333333333333337</v>
          </cell>
          <cell r="P60">
            <v>37747</v>
          </cell>
          <cell r="Q60">
            <v>0.58333333333333337</v>
          </cell>
          <cell r="T60">
            <v>37747</v>
          </cell>
          <cell r="U60">
            <v>0.67708333333333337</v>
          </cell>
          <cell r="V60">
            <v>37747</v>
          </cell>
          <cell r="W60">
            <v>0.67708333333333337</v>
          </cell>
          <cell r="X60">
            <v>9.375E-2</v>
          </cell>
          <cell r="Y60">
            <v>9.3750000002425282E-2</v>
          </cell>
          <cell r="AB60">
            <v>5</v>
          </cell>
          <cell r="AC60">
            <v>4</v>
          </cell>
          <cell r="AD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5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</row>
        <row r="61">
          <cell r="C61">
            <v>37718</v>
          </cell>
          <cell r="D61">
            <v>37747</v>
          </cell>
          <cell r="E61">
            <v>37747</v>
          </cell>
          <cell r="F61">
            <v>0.4375</v>
          </cell>
          <cell r="G61" t="str">
            <v>Linha de Pintura 3,2m</v>
          </cell>
          <cell r="H61" t="str">
            <v>A alça da tampa do tanque de fosfato quebrou-se</v>
          </cell>
          <cell r="I61" t="str">
            <v>Corretiva</v>
          </cell>
          <cell r="J61" t="str">
            <v>Não</v>
          </cell>
          <cell r="K61" t="str">
            <v>Mecânica</v>
          </cell>
          <cell r="L61" t="str">
            <v>Refeita nova alça de metal, mais resistente ao calor que a anterior</v>
          </cell>
          <cell r="M61" t="str">
            <v>Defeito de Fabricação</v>
          </cell>
          <cell r="N61">
            <v>37747</v>
          </cell>
          <cell r="O61">
            <v>0.4375</v>
          </cell>
          <cell r="P61">
            <v>37747</v>
          </cell>
          <cell r="Q61">
            <v>0.4375</v>
          </cell>
          <cell r="R61">
            <v>37763</v>
          </cell>
          <cell r="S61">
            <v>0.60416666666666663</v>
          </cell>
          <cell r="T61">
            <v>37763</v>
          </cell>
          <cell r="U61">
            <v>0.66666666666666663</v>
          </cell>
          <cell r="V61">
            <v>0</v>
          </cell>
          <cell r="W61">
            <v>6.25E-2</v>
          </cell>
          <cell r="X61">
            <v>6.25E-2</v>
          </cell>
          <cell r="Y61">
            <v>6.25E-2</v>
          </cell>
          <cell r="AB61">
            <v>5</v>
          </cell>
          <cell r="AC61">
            <v>4</v>
          </cell>
          <cell r="AD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5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</row>
        <row r="62">
          <cell r="C62">
            <v>37718</v>
          </cell>
          <cell r="D62">
            <v>37900</v>
          </cell>
          <cell r="E62">
            <v>37875</v>
          </cell>
          <cell r="F62">
            <v>0.5</v>
          </cell>
          <cell r="G62" t="str">
            <v>Linha de Pintura 3,2m</v>
          </cell>
          <cell r="H62" t="str">
            <v>Revólver de Retoque (Líquido) entupido</v>
          </cell>
          <cell r="I62" t="str">
            <v>Corretiva</v>
          </cell>
          <cell r="J62" t="str">
            <v>Não</v>
          </cell>
          <cell r="K62" t="str">
            <v>Mecânica</v>
          </cell>
          <cell r="L62" t="str">
            <v>Limpeza e troca do Kit de Reparo</v>
          </cell>
          <cell r="M62" t="str">
            <v>Desgaste / Fadiga</v>
          </cell>
          <cell r="N62">
            <v>37887</v>
          </cell>
          <cell r="O62">
            <v>0.375</v>
          </cell>
          <cell r="P62">
            <v>37887</v>
          </cell>
          <cell r="Q62">
            <v>0.375</v>
          </cell>
          <cell r="T62">
            <v>37887</v>
          </cell>
          <cell r="U62">
            <v>0.625</v>
          </cell>
          <cell r="V62">
            <v>37887</v>
          </cell>
          <cell r="W62">
            <v>0.625</v>
          </cell>
          <cell r="X62">
            <v>0.25</v>
          </cell>
          <cell r="Y62">
            <v>0.25</v>
          </cell>
          <cell r="AB62">
            <v>9</v>
          </cell>
          <cell r="AC62">
            <v>4</v>
          </cell>
          <cell r="AD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9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</row>
        <row r="63">
          <cell r="C63">
            <v>37718</v>
          </cell>
          <cell r="D63">
            <v>37902</v>
          </cell>
          <cell r="E63">
            <v>37890</v>
          </cell>
          <cell r="F63">
            <v>0.41666666666666669</v>
          </cell>
          <cell r="G63" t="str">
            <v>Linha de Pintura 3,2m</v>
          </cell>
          <cell r="H63" t="str">
            <v>A alça da tampa do tanque de enxague quebrou-se</v>
          </cell>
          <cell r="I63" t="str">
            <v>Corretiva</v>
          </cell>
          <cell r="J63" t="str">
            <v>Não</v>
          </cell>
          <cell r="K63" t="str">
            <v>Mecânica</v>
          </cell>
          <cell r="L63" t="str">
            <v>Substituição do(s) Componente(s)</v>
          </cell>
          <cell r="M63" t="str">
            <v>Falha de Projeto</v>
          </cell>
          <cell r="N63">
            <v>37897</v>
          </cell>
          <cell r="O63">
            <v>0.47916666666666669</v>
          </cell>
          <cell r="P63">
            <v>37897</v>
          </cell>
          <cell r="Q63">
            <v>0.47916666666666669</v>
          </cell>
          <cell r="T63">
            <v>37897</v>
          </cell>
          <cell r="U63">
            <v>0.625</v>
          </cell>
          <cell r="V63">
            <v>37897</v>
          </cell>
          <cell r="W63">
            <v>0.625</v>
          </cell>
          <cell r="X63">
            <v>0.14583333333333331</v>
          </cell>
          <cell r="Y63">
            <v>0.14583333333333331</v>
          </cell>
          <cell r="AB63">
            <v>10</v>
          </cell>
          <cell r="AC63">
            <v>4</v>
          </cell>
          <cell r="AD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10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</row>
        <row r="64">
          <cell r="C64">
            <v>37718</v>
          </cell>
          <cell r="D64">
            <v>37902</v>
          </cell>
          <cell r="E64">
            <v>37890</v>
          </cell>
          <cell r="F64">
            <v>0.27083333333333331</v>
          </cell>
          <cell r="G64" t="str">
            <v>Linha de Pintura 3,2m</v>
          </cell>
          <cell r="H64" t="str">
            <v>Queimador do tanque de fosfato não funciona</v>
          </cell>
          <cell r="I64" t="str">
            <v>Corretiva</v>
          </cell>
          <cell r="J64" t="str">
            <v>Sim</v>
          </cell>
          <cell r="K64" t="str">
            <v>Elétrica</v>
          </cell>
          <cell r="L64" t="str">
            <v>Reparo</v>
          </cell>
          <cell r="M64" t="str">
            <v>Desgaste / Fadiga</v>
          </cell>
          <cell r="N64">
            <v>37890</v>
          </cell>
          <cell r="O64">
            <v>0.33333333333333331</v>
          </cell>
          <cell r="P64">
            <v>37890</v>
          </cell>
          <cell r="Q64">
            <v>0.33333333333333331</v>
          </cell>
          <cell r="T64">
            <v>37890</v>
          </cell>
          <cell r="U64">
            <v>0.52777777777777779</v>
          </cell>
          <cell r="V64">
            <v>37890</v>
          </cell>
          <cell r="W64">
            <v>0.52777777777777779</v>
          </cell>
          <cell r="X64">
            <v>0.19444444444444448</v>
          </cell>
          <cell r="Y64">
            <v>0.19444444444767822</v>
          </cell>
          <cell r="AB64">
            <v>9</v>
          </cell>
          <cell r="AC64">
            <v>4</v>
          </cell>
          <cell r="AD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9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</row>
        <row r="65">
          <cell r="C65">
            <v>37718</v>
          </cell>
          <cell r="D65">
            <v>37902</v>
          </cell>
          <cell r="E65">
            <v>37894</v>
          </cell>
          <cell r="F65">
            <v>0.41666666666666669</v>
          </cell>
          <cell r="G65" t="str">
            <v>Linha de Pintura 3,2m</v>
          </cell>
          <cell r="H65" t="str">
            <v>Vazamento no solenóide do fosfato</v>
          </cell>
          <cell r="I65" t="str">
            <v>Corretiva</v>
          </cell>
          <cell r="J65" t="str">
            <v>Não</v>
          </cell>
          <cell r="K65" t="str">
            <v>Elétrica</v>
          </cell>
          <cell r="L65" t="str">
            <v>Contenção do vazamento</v>
          </cell>
          <cell r="M65" t="str">
            <v>Falha de Montagem / Preparação</v>
          </cell>
          <cell r="N65">
            <v>37897</v>
          </cell>
          <cell r="O65">
            <v>0.375</v>
          </cell>
          <cell r="P65">
            <v>37897</v>
          </cell>
          <cell r="Q65">
            <v>0.375</v>
          </cell>
          <cell r="T65">
            <v>37897</v>
          </cell>
          <cell r="U65">
            <v>0.47916666666666669</v>
          </cell>
          <cell r="V65">
            <v>37897</v>
          </cell>
          <cell r="W65">
            <v>0.47916666666666669</v>
          </cell>
          <cell r="X65">
            <v>0.10416666666424135</v>
          </cell>
          <cell r="Y65">
            <v>0.10416666666424135</v>
          </cell>
          <cell r="AB65">
            <v>10</v>
          </cell>
          <cell r="AC65">
            <v>4</v>
          </cell>
          <cell r="AD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10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</row>
        <row r="66">
          <cell r="C66">
            <v>37718</v>
          </cell>
          <cell r="D66">
            <v>37970</v>
          </cell>
          <cell r="E66">
            <v>37923</v>
          </cell>
          <cell r="F66">
            <v>37923</v>
          </cell>
          <cell r="G66">
            <v>0.65625</v>
          </cell>
          <cell r="H66" t="str">
            <v>Braço do Robô está com problemas de movimentação</v>
          </cell>
          <cell r="I66" t="str">
            <v>Corretiva</v>
          </cell>
          <cell r="J66" t="str">
            <v>Sim</v>
          </cell>
          <cell r="K66" t="str">
            <v>Elétrica</v>
          </cell>
          <cell r="L66" t="str">
            <v>Sim</v>
          </cell>
          <cell r="M66" t="str">
            <v>Mau contato</v>
          </cell>
          <cell r="N66">
            <v>37923</v>
          </cell>
          <cell r="O66">
            <v>0.65625</v>
          </cell>
          <cell r="P66">
            <v>37923</v>
          </cell>
          <cell r="Q66">
            <v>0.65625</v>
          </cell>
          <cell r="T66">
            <v>37923</v>
          </cell>
          <cell r="U66">
            <v>0.66666666666666663</v>
          </cell>
          <cell r="V66">
            <v>37923</v>
          </cell>
          <cell r="W66">
            <v>0.66666666666666663</v>
          </cell>
          <cell r="X66">
            <v>1.041666666666663E-2</v>
          </cell>
          <cell r="Y66">
            <v>1.0416666664241347E-2</v>
          </cell>
          <cell r="AB66">
            <v>10</v>
          </cell>
          <cell r="AC66">
            <v>4</v>
          </cell>
          <cell r="AD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10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</row>
        <row r="67">
          <cell r="C67">
            <v>37718</v>
          </cell>
          <cell r="D67">
            <v>37756</v>
          </cell>
          <cell r="E67">
            <v>37754</v>
          </cell>
          <cell r="F67">
            <v>0.625</v>
          </cell>
          <cell r="G67" t="str">
            <v>Linha de Pintura 8,5m</v>
          </cell>
          <cell r="H67" t="str">
            <v>Pistola de Pintura eletrostática não está funcionando</v>
          </cell>
          <cell r="I67" t="str">
            <v>Corretiva</v>
          </cell>
          <cell r="J67" t="str">
            <v>Sim</v>
          </cell>
          <cell r="K67" t="str">
            <v>Elétrica</v>
          </cell>
          <cell r="L67" t="str">
            <v>Soldagem da fiação interna da pistola e limpeza interna da mesma</v>
          </cell>
          <cell r="M67" t="str">
            <v>Sujeira em excesso</v>
          </cell>
          <cell r="N67">
            <v>37754</v>
          </cell>
          <cell r="O67">
            <v>0.625</v>
          </cell>
          <cell r="P67">
            <v>37754</v>
          </cell>
          <cell r="Q67">
            <v>0.625</v>
          </cell>
          <cell r="T67">
            <v>37754</v>
          </cell>
          <cell r="U67">
            <v>0.66666666666666663</v>
          </cell>
          <cell r="V67">
            <v>37754</v>
          </cell>
          <cell r="W67">
            <v>0.66666666666666663</v>
          </cell>
          <cell r="X67">
            <v>4.166666666666663E-2</v>
          </cell>
          <cell r="Y67">
            <v>4.1666666664241347E-2</v>
          </cell>
          <cell r="AB67">
            <v>5</v>
          </cell>
          <cell r="AC67">
            <v>4</v>
          </cell>
          <cell r="AD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5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</row>
        <row r="68">
          <cell r="C68">
            <v>37718</v>
          </cell>
          <cell r="I68">
            <v>0</v>
          </cell>
          <cell r="N68">
            <v>0</v>
          </cell>
          <cell r="P68">
            <v>0</v>
          </cell>
          <cell r="T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AB68">
            <v>0</v>
          </cell>
          <cell r="AC68">
            <v>4</v>
          </cell>
          <cell r="AD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</row>
        <row r="69">
          <cell r="C69">
            <v>37718</v>
          </cell>
          <cell r="I69">
            <v>0</v>
          </cell>
          <cell r="N69">
            <v>0</v>
          </cell>
          <cell r="P69">
            <v>0</v>
          </cell>
          <cell r="T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AB69">
            <v>0</v>
          </cell>
          <cell r="AC69">
            <v>4</v>
          </cell>
          <cell r="AD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</row>
        <row r="70">
          <cell r="C70">
            <v>37718</v>
          </cell>
          <cell r="I70">
            <v>0</v>
          </cell>
          <cell r="N70">
            <v>0</v>
          </cell>
          <cell r="P70">
            <v>0</v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AB70">
            <v>0</v>
          </cell>
          <cell r="AC70">
            <v>4</v>
          </cell>
          <cell r="AD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</row>
        <row r="71">
          <cell r="C71">
            <v>37718</v>
          </cell>
          <cell r="D71">
            <v>37722</v>
          </cell>
          <cell r="E71">
            <v>37722</v>
          </cell>
          <cell r="F71">
            <v>0.33333333333333331</v>
          </cell>
          <cell r="G71" t="str">
            <v>Sala dos Compressores</v>
          </cell>
          <cell r="H71" t="str">
            <v>Luminária não acende</v>
          </cell>
          <cell r="I71" t="str">
            <v>Corretiva</v>
          </cell>
          <cell r="J71" t="str">
            <v>Não</v>
          </cell>
          <cell r="K71" t="str">
            <v>Elétrica</v>
          </cell>
          <cell r="L71" t="str">
            <v>Correção de mau contato</v>
          </cell>
          <cell r="M71" t="str">
            <v>Sujeira em excesso</v>
          </cell>
          <cell r="N71">
            <v>37726</v>
          </cell>
          <cell r="O71">
            <v>0.41666666666666669</v>
          </cell>
          <cell r="P71">
            <v>37726</v>
          </cell>
          <cell r="Q71">
            <v>0.41666666666666669</v>
          </cell>
          <cell r="T71">
            <v>37726</v>
          </cell>
          <cell r="U71">
            <v>0.43055555555555558</v>
          </cell>
          <cell r="V71">
            <v>37726</v>
          </cell>
          <cell r="W71">
            <v>0.43055555555555558</v>
          </cell>
          <cell r="X71">
            <v>1.3888888888080431E-2</v>
          </cell>
          <cell r="Y71">
            <v>1.3888888888080431E-2</v>
          </cell>
          <cell r="AB71">
            <v>4</v>
          </cell>
          <cell r="AC71">
            <v>4</v>
          </cell>
          <cell r="AD71" t="str">
            <v>N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4</v>
          </cell>
          <cell r="CC71">
            <v>0</v>
          </cell>
          <cell r="CD71">
            <v>0</v>
          </cell>
        </row>
        <row r="72">
          <cell r="C72">
            <v>37718</v>
          </cell>
          <cell r="D72">
            <v>37727</v>
          </cell>
          <cell r="E72">
            <v>37722</v>
          </cell>
          <cell r="F72">
            <v>0.6875</v>
          </cell>
          <cell r="G72" t="str">
            <v>Prensa Jundiaí</v>
          </cell>
          <cell r="H72" t="str">
            <v>Vazamento de Óleo na tampa lateral da Máquina</v>
          </cell>
          <cell r="I72" t="str">
            <v>Corretiva</v>
          </cell>
          <cell r="J72" t="str">
            <v>Não</v>
          </cell>
          <cell r="K72" t="str">
            <v>Mecânica</v>
          </cell>
          <cell r="L72" t="str">
            <v>Reparo</v>
          </cell>
          <cell r="M72" t="str">
            <v>Vibração</v>
          </cell>
          <cell r="N72">
            <v>37723</v>
          </cell>
          <cell r="O72">
            <v>0.41666666666666669</v>
          </cell>
          <cell r="P72">
            <v>37723</v>
          </cell>
          <cell r="Q72">
            <v>0.41666666666666669</v>
          </cell>
          <cell r="T72">
            <v>37723</v>
          </cell>
          <cell r="U72">
            <v>0.4375</v>
          </cell>
          <cell r="V72">
            <v>37723</v>
          </cell>
          <cell r="W72">
            <v>0.4375</v>
          </cell>
          <cell r="X72">
            <v>2.0833333333333315E-2</v>
          </cell>
          <cell r="Y72">
            <v>2.0833333333333315E-2</v>
          </cell>
          <cell r="AB72">
            <v>4</v>
          </cell>
          <cell r="AC72">
            <v>4</v>
          </cell>
          <cell r="AD72" t="str">
            <v>N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4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</row>
        <row r="73">
          <cell r="C73">
            <v>37718</v>
          </cell>
          <cell r="D73">
            <v>37727</v>
          </cell>
          <cell r="E73">
            <v>37722</v>
          </cell>
          <cell r="F73">
            <v>0.6875</v>
          </cell>
          <cell r="G73" t="str">
            <v>Perfiladora Fagor Largueros</v>
          </cell>
          <cell r="H73" t="str">
            <v>Acoplamento do Servomotor encontra-se com 03 dos 06 parafusos quebrados</v>
          </cell>
          <cell r="I73" t="str">
            <v>Corretiva</v>
          </cell>
          <cell r="J73" t="str">
            <v>Não</v>
          </cell>
          <cell r="K73" t="str">
            <v>Mecânica</v>
          </cell>
          <cell r="L73" t="str">
            <v>Reparo</v>
          </cell>
          <cell r="M73" t="str">
            <v>Falha de Regulagem / Configuração / Dimensionamento</v>
          </cell>
          <cell r="N73">
            <v>37723</v>
          </cell>
          <cell r="O73">
            <v>0.4375</v>
          </cell>
          <cell r="P73">
            <v>37723</v>
          </cell>
          <cell r="Q73">
            <v>0.4375</v>
          </cell>
          <cell r="T73">
            <v>37723</v>
          </cell>
          <cell r="U73">
            <v>0.47916666666666669</v>
          </cell>
          <cell r="V73">
            <v>37723</v>
          </cell>
          <cell r="W73">
            <v>0.47916666666666669</v>
          </cell>
          <cell r="X73">
            <v>4.1666666664241347E-2</v>
          </cell>
          <cell r="Y73">
            <v>4.1666666664241347E-2</v>
          </cell>
          <cell r="AB73">
            <v>4</v>
          </cell>
          <cell r="AC73">
            <v>4</v>
          </cell>
          <cell r="AD73" t="str">
            <v>N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4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</row>
        <row r="74">
          <cell r="C74">
            <v>37718</v>
          </cell>
          <cell r="D74">
            <v>37746</v>
          </cell>
          <cell r="E74">
            <v>37744</v>
          </cell>
          <cell r="F74">
            <v>0.33333333333333331</v>
          </cell>
          <cell r="G74" t="str">
            <v>Linha de Pintura 15m</v>
          </cell>
          <cell r="H74" t="str">
            <v>Fazer instalação de ar comprimido dos 02 lados para a cabine ser usada nas linhas de 8,5 e 15m</v>
          </cell>
          <cell r="I74" t="str">
            <v>Melhoria</v>
          </cell>
          <cell r="J74" t="str">
            <v>Não</v>
          </cell>
          <cell r="K74" t="str">
            <v>Mecânica</v>
          </cell>
          <cell r="L74" t="str">
            <v>Montagem / Instalação</v>
          </cell>
          <cell r="M74" t="str">
            <v>Melhoria Técnica</v>
          </cell>
          <cell r="N74">
            <v>37744</v>
          </cell>
          <cell r="O74">
            <v>0.34930555555555554</v>
          </cell>
          <cell r="P74">
            <v>37744</v>
          </cell>
          <cell r="Q74">
            <v>0.34930555555555554</v>
          </cell>
          <cell r="T74">
            <v>37744</v>
          </cell>
          <cell r="U74">
            <v>0.68263888888888891</v>
          </cell>
          <cell r="V74">
            <v>37744</v>
          </cell>
          <cell r="W74">
            <v>0.68263888888888891</v>
          </cell>
          <cell r="X74">
            <v>0.33333333333203985</v>
          </cell>
          <cell r="Y74">
            <v>0.33333333333203985</v>
          </cell>
          <cell r="AB74">
            <v>5</v>
          </cell>
          <cell r="AC74">
            <v>4</v>
          </cell>
          <cell r="AD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5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</row>
        <row r="75">
          <cell r="C75">
            <v>37718</v>
          </cell>
          <cell r="D75">
            <v>37746</v>
          </cell>
          <cell r="E75">
            <v>37746</v>
          </cell>
          <cell r="F75">
            <v>0.33333333333333331</v>
          </cell>
          <cell r="G75" t="str">
            <v>Linha de Pintura 3,2m</v>
          </cell>
          <cell r="H75" t="str">
            <v>Instalar parte elétrica das pistolas já instaladas conforme OS 068/03</v>
          </cell>
          <cell r="I75" t="str">
            <v>Melhoria</v>
          </cell>
          <cell r="J75" t="str">
            <v>Não</v>
          </cell>
          <cell r="K75" t="str">
            <v>Elétrica</v>
          </cell>
          <cell r="L75" t="str">
            <v>Montagem / Instalação</v>
          </cell>
          <cell r="M75" t="str">
            <v>Melhoria Técnica</v>
          </cell>
          <cell r="N75">
            <v>37746</v>
          </cell>
          <cell r="O75">
            <v>0.33333333333333331</v>
          </cell>
          <cell r="P75">
            <v>37746</v>
          </cell>
          <cell r="Q75">
            <v>0.33333333333333331</v>
          </cell>
          <cell r="R75">
            <v>37792</v>
          </cell>
          <cell r="S75">
            <v>0.66666666666666663</v>
          </cell>
          <cell r="T75">
            <v>37792</v>
          </cell>
          <cell r="U75">
            <v>0.6875</v>
          </cell>
          <cell r="V75">
            <v>0</v>
          </cell>
          <cell r="W75">
            <v>2.083333333333337E-2</v>
          </cell>
          <cell r="X75">
            <v>2.083333333333337E-2</v>
          </cell>
          <cell r="Y75">
            <v>2.083333333333337E-2</v>
          </cell>
          <cell r="AB75">
            <v>6</v>
          </cell>
          <cell r="AC75">
            <v>4</v>
          </cell>
          <cell r="AD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6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</row>
        <row r="76">
          <cell r="C76">
            <v>37718</v>
          </cell>
          <cell r="D76">
            <v>37748</v>
          </cell>
          <cell r="E76">
            <v>37747</v>
          </cell>
          <cell r="F76">
            <v>0.33333333333333331</v>
          </cell>
          <cell r="G76" t="str">
            <v>Células de Solda Automática</v>
          </cell>
          <cell r="H76" t="str">
            <v>Eixo do Pistão de stop final da esteira está torto</v>
          </cell>
          <cell r="I76" t="str">
            <v>Melhoria</v>
          </cell>
          <cell r="J76" t="str">
            <v>Não</v>
          </cell>
          <cell r="K76" t="str">
            <v>Mecânica</v>
          </cell>
          <cell r="L76" t="str">
            <v>O Pistão foi substituído por uma chapa</v>
          </cell>
          <cell r="M76" t="str">
            <v>Melhoria Técnica</v>
          </cell>
          <cell r="N76">
            <v>37747</v>
          </cell>
          <cell r="O76">
            <v>0.41666666666666669</v>
          </cell>
          <cell r="P76">
            <v>37747</v>
          </cell>
          <cell r="Q76">
            <v>0.41666666666666669</v>
          </cell>
          <cell r="T76">
            <v>37747</v>
          </cell>
          <cell r="U76">
            <v>0.53125</v>
          </cell>
          <cell r="V76">
            <v>37747</v>
          </cell>
          <cell r="W76">
            <v>0.53125</v>
          </cell>
          <cell r="X76">
            <v>0.11458333333333331</v>
          </cell>
          <cell r="Y76">
            <v>0.11458333333333331</v>
          </cell>
          <cell r="AB76">
            <v>5</v>
          </cell>
          <cell r="AC76">
            <v>4</v>
          </cell>
          <cell r="AD76">
            <v>0</v>
          </cell>
          <cell r="BF76">
            <v>5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</row>
        <row r="77">
          <cell r="C77">
            <v>37718</v>
          </cell>
          <cell r="D77">
            <v>37727</v>
          </cell>
          <cell r="E77">
            <v>37726</v>
          </cell>
          <cell r="F77">
            <v>0.625</v>
          </cell>
          <cell r="G77" t="str">
            <v>Linha de Pintura 15m</v>
          </cell>
          <cell r="H77" t="str">
            <v>Mau contato no cabo da Pistola</v>
          </cell>
          <cell r="I77" t="str">
            <v>Corretiva</v>
          </cell>
          <cell r="J77" t="str">
            <v>Não</v>
          </cell>
          <cell r="K77" t="str">
            <v>Elétrica</v>
          </cell>
          <cell r="L77" t="str">
            <v>Substituição do(s) Componente(s)</v>
          </cell>
          <cell r="M77" t="str">
            <v>Defeito de Fabricação</v>
          </cell>
          <cell r="N77">
            <v>37726</v>
          </cell>
          <cell r="O77">
            <v>0.65625</v>
          </cell>
          <cell r="P77">
            <v>37726</v>
          </cell>
          <cell r="Q77">
            <v>0.65625</v>
          </cell>
          <cell r="T77">
            <v>37726</v>
          </cell>
          <cell r="U77">
            <v>0.6875</v>
          </cell>
          <cell r="V77">
            <v>37726</v>
          </cell>
          <cell r="W77">
            <v>0.6875</v>
          </cell>
          <cell r="X77">
            <v>3.125E-2</v>
          </cell>
          <cell r="Y77">
            <v>3.125E-2</v>
          </cell>
          <cell r="AB77">
            <v>4</v>
          </cell>
          <cell r="AC77">
            <v>4</v>
          </cell>
          <cell r="AD77" t="str">
            <v>N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4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</row>
        <row r="78">
          <cell r="C78">
            <v>37718</v>
          </cell>
          <cell r="D78">
            <v>37727</v>
          </cell>
          <cell r="E78">
            <v>37727</v>
          </cell>
          <cell r="F78">
            <v>0.375</v>
          </cell>
          <cell r="G78" t="str">
            <v>Linha de Pintura 15m</v>
          </cell>
          <cell r="H78" t="str">
            <v>Furo no Pulmão</v>
          </cell>
          <cell r="I78" t="str">
            <v>Corretiva</v>
          </cell>
          <cell r="J78" t="str">
            <v>Sim</v>
          </cell>
          <cell r="K78" t="str">
            <v>Mecânica</v>
          </cell>
          <cell r="L78" t="str">
            <v>Soldagem da Caixa do Pulmão</v>
          </cell>
          <cell r="M78" t="str">
            <v>Defeito de Fabricação</v>
          </cell>
          <cell r="N78">
            <v>37727</v>
          </cell>
          <cell r="O78">
            <v>0.375</v>
          </cell>
          <cell r="P78">
            <v>37727</v>
          </cell>
          <cell r="Q78">
            <v>0.375</v>
          </cell>
          <cell r="T78">
            <v>37727</v>
          </cell>
          <cell r="U78">
            <v>0.40277777777777773</v>
          </cell>
          <cell r="V78">
            <v>37727</v>
          </cell>
          <cell r="W78">
            <v>0.40277777777777773</v>
          </cell>
          <cell r="X78">
            <v>2.7777777777777735E-2</v>
          </cell>
          <cell r="Y78">
            <v>2.7777777781011537E-2</v>
          </cell>
          <cell r="AB78">
            <v>4</v>
          </cell>
          <cell r="AC78">
            <v>4</v>
          </cell>
          <cell r="AD78" t="str">
            <v>S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4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</row>
        <row r="79">
          <cell r="C79">
            <v>37718</v>
          </cell>
          <cell r="I79">
            <v>0</v>
          </cell>
          <cell r="N79">
            <v>0</v>
          </cell>
          <cell r="P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AB79">
            <v>0</v>
          </cell>
          <cell r="AC79">
            <v>4</v>
          </cell>
          <cell r="AD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</row>
        <row r="80">
          <cell r="C80">
            <v>37718</v>
          </cell>
          <cell r="D80">
            <v>37733</v>
          </cell>
          <cell r="E80">
            <v>37728</v>
          </cell>
          <cell r="F80">
            <v>0.33333333333333331</v>
          </cell>
          <cell r="G80" t="str">
            <v>Linha de Pintura 15m</v>
          </cell>
          <cell r="H80" t="str">
            <v>Parada constante no bastidor da entrada da secagem</v>
          </cell>
          <cell r="I80" t="str">
            <v>Corretiva</v>
          </cell>
          <cell r="J80" t="str">
            <v>Não</v>
          </cell>
          <cell r="K80" t="str">
            <v>Mecânica</v>
          </cell>
          <cell r="L80" t="str">
            <v>Ajuste / Regulagem</v>
          </cell>
          <cell r="M80" t="str">
            <v>Falha de Montagem / Preparação</v>
          </cell>
          <cell r="N80">
            <v>37728</v>
          </cell>
          <cell r="O80">
            <v>0.33333333333333331</v>
          </cell>
          <cell r="P80">
            <v>37728</v>
          </cell>
          <cell r="Q80">
            <v>0.33333333333333331</v>
          </cell>
          <cell r="T80">
            <v>37728</v>
          </cell>
          <cell r="U80">
            <v>0.375</v>
          </cell>
          <cell r="V80">
            <v>37728</v>
          </cell>
          <cell r="W80">
            <v>0.375</v>
          </cell>
          <cell r="X80">
            <v>4.1666666666666685E-2</v>
          </cell>
          <cell r="Y80">
            <v>4.1666666666666685E-2</v>
          </cell>
          <cell r="AB80">
            <v>4</v>
          </cell>
          <cell r="AC80">
            <v>4</v>
          </cell>
          <cell r="AD80" t="str">
            <v>N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4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</row>
        <row r="81">
          <cell r="C81">
            <v>37718</v>
          </cell>
          <cell r="D81">
            <v>37733</v>
          </cell>
          <cell r="E81">
            <v>37733</v>
          </cell>
          <cell r="F81">
            <v>0.375</v>
          </cell>
          <cell r="G81" t="str">
            <v>Linha de Pintura 15m</v>
          </cell>
          <cell r="H81" t="str">
            <v>Vazamento de ar no pulmão</v>
          </cell>
          <cell r="I81" t="str">
            <v>Corretiva</v>
          </cell>
          <cell r="J81" t="str">
            <v>Não</v>
          </cell>
          <cell r="K81" t="str">
            <v>Mecânica</v>
          </cell>
          <cell r="L81" t="str">
            <v>Reparo</v>
          </cell>
          <cell r="M81" t="str">
            <v>Defeito de Fabricação</v>
          </cell>
          <cell r="N81">
            <v>37733</v>
          </cell>
          <cell r="O81">
            <v>0.53125</v>
          </cell>
          <cell r="P81">
            <v>37733</v>
          </cell>
          <cell r="Q81">
            <v>0.53125</v>
          </cell>
          <cell r="T81">
            <v>37733</v>
          </cell>
          <cell r="U81">
            <v>0.57291666666666663</v>
          </cell>
          <cell r="V81">
            <v>37733</v>
          </cell>
          <cell r="W81">
            <v>0.57291666666666663</v>
          </cell>
          <cell r="X81">
            <v>4.1666666664241347E-2</v>
          </cell>
          <cell r="Y81">
            <v>4.1666666664241347E-2</v>
          </cell>
          <cell r="AB81">
            <v>4</v>
          </cell>
          <cell r="AC81">
            <v>4</v>
          </cell>
          <cell r="AD81" t="str">
            <v>N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4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</row>
        <row r="82">
          <cell r="C82">
            <v>37718</v>
          </cell>
          <cell r="D82">
            <v>37734</v>
          </cell>
          <cell r="E82">
            <v>37733</v>
          </cell>
          <cell r="F82">
            <v>0.58333333333333337</v>
          </cell>
          <cell r="G82" t="str">
            <v>Linha de Pintura 15m</v>
          </cell>
          <cell r="H82" t="str">
            <v>Parafusos da estrutura dos bastidores estão soltos e mancal do bastidor torcido</v>
          </cell>
          <cell r="I82" t="str">
            <v>Corretiva</v>
          </cell>
          <cell r="J82" t="str">
            <v>Sim</v>
          </cell>
          <cell r="K82" t="str">
            <v>Mecânica</v>
          </cell>
          <cell r="L82" t="str">
            <v>Identificados os bastidores com eixo torto e programada nova data (sábado) para Manutenção dos mesmos</v>
          </cell>
          <cell r="M82" t="str">
            <v>Falha Operacional</v>
          </cell>
          <cell r="N82">
            <v>37733</v>
          </cell>
          <cell r="O82">
            <v>0.58333333333333337</v>
          </cell>
          <cell r="P82">
            <v>37733</v>
          </cell>
          <cell r="Q82">
            <v>0.60416666666666663</v>
          </cell>
          <cell r="R82">
            <v>37737</v>
          </cell>
          <cell r="S82">
            <v>0.54166666666666663</v>
          </cell>
          <cell r="T82">
            <v>37737</v>
          </cell>
          <cell r="U82">
            <v>0.70833333333333337</v>
          </cell>
          <cell r="V82">
            <v>0</v>
          </cell>
          <cell r="W82">
            <v>0.1875</v>
          </cell>
          <cell r="X82">
            <v>0.1875</v>
          </cell>
          <cell r="Y82">
            <v>0.1875</v>
          </cell>
          <cell r="AB82">
            <v>4</v>
          </cell>
          <cell r="AC82">
            <v>4</v>
          </cell>
          <cell r="AD82" t="str">
            <v>S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4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</row>
        <row r="83">
          <cell r="C83">
            <v>37718</v>
          </cell>
          <cell r="D83">
            <v>37735</v>
          </cell>
          <cell r="E83">
            <v>37734</v>
          </cell>
          <cell r="F83">
            <v>0.52777777777777779</v>
          </cell>
          <cell r="G83" t="str">
            <v>Linha de Pintura 15m</v>
          </cell>
          <cell r="H83" t="str">
            <v>Vazamento na lateral do túnel de entrada de fosfatado</v>
          </cell>
          <cell r="I83" t="str">
            <v>Corretiva</v>
          </cell>
          <cell r="J83" t="str">
            <v>Não</v>
          </cell>
          <cell r="K83" t="str">
            <v>Mecânica</v>
          </cell>
          <cell r="L83" t="str">
            <v>Contenção do vazamento</v>
          </cell>
          <cell r="M83" t="str">
            <v>Falha de Montagem / Preparação</v>
          </cell>
          <cell r="N83">
            <v>37764</v>
          </cell>
          <cell r="O83">
            <v>0.33333333333333331</v>
          </cell>
          <cell r="P83">
            <v>37764</v>
          </cell>
          <cell r="Q83">
            <v>0.35416666666666669</v>
          </cell>
          <cell r="R83">
            <v>37768</v>
          </cell>
          <cell r="S83">
            <v>0.41666666666666669</v>
          </cell>
          <cell r="T83">
            <v>37768</v>
          </cell>
          <cell r="U83">
            <v>0.47916666666666669</v>
          </cell>
          <cell r="V83">
            <v>0</v>
          </cell>
          <cell r="W83">
            <v>8.333333333333337E-2</v>
          </cell>
          <cell r="X83">
            <v>8.333333333333337E-2</v>
          </cell>
          <cell r="Y83">
            <v>8.333333333333337E-2</v>
          </cell>
          <cell r="AB83">
            <v>5</v>
          </cell>
          <cell r="AC83">
            <v>4</v>
          </cell>
          <cell r="AD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5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</row>
        <row r="84">
          <cell r="C84">
            <v>37718</v>
          </cell>
          <cell r="D84">
            <v>37735</v>
          </cell>
          <cell r="E84">
            <v>37735</v>
          </cell>
          <cell r="F84">
            <v>0.4375</v>
          </cell>
          <cell r="G84" t="str">
            <v>Linha de Pintura 15m</v>
          </cell>
          <cell r="H84" t="str">
            <v>Parada constante no bastidor da entrada da secagem</v>
          </cell>
          <cell r="I84" t="str">
            <v>Corretiva</v>
          </cell>
          <cell r="J84" t="str">
            <v>Sim</v>
          </cell>
          <cell r="K84" t="str">
            <v>Mecânica</v>
          </cell>
          <cell r="L84" t="str">
            <v>Ajuste / Regulagem</v>
          </cell>
          <cell r="M84" t="str">
            <v>Falha de Regulagem / Configuração / Dimensionamento</v>
          </cell>
          <cell r="N84">
            <v>37735</v>
          </cell>
          <cell r="O84">
            <v>0.4375</v>
          </cell>
          <cell r="P84">
            <v>37735</v>
          </cell>
          <cell r="Q84">
            <v>0.4375</v>
          </cell>
          <cell r="T84">
            <v>37735</v>
          </cell>
          <cell r="U84">
            <v>0.47916666666666669</v>
          </cell>
          <cell r="V84">
            <v>37735</v>
          </cell>
          <cell r="W84">
            <v>0.47916666666666669</v>
          </cell>
          <cell r="X84">
            <v>4.1666666666666685E-2</v>
          </cell>
          <cell r="Y84">
            <v>4.1666666664241347E-2</v>
          </cell>
          <cell r="AB84">
            <v>4</v>
          </cell>
          <cell r="AC84">
            <v>4</v>
          </cell>
          <cell r="AD84" t="str">
            <v>S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4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</row>
        <row r="85">
          <cell r="C85">
            <v>37718</v>
          </cell>
          <cell r="D85">
            <v>37746</v>
          </cell>
          <cell r="E85">
            <v>37740</v>
          </cell>
          <cell r="F85">
            <v>0.47916666666666669</v>
          </cell>
          <cell r="G85" t="str">
            <v>Linha de Pintura 15m</v>
          </cell>
          <cell r="H85" t="str">
            <v>Pistola manual apresenta mau contato no cabo</v>
          </cell>
          <cell r="I85" t="str">
            <v>Corretiva</v>
          </cell>
          <cell r="J85" t="str">
            <v>Não</v>
          </cell>
          <cell r="K85" t="str">
            <v>Elétrica</v>
          </cell>
          <cell r="L85" t="str">
            <v>Melhoria no Sistema de Fixação</v>
          </cell>
          <cell r="M85" t="str">
            <v>Mau contato</v>
          </cell>
          <cell r="N85">
            <v>37740</v>
          </cell>
          <cell r="O85">
            <v>0.47222222222222227</v>
          </cell>
          <cell r="P85">
            <v>37740</v>
          </cell>
          <cell r="Q85">
            <v>0.47222222222222227</v>
          </cell>
          <cell r="T85">
            <v>37740</v>
          </cell>
          <cell r="U85">
            <v>0.4861111111111111</v>
          </cell>
          <cell r="V85">
            <v>37740</v>
          </cell>
          <cell r="W85">
            <v>0.4861111111111111</v>
          </cell>
          <cell r="X85">
            <v>1.3888888887271966E-2</v>
          </cell>
          <cell r="Y85">
            <v>1.3888888887271966E-2</v>
          </cell>
          <cell r="AB85">
            <v>4</v>
          </cell>
          <cell r="AC85">
            <v>4</v>
          </cell>
          <cell r="AD85" t="str">
            <v>N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4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</row>
        <row r="86">
          <cell r="C86">
            <v>37718</v>
          </cell>
          <cell r="D86">
            <v>37746</v>
          </cell>
          <cell r="E86">
            <v>37741</v>
          </cell>
          <cell r="F86">
            <v>0.45833333333333331</v>
          </cell>
          <cell r="G86" t="str">
            <v>Linha de Pintura 15m</v>
          </cell>
          <cell r="H86" t="str">
            <v>Bomba do transportador de pó danificada</v>
          </cell>
          <cell r="I86" t="str">
            <v>Corretiva</v>
          </cell>
          <cell r="J86" t="str">
            <v>Não</v>
          </cell>
          <cell r="K86" t="str">
            <v>Mecânica</v>
          </cell>
          <cell r="L86" t="str">
            <v>Substituição do(s) Componente(s)</v>
          </cell>
          <cell r="M86" t="str">
            <v>Defeito de Fabricação</v>
          </cell>
          <cell r="N86">
            <v>37741</v>
          </cell>
          <cell r="O86">
            <v>0.45833333333333331</v>
          </cell>
          <cell r="P86">
            <v>37741</v>
          </cell>
          <cell r="Q86">
            <v>0.45833333333333331</v>
          </cell>
          <cell r="T86">
            <v>37741</v>
          </cell>
          <cell r="U86">
            <v>0.47916666666666669</v>
          </cell>
          <cell r="V86">
            <v>37741</v>
          </cell>
          <cell r="W86">
            <v>0.47916666666666669</v>
          </cell>
          <cell r="X86">
            <v>2.0833333330908033E-2</v>
          </cell>
          <cell r="Y86">
            <v>2.0833333330908033E-2</v>
          </cell>
          <cell r="AB86">
            <v>4</v>
          </cell>
          <cell r="AC86">
            <v>4</v>
          </cell>
          <cell r="AD86" t="str">
            <v>N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4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</row>
        <row r="87">
          <cell r="C87">
            <v>37718</v>
          </cell>
          <cell r="D87">
            <v>37721</v>
          </cell>
          <cell r="E87">
            <v>37721</v>
          </cell>
          <cell r="F87">
            <v>0.4375</v>
          </cell>
          <cell r="G87" t="str">
            <v>Máquina de Solda MIG</v>
          </cell>
          <cell r="H87" t="str">
            <v>Plug incompatível com a tomada da linha da Solda Manual</v>
          </cell>
          <cell r="I87" t="str">
            <v>Corretiva</v>
          </cell>
          <cell r="J87" t="str">
            <v>Sim</v>
          </cell>
          <cell r="K87" t="str">
            <v>Elétrica</v>
          </cell>
          <cell r="L87" t="str">
            <v>Substituição do(s) Componente(s)</v>
          </cell>
          <cell r="M87" t="str">
            <v>Alteração na Localização da Máquina</v>
          </cell>
          <cell r="N87">
            <v>37721</v>
          </cell>
          <cell r="O87">
            <v>0.4375</v>
          </cell>
          <cell r="P87">
            <v>37721</v>
          </cell>
          <cell r="Q87">
            <v>0.4375</v>
          </cell>
          <cell r="T87">
            <v>37721</v>
          </cell>
          <cell r="U87">
            <v>0.44791666666666669</v>
          </cell>
          <cell r="V87">
            <v>37721</v>
          </cell>
          <cell r="W87">
            <v>0.44791666666666669</v>
          </cell>
          <cell r="X87">
            <v>1.0416666666666685E-2</v>
          </cell>
          <cell r="Y87">
            <v>1.0416666664241347E-2</v>
          </cell>
          <cell r="AB87">
            <v>4</v>
          </cell>
          <cell r="AC87">
            <v>4</v>
          </cell>
          <cell r="AD87" t="str">
            <v>S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4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</row>
        <row r="88">
          <cell r="C88">
            <v>37718</v>
          </cell>
          <cell r="D88">
            <v>37734</v>
          </cell>
          <cell r="E88">
            <v>37733</v>
          </cell>
          <cell r="F88">
            <v>0.40972222222222227</v>
          </cell>
          <cell r="G88" t="str">
            <v>Máquina de Solda MIG</v>
          </cell>
          <cell r="H88" t="str">
            <v>Plug incompatível com a tomada da linha da Solda Manual</v>
          </cell>
          <cell r="I88" t="str">
            <v>Corretiva</v>
          </cell>
          <cell r="J88" t="str">
            <v>Sim</v>
          </cell>
          <cell r="K88" t="str">
            <v>Elétrica</v>
          </cell>
          <cell r="L88" t="str">
            <v>Substituição do(s) Componente(s)</v>
          </cell>
          <cell r="M88" t="str">
            <v>Alteração na Localização da Máquina</v>
          </cell>
          <cell r="N88">
            <v>37733</v>
          </cell>
          <cell r="O88">
            <v>0.41666666666666669</v>
          </cell>
          <cell r="P88">
            <v>37733</v>
          </cell>
          <cell r="Q88">
            <v>0.41666666666666669</v>
          </cell>
          <cell r="T88">
            <v>37733</v>
          </cell>
          <cell r="U88">
            <v>0.42708333333333331</v>
          </cell>
          <cell r="V88">
            <v>37733</v>
          </cell>
          <cell r="W88">
            <v>0.42708333333333331</v>
          </cell>
          <cell r="X88">
            <v>1.041666666666663E-2</v>
          </cell>
          <cell r="Y88">
            <v>1.0416666669091967E-2</v>
          </cell>
          <cell r="AB88">
            <v>4</v>
          </cell>
          <cell r="AC88">
            <v>4</v>
          </cell>
          <cell r="AD88" t="str">
            <v>S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4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</row>
        <row r="89">
          <cell r="C89">
            <v>37718</v>
          </cell>
          <cell r="D89">
            <v>37767</v>
          </cell>
          <cell r="E89">
            <v>37764</v>
          </cell>
          <cell r="F89">
            <v>0.35069444444444442</v>
          </cell>
          <cell r="G89" t="str">
            <v>Células de Solda Automática</v>
          </cell>
          <cell r="H89" t="str">
            <v>Mangueira de ar do dispositivo da mesa está furada</v>
          </cell>
          <cell r="I89" t="str">
            <v>Corretiva</v>
          </cell>
          <cell r="J89" t="str">
            <v>Sim</v>
          </cell>
          <cell r="K89" t="str">
            <v>Mecânica</v>
          </cell>
          <cell r="L89" t="str">
            <v>Substituição do(s) Componente(s)</v>
          </cell>
          <cell r="M89" t="str">
            <v>Falha de Projeto</v>
          </cell>
          <cell r="N89">
            <v>37764</v>
          </cell>
          <cell r="O89">
            <v>0.35416666666666669</v>
          </cell>
          <cell r="P89">
            <v>37764</v>
          </cell>
          <cell r="Q89">
            <v>0.35416666666666669</v>
          </cell>
          <cell r="T89">
            <v>37764</v>
          </cell>
          <cell r="U89">
            <v>0.3888888888888889</v>
          </cell>
          <cell r="V89">
            <v>37764</v>
          </cell>
          <cell r="W89">
            <v>0.3888888888888889</v>
          </cell>
          <cell r="X89">
            <v>3.472222222222221E-2</v>
          </cell>
          <cell r="Y89">
            <v>3.4722222223839083E-2</v>
          </cell>
          <cell r="AB89">
            <v>5</v>
          </cell>
          <cell r="AC89">
            <v>4</v>
          </cell>
          <cell r="AD89">
            <v>0</v>
          </cell>
          <cell r="BF89">
            <v>5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</row>
        <row r="90">
          <cell r="C90">
            <v>37718</v>
          </cell>
          <cell r="D90">
            <v>37769</v>
          </cell>
          <cell r="E90">
            <v>37767</v>
          </cell>
          <cell r="F90">
            <v>0.70833333333333337</v>
          </cell>
          <cell r="G90" t="str">
            <v>Células de Solda Automática</v>
          </cell>
          <cell r="H90" t="str">
            <v>Vazamento na mangueira de ar</v>
          </cell>
          <cell r="I90" t="str">
            <v>Corretiva</v>
          </cell>
          <cell r="J90" t="str">
            <v>Sim</v>
          </cell>
          <cell r="K90" t="str">
            <v>Mecânica</v>
          </cell>
          <cell r="L90" t="str">
            <v>Substituição do(s) Componente(s)</v>
          </cell>
          <cell r="M90" t="str">
            <v>Falha de Projeto</v>
          </cell>
          <cell r="N90">
            <v>37767</v>
          </cell>
          <cell r="O90">
            <v>0.70833333333333337</v>
          </cell>
          <cell r="P90">
            <v>37767</v>
          </cell>
          <cell r="Q90">
            <v>0.70833333333333337</v>
          </cell>
          <cell r="T90">
            <v>37767</v>
          </cell>
          <cell r="U90">
            <v>0.72916666666666663</v>
          </cell>
          <cell r="V90">
            <v>37767</v>
          </cell>
          <cell r="W90">
            <v>0.72916666666666663</v>
          </cell>
          <cell r="X90">
            <v>2.0833333333333259E-2</v>
          </cell>
          <cell r="Y90">
            <v>2.0833333330907977E-2</v>
          </cell>
          <cell r="AB90">
            <v>5</v>
          </cell>
          <cell r="AC90">
            <v>4</v>
          </cell>
          <cell r="AD90">
            <v>0</v>
          </cell>
          <cell r="BF90">
            <v>5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</row>
        <row r="91">
          <cell r="C91">
            <v>37718</v>
          </cell>
          <cell r="D91">
            <v>37776</v>
          </cell>
          <cell r="E91">
            <v>37770</v>
          </cell>
          <cell r="F91">
            <v>0.33333333333333331</v>
          </cell>
          <cell r="G91" t="str">
            <v>Células de Solda Automática</v>
          </cell>
          <cell r="H91" t="str">
            <v>Mangueira de ar do dispositivo da mesa está furada</v>
          </cell>
          <cell r="I91" t="str">
            <v>Corretiva</v>
          </cell>
          <cell r="J91" t="str">
            <v>Sim</v>
          </cell>
          <cell r="K91" t="str">
            <v>Mecânica</v>
          </cell>
          <cell r="L91" t="str">
            <v>Substituição do(s) Componente(s)</v>
          </cell>
          <cell r="M91" t="str">
            <v>Falha de Projeto</v>
          </cell>
          <cell r="N91">
            <v>37770</v>
          </cell>
          <cell r="O91">
            <v>0.33333333333333331</v>
          </cell>
          <cell r="P91">
            <v>37770</v>
          </cell>
          <cell r="Q91">
            <v>0.33333333333333331</v>
          </cell>
          <cell r="T91">
            <v>37770</v>
          </cell>
          <cell r="U91">
            <v>0.3611111111111111</v>
          </cell>
          <cell r="V91">
            <v>37770</v>
          </cell>
          <cell r="W91">
            <v>0.3611111111111111</v>
          </cell>
          <cell r="X91">
            <v>2.777777777777779E-2</v>
          </cell>
          <cell r="Y91">
            <v>2.7777777776160917E-2</v>
          </cell>
          <cell r="AB91">
            <v>5</v>
          </cell>
          <cell r="AC91">
            <v>4</v>
          </cell>
          <cell r="AD91">
            <v>0</v>
          </cell>
          <cell r="BF91">
            <v>5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</row>
        <row r="92">
          <cell r="C92">
            <v>37718</v>
          </cell>
          <cell r="D92">
            <v>37803</v>
          </cell>
          <cell r="E92">
            <v>37775</v>
          </cell>
          <cell r="F92">
            <v>0.68194444444444446</v>
          </cell>
          <cell r="G92" t="str">
            <v>Máquina de Solda MIG</v>
          </cell>
          <cell r="H92" t="str">
            <v>Tomada em más condições de uso</v>
          </cell>
          <cell r="I92" t="str">
            <v>Corretiva</v>
          </cell>
          <cell r="J92" t="str">
            <v>Sim</v>
          </cell>
          <cell r="K92" t="str">
            <v>Elétrica</v>
          </cell>
          <cell r="L92" t="str">
            <v>Substituição do(s) Componente(s)</v>
          </cell>
          <cell r="M92" t="str">
            <v>Desgaste / Fadiga</v>
          </cell>
          <cell r="N92">
            <v>37775</v>
          </cell>
          <cell r="O92">
            <v>0.6875</v>
          </cell>
          <cell r="P92">
            <v>37775</v>
          </cell>
          <cell r="Q92">
            <v>0.6875</v>
          </cell>
          <cell r="T92">
            <v>37775</v>
          </cell>
          <cell r="U92">
            <v>0.69791666666666663</v>
          </cell>
          <cell r="V92">
            <v>37775</v>
          </cell>
          <cell r="W92">
            <v>0.69791666666666663</v>
          </cell>
          <cell r="X92">
            <v>1.041666666666663E-2</v>
          </cell>
          <cell r="Y92">
            <v>1.0416666664241347E-2</v>
          </cell>
          <cell r="AB92">
            <v>6</v>
          </cell>
          <cell r="AC92">
            <v>4</v>
          </cell>
          <cell r="AD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6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</row>
        <row r="93">
          <cell r="C93">
            <v>37718</v>
          </cell>
          <cell r="D93">
            <v>37790</v>
          </cell>
          <cell r="E93">
            <v>37789</v>
          </cell>
          <cell r="F93">
            <v>0.4375</v>
          </cell>
          <cell r="G93" t="str">
            <v>Células de Solda Automática</v>
          </cell>
          <cell r="H93" t="str">
            <v>Flexível entupido</v>
          </cell>
          <cell r="I93" t="str">
            <v>Corretiva</v>
          </cell>
          <cell r="J93" t="str">
            <v>Sim</v>
          </cell>
          <cell r="K93" t="str">
            <v>Mecânica</v>
          </cell>
          <cell r="L93" t="str">
            <v>Substituição do(s) Componente(s)</v>
          </cell>
          <cell r="M93" t="str">
            <v>Desgaste / Fadiga</v>
          </cell>
          <cell r="N93">
            <v>37789</v>
          </cell>
          <cell r="O93">
            <v>0.4375</v>
          </cell>
          <cell r="P93">
            <v>37789</v>
          </cell>
          <cell r="Q93">
            <v>0.4375</v>
          </cell>
          <cell r="T93">
            <v>37789</v>
          </cell>
          <cell r="U93">
            <v>0.53125</v>
          </cell>
          <cell r="V93">
            <v>37789</v>
          </cell>
          <cell r="W93">
            <v>0.53125</v>
          </cell>
          <cell r="X93">
            <v>9.375E-2</v>
          </cell>
          <cell r="Y93">
            <v>9.375E-2</v>
          </cell>
          <cell r="AB93">
            <v>6</v>
          </cell>
          <cell r="AC93">
            <v>4</v>
          </cell>
          <cell r="AD93">
            <v>0</v>
          </cell>
          <cell r="BF93">
            <v>6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</row>
        <row r="94">
          <cell r="C94">
            <v>37718</v>
          </cell>
          <cell r="D94">
            <v>37795</v>
          </cell>
          <cell r="E94">
            <v>37790</v>
          </cell>
          <cell r="F94">
            <v>0.34027777777777773</v>
          </cell>
          <cell r="G94" t="str">
            <v>Células de Solda Automática</v>
          </cell>
          <cell r="H94" t="str">
            <v>Pistão da Esteira quebrado</v>
          </cell>
          <cell r="I94" t="str">
            <v>Corretiva</v>
          </cell>
          <cell r="J94" t="str">
            <v>Sim</v>
          </cell>
          <cell r="K94" t="str">
            <v>Mecânica</v>
          </cell>
          <cell r="L94" t="str">
            <v>Substituição do(s) Componente(s)</v>
          </cell>
          <cell r="M94" t="str">
            <v>Falha de Comando / Sistema</v>
          </cell>
          <cell r="N94">
            <v>37790</v>
          </cell>
          <cell r="O94">
            <v>0.34027777777777773</v>
          </cell>
          <cell r="P94">
            <v>37790</v>
          </cell>
          <cell r="Q94">
            <v>0.34027777777777773</v>
          </cell>
          <cell r="T94">
            <v>37790</v>
          </cell>
          <cell r="U94">
            <v>0.4375</v>
          </cell>
          <cell r="V94">
            <v>37790</v>
          </cell>
          <cell r="W94">
            <v>0.4375</v>
          </cell>
          <cell r="X94">
            <v>9.7222222222222265E-2</v>
          </cell>
          <cell r="Y94">
            <v>9.7222222222222265E-2</v>
          </cell>
          <cell r="AB94">
            <v>6</v>
          </cell>
          <cell r="AC94">
            <v>4</v>
          </cell>
          <cell r="AD94">
            <v>0</v>
          </cell>
          <cell r="BF94">
            <v>6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</row>
        <row r="95">
          <cell r="C95">
            <v>37718</v>
          </cell>
          <cell r="D95">
            <v>37795</v>
          </cell>
          <cell r="E95">
            <v>37790</v>
          </cell>
          <cell r="F95">
            <v>0.4375</v>
          </cell>
          <cell r="G95" t="str">
            <v>Células de Solda Automática</v>
          </cell>
          <cell r="H95" t="str">
            <v>Chapa dobrada no meio do rolo, guias quebradas e suporte torto</v>
          </cell>
          <cell r="I95" t="str">
            <v>Corretiva</v>
          </cell>
          <cell r="J95" t="str">
            <v>Sim</v>
          </cell>
          <cell r="K95" t="str">
            <v>Mecânica</v>
          </cell>
          <cell r="L95" t="str">
            <v>Reparo</v>
          </cell>
          <cell r="M95" t="str">
            <v>Falha Operacional</v>
          </cell>
          <cell r="N95">
            <v>37790</v>
          </cell>
          <cell r="O95">
            <v>0.4375</v>
          </cell>
          <cell r="P95">
            <v>37790</v>
          </cell>
          <cell r="Q95">
            <v>0.4375</v>
          </cell>
          <cell r="T95">
            <v>37790</v>
          </cell>
          <cell r="U95">
            <v>0.53125</v>
          </cell>
          <cell r="V95">
            <v>37790</v>
          </cell>
          <cell r="W95">
            <v>0.53125</v>
          </cell>
          <cell r="X95">
            <v>9.375E-2</v>
          </cell>
          <cell r="Y95">
            <v>9.375E-2</v>
          </cell>
          <cell r="AB95">
            <v>6</v>
          </cell>
          <cell r="AC95">
            <v>4</v>
          </cell>
          <cell r="AD95">
            <v>0</v>
          </cell>
          <cell r="BF95">
            <v>6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</row>
        <row r="96">
          <cell r="C96">
            <v>37718</v>
          </cell>
          <cell r="D96">
            <v>37803</v>
          </cell>
          <cell r="E96">
            <v>37788</v>
          </cell>
          <cell r="F96">
            <v>0.60972222222222217</v>
          </cell>
          <cell r="G96" t="str">
            <v>Máquina de Solda MIG</v>
          </cell>
          <cell r="H96" t="str">
            <v>Tomada em más condições de uso</v>
          </cell>
          <cell r="I96" t="str">
            <v>Corretiva</v>
          </cell>
          <cell r="J96" t="str">
            <v>Sim</v>
          </cell>
          <cell r="K96" t="str">
            <v>Elétrica</v>
          </cell>
          <cell r="L96" t="str">
            <v>Substituição do(s) Componente(s)</v>
          </cell>
          <cell r="M96" t="str">
            <v>Desgaste / Fadiga</v>
          </cell>
          <cell r="N96">
            <v>37788</v>
          </cell>
          <cell r="O96">
            <v>0.625</v>
          </cell>
          <cell r="P96">
            <v>37788</v>
          </cell>
          <cell r="Q96">
            <v>0.625</v>
          </cell>
          <cell r="T96">
            <v>37788</v>
          </cell>
          <cell r="U96">
            <v>0.63541666666666663</v>
          </cell>
          <cell r="V96">
            <v>37788</v>
          </cell>
          <cell r="W96">
            <v>0.63541666666666663</v>
          </cell>
          <cell r="X96">
            <v>1.041666666666663E-2</v>
          </cell>
          <cell r="Y96">
            <v>1.0416666664241347E-2</v>
          </cell>
          <cell r="AB96">
            <v>6</v>
          </cell>
          <cell r="AC96">
            <v>4</v>
          </cell>
          <cell r="AD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6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</row>
        <row r="97">
          <cell r="C97">
            <v>37718</v>
          </cell>
          <cell r="D97">
            <v>37722</v>
          </cell>
          <cell r="E97">
            <v>37722</v>
          </cell>
          <cell r="F97">
            <v>0.63194444444444442</v>
          </cell>
          <cell r="G97" t="str">
            <v>Perfiladora Fagor Montantes</v>
          </cell>
          <cell r="H97" t="str">
            <v>Dispositivo de Corte Travado</v>
          </cell>
          <cell r="I97" t="str">
            <v>Corretiva</v>
          </cell>
          <cell r="J97" t="str">
            <v>Sim</v>
          </cell>
          <cell r="K97" t="str">
            <v>Mecânica</v>
          </cell>
          <cell r="L97" t="str">
            <v>Ajuste / Regulagem</v>
          </cell>
          <cell r="M97" t="str">
            <v>Falha de Montagem / Preparação</v>
          </cell>
          <cell r="N97">
            <v>37722</v>
          </cell>
          <cell r="O97">
            <v>0.63194444444444442</v>
          </cell>
          <cell r="P97">
            <v>37722</v>
          </cell>
          <cell r="Q97">
            <v>0.63194444444444442</v>
          </cell>
          <cell r="T97">
            <v>37722</v>
          </cell>
          <cell r="U97">
            <v>0.66666666666666663</v>
          </cell>
          <cell r="V97">
            <v>37722</v>
          </cell>
          <cell r="W97">
            <v>0.66666666666666663</v>
          </cell>
          <cell r="X97">
            <v>3.472222222222221E-2</v>
          </cell>
          <cell r="Y97">
            <v>3.4722222219796928E-2</v>
          </cell>
          <cell r="AB97">
            <v>4</v>
          </cell>
          <cell r="AC97">
            <v>4</v>
          </cell>
          <cell r="AD97" t="str">
            <v>S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4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</row>
        <row r="98">
          <cell r="C98">
            <v>37718</v>
          </cell>
          <cell r="D98">
            <v>37722</v>
          </cell>
          <cell r="E98">
            <v>37721</v>
          </cell>
          <cell r="F98">
            <v>0.41666666666666669</v>
          </cell>
          <cell r="G98" t="str">
            <v>Perfiladora Fagor Largueros</v>
          </cell>
          <cell r="H98" t="str">
            <v>Ruído no Eixo do Desbobinador 01 e Vazamento no Redutor do motor da Trefila 02</v>
          </cell>
          <cell r="I98" t="str">
            <v>Corretiva</v>
          </cell>
          <cell r="J98" t="str">
            <v>Não</v>
          </cell>
          <cell r="K98" t="str">
            <v>Mecânica</v>
          </cell>
          <cell r="L98" t="str">
            <v>Substituição do(s) Componente(s)</v>
          </cell>
          <cell r="M98" t="str">
            <v>Falha de Montagem / Preparação</v>
          </cell>
          <cell r="N98">
            <v>37721</v>
          </cell>
          <cell r="O98">
            <v>0.41666666666666669</v>
          </cell>
          <cell r="P98">
            <v>37721</v>
          </cell>
          <cell r="Q98">
            <v>0.4375</v>
          </cell>
          <cell r="R98">
            <v>37832</v>
          </cell>
          <cell r="S98">
            <v>0.33333333333333331</v>
          </cell>
          <cell r="T98">
            <v>37832</v>
          </cell>
          <cell r="U98">
            <v>0.58333333333333337</v>
          </cell>
          <cell r="V98">
            <v>0</v>
          </cell>
          <cell r="W98">
            <v>0.27083333333333337</v>
          </cell>
          <cell r="X98">
            <v>0.27083333333333337</v>
          </cell>
          <cell r="Y98" t="str">
            <v>Máquina em Garantia</v>
          </cell>
          <cell r="AB98">
            <v>7</v>
          </cell>
          <cell r="AC98">
            <v>4</v>
          </cell>
          <cell r="AD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7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</row>
        <row r="99">
          <cell r="C99">
            <v>37718</v>
          </cell>
          <cell r="D99">
            <v>37769</v>
          </cell>
          <cell r="E99">
            <v>37764</v>
          </cell>
          <cell r="F99">
            <v>0.60416666666666663</v>
          </cell>
          <cell r="G99" t="str">
            <v>Perfiladora Fagor Largueros</v>
          </cell>
          <cell r="H99" t="str">
            <v>Verificar Flexível da calha do carrinho da cortadora</v>
          </cell>
          <cell r="I99" t="str">
            <v>Corretiva</v>
          </cell>
          <cell r="J99" t="str">
            <v>Não</v>
          </cell>
          <cell r="K99" t="str">
            <v>Elétrica</v>
          </cell>
          <cell r="L99" t="str">
            <v>Os conectores foram colados</v>
          </cell>
          <cell r="M99" t="str">
            <v>Defeito de Fabricação</v>
          </cell>
          <cell r="N99">
            <v>37764</v>
          </cell>
          <cell r="O99">
            <v>0.60416666666666663</v>
          </cell>
          <cell r="P99">
            <v>37764</v>
          </cell>
          <cell r="Q99">
            <v>0.60416666666666663</v>
          </cell>
          <cell r="T99">
            <v>37764</v>
          </cell>
          <cell r="U99">
            <v>0.625</v>
          </cell>
          <cell r="V99">
            <v>37764</v>
          </cell>
          <cell r="W99">
            <v>0.625</v>
          </cell>
          <cell r="X99">
            <v>2.083333333333337E-2</v>
          </cell>
          <cell r="Y99">
            <v>2.083333333333337E-2</v>
          </cell>
          <cell r="AB99">
            <v>5</v>
          </cell>
          <cell r="AC99">
            <v>4</v>
          </cell>
          <cell r="AD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5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</row>
        <row r="100">
          <cell r="C100">
            <v>37718</v>
          </cell>
          <cell r="D100">
            <v>37767</v>
          </cell>
          <cell r="E100">
            <v>37766</v>
          </cell>
          <cell r="F100">
            <v>0.58333333333333337</v>
          </cell>
          <cell r="G100" t="str">
            <v>Perfiladora Fagor Largueros</v>
          </cell>
          <cell r="H100" t="str">
            <v>Há a necessidade de montagem da proteção do eixo do desbobinador No. 01</v>
          </cell>
          <cell r="I100" t="str">
            <v>Corretiva</v>
          </cell>
          <cell r="J100" t="str">
            <v>Não</v>
          </cell>
          <cell r="K100" t="str">
            <v>Mecânica</v>
          </cell>
          <cell r="L100" t="str">
            <v>Montagem / Instalação</v>
          </cell>
          <cell r="M100" t="str">
            <v>Falha Operacional</v>
          </cell>
          <cell r="N100">
            <v>37765</v>
          </cell>
          <cell r="O100">
            <v>0.58333333333333337</v>
          </cell>
          <cell r="P100">
            <v>37765</v>
          </cell>
          <cell r="Q100">
            <v>0.58333333333333337</v>
          </cell>
          <cell r="T100">
            <v>37765</v>
          </cell>
          <cell r="U100">
            <v>0.61458333333333337</v>
          </cell>
          <cell r="V100">
            <v>37765</v>
          </cell>
          <cell r="W100">
            <v>0.61458333333333337</v>
          </cell>
          <cell r="X100">
            <v>3.1250000002425282E-2</v>
          </cell>
          <cell r="Y100">
            <v>3.1250000002425282E-2</v>
          </cell>
          <cell r="AB100">
            <v>5</v>
          </cell>
          <cell r="AC100">
            <v>4</v>
          </cell>
          <cell r="AD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5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</row>
        <row r="101">
          <cell r="C101">
            <v>37718</v>
          </cell>
          <cell r="D101">
            <v>37767</v>
          </cell>
          <cell r="E101">
            <v>37764</v>
          </cell>
          <cell r="F101">
            <v>0.53125</v>
          </cell>
          <cell r="G101" t="str">
            <v>Perfiladora Fagor Largueros</v>
          </cell>
          <cell r="H101" t="str">
            <v>Vazamento no motoredutor do motor da esteira</v>
          </cell>
          <cell r="I101" t="str">
            <v>Corretiva</v>
          </cell>
          <cell r="J101" t="str">
            <v>Sim</v>
          </cell>
          <cell r="K101" t="str">
            <v>Mecânica</v>
          </cell>
          <cell r="L101" t="str">
            <v>Substituição do(s) Componente(s)</v>
          </cell>
          <cell r="M101" t="str">
            <v>Desgaste / Fadiga</v>
          </cell>
          <cell r="N101">
            <v>37764</v>
          </cell>
          <cell r="O101">
            <v>0.53125</v>
          </cell>
          <cell r="P101">
            <v>37764</v>
          </cell>
          <cell r="Q101">
            <v>0.54166666666666663</v>
          </cell>
          <cell r="R101">
            <v>37765</v>
          </cell>
          <cell r="S101">
            <v>0.375</v>
          </cell>
          <cell r="T101">
            <v>37765</v>
          </cell>
          <cell r="U101">
            <v>0.58333333333333337</v>
          </cell>
          <cell r="V101">
            <v>0</v>
          </cell>
          <cell r="W101">
            <v>0.21875</v>
          </cell>
          <cell r="X101">
            <v>0.21875</v>
          </cell>
          <cell r="Y101" t="str">
            <v>Desmontagem do motoredutor e substituição dos retentores</v>
          </cell>
          <cell r="AB101">
            <v>5</v>
          </cell>
          <cell r="AC101">
            <v>4</v>
          </cell>
          <cell r="AD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5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</row>
        <row r="102">
          <cell r="C102">
            <v>37718</v>
          </cell>
          <cell r="D102">
            <v>37776</v>
          </cell>
          <cell r="E102">
            <v>37776</v>
          </cell>
          <cell r="F102">
            <v>0.375</v>
          </cell>
          <cell r="G102" t="str">
            <v>Perfiladora Fagor Largueros</v>
          </cell>
          <cell r="H102" t="str">
            <v>Chapa enroscou nos rolos</v>
          </cell>
          <cell r="I102" t="str">
            <v>Corretiva</v>
          </cell>
          <cell r="J102" t="str">
            <v>Sim</v>
          </cell>
          <cell r="K102" t="str">
            <v>Mecânica</v>
          </cell>
          <cell r="L102" t="str">
            <v>Foi retirada a chapa</v>
          </cell>
          <cell r="M102" t="str">
            <v>Falha de Comando / Sistema</v>
          </cell>
          <cell r="N102">
            <v>37776</v>
          </cell>
          <cell r="O102">
            <v>0.375</v>
          </cell>
          <cell r="P102">
            <v>37776</v>
          </cell>
          <cell r="Q102">
            <v>0.375</v>
          </cell>
          <cell r="T102">
            <v>37776</v>
          </cell>
          <cell r="U102">
            <v>0.41666666666666669</v>
          </cell>
          <cell r="V102">
            <v>37776</v>
          </cell>
          <cell r="W102">
            <v>0.41666666666666669</v>
          </cell>
          <cell r="X102">
            <v>4.1666666666666685E-2</v>
          </cell>
          <cell r="Y102">
            <v>4.1666666664241347E-2</v>
          </cell>
          <cell r="AB102">
            <v>6</v>
          </cell>
          <cell r="AC102">
            <v>4</v>
          </cell>
          <cell r="AD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6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</row>
        <row r="103">
          <cell r="C103">
            <v>37718</v>
          </cell>
          <cell r="D103">
            <v>37783</v>
          </cell>
          <cell r="E103">
            <v>37778</v>
          </cell>
          <cell r="F103">
            <v>0.35416666666666669</v>
          </cell>
          <cell r="G103" t="str">
            <v>Perfiladora Fagor Largueros</v>
          </cell>
          <cell r="H103" t="str">
            <v>Guias quebradas</v>
          </cell>
          <cell r="I103" t="str">
            <v>Corretiva</v>
          </cell>
          <cell r="J103" t="str">
            <v>Sim</v>
          </cell>
          <cell r="K103" t="str">
            <v>Mecânica</v>
          </cell>
          <cell r="L103" t="str">
            <v>Substituição do(s) Componente(s)</v>
          </cell>
          <cell r="M103" t="str">
            <v>Falha Operacional</v>
          </cell>
          <cell r="N103">
            <v>37778</v>
          </cell>
          <cell r="O103">
            <v>0.35416666666666669</v>
          </cell>
          <cell r="P103">
            <v>37778</v>
          </cell>
          <cell r="Q103">
            <v>0.35416666666666669</v>
          </cell>
          <cell r="T103">
            <v>37778</v>
          </cell>
          <cell r="U103">
            <v>0.39583333333333331</v>
          </cell>
          <cell r="V103">
            <v>37778</v>
          </cell>
          <cell r="W103">
            <v>0.39583333333333331</v>
          </cell>
          <cell r="X103">
            <v>4.166666666666663E-2</v>
          </cell>
          <cell r="Y103">
            <v>4.1666666669091967E-2</v>
          </cell>
          <cell r="AB103">
            <v>6</v>
          </cell>
          <cell r="AC103">
            <v>4</v>
          </cell>
          <cell r="AD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6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</row>
        <row r="104">
          <cell r="C104">
            <v>37718</v>
          </cell>
          <cell r="D104">
            <v>37783</v>
          </cell>
          <cell r="E104">
            <v>37782</v>
          </cell>
          <cell r="F104">
            <v>0.41666666666666669</v>
          </cell>
          <cell r="G104" t="str">
            <v>Perfiladora Fagor Largueros</v>
          </cell>
          <cell r="H104" t="str">
            <v>Esteira da mesa 01 está travada</v>
          </cell>
          <cell r="I104" t="str">
            <v>Corretiva</v>
          </cell>
          <cell r="J104" t="str">
            <v>Sim</v>
          </cell>
          <cell r="K104" t="str">
            <v>Mecânica</v>
          </cell>
          <cell r="L104" t="str">
            <v>Limpeza do Equipamento / Componente</v>
          </cell>
          <cell r="M104" t="str">
            <v>Sujeira em excesso</v>
          </cell>
          <cell r="N104">
            <v>37782</v>
          </cell>
          <cell r="O104">
            <v>0.41666666666666669</v>
          </cell>
          <cell r="P104">
            <v>37782</v>
          </cell>
          <cell r="Q104">
            <v>0.41666666666666669</v>
          </cell>
          <cell r="T104">
            <v>37782</v>
          </cell>
          <cell r="U104">
            <v>0.4375</v>
          </cell>
          <cell r="V104">
            <v>37782</v>
          </cell>
          <cell r="W104">
            <v>0.4375</v>
          </cell>
          <cell r="X104">
            <v>2.0833333333333315E-2</v>
          </cell>
          <cell r="Y104">
            <v>2.0833333333333315E-2</v>
          </cell>
          <cell r="AB104">
            <v>6</v>
          </cell>
          <cell r="AC104">
            <v>4</v>
          </cell>
          <cell r="AD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6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</row>
        <row r="105">
          <cell r="C105">
            <v>37718</v>
          </cell>
          <cell r="D105">
            <v>37847</v>
          </cell>
          <cell r="E105">
            <v>37846</v>
          </cell>
          <cell r="F105">
            <v>0.3611111111111111</v>
          </cell>
          <cell r="G105" t="str">
            <v>Perfiladora Fagor Largueros</v>
          </cell>
          <cell r="H105" t="str">
            <v>Carro de Corte não avança, e produz ruído em excesso</v>
          </cell>
          <cell r="I105" t="str">
            <v>Corretiva</v>
          </cell>
          <cell r="J105" t="str">
            <v>Sim</v>
          </cell>
          <cell r="K105" t="str">
            <v>Mecânica</v>
          </cell>
          <cell r="L105" t="str">
            <v>Reinicialização do Equipamento / Componente</v>
          </cell>
          <cell r="M105" t="str">
            <v>Falha Operacional</v>
          </cell>
          <cell r="N105">
            <v>37846</v>
          </cell>
          <cell r="O105">
            <v>0.375</v>
          </cell>
          <cell r="P105">
            <v>37846</v>
          </cell>
          <cell r="Q105">
            <v>0.375</v>
          </cell>
          <cell r="T105">
            <v>37846</v>
          </cell>
          <cell r="U105">
            <v>0.38541666666666669</v>
          </cell>
          <cell r="V105">
            <v>37846</v>
          </cell>
          <cell r="W105">
            <v>0.38541666666666669</v>
          </cell>
          <cell r="X105">
            <v>1.0416666666666685E-2</v>
          </cell>
          <cell r="Y105">
            <v>1.0416666664241347E-2</v>
          </cell>
          <cell r="AB105">
            <v>8</v>
          </cell>
          <cell r="AC105">
            <v>4</v>
          </cell>
          <cell r="AD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8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</row>
        <row r="106">
          <cell r="C106">
            <v>37718</v>
          </cell>
          <cell r="D106">
            <v>37865</v>
          </cell>
          <cell r="E106">
            <v>37860</v>
          </cell>
          <cell r="F106">
            <v>0.29166666666666669</v>
          </cell>
          <cell r="G106" t="str">
            <v>Perfiladora Fagor Largueros</v>
          </cell>
          <cell r="H106" t="str">
            <v>Desarme constante do disjuntor</v>
          </cell>
          <cell r="I106" t="str">
            <v>Corretiva</v>
          </cell>
          <cell r="J106" t="str">
            <v>Sim</v>
          </cell>
          <cell r="K106" t="str">
            <v>Elétrica</v>
          </cell>
          <cell r="L106" t="str">
            <v>Ajuste / Regulagem</v>
          </cell>
          <cell r="M106" t="str">
            <v>Saturação do Filtro</v>
          </cell>
          <cell r="N106">
            <v>37860</v>
          </cell>
          <cell r="O106">
            <v>0.29166666666666669</v>
          </cell>
          <cell r="P106">
            <v>37860</v>
          </cell>
          <cell r="Q106">
            <v>0.29166666666666669</v>
          </cell>
          <cell r="T106">
            <v>37860</v>
          </cell>
          <cell r="U106">
            <v>0.3125</v>
          </cell>
          <cell r="V106">
            <v>37860</v>
          </cell>
          <cell r="W106">
            <v>0.3125</v>
          </cell>
          <cell r="X106">
            <v>2.0833333333333315E-2</v>
          </cell>
          <cell r="Y106">
            <v>2.0833333333333315E-2</v>
          </cell>
          <cell r="AB106">
            <v>8</v>
          </cell>
          <cell r="AC106">
            <v>4</v>
          </cell>
          <cell r="AD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8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</row>
        <row r="107">
          <cell r="C107">
            <v>37718</v>
          </cell>
          <cell r="D107">
            <v>37721</v>
          </cell>
          <cell r="E107">
            <v>37721</v>
          </cell>
          <cell r="F107">
            <v>0.375</v>
          </cell>
          <cell r="G107" t="str">
            <v>Máquina de Solda MIG</v>
          </cell>
          <cell r="H107" t="str">
            <v>Reparo nas tochas Solmig 320 - AirLiquide MIG 3105</v>
          </cell>
          <cell r="I107" t="str">
            <v>Corretiva</v>
          </cell>
          <cell r="J107" t="str">
            <v>Sim</v>
          </cell>
          <cell r="K107" t="str">
            <v>Mecânica</v>
          </cell>
          <cell r="L107" t="str">
            <v>Substituição do(s) Componente(s)</v>
          </cell>
          <cell r="M107" t="str">
            <v>Desgaste / Fadiga</v>
          </cell>
          <cell r="N107">
            <v>37721</v>
          </cell>
          <cell r="O107">
            <v>0.375</v>
          </cell>
          <cell r="P107">
            <v>37721</v>
          </cell>
          <cell r="Q107">
            <v>0.375</v>
          </cell>
          <cell r="R107">
            <v>37749</v>
          </cell>
          <cell r="S107">
            <v>0.66666666666666663</v>
          </cell>
          <cell r="T107">
            <v>37749</v>
          </cell>
          <cell r="U107">
            <v>0.83333333333333337</v>
          </cell>
          <cell r="V107">
            <v>0</v>
          </cell>
          <cell r="W107">
            <v>0.16666666666666674</v>
          </cell>
          <cell r="X107">
            <v>0.16666666666666674</v>
          </cell>
          <cell r="Y107">
            <v>0.16666666666666674</v>
          </cell>
          <cell r="AB107">
            <v>5</v>
          </cell>
          <cell r="AC107">
            <v>4</v>
          </cell>
          <cell r="AD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5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</row>
        <row r="108">
          <cell r="C108">
            <v>37718</v>
          </cell>
          <cell r="D108">
            <v>37748</v>
          </cell>
          <cell r="E108">
            <v>37748</v>
          </cell>
          <cell r="F108">
            <v>0.375</v>
          </cell>
          <cell r="G108" t="str">
            <v>Serra de Fita</v>
          </cell>
          <cell r="H108" t="str">
            <v>Cortes saem fora de esquadro</v>
          </cell>
          <cell r="I108" t="str">
            <v>Corretiva</v>
          </cell>
          <cell r="J108" t="str">
            <v>Não</v>
          </cell>
          <cell r="K108" t="str">
            <v>Mecânica</v>
          </cell>
          <cell r="L108" t="str">
            <v>Reparo</v>
          </cell>
          <cell r="M108" t="str">
            <v>Defeito de Fabricação</v>
          </cell>
          <cell r="N108">
            <v>37748</v>
          </cell>
          <cell r="O108">
            <v>0.375</v>
          </cell>
          <cell r="P108">
            <v>37748</v>
          </cell>
          <cell r="Q108">
            <v>0.375</v>
          </cell>
          <cell r="T108">
            <v>37748</v>
          </cell>
          <cell r="U108">
            <v>0.625</v>
          </cell>
          <cell r="V108">
            <v>37748</v>
          </cell>
          <cell r="W108">
            <v>0.625</v>
          </cell>
          <cell r="X108">
            <v>0.25</v>
          </cell>
          <cell r="Y108">
            <v>0.25</v>
          </cell>
          <cell r="AB108">
            <v>5</v>
          </cell>
          <cell r="AC108">
            <v>4</v>
          </cell>
          <cell r="AD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5</v>
          </cell>
          <cell r="CD108">
            <v>0</v>
          </cell>
        </row>
        <row r="109">
          <cell r="C109">
            <v>37718</v>
          </cell>
          <cell r="D109">
            <v>37858</v>
          </cell>
          <cell r="E109">
            <v>37834</v>
          </cell>
          <cell r="F109">
            <v>0.4375</v>
          </cell>
          <cell r="G109" t="str">
            <v>Serra de Fita</v>
          </cell>
          <cell r="H109" t="str">
            <v>Serra não se movimenta</v>
          </cell>
          <cell r="I109" t="str">
            <v>Corretiva</v>
          </cell>
          <cell r="J109" t="str">
            <v>Sim</v>
          </cell>
          <cell r="K109" t="str">
            <v>Elétrica</v>
          </cell>
          <cell r="L109" t="str">
            <v>Correção de mau contato</v>
          </cell>
          <cell r="M109" t="str">
            <v>Sujeira em excesso</v>
          </cell>
          <cell r="N109">
            <v>37834</v>
          </cell>
          <cell r="O109">
            <v>0.4375</v>
          </cell>
          <cell r="P109">
            <v>37834</v>
          </cell>
          <cell r="Q109">
            <v>0.4375</v>
          </cell>
          <cell r="T109">
            <v>37834</v>
          </cell>
          <cell r="U109">
            <v>0.5</v>
          </cell>
          <cell r="V109">
            <v>37834</v>
          </cell>
          <cell r="W109">
            <v>0.5</v>
          </cell>
          <cell r="X109">
            <v>6.25E-2</v>
          </cell>
          <cell r="Y109">
            <v>6.25E-2</v>
          </cell>
          <cell r="AB109">
            <v>8</v>
          </cell>
          <cell r="AC109">
            <v>4</v>
          </cell>
          <cell r="AD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8</v>
          </cell>
          <cell r="CD109">
            <v>0</v>
          </cell>
        </row>
        <row r="110">
          <cell r="C110">
            <v>37718</v>
          </cell>
          <cell r="D110">
            <v>37762</v>
          </cell>
          <cell r="E110">
            <v>37761</v>
          </cell>
          <cell r="F110">
            <v>0.67361111111111116</v>
          </cell>
          <cell r="G110" t="str">
            <v>Serra de Fita</v>
          </cell>
          <cell r="H110" t="str">
            <v>Morsa quebrada</v>
          </cell>
          <cell r="I110" t="str">
            <v>Corretiva</v>
          </cell>
          <cell r="J110" t="str">
            <v>Não</v>
          </cell>
          <cell r="K110" t="str">
            <v>Mecânica</v>
          </cell>
          <cell r="L110" t="str">
            <v>Substituição do(s) Componente(s)</v>
          </cell>
          <cell r="M110" t="str">
            <v>Defeito de Fabricação</v>
          </cell>
          <cell r="N110">
            <v>37762</v>
          </cell>
          <cell r="O110">
            <v>0.4375</v>
          </cell>
          <cell r="P110">
            <v>37762</v>
          </cell>
          <cell r="Q110">
            <v>0.52083333333333337</v>
          </cell>
          <cell r="R110">
            <v>37774</v>
          </cell>
          <cell r="S110">
            <v>0.33333333333333331</v>
          </cell>
          <cell r="T110">
            <v>37774</v>
          </cell>
          <cell r="U110">
            <v>0.35416666666666669</v>
          </cell>
          <cell r="V110">
            <v>0</v>
          </cell>
          <cell r="W110">
            <v>0.10416666666666674</v>
          </cell>
          <cell r="X110">
            <v>0.10416666666666674</v>
          </cell>
          <cell r="Y110">
            <v>0.10416666666666674</v>
          </cell>
          <cell r="AB110">
            <v>6</v>
          </cell>
          <cell r="AC110">
            <v>4</v>
          </cell>
          <cell r="AD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6</v>
          </cell>
          <cell r="CD110">
            <v>0</v>
          </cell>
        </row>
        <row r="111">
          <cell r="C111">
            <v>37718</v>
          </cell>
          <cell r="D111">
            <v>37915</v>
          </cell>
          <cell r="E111">
            <v>37862</v>
          </cell>
          <cell r="F111">
            <v>0.35416666666666669</v>
          </cell>
          <cell r="G111" t="str">
            <v>Máquina de Solda MIG</v>
          </cell>
          <cell r="H111" t="str">
            <v>Há a necessidade de aquisição de extensão com tomadas Steck</v>
          </cell>
          <cell r="I111" t="str">
            <v>Melhoria</v>
          </cell>
          <cell r="J111" t="str">
            <v>Não</v>
          </cell>
          <cell r="K111" t="str">
            <v>Elétrica</v>
          </cell>
          <cell r="L111" t="str">
            <v>Substituição do(s) Componente(s)</v>
          </cell>
          <cell r="M111" t="str">
            <v>Melhoria Técnica</v>
          </cell>
          <cell r="N111">
            <v>37866</v>
          </cell>
          <cell r="O111">
            <v>0.33333333333333331</v>
          </cell>
          <cell r="P111">
            <v>37866</v>
          </cell>
          <cell r="Q111">
            <v>0.33333333333333331</v>
          </cell>
          <cell r="T111">
            <v>37866</v>
          </cell>
          <cell r="U111">
            <v>0.375</v>
          </cell>
          <cell r="V111">
            <v>37866</v>
          </cell>
          <cell r="W111">
            <v>0.375</v>
          </cell>
          <cell r="X111">
            <v>4.1666666666666685E-2</v>
          </cell>
          <cell r="Y111">
            <v>4.1666666666666685E-2</v>
          </cell>
          <cell r="AB111">
            <v>9</v>
          </cell>
          <cell r="AC111">
            <v>4</v>
          </cell>
          <cell r="AD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9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</row>
        <row r="112">
          <cell r="C112">
            <v>37718</v>
          </cell>
          <cell r="D112">
            <v>37868</v>
          </cell>
          <cell r="E112">
            <v>37866</v>
          </cell>
          <cell r="F112">
            <v>0.25</v>
          </cell>
          <cell r="G112" t="str">
            <v>Máquina de Solda MIG</v>
          </cell>
          <cell r="H112" t="str">
            <v>Bocal e Isolador danificados</v>
          </cell>
          <cell r="I112" t="str">
            <v>Corretiva</v>
          </cell>
          <cell r="J112" t="str">
            <v>Não</v>
          </cell>
          <cell r="K112" t="str">
            <v>Mecânica</v>
          </cell>
          <cell r="L112" t="str">
            <v>Substituição do(s) Componente(s)</v>
          </cell>
          <cell r="M112" t="str">
            <v>Desgaste / Fadiga</v>
          </cell>
          <cell r="N112">
            <v>37866</v>
          </cell>
          <cell r="O112">
            <v>0.25</v>
          </cell>
          <cell r="P112">
            <v>37866</v>
          </cell>
          <cell r="Q112">
            <v>0.25</v>
          </cell>
          <cell r="T112">
            <v>37866</v>
          </cell>
          <cell r="U112">
            <v>0.29166666666666669</v>
          </cell>
          <cell r="V112">
            <v>37866</v>
          </cell>
          <cell r="W112">
            <v>0.29166666666666669</v>
          </cell>
          <cell r="X112">
            <v>4.1666666664241347E-2</v>
          </cell>
          <cell r="Y112">
            <v>4.1666666664241347E-2</v>
          </cell>
          <cell r="AB112">
            <v>9</v>
          </cell>
          <cell r="AC112">
            <v>4</v>
          </cell>
          <cell r="AD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9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</row>
        <row r="113">
          <cell r="C113">
            <v>37718</v>
          </cell>
          <cell r="D113">
            <v>37874</v>
          </cell>
          <cell r="E113">
            <v>37869</v>
          </cell>
          <cell r="F113">
            <v>0.25</v>
          </cell>
          <cell r="G113" t="str">
            <v>Máquina de Solda MIG</v>
          </cell>
          <cell r="H113" t="str">
            <v>Isolador e Porta-bico Danificados</v>
          </cell>
          <cell r="I113" t="str">
            <v>Corretiva</v>
          </cell>
          <cell r="J113" t="str">
            <v>Não</v>
          </cell>
          <cell r="K113" t="str">
            <v>Mecânica</v>
          </cell>
          <cell r="L113" t="str">
            <v>Substituição do(s) Componente(s)</v>
          </cell>
          <cell r="M113" t="str">
            <v>Desgaste / Fadiga</v>
          </cell>
          <cell r="N113">
            <v>37869</v>
          </cell>
          <cell r="O113">
            <v>0.25</v>
          </cell>
          <cell r="P113">
            <v>37869</v>
          </cell>
          <cell r="Q113">
            <v>0.25</v>
          </cell>
          <cell r="T113">
            <v>37869</v>
          </cell>
          <cell r="U113">
            <v>0.28472222222222221</v>
          </cell>
          <cell r="V113">
            <v>37869</v>
          </cell>
          <cell r="W113">
            <v>0.28472222222222221</v>
          </cell>
          <cell r="X113">
            <v>3.4722222218988463E-2</v>
          </cell>
          <cell r="Y113">
            <v>3.4722222218988463E-2</v>
          </cell>
          <cell r="AB113">
            <v>9</v>
          </cell>
          <cell r="AC113">
            <v>4</v>
          </cell>
          <cell r="AD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9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</row>
        <row r="114">
          <cell r="C114">
            <v>37718</v>
          </cell>
          <cell r="I114">
            <v>0</v>
          </cell>
          <cell r="N114">
            <v>0</v>
          </cell>
          <cell r="P114">
            <v>0</v>
          </cell>
          <cell r="T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AB114">
            <v>0</v>
          </cell>
          <cell r="AC114">
            <v>4</v>
          </cell>
          <cell r="AD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</row>
        <row r="115">
          <cell r="C115">
            <v>37718</v>
          </cell>
          <cell r="D115">
            <v>37865</v>
          </cell>
          <cell r="E115">
            <v>37855</v>
          </cell>
          <cell r="F115">
            <v>0.41666666666666669</v>
          </cell>
          <cell r="G115" t="str">
            <v>Serra de Fita</v>
          </cell>
          <cell r="H115" t="str">
            <v>Máquina não funciona</v>
          </cell>
          <cell r="I115" t="str">
            <v>Corretiva</v>
          </cell>
          <cell r="J115" t="str">
            <v>Sim</v>
          </cell>
          <cell r="K115" t="str">
            <v>Elétrica</v>
          </cell>
          <cell r="L115" t="str">
            <v>Correção de mau contato</v>
          </cell>
          <cell r="M115" t="str">
            <v>Sobrecarga</v>
          </cell>
          <cell r="N115">
            <v>37855</v>
          </cell>
          <cell r="O115">
            <v>0.42708333333333331</v>
          </cell>
          <cell r="P115">
            <v>37855</v>
          </cell>
          <cell r="Q115">
            <v>0.42708333333333331</v>
          </cell>
          <cell r="T115">
            <v>37855</v>
          </cell>
          <cell r="U115">
            <v>0.45833333333333331</v>
          </cell>
          <cell r="V115">
            <v>37855</v>
          </cell>
          <cell r="W115">
            <v>0.45833333333333331</v>
          </cell>
          <cell r="X115">
            <v>3.125E-2</v>
          </cell>
          <cell r="Y115">
            <v>3.1250000002425338E-2</v>
          </cell>
          <cell r="AB115">
            <v>8</v>
          </cell>
          <cell r="AC115">
            <v>4</v>
          </cell>
          <cell r="AD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8</v>
          </cell>
          <cell r="CD115">
            <v>0</v>
          </cell>
        </row>
        <row r="116">
          <cell r="C116">
            <v>37718</v>
          </cell>
          <cell r="D116">
            <v>37858</v>
          </cell>
          <cell r="E116">
            <v>37841</v>
          </cell>
          <cell r="F116">
            <v>0.34375</v>
          </cell>
          <cell r="G116" t="str">
            <v>Serra Elétrica Circular</v>
          </cell>
          <cell r="H116" t="str">
            <v>Caixa de Comando quebrada</v>
          </cell>
          <cell r="I116" t="str">
            <v>Corretiva</v>
          </cell>
          <cell r="J116" t="str">
            <v>Não</v>
          </cell>
          <cell r="K116" t="str">
            <v>Elétrica</v>
          </cell>
          <cell r="L116" t="str">
            <v>Reparo</v>
          </cell>
          <cell r="M116" t="str">
            <v>Vibração</v>
          </cell>
          <cell r="N116">
            <v>37841</v>
          </cell>
          <cell r="O116">
            <v>0.35416666666666669</v>
          </cell>
          <cell r="P116">
            <v>37841</v>
          </cell>
          <cell r="Q116">
            <v>0.35416666666666669</v>
          </cell>
          <cell r="T116">
            <v>37841</v>
          </cell>
          <cell r="U116">
            <v>0.3888888888888889</v>
          </cell>
          <cell r="V116">
            <v>37841</v>
          </cell>
          <cell r="W116">
            <v>0.3888888888888889</v>
          </cell>
          <cell r="X116">
            <v>3.4722222223839083E-2</v>
          </cell>
          <cell r="Y116">
            <v>3.4722222223839083E-2</v>
          </cell>
          <cell r="AB116">
            <v>8</v>
          </cell>
          <cell r="AC116">
            <v>4</v>
          </cell>
          <cell r="AD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8</v>
          </cell>
        </row>
        <row r="117">
          <cell r="C117">
            <v>37718</v>
          </cell>
          <cell r="D117">
            <v>37721</v>
          </cell>
          <cell r="E117">
            <v>37721</v>
          </cell>
          <cell r="F117">
            <v>0.33333333333333331</v>
          </cell>
          <cell r="G117" t="str">
            <v>Torno Mecânico</v>
          </cell>
          <cell r="H117" t="str">
            <v>Ao desligar a Máquina, não há destravamento do Freio</v>
          </cell>
          <cell r="I117" t="str">
            <v>Corretiva</v>
          </cell>
          <cell r="J117" t="str">
            <v>Não</v>
          </cell>
          <cell r="K117" t="str">
            <v>Mecânica</v>
          </cell>
          <cell r="L117" t="str">
            <v>Ajuste / Regulagem</v>
          </cell>
          <cell r="M117" t="str">
            <v>Falha de Regulagem / Configuração / Dimensionamento</v>
          </cell>
          <cell r="N117">
            <v>37721</v>
          </cell>
          <cell r="O117">
            <v>0.4375</v>
          </cell>
          <cell r="P117">
            <v>37721</v>
          </cell>
          <cell r="Q117">
            <v>0.4375</v>
          </cell>
          <cell r="T117">
            <v>37721</v>
          </cell>
          <cell r="U117">
            <v>0.59027777777777779</v>
          </cell>
          <cell r="V117">
            <v>37721</v>
          </cell>
          <cell r="W117">
            <v>0.59027777777777779</v>
          </cell>
          <cell r="X117">
            <v>0.15277777778101154</v>
          </cell>
          <cell r="Y117">
            <v>0.15277777778101154</v>
          </cell>
          <cell r="AB117">
            <v>4</v>
          </cell>
          <cell r="AC117">
            <v>4</v>
          </cell>
          <cell r="AD117" t="str">
            <v>N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</row>
        <row r="118">
          <cell r="C118">
            <v>37718</v>
          </cell>
          <cell r="D118">
            <v>37734</v>
          </cell>
          <cell r="E118">
            <v>37733</v>
          </cell>
          <cell r="F118">
            <v>0.625</v>
          </cell>
          <cell r="G118" t="str">
            <v>Torno Mecânico</v>
          </cell>
          <cell r="H118" t="str">
            <v>Prisioneiro do carro superior com porca espanada</v>
          </cell>
          <cell r="I118" t="str">
            <v>Corretiva</v>
          </cell>
          <cell r="J118" t="str">
            <v>Não</v>
          </cell>
          <cell r="K118" t="str">
            <v>Mecânica</v>
          </cell>
          <cell r="L118" t="str">
            <v>Substituição do(s) Componente(s)</v>
          </cell>
          <cell r="M118" t="str">
            <v>Defeito de Fabricação</v>
          </cell>
          <cell r="N118">
            <v>37733</v>
          </cell>
          <cell r="O118">
            <v>0.66666666666666663</v>
          </cell>
          <cell r="P118">
            <v>37733</v>
          </cell>
          <cell r="Q118">
            <v>0.75</v>
          </cell>
          <cell r="R118">
            <v>37737</v>
          </cell>
          <cell r="S118">
            <v>0.33333333333333331</v>
          </cell>
          <cell r="T118">
            <v>37737</v>
          </cell>
          <cell r="U118">
            <v>0.41666666666666669</v>
          </cell>
          <cell r="V118">
            <v>0</v>
          </cell>
          <cell r="W118">
            <v>0.16666666666666674</v>
          </cell>
          <cell r="X118">
            <v>0.16666666666666674</v>
          </cell>
          <cell r="Y118" t="str">
            <v>Desmontagem do carro transversal, retirada das peças danificadas e aquisição de novo material, de melhor qualidade</v>
          </cell>
          <cell r="AB118">
            <v>4</v>
          </cell>
          <cell r="AC118">
            <v>4</v>
          </cell>
          <cell r="AD118" t="str">
            <v>N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</row>
        <row r="119">
          <cell r="C119">
            <v>37718</v>
          </cell>
          <cell r="D119">
            <v>37810</v>
          </cell>
          <cell r="E119">
            <v>37806</v>
          </cell>
          <cell r="F119">
            <v>0.375</v>
          </cell>
          <cell r="G119" t="str">
            <v>Torno Mecânico</v>
          </cell>
          <cell r="H119" t="str">
            <v>Folga no carro superior</v>
          </cell>
          <cell r="I119" t="str">
            <v>Corretiva</v>
          </cell>
          <cell r="J119" t="str">
            <v>Sim</v>
          </cell>
          <cell r="K119" t="str">
            <v>Mecânica</v>
          </cell>
          <cell r="L119" t="str">
            <v>Ajuste / Regulagem</v>
          </cell>
          <cell r="M119" t="str">
            <v>Desgaste / Fadiga</v>
          </cell>
          <cell r="N119">
            <v>37806</v>
          </cell>
          <cell r="O119">
            <v>0.54166666666666663</v>
          </cell>
          <cell r="P119">
            <v>37806</v>
          </cell>
          <cell r="Q119">
            <v>0.54166666666666663</v>
          </cell>
          <cell r="T119">
            <v>37806</v>
          </cell>
          <cell r="U119">
            <v>0.57291666666666663</v>
          </cell>
          <cell r="V119">
            <v>37806</v>
          </cell>
          <cell r="W119">
            <v>0.57291666666666663</v>
          </cell>
          <cell r="X119">
            <v>3.125E-2</v>
          </cell>
          <cell r="Y119">
            <v>3.1249999997574718E-2</v>
          </cell>
          <cell r="AB119">
            <v>7</v>
          </cell>
          <cell r="AC119">
            <v>4</v>
          </cell>
          <cell r="AD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</row>
        <row r="120">
          <cell r="C120">
            <v>37718</v>
          </cell>
          <cell r="D120">
            <v>37970</v>
          </cell>
          <cell r="E120">
            <v>37848</v>
          </cell>
          <cell r="F120">
            <v>0.33333333333333331</v>
          </cell>
          <cell r="G120" t="str">
            <v>Torno Mecânico</v>
          </cell>
          <cell r="H120" t="str">
            <v>Freio não aciona</v>
          </cell>
          <cell r="I120">
            <v>0</v>
          </cell>
          <cell r="J120" t="str">
            <v>Não</v>
          </cell>
          <cell r="K120" t="str">
            <v>Elétrica</v>
          </cell>
          <cell r="L120" t="str">
            <v>Reaperto dos componentes</v>
          </cell>
          <cell r="M120" t="str">
            <v>Desgaste / Fadiga</v>
          </cell>
          <cell r="N120">
            <v>37858</v>
          </cell>
          <cell r="O120">
            <v>0.66666666666666663</v>
          </cell>
          <cell r="P120">
            <v>0</v>
          </cell>
          <cell r="T120">
            <v>37858</v>
          </cell>
          <cell r="U120">
            <v>0.76388888888888884</v>
          </cell>
          <cell r="V120">
            <v>0</v>
          </cell>
          <cell r="W120">
            <v>9.7222222223839139E-2</v>
          </cell>
          <cell r="X120">
            <v>0</v>
          </cell>
          <cell r="Y120">
            <v>0</v>
          </cell>
          <cell r="AB120">
            <v>8</v>
          </cell>
          <cell r="AC120">
            <v>4</v>
          </cell>
          <cell r="AD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</row>
        <row r="121">
          <cell r="C121">
            <v>37718</v>
          </cell>
          <cell r="D121">
            <v>37915</v>
          </cell>
          <cell r="E121">
            <v>37903</v>
          </cell>
          <cell r="F121">
            <v>0.5</v>
          </cell>
          <cell r="G121" t="str">
            <v>Torno Mecânico</v>
          </cell>
          <cell r="H121" t="str">
            <v>Parafuso de fixação do carro superior quebrado</v>
          </cell>
          <cell r="I121" t="str">
            <v>Corretiva</v>
          </cell>
          <cell r="J121" t="str">
            <v>Não</v>
          </cell>
          <cell r="K121" t="str">
            <v>Mecânica</v>
          </cell>
          <cell r="L121" t="str">
            <v>Reparo</v>
          </cell>
          <cell r="M121" t="str">
            <v>Desgaste / Fadiga</v>
          </cell>
          <cell r="N121">
            <v>37903</v>
          </cell>
          <cell r="O121">
            <v>0.85416666666666663</v>
          </cell>
          <cell r="P121">
            <v>37903</v>
          </cell>
          <cell r="Q121">
            <v>0.85416666666666663</v>
          </cell>
          <cell r="T121">
            <v>37903</v>
          </cell>
          <cell r="U121">
            <v>0.97916666666666663</v>
          </cell>
          <cell r="V121">
            <v>37903</v>
          </cell>
          <cell r="W121">
            <v>0.97916666666666663</v>
          </cell>
          <cell r="X121">
            <v>0.12499999999757472</v>
          </cell>
          <cell r="Y121">
            <v>0.12499999999757472</v>
          </cell>
          <cell r="AB121">
            <v>10</v>
          </cell>
          <cell r="AC121">
            <v>4</v>
          </cell>
          <cell r="AD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</row>
        <row r="122">
          <cell r="C122">
            <v>37718</v>
          </cell>
          <cell r="D122">
            <v>37970</v>
          </cell>
          <cell r="E122">
            <v>37929</v>
          </cell>
          <cell r="F122">
            <v>0.6875</v>
          </cell>
          <cell r="G122" t="str">
            <v>Equipamentos diversos</v>
          </cell>
          <cell r="H122" t="str">
            <v>Não funciona</v>
          </cell>
          <cell r="I122">
            <v>0</v>
          </cell>
          <cell r="J122" t="str">
            <v>Não</v>
          </cell>
          <cell r="K122" t="str">
            <v>Elétrica</v>
          </cell>
          <cell r="L122" t="str">
            <v>Substituição do(s) Componente(s)</v>
          </cell>
          <cell r="M122" t="str">
            <v>Desgaste / Fadiga</v>
          </cell>
          <cell r="N122">
            <v>37949</v>
          </cell>
          <cell r="O122">
            <v>0.35416666666666669</v>
          </cell>
          <cell r="P122">
            <v>0</v>
          </cell>
          <cell r="T122">
            <v>37949</v>
          </cell>
          <cell r="U122">
            <v>0.37083333333333335</v>
          </cell>
          <cell r="V122">
            <v>0</v>
          </cell>
          <cell r="W122">
            <v>1.6666666667636776E-2</v>
          </cell>
          <cell r="X122">
            <v>0</v>
          </cell>
          <cell r="Y122">
            <v>0</v>
          </cell>
          <cell r="AB122">
            <v>11</v>
          </cell>
          <cell r="AC122">
            <v>4</v>
          </cell>
          <cell r="AD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11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</row>
        <row r="123">
          <cell r="C123">
            <v>37718</v>
          </cell>
          <cell r="D123">
            <v>37972</v>
          </cell>
          <cell r="E123">
            <v>37966</v>
          </cell>
          <cell r="F123">
            <v>0.4055555555555555</v>
          </cell>
          <cell r="G123" t="str">
            <v>Equipamentos diversos</v>
          </cell>
          <cell r="H123" t="str">
            <v>Vazamento na saída da bomba</v>
          </cell>
          <cell r="I123">
            <v>0</v>
          </cell>
          <cell r="J123" t="str">
            <v>Não</v>
          </cell>
          <cell r="K123" t="str">
            <v>Mecânica</v>
          </cell>
          <cell r="L123" t="str">
            <v>Contenção do vazamento</v>
          </cell>
          <cell r="M123" t="str">
            <v>Falha de Montagem / Preparação</v>
          </cell>
          <cell r="N123">
            <v>37967</v>
          </cell>
          <cell r="O123">
            <v>0.35416666666666669</v>
          </cell>
          <cell r="P123">
            <v>0</v>
          </cell>
          <cell r="T123">
            <v>37967</v>
          </cell>
          <cell r="U123">
            <v>0.41666666666666669</v>
          </cell>
          <cell r="V123">
            <v>0</v>
          </cell>
          <cell r="W123">
            <v>6.2499999997574662E-2</v>
          </cell>
          <cell r="X123">
            <v>0</v>
          </cell>
          <cell r="Y123">
            <v>0</v>
          </cell>
          <cell r="AB123">
            <v>12</v>
          </cell>
          <cell r="AC123">
            <v>4</v>
          </cell>
          <cell r="AD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12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</row>
        <row r="124">
          <cell r="C124">
            <v>37718</v>
          </cell>
          <cell r="I124">
            <v>0</v>
          </cell>
          <cell r="N124">
            <v>0</v>
          </cell>
          <cell r="P124">
            <v>0</v>
          </cell>
          <cell r="T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>
            <v>0</v>
          </cell>
          <cell r="AC124">
            <v>4</v>
          </cell>
          <cell r="AD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</row>
        <row r="125">
          <cell r="C125">
            <v>37718</v>
          </cell>
          <cell r="I125">
            <v>0</v>
          </cell>
          <cell r="N125">
            <v>0</v>
          </cell>
          <cell r="P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AB125">
            <v>0</v>
          </cell>
          <cell r="AC125">
            <v>4</v>
          </cell>
          <cell r="AD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</row>
        <row r="126">
          <cell r="C126">
            <v>37718</v>
          </cell>
          <cell r="I126">
            <v>0</v>
          </cell>
          <cell r="N126">
            <v>0</v>
          </cell>
          <cell r="P126">
            <v>0</v>
          </cell>
          <cell r="T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AB126">
            <v>0</v>
          </cell>
          <cell r="AC126">
            <v>4</v>
          </cell>
          <cell r="AD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</row>
        <row r="127">
          <cell r="C127">
            <v>37718</v>
          </cell>
          <cell r="D127">
            <v>37719</v>
          </cell>
          <cell r="E127">
            <v>37719</v>
          </cell>
          <cell r="F127">
            <v>0.45833333333333331</v>
          </cell>
          <cell r="G127" t="str">
            <v>Perfiladora Fagor Montantes</v>
          </cell>
          <cell r="H127" t="str">
            <v>Verificar Sensor Mesa Saída</v>
          </cell>
          <cell r="I127" t="str">
            <v>Corretiva</v>
          </cell>
          <cell r="J127" t="str">
            <v>Sim</v>
          </cell>
          <cell r="K127" t="str">
            <v>Elétrica</v>
          </cell>
          <cell r="L127" t="str">
            <v>Verificação dos sensores do êmbolo pneumático e limpeza do sensor do poço</v>
          </cell>
          <cell r="M127" t="str">
            <v>Sujeira em excesso</v>
          </cell>
          <cell r="N127">
            <v>37719</v>
          </cell>
          <cell r="O127">
            <v>0.45833333333333331</v>
          </cell>
          <cell r="P127">
            <v>37719</v>
          </cell>
          <cell r="Q127">
            <v>0.45833333333333331</v>
          </cell>
          <cell r="T127">
            <v>37719</v>
          </cell>
          <cell r="U127">
            <v>0.5</v>
          </cell>
          <cell r="V127">
            <v>37719</v>
          </cell>
          <cell r="W127">
            <v>0.5</v>
          </cell>
          <cell r="X127">
            <v>4.1666666666666685E-2</v>
          </cell>
          <cell r="Y127">
            <v>4.1666666666666685E-2</v>
          </cell>
          <cell r="AB127">
            <v>4</v>
          </cell>
          <cell r="AC127">
            <v>4</v>
          </cell>
          <cell r="AD127" t="str">
            <v>S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4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</row>
        <row r="128">
          <cell r="C128">
            <v>37718</v>
          </cell>
          <cell r="D128">
            <v>37727</v>
          </cell>
          <cell r="E128">
            <v>37726</v>
          </cell>
          <cell r="F128">
            <v>0.51388888888888895</v>
          </cell>
          <cell r="G128" t="str">
            <v>Perfiladora Fagor Montantes</v>
          </cell>
          <cell r="H128" t="str">
            <v>Painel acusa falha no Filtro Hidráulico da Cortadeira</v>
          </cell>
          <cell r="I128" t="str">
            <v>Corretiva</v>
          </cell>
          <cell r="J128" t="str">
            <v>Sim</v>
          </cell>
          <cell r="K128" t="str">
            <v>Mecânica</v>
          </cell>
          <cell r="L128" t="str">
            <v>Substituição do(s) Componente(s)</v>
          </cell>
          <cell r="M128" t="str">
            <v>Desgaste / Fadiga</v>
          </cell>
          <cell r="N128">
            <v>37726</v>
          </cell>
          <cell r="O128">
            <v>0.51388888888888895</v>
          </cell>
          <cell r="P128">
            <v>37726</v>
          </cell>
          <cell r="Q128">
            <v>0.51388888888888895</v>
          </cell>
          <cell r="T128">
            <v>37726</v>
          </cell>
          <cell r="U128">
            <v>0.52777777777777779</v>
          </cell>
          <cell r="V128">
            <v>37726</v>
          </cell>
          <cell r="W128">
            <v>0.52777777777777779</v>
          </cell>
          <cell r="X128">
            <v>1.388888888888884E-2</v>
          </cell>
          <cell r="Y128">
            <v>1.3888888892122586E-2</v>
          </cell>
          <cell r="AB128">
            <v>4</v>
          </cell>
          <cell r="AC128">
            <v>4</v>
          </cell>
          <cell r="AD128" t="str">
            <v>S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4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</row>
        <row r="129">
          <cell r="C129">
            <v>37718</v>
          </cell>
          <cell r="D129">
            <v>37735</v>
          </cell>
          <cell r="E129">
            <v>37734</v>
          </cell>
          <cell r="F129">
            <v>0.375</v>
          </cell>
          <cell r="G129" t="str">
            <v>Perfiladora Fagor Montantes</v>
          </cell>
          <cell r="H129" t="str">
            <v>Guia de chapa torto</v>
          </cell>
          <cell r="I129" t="str">
            <v>Corretiva</v>
          </cell>
          <cell r="J129" t="str">
            <v>Não</v>
          </cell>
          <cell r="K129" t="str">
            <v>Mecânica</v>
          </cell>
          <cell r="L129" t="str">
            <v>Substituição do(s) Componente(s)</v>
          </cell>
          <cell r="M129" t="str">
            <v>Falha Operacional</v>
          </cell>
          <cell r="N129">
            <v>37734</v>
          </cell>
          <cell r="O129">
            <v>0.375</v>
          </cell>
          <cell r="P129">
            <v>37734</v>
          </cell>
          <cell r="Q129">
            <v>0.375</v>
          </cell>
          <cell r="T129">
            <v>37734</v>
          </cell>
          <cell r="U129">
            <v>0.47916666666666669</v>
          </cell>
          <cell r="V129">
            <v>37734</v>
          </cell>
          <cell r="W129">
            <v>0.47916666666666669</v>
          </cell>
          <cell r="X129">
            <v>0.10416666666424135</v>
          </cell>
          <cell r="Y129">
            <v>0.10416666666424135</v>
          </cell>
          <cell r="AB129">
            <v>4</v>
          </cell>
          <cell r="AC129">
            <v>4</v>
          </cell>
          <cell r="AD129" t="str">
            <v>N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4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</row>
        <row r="130">
          <cell r="C130">
            <v>37718</v>
          </cell>
          <cell r="D130">
            <v>37775</v>
          </cell>
          <cell r="E130">
            <v>37771</v>
          </cell>
          <cell r="F130">
            <v>0.41666666666666669</v>
          </cell>
          <cell r="G130" t="str">
            <v>Perfiladora Fagor Montantes</v>
          </cell>
          <cell r="H130" t="str">
            <v>Trocar rolamento do rolo</v>
          </cell>
          <cell r="I130" t="str">
            <v>Corretiva</v>
          </cell>
          <cell r="J130" t="str">
            <v>Não</v>
          </cell>
          <cell r="K130" t="str">
            <v>Mecânica</v>
          </cell>
          <cell r="L130" t="str">
            <v>Substituição do(s) Componente(s)</v>
          </cell>
          <cell r="M130" t="str">
            <v>Desgaste / Fadiga</v>
          </cell>
          <cell r="N130">
            <v>37771</v>
          </cell>
          <cell r="O130">
            <v>0.5</v>
          </cell>
          <cell r="P130">
            <v>37771</v>
          </cell>
          <cell r="Q130">
            <v>0.57291666666666663</v>
          </cell>
          <cell r="R130">
            <v>37774</v>
          </cell>
          <cell r="S130">
            <v>0.35416666666666669</v>
          </cell>
          <cell r="T130">
            <v>37774</v>
          </cell>
          <cell r="U130">
            <v>0.375</v>
          </cell>
          <cell r="V130">
            <v>0</v>
          </cell>
          <cell r="W130">
            <v>9.3749999999999944E-2</v>
          </cell>
          <cell r="X130">
            <v>9.3749999999999944E-2</v>
          </cell>
          <cell r="Y130" t="str">
            <v>Foi desmontado o rolo, retirado o rolamento, e confeccionada nova peça.</v>
          </cell>
          <cell r="AB130">
            <v>6</v>
          </cell>
          <cell r="AC130">
            <v>4</v>
          </cell>
          <cell r="AD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6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</row>
        <row r="131">
          <cell r="C131">
            <v>37718</v>
          </cell>
          <cell r="D131">
            <v>37803</v>
          </cell>
          <cell r="E131">
            <v>37777</v>
          </cell>
          <cell r="F131">
            <v>0.33333333333333331</v>
          </cell>
          <cell r="G131" t="str">
            <v>Perfiladora Fagor Montantes</v>
          </cell>
          <cell r="H131" t="str">
            <v>Falha no CNC de corte</v>
          </cell>
          <cell r="I131" t="str">
            <v>Corretiva</v>
          </cell>
          <cell r="J131" t="str">
            <v>Sim</v>
          </cell>
          <cell r="K131" t="str">
            <v>Elétrica</v>
          </cell>
          <cell r="L131" t="str">
            <v>Substituição do(s) Componente(s)</v>
          </cell>
          <cell r="M131" t="str">
            <v>Desgaste / Fadiga</v>
          </cell>
          <cell r="N131">
            <v>37777</v>
          </cell>
          <cell r="O131">
            <v>0.33333333333333331</v>
          </cell>
          <cell r="P131">
            <v>37777</v>
          </cell>
          <cell r="Q131">
            <v>0.33333333333333331</v>
          </cell>
          <cell r="T131">
            <v>37777</v>
          </cell>
          <cell r="U131">
            <v>0.72916666666666663</v>
          </cell>
          <cell r="V131">
            <v>37777</v>
          </cell>
          <cell r="W131">
            <v>0.72916666666666663</v>
          </cell>
          <cell r="X131">
            <v>0.35416666666666663</v>
          </cell>
          <cell r="Y131">
            <v>0.35416666666424135</v>
          </cell>
          <cell r="AB131">
            <v>6</v>
          </cell>
          <cell r="AC131">
            <v>4</v>
          </cell>
          <cell r="AD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6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</row>
        <row r="132">
          <cell r="C132">
            <v>37718</v>
          </cell>
          <cell r="D132">
            <v>37785</v>
          </cell>
          <cell r="E132">
            <v>37784</v>
          </cell>
          <cell r="F132">
            <v>0.58333333333333337</v>
          </cell>
          <cell r="G132" t="str">
            <v>Perfiladora Fagor Montantes</v>
          </cell>
          <cell r="H132" t="str">
            <v>Falha no CNC de corte</v>
          </cell>
          <cell r="I132" t="str">
            <v>Corretiva</v>
          </cell>
          <cell r="J132" t="str">
            <v>Sim</v>
          </cell>
          <cell r="K132" t="str">
            <v>Elétrica</v>
          </cell>
          <cell r="L132" t="str">
            <v>Regulagem do sensor e regulagem mecânica da máquina</v>
          </cell>
          <cell r="M132" t="str">
            <v>Falha de Montagem / Preparação</v>
          </cell>
          <cell r="N132">
            <v>37784</v>
          </cell>
          <cell r="O132">
            <v>0.58333333333333337</v>
          </cell>
          <cell r="P132">
            <v>37784</v>
          </cell>
          <cell r="Q132">
            <v>0.58333333333333337</v>
          </cell>
          <cell r="T132">
            <v>37784</v>
          </cell>
          <cell r="U132">
            <v>0.65277777777777779</v>
          </cell>
          <cell r="V132">
            <v>37784</v>
          </cell>
          <cell r="W132">
            <v>0.65277777777777779</v>
          </cell>
          <cell r="X132">
            <v>6.944444444444442E-2</v>
          </cell>
          <cell r="Y132">
            <v>6.9444444447678166E-2</v>
          </cell>
          <cell r="AB132">
            <v>6</v>
          </cell>
          <cell r="AC132">
            <v>4</v>
          </cell>
          <cell r="AD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6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</row>
        <row r="133">
          <cell r="C133">
            <v>37718</v>
          </cell>
          <cell r="D133">
            <v>37803</v>
          </cell>
          <cell r="E133">
            <v>37798</v>
          </cell>
          <cell r="F133">
            <v>0.36805555555555558</v>
          </cell>
          <cell r="G133" t="str">
            <v>Perfiladora Fagor Montantes</v>
          </cell>
          <cell r="H133" t="str">
            <v>Excentricidade da chapa durante o processo</v>
          </cell>
          <cell r="I133" t="str">
            <v>Corretiva</v>
          </cell>
          <cell r="J133" t="str">
            <v>Sim</v>
          </cell>
          <cell r="K133" t="str">
            <v>Mecânica</v>
          </cell>
          <cell r="L133" t="str">
            <v>Regulagem das guias da chapa</v>
          </cell>
          <cell r="M133" t="str">
            <v>Falha de Regulagem / Configuração / Dimensionamento</v>
          </cell>
          <cell r="N133">
            <v>37798</v>
          </cell>
          <cell r="O133">
            <v>0.375</v>
          </cell>
          <cell r="P133">
            <v>37798</v>
          </cell>
          <cell r="Q133">
            <v>0.375</v>
          </cell>
          <cell r="T133">
            <v>37798</v>
          </cell>
          <cell r="U133">
            <v>0.40972222222222227</v>
          </cell>
          <cell r="V133">
            <v>37798</v>
          </cell>
          <cell r="W133">
            <v>0.40972222222222227</v>
          </cell>
          <cell r="X133">
            <v>3.4722222222222265E-2</v>
          </cell>
          <cell r="Y133">
            <v>3.4722222218988463E-2</v>
          </cell>
          <cell r="AB133">
            <v>6</v>
          </cell>
          <cell r="AC133">
            <v>4</v>
          </cell>
          <cell r="AD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6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</row>
        <row r="134">
          <cell r="C134">
            <v>37718</v>
          </cell>
          <cell r="D134">
            <v>37858</v>
          </cell>
          <cell r="E134">
            <v>37819</v>
          </cell>
          <cell r="F134">
            <v>0.35416666666666669</v>
          </cell>
          <cell r="G134" t="str">
            <v>Perfiladora Fagor Montantes</v>
          </cell>
          <cell r="H134" t="str">
            <v>Falha no Encoder</v>
          </cell>
          <cell r="I134" t="str">
            <v>Corretiva</v>
          </cell>
          <cell r="J134" t="str">
            <v>Sim</v>
          </cell>
          <cell r="K134" t="str">
            <v>Elétrica</v>
          </cell>
          <cell r="L134" t="str">
            <v>Substituição do(s) Componente(s)</v>
          </cell>
          <cell r="M134" t="str">
            <v>Falha de Comando / Sistema</v>
          </cell>
          <cell r="N134">
            <v>37819</v>
          </cell>
          <cell r="O134">
            <v>0.35416666666666669</v>
          </cell>
          <cell r="P134">
            <v>37819</v>
          </cell>
          <cell r="Q134">
            <v>0.35416666666666669</v>
          </cell>
          <cell r="T134">
            <v>37819</v>
          </cell>
          <cell r="U134">
            <v>0.39583333333333331</v>
          </cell>
          <cell r="V134">
            <v>37819</v>
          </cell>
          <cell r="W134">
            <v>0.39583333333333331</v>
          </cell>
          <cell r="X134">
            <v>4.166666666666663E-2</v>
          </cell>
          <cell r="Y134">
            <v>4.1666666669091967E-2</v>
          </cell>
          <cell r="AB134">
            <v>7</v>
          </cell>
          <cell r="AC134">
            <v>4</v>
          </cell>
          <cell r="AD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7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</row>
        <row r="135">
          <cell r="C135">
            <v>37718</v>
          </cell>
          <cell r="D135">
            <v>37831</v>
          </cell>
          <cell r="E135">
            <v>37819</v>
          </cell>
          <cell r="F135">
            <v>0.33333333333333331</v>
          </cell>
          <cell r="G135" t="str">
            <v>Perfiladora Fagor Montantes</v>
          </cell>
          <cell r="H135" t="str">
            <v>Rolamento do guia da prensa roldana travando</v>
          </cell>
          <cell r="I135" t="str">
            <v>Corretiva</v>
          </cell>
          <cell r="J135" t="str">
            <v>Não</v>
          </cell>
          <cell r="K135" t="str">
            <v>Mecânica</v>
          </cell>
          <cell r="L135" t="str">
            <v>Ajuste / Regulagem</v>
          </cell>
          <cell r="M135" t="str">
            <v>Falha de Regulagem / Configuração / Dimensionamento</v>
          </cell>
          <cell r="N135">
            <v>37819</v>
          </cell>
          <cell r="O135">
            <v>0.33333333333333331</v>
          </cell>
          <cell r="P135">
            <v>37819</v>
          </cell>
          <cell r="Q135">
            <v>0.33333333333333331</v>
          </cell>
          <cell r="T135">
            <v>37819</v>
          </cell>
          <cell r="U135">
            <v>0.41666666666666669</v>
          </cell>
          <cell r="V135">
            <v>37819</v>
          </cell>
          <cell r="W135">
            <v>0.41666666666666669</v>
          </cell>
          <cell r="X135">
            <v>8.3333333330908033E-2</v>
          </cell>
          <cell r="Y135">
            <v>8.3333333330908033E-2</v>
          </cell>
          <cell r="AB135">
            <v>7</v>
          </cell>
          <cell r="AC135">
            <v>4</v>
          </cell>
          <cell r="AD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7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</row>
        <row r="136">
          <cell r="C136">
            <v>37718</v>
          </cell>
          <cell r="D136">
            <v>37902</v>
          </cell>
          <cell r="E136">
            <v>37896</v>
          </cell>
          <cell r="F136">
            <v>0.58333333333333337</v>
          </cell>
          <cell r="G136" t="str">
            <v>Perfiladora Fagor Montantes</v>
          </cell>
          <cell r="H136" t="str">
            <v>Suporte do sensor do fosso de entrada da prensa está solto</v>
          </cell>
          <cell r="I136" t="str">
            <v>Corretiva</v>
          </cell>
          <cell r="J136" t="str">
            <v>Não</v>
          </cell>
          <cell r="K136" t="str">
            <v>Mecânica</v>
          </cell>
          <cell r="L136" t="str">
            <v>Reparo</v>
          </cell>
          <cell r="M136" t="str">
            <v>Causa não especificada</v>
          </cell>
          <cell r="N136">
            <v>37896</v>
          </cell>
          <cell r="O136">
            <v>0.83333333333333337</v>
          </cell>
          <cell r="P136">
            <v>37896</v>
          </cell>
          <cell r="Q136">
            <v>0.83333333333333337</v>
          </cell>
          <cell r="T136">
            <v>37896</v>
          </cell>
          <cell r="U136">
            <v>0.9375</v>
          </cell>
          <cell r="V136">
            <v>37896</v>
          </cell>
          <cell r="W136">
            <v>0.9375</v>
          </cell>
          <cell r="X136">
            <v>0.10416666666666663</v>
          </cell>
          <cell r="Y136">
            <v>0.10416666666666663</v>
          </cell>
          <cell r="AB136">
            <v>10</v>
          </cell>
          <cell r="AC136">
            <v>4</v>
          </cell>
          <cell r="AD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10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</row>
        <row r="137">
          <cell r="C137">
            <v>37718</v>
          </cell>
          <cell r="D137">
            <v>37753</v>
          </cell>
          <cell r="E137">
            <v>37753</v>
          </cell>
          <cell r="F137">
            <v>0.375</v>
          </cell>
          <cell r="G137" t="str">
            <v>Prensa Jundiaí Conectores</v>
          </cell>
          <cell r="H137" t="str">
            <v>Fazer pino guia para chapa, pois a mesma está saindo do sensor</v>
          </cell>
          <cell r="I137" t="str">
            <v>Melhoria</v>
          </cell>
          <cell r="J137" t="str">
            <v>Não</v>
          </cell>
          <cell r="K137" t="str">
            <v>Mecânica</v>
          </cell>
          <cell r="L137" t="str">
            <v>Foram confeccionadas 02 chapas para guiar a chapa da bobina</v>
          </cell>
          <cell r="M137" t="str">
            <v>Melhoria Técnica</v>
          </cell>
          <cell r="N137">
            <v>37756</v>
          </cell>
          <cell r="O137">
            <v>0.33333333333333331</v>
          </cell>
          <cell r="P137">
            <v>37756</v>
          </cell>
          <cell r="Q137">
            <v>0.33333333333333331</v>
          </cell>
          <cell r="T137">
            <v>37756</v>
          </cell>
          <cell r="U137">
            <v>0.41666666666666669</v>
          </cell>
          <cell r="V137">
            <v>37756</v>
          </cell>
          <cell r="W137">
            <v>0.41666666666666669</v>
          </cell>
          <cell r="X137">
            <v>8.3333333330908033E-2</v>
          </cell>
          <cell r="Y137">
            <v>8.3333333330908033E-2</v>
          </cell>
          <cell r="AB137">
            <v>5</v>
          </cell>
          <cell r="AC137">
            <v>4</v>
          </cell>
          <cell r="AD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5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</row>
        <row r="138">
          <cell r="C138">
            <v>37718</v>
          </cell>
          <cell r="D138">
            <v>37753</v>
          </cell>
          <cell r="E138">
            <v>37753</v>
          </cell>
          <cell r="F138">
            <v>0.33333333333333331</v>
          </cell>
          <cell r="G138" t="str">
            <v>Prensa Jundiaí Conectores</v>
          </cell>
          <cell r="H138" t="str">
            <v>Chaveta espanada do Rodilho da chapa</v>
          </cell>
          <cell r="I138" t="str">
            <v>Corretiva</v>
          </cell>
          <cell r="J138" t="str">
            <v>Não</v>
          </cell>
          <cell r="K138" t="str">
            <v>Mecânica</v>
          </cell>
          <cell r="L138" t="str">
            <v>Soldagem de porca para fixação por chave</v>
          </cell>
          <cell r="M138" t="str">
            <v>Defeito de Fabricação</v>
          </cell>
          <cell r="N138">
            <v>37756</v>
          </cell>
          <cell r="O138">
            <v>0.33333333333333331</v>
          </cell>
          <cell r="P138">
            <v>37756</v>
          </cell>
          <cell r="Q138">
            <v>0.33333333333333331</v>
          </cell>
          <cell r="T138">
            <v>37756</v>
          </cell>
          <cell r="U138">
            <v>0.38194444444444442</v>
          </cell>
          <cell r="V138">
            <v>37756</v>
          </cell>
          <cell r="W138">
            <v>0.38194444444444442</v>
          </cell>
          <cell r="X138">
            <v>4.8611111111919569E-2</v>
          </cell>
          <cell r="Y138">
            <v>4.8611111111919569E-2</v>
          </cell>
          <cell r="AB138">
            <v>5</v>
          </cell>
          <cell r="AC138">
            <v>4</v>
          </cell>
          <cell r="AD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5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</row>
        <row r="139">
          <cell r="C139">
            <v>37718</v>
          </cell>
          <cell r="D139">
            <v>37762</v>
          </cell>
          <cell r="E139">
            <v>37761</v>
          </cell>
          <cell r="F139">
            <v>0.69791666666666663</v>
          </cell>
          <cell r="G139" t="str">
            <v>Prensa Jundiaí Conectores</v>
          </cell>
          <cell r="H139" t="str">
            <v>Painel elétrico não liga</v>
          </cell>
          <cell r="I139" t="str">
            <v>Corretiva</v>
          </cell>
          <cell r="J139" t="str">
            <v>Sim</v>
          </cell>
          <cell r="K139" t="str">
            <v>Elétrica</v>
          </cell>
          <cell r="L139" t="str">
            <v>Ajuste / Regulagem</v>
          </cell>
          <cell r="M139" t="str">
            <v>Mau contato</v>
          </cell>
          <cell r="N139">
            <v>37761</v>
          </cell>
          <cell r="O139">
            <v>0.69791666666666663</v>
          </cell>
          <cell r="P139">
            <v>37761</v>
          </cell>
          <cell r="Q139">
            <v>0.75</v>
          </cell>
          <cell r="R139">
            <v>37762</v>
          </cell>
          <cell r="S139">
            <v>0.33333333333333331</v>
          </cell>
          <cell r="T139">
            <v>37762</v>
          </cell>
          <cell r="U139">
            <v>0.44791666666666669</v>
          </cell>
          <cell r="V139">
            <v>0</v>
          </cell>
          <cell r="W139">
            <v>0.16666666666666674</v>
          </cell>
          <cell r="X139">
            <v>0.16666666666666674</v>
          </cell>
          <cell r="Y139">
            <v>0.16666666666666674</v>
          </cell>
          <cell r="AB139">
            <v>5</v>
          </cell>
          <cell r="AC139">
            <v>4</v>
          </cell>
          <cell r="AD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5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</row>
        <row r="140">
          <cell r="C140">
            <v>37718</v>
          </cell>
          <cell r="D140">
            <v>37767</v>
          </cell>
          <cell r="E140">
            <v>37764</v>
          </cell>
          <cell r="F140">
            <v>0.4513888888888889</v>
          </cell>
          <cell r="G140" t="str">
            <v>Prensa Jundiaí Conectores</v>
          </cell>
          <cell r="H140" t="str">
            <v>Chave geral do painel está solta</v>
          </cell>
          <cell r="I140" t="str">
            <v>Corretiva</v>
          </cell>
          <cell r="J140" t="str">
            <v>Não</v>
          </cell>
          <cell r="K140" t="str">
            <v>Elétrica</v>
          </cell>
          <cell r="L140" t="str">
            <v>Reparo</v>
          </cell>
          <cell r="M140" t="str">
            <v>Vibração</v>
          </cell>
          <cell r="N140">
            <v>37764</v>
          </cell>
          <cell r="O140">
            <v>0.45833333333333331</v>
          </cell>
          <cell r="P140">
            <v>37764</v>
          </cell>
          <cell r="Q140">
            <v>0.45833333333333331</v>
          </cell>
          <cell r="T140">
            <v>37764</v>
          </cell>
          <cell r="U140">
            <v>0.46875</v>
          </cell>
          <cell r="V140">
            <v>37764</v>
          </cell>
          <cell r="W140">
            <v>0.46875</v>
          </cell>
          <cell r="X140">
            <v>1.0416666666666685E-2</v>
          </cell>
          <cell r="Y140">
            <v>1.0416666666666685E-2</v>
          </cell>
          <cell r="AB140">
            <v>5</v>
          </cell>
          <cell r="AC140">
            <v>4</v>
          </cell>
          <cell r="AD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5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</row>
        <row r="141">
          <cell r="C141">
            <v>37718</v>
          </cell>
          <cell r="D141">
            <v>37769</v>
          </cell>
          <cell r="E141">
            <v>37767</v>
          </cell>
          <cell r="F141">
            <v>0.72916666666666663</v>
          </cell>
          <cell r="G141" t="str">
            <v>Prensa Jundiaí Conectores</v>
          </cell>
          <cell r="H141" t="str">
            <v>Chaveta do Rodilho quebrada</v>
          </cell>
          <cell r="I141" t="str">
            <v>Corretiva</v>
          </cell>
          <cell r="J141" t="str">
            <v>Sim</v>
          </cell>
          <cell r="K141" t="str">
            <v>Mecânica</v>
          </cell>
          <cell r="L141" t="str">
            <v>Melhoria no Sistema de Fixação</v>
          </cell>
          <cell r="M141" t="str">
            <v>Causa não especificada</v>
          </cell>
          <cell r="N141">
            <v>37767</v>
          </cell>
          <cell r="O141">
            <v>0.72916666666666663</v>
          </cell>
          <cell r="P141">
            <v>37767</v>
          </cell>
          <cell r="Q141">
            <v>0.72916666666666663</v>
          </cell>
          <cell r="T141">
            <v>37767</v>
          </cell>
          <cell r="U141">
            <v>0.75</v>
          </cell>
          <cell r="V141">
            <v>37767</v>
          </cell>
          <cell r="W141">
            <v>0.75</v>
          </cell>
          <cell r="X141">
            <v>2.083333333333337E-2</v>
          </cell>
          <cell r="Y141">
            <v>2.083333333333337E-2</v>
          </cell>
          <cell r="AB141">
            <v>5</v>
          </cell>
          <cell r="AC141">
            <v>4</v>
          </cell>
          <cell r="AD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5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</row>
        <row r="142">
          <cell r="C142">
            <v>37718</v>
          </cell>
          <cell r="D142">
            <v>37819</v>
          </cell>
          <cell r="E142">
            <v>37768</v>
          </cell>
          <cell r="F142">
            <v>0.47916666666666669</v>
          </cell>
          <cell r="G142" t="str">
            <v>Prensa Jundiaí Conectores</v>
          </cell>
          <cell r="H142" t="str">
            <v>Motor não mantém velocidade do golpe</v>
          </cell>
          <cell r="I142" t="str">
            <v>Corretiva</v>
          </cell>
          <cell r="J142" t="str">
            <v>Sim</v>
          </cell>
          <cell r="K142" t="str">
            <v>Mecânica</v>
          </cell>
          <cell r="L142" t="str">
            <v>Reaperto dos componentes</v>
          </cell>
          <cell r="M142" t="str">
            <v>Vibração</v>
          </cell>
          <cell r="N142">
            <v>37768</v>
          </cell>
          <cell r="O142">
            <v>0.47916666666666669</v>
          </cell>
          <cell r="P142">
            <v>37768</v>
          </cell>
          <cell r="Q142">
            <v>0.47916666666666669</v>
          </cell>
          <cell r="T142">
            <v>37768</v>
          </cell>
          <cell r="U142">
            <v>0.69444444444444453</v>
          </cell>
          <cell r="V142">
            <v>37768</v>
          </cell>
          <cell r="W142">
            <v>0.69444444444444453</v>
          </cell>
          <cell r="X142">
            <v>0.21527777777777785</v>
          </cell>
          <cell r="Y142">
            <v>0.2152777777785862</v>
          </cell>
          <cell r="AB142">
            <v>5</v>
          </cell>
          <cell r="AC142">
            <v>4</v>
          </cell>
          <cell r="AD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5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</row>
        <row r="143">
          <cell r="C143">
            <v>37718</v>
          </cell>
          <cell r="D143">
            <v>37783</v>
          </cell>
          <cell r="E143">
            <v>37778</v>
          </cell>
          <cell r="F143">
            <v>0.47916666666666669</v>
          </cell>
          <cell r="G143" t="str">
            <v>Prensa Jundiaí Conectores</v>
          </cell>
          <cell r="H143" t="str">
            <v>Ocorre ligeiro travamento da chaveta no desbobinador</v>
          </cell>
          <cell r="I143" t="str">
            <v>Corretiva</v>
          </cell>
          <cell r="J143" t="str">
            <v>Não</v>
          </cell>
          <cell r="K143" t="str">
            <v>Mecânica</v>
          </cell>
          <cell r="L143" t="str">
            <v>O componente foi lixado / ajustado</v>
          </cell>
          <cell r="M143" t="str">
            <v>Falha de Regulagem / Configuração / Dimensionamento</v>
          </cell>
          <cell r="N143">
            <v>37778</v>
          </cell>
          <cell r="O143">
            <v>0.47916666666666669</v>
          </cell>
          <cell r="P143">
            <v>37778</v>
          </cell>
          <cell r="Q143">
            <v>0.47916666666666669</v>
          </cell>
          <cell r="T143">
            <v>37778</v>
          </cell>
          <cell r="U143">
            <v>0.53472222222222221</v>
          </cell>
          <cell r="V143">
            <v>37778</v>
          </cell>
          <cell r="W143">
            <v>0.53472222222222221</v>
          </cell>
          <cell r="X143">
            <v>5.5555555552321778E-2</v>
          </cell>
          <cell r="Y143">
            <v>5.5555555552321778E-2</v>
          </cell>
          <cell r="AB143">
            <v>6</v>
          </cell>
          <cell r="AC143">
            <v>4</v>
          </cell>
          <cell r="AD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6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</row>
        <row r="144">
          <cell r="C144">
            <v>37718</v>
          </cell>
          <cell r="D144">
            <v>37803</v>
          </cell>
          <cell r="E144">
            <v>37795</v>
          </cell>
          <cell r="F144">
            <v>0.375</v>
          </cell>
          <cell r="G144" t="str">
            <v>Prensa Jundiaí Conectores</v>
          </cell>
          <cell r="H144" t="str">
            <v>Conexão de Ar Comprimido quebrada</v>
          </cell>
          <cell r="I144" t="str">
            <v>Corretiva</v>
          </cell>
          <cell r="J144" t="str">
            <v>Não</v>
          </cell>
          <cell r="K144" t="str">
            <v>Mecânica</v>
          </cell>
          <cell r="L144" t="str">
            <v>Substituição do(s) Componente(s)</v>
          </cell>
          <cell r="M144" t="str">
            <v>Defeito de Fabricação</v>
          </cell>
          <cell r="N144">
            <v>37795</v>
          </cell>
          <cell r="O144">
            <v>0.375</v>
          </cell>
          <cell r="P144">
            <v>37795</v>
          </cell>
          <cell r="Q144">
            <v>0.375</v>
          </cell>
          <cell r="T144">
            <v>37795</v>
          </cell>
          <cell r="U144">
            <v>0.39930555555555558</v>
          </cell>
          <cell r="V144">
            <v>37795</v>
          </cell>
          <cell r="W144">
            <v>0.39930555555555558</v>
          </cell>
          <cell r="X144">
            <v>2.4305555554747116E-2</v>
          </cell>
          <cell r="Y144">
            <v>2.4305555554747116E-2</v>
          </cell>
          <cell r="AB144">
            <v>6</v>
          </cell>
          <cell r="AC144">
            <v>4</v>
          </cell>
          <cell r="AD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6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</row>
        <row r="145">
          <cell r="C145">
            <v>37718</v>
          </cell>
          <cell r="D145">
            <v>37803</v>
          </cell>
          <cell r="E145">
            <v>37796</v>
          </cell>
          <cell r="F145">
            <v>0.45833333333333331</v>
          </cell>
          <cell r="G145" t="str">
            <v>Prensa Jundiaí Conectores</v>
          </cell>
          <cell r="H145" t="str">
            <v>Cabo de Fibra Óptica está rompido</v>
          </cell>
          <cell r="I145" t="str">
            <v>Corretiva</v>
          </cell>
          <cell r="J145" t="str">
            <v>Não</v>
          </cell>
          <cell r="K145" t="str">
            <v>Elétrica</v>
          </cell>
          <cell r="L145" t="str">
            <v>Substituição do(s) Componente(s)</v>
          </cell>
          <cell r="M145" t="str">
            <v>Causa não especificada</v>
          </cell>
          <cell r="N145">
            <v>37796</v>
          </cell>
          <cell r="O145">
            <v>0.45833333333333331</v>
          </cell>
          <cell r="P145">
            <v>37796</v>
          </cell>
          <cell r="Q145">
            <v>0.45833333333333331</v>
          </cell>
          <cell r="T145">
            <v>37796</v>
          </cell>
          <cell r="U145">
            <v>0.5</v>
          </cell>
          <cell r="V145">
            <v>37796</v>
          </cell>
          <cell r="W145">
            <v>0.5</v>
          </cell>
          <cell r="X145">
            <v>4.1666666666666685E-2</v>
          </cell>
          <cell r="Y145">
            <v>4.1666666666666685E-2</v>
          </cell>
          <cell r="AB145">
            <v>6</v>
          </cell>
          <cell r="AC145">
            <v>4</v>
          </cell>
          <cell r="AD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6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</row>
        <row r="146">
          <cell r="C146">
            <v>37718</v>
          </cell>
          <cell r="D146">
            <v>37838</v>
          </cell>
          <cell r="E146">
            <v>37830</v>
          </cell>
          <cell r="F146">
            <v>0.55208333333333337</v>
          </cell>
          <cell r="G146" t="str">
            <v>Prensa Jundiaí Conectores</v>
          </cell>
          <cell r="H146" t="str">
            <v>Calço do motor principal quebrado</v>
          </cell>
          <cell r="I146" t="str">
            <v>Corretiva</v>
          </cell>
          <cell r="J146" t="str">
            <v>Sim</v>
          </cell>
          <cell r="K146" t="str">
            <v>Mecânica</v>
          </cell>
          <cell r="L146" t="str">
            <v>Substituição do(s) Componente(s)</v>
          </cell>
          <cell r="M146" t="str">
            <v>Vibração</v>
          </cell>
          <cell r="N146">
            <v>37830</v>
          </cell>
          <cell r="O146">
            <v>0.58333333333333337</v>
          </cell>
          <cell r="P146">
            <v>37830</v>
          </cell>
          <cell r="Q146">
            <v>0.58333333333333337</v>
          </cell>
          <cell r="T146">
            <v>37831</v>
          </cell>
          <cell r="U146">
            <v>0.66666666666666663</v>
          </cell>
          <cell r="V146">
            <v>37831</v>
          </cell>
          <cell r="W146">
            <v>0.66666666666666663</v>
          </cell>
          <cell r="X146">
            <v>0.45833333333333326</v>
          </cell>
          <cell r="Y146">
            <v>0.45833333333090787</v>
          </cell>
          <cell r="AB146">
            <v>7</v>
          </cell>
          <cell r="AC146">
            <v>4</v>
          </cell>
          <cell r="AD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7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</row>
        <row r="147">
          <cell r="C147">
            <v>37718</v>
          </cell>
          <cell r="D147">
            <v>37756</v>
          </cell>
          <cell r="E147">
            <v>37753</v>
          </cell>
          <cell r="F147">
            <v>0.44791666666666669</v>
          </cell>
          <cell r="G147" t="str">
            <v>Serra Elétrica Circular</v>
          </cell>
          <cell r="H147" t="str">
            <v>Serra não liga</v>
          </cell>
          <cell r="I147" t="str">
            <v>Corretiva</v>
          </cell>
          <cell r="J147" t="str">
            <v>Sim</v>
          </cell>
          <cell r="K147" t="str">
            <v>Elétrica</v>
          </cell>
          <cell r="L147" t="str">
            <v>Foi realizada manutenção no motor por terceiros, pois o mesmo encontrava-se queimado</v>
          </cell>
          <cell r="M147" t="str">
            <v>Sobrecarga</v>
          </cell>
          <cell r="N147">
            <v>37753</v>
          </cell>
          <cell r="O147">
            <v>0.47916666666666669</v>
          </cell>
          <cell r="P147">
            <v>37753</v>
          </cell>
          <cell r="Q147">
            <v>0.5625</v>
          </cell>
          <cell r="R147">
            <v>37754</v>
          </cell>
          <cell r="S147">
            <v>0.40972222222222227</v>
          </cell>
          <cell r="T147">
            <v>37754</v>
          </cell>
          <cell r="U147">
            <v>0.49305555555555558</v>
          </cell>
          <cell r="V147">
            <v>3.125E-2</v>
          </cell>
          <cell r="W147">
            <v>0.19791666666666663</v>
          </cell>
          <cell r="X147">
            <v>0.16666666666666663</v>
          </cell>
          <cell r="Y147" t="str">
            <v>Sobrecarga no motor</v>
          </cell>
          <cell r="AB147">
            <v>5</v>
          </cell>
          <cell r="AC147">
            <v>4</v>
          </cell>
          <cell r="AD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5</v>
          </cell>
        </row>
        <row r="148">
          <cell r="C148">
            <v>37718</v>
          </cell>
          <cell r="D148">
            <v>37756</v>
          </cell>
          <cell r="E148">
            <v>37753</v>
          </cell>
          <cell r="F148">
            <v>0.70833333333333337</v>
          </cell>
          <cell r="G148" t="str">
            <v>Perfiladora Zikeli</v>
          </cell>
          <cell r="H148" t="str">
            <v>Desligamento na chave geral</v>
          </cell>
          <cell r="I148" t="str">
            <v>Corretiva</v>
          </cell>
          <cell r="J148" t="str">
            <v>Sim</v>
          </cell>
          <cell r="K148" t="str">
            <v>Elétrica</v>
          </cell>
          <cell r="L148" t="str">
            <v>Reparo</v>
          </cell>
          <cell r="M148" t="str">
            <v>Sobrecarga</v>
          </cell>
          <cell r="N148">
            <v>37754</v>
          </cell>
          <cell r="O148">
            <v>0.36805555555555558</v>
          </cell>
          <cell r="P148">
            <v>37754</v>
          </cell>
          <cell r="Q148">
            <v>0.36805555555555558</v>
          </cell>
          <cell r="T148">
            <v>37754</v>
          </cell>
          <cell r="U148">
            <v>0.3888888888888889</v>
          </cell>
          <cell r="V148">
            <v>37754</v>
          </cell>
          <cell r="W148">
            <v>0.3888888888888889</v>
          </cell>
          <cell r="X148">
            <v>2.0833333333333315E-2</v>
          </cell>
          <cell r="Y148">
            <v>2.0833333334950188E-2</v>
          </cell>
          <cell r="AB148">
            <v>5</v>
          </cell>
          <cell r="AC148">
            <v>4</v>
          </cell>
          <cell r="AD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5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</row>
        <row r="149">
          <cell r="C149">
            <v>37718</v>
          </cell>
          <cell r="D149">
            <v>37762</v>
          </cell>
          <cell r="E149">
            <v>37761</v>
          </cell>
          <cell r="F149">
            <v>0.375</v>
          </cell>
          <cell r="G149" t="str">
            <v>Perfiladora Zikeli</v>
          </cell>
          <cell r="H149" t="str">
            <v>Impressora não liga</v>
          </cell>
          <cell r="I149" t="str">
            <v>Corretiva</v>
          </cell>
          <cell r="J149" t="str">
            <v>Sim</v>
          </cell>
          <cell r="K149" t="str">
            <v>Elétrica</v>
          </cell>
          <cell r="L149" t="str">
            <v>Foi verificada a tensão na tomada e religado estabilizador da impressora</v>
          </cell>
          <cell r="M149" t="str">
            <v>Sobrecarga</v>
          </cell>
          <cell r="N149">
            <v>37761</v>
          </cell>
          <cell r="O149">
            <v>0.41666666666666669</v>
          </cell>
          <cell r="P149">
            <v>37761</v>
          </cell>
          <cell r="Q149">
            <v>0.41666666666666669</v>
          </cell>
          <cell r="T149">
            <v>37761</v>
          </cell>
          <cell r="U149">
            <v>0.42708333333333331</v>
          </cell>
          <cell r="V149">
            <v>37761</v>
          </cell>
          <cell r="W149">
            <v>0.42708333333333331</v>
          </cell>
          <cell r="X149">
            <v>1.041666666666663E-2</v>
          </cell>
          <cell r="Y149">
            <v>1.0416666669091967E-2</v>
          </cell>
          <cell r="AB149">
            <v>5</v>
          </cell>
          <cell r="AC149">
            <v>4</v>
          </cell>
          <cell r="AD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5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</row>
        <row r="150">
          <cell r="C150">
            <v>37718</v>
          </cell>
          <cell r="D150">
            <v>37762</v>
          </cell>
          <cell r="E150">
            <v>37761</v>
          </cell>
          <cell r="F150">
            <v>0.72916666666666663</v>
          </cell>
          <cell r="G150" t="str">
            <v>Perfiladora Zikeli</v>
          </cell>
          <cell r="H150" t="str">
            <v>Parafuso de aperto hidráulico do desbobinador quebrado</v>
          </cell>
          <cell r="I150" t="str">
            <v>Corretiva</v>
          </cell>
          <cell r="J150" t="str">
            <v>Não</v>
          </cell>
          <cell r="K150" t="str">
            <v>Mecânica</v>
          </cell>
          <cell r="L150" t="str">
            <v>Reparo</v>
          </cell>
          <cell r="M150" t="str">
            <v>Defeito de Fabricação</v>
          </cell>
          <cell r="N150">
            <v>37762</v>
          </cell>
          <cell r="O150">
            <v>0.33333333333333331</v>
          </cell>
          <cell r="P150">
            <v>37762</v>
          </cell>
          <cell r="Q150">
            <v>0.33333333333333331</v>
          </cell>
          <cell r="T150">
            <v>37762</v>
          </cell>
          <cell r="U150">
            <v>0.375</v>
          </cell>
          <cell r="V150">
            <v>37762</v>
          </cell>
          <cell r="W150">
            <v>0.375</v>
          </cell>
          <cell r="X150">
            <v>4.1666666666666685E-2</v>
          </cell>
          <cell r="Y150">
            <v>4.1666666666666685E-2</v>
          </cell>
          <cell r="AB150">
            <v>5</v>
          </cell>
          <cell r="AC150">
            <v>4</v>
          </cell>
          <cell r="AD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5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</row>
        <row r="151">
          <cell r="C151">
            <v>37718</v>
          </cell>
          <cell r="D151">
            <v>37769</v>
          </cell>
          <cell r="E151">
            <v>37767</v>
          </cell>
          <cell r="F151">
            <v>0.57499999999999996</v>
          </cell>
          <cell r="G151" t="str">
            <v>Perfiladora Zikeli</v>
          </cell>
          <cell r="H151" t="str">
            <v>Máquina trabalhando em sentido inverso ao especificado. Perfiladora parada.</v>
          </cell>
          <cell r="I151" t="str">
            <v>Corretiva</v>
          </cell>
          <cell r="J151" t="str">
            <v>Sim</v>
          </cell>
          <cell r="K151" t="str">
            <v>Elétrica</v>
          </cell>
          <cell r="L151" t="str">
            <v>Ajuste / Regulagem</v>
          </cell>
          <cell r="M151" t="str">
            <v>Falha Operacional</v>
          </cell>
          <cell r="N151">
            <v>37767</v>
          </cell>
          <cell r="O151">
            <v>0.65277777777777779</v>
          </cell>
          <cell r="P151">
            <v>37767</v>
          </cell>
          <cell r="Q151">
            <v>0.65277777777777779</v>
          </cell>
          <cell r="T151">
            <v>37767</v>
          </cell>
          <cell r="U151">
            <v>0.6875</v>
          </cell>
          <cell r="V151">
            <v>37767</v>
          </cell>
          <cell r="W151">
            <v>0.6875</v>
          </cell>
          <cell r="X151">
            <v>3.472222222222221E-2</v>
          </cell>
          <cell r="Y151">
            <v>3.472222222222221E-2</v>
          </cell>
          <cell r="AB151">
            <v>5</v>
          </cell>
          <cell r="AC151">
            <v>4</v>
          </cell>
          <cell r="AD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5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</row>
        <row r="152">
          <cell r="C152">
            <v>37718</v>
          </cell>
          <cell r="D152">
            <v>37776</v>
          </cell>
          <cell r="E152">
            <v>37770</v>
          </cell>
          <cell r="F152">
            <v>0.50069444444444444</v>
          </cell>
          <cell r="G152" t="str">
            <v>Perfiladora Zikeli</v>
          </cell>
          <cell r="H152" t="str">
            <v>Alguns parafusos de fixação do braço do desbobinador estão duros e outros espanados</v>
          </cell>
          <cell r="I152" t="str">
            <v>Corretiva</v>
          </cell>
          <cell r="J152" t="str">
            <v>Não</v>
          </cell>
          <cell r="K152" t="str">
            <v>Mecânica</v>
          </cell>
          <cell r="L152" t="str">
            <v>Reparo</v>
          </cell>
          <cell r="M152" t="str">
            <v>Desgaste / Fadiga</v>
          </cell>
          <cell r="N152">
            <v>37770</v>
          </cell>
          <cell r="O152">
            <v>0.62152777777777779</v>
          </cell>
          <cell r="P152">
            <v>37770</v>
          </cell>
          <cell r="Q152">
            <v>0.62152777777777779</v>
          </cell>
          <cell r="T152">
            <v>37770</v>
          </cell>
          <cell r="U152">
            <v>0.75</v>
          </cell>
          <cell r="V152">
            <v>37770</v>
          </cell>
          <cell r="W152">
            <v>0.75</v>
          </cell>
          <cell r="X152">
            <v>0.12847222222222221</v>
          </cell>
          <cell r="Y152">
            <v>0.12847222222222221</v>
          </cell>
          <cell r="AB152">
            <v>5</v>
          </cell>
          <cell r="AC152">
            <v>4</v>
          </cell>
          <cell r="AD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5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</row>
        <row r="153">
          <cell r="C153">
            <v>37718</v>
          </cell>
          <cell r="D153">
            <v>37806</v>
          </cell>
          <cell r="E153">
            <v>37802</v>
          </cell>
          <cell r="F153">
            <v>0.625</v>
          </cell>
          <cell r="G153" t="str">
            <v>Perfiladora Zikeli</v>
          </cell>
          <cell r="H153" t="str">
            <v>Vazamento de Ar no Manômetro</v>
          </cell>
          <cell r="I153" t="str">
            <v>Corretiva</v>
          </cell>
          <cell r="J153" t="str">
            <v>Não</v>
          </cell>
          <cell r="K153" t="str">
            <v>Mecânica</v>
          </cell>
          <cell r="L153" t="str">
            <v>Substituição do(s) Componente(s)</v>
          </cell>
          <cell r="M153" t="str">
            <v>Falha Operacional</v>
          </cell>
          <cell r="N153">
            <v>37802</v>
          </cell>
          <cell r="O153">
            <v>0.6875</v>
          </cell>
          <cell r="P153">
            <v>37802</v>
          </cell>
          <cell r="Q153">
            <v>0.6875</v>
          </cell>
          <cell r="T153">
            <v>37802</v>
          </cell>
          <cell r="U153">
            <v>0.75</v>
          </cell>
          <cell r="V153">
            <v>37802</v>
          </cell>
          <cell r="W153">
            <v>0.75</v>
          </cell>
          <cell r="X153">
            <v>6.25E-2</v>
          </cell>
          <cell r="Y153">
            <v>6.25E-2</v>
          </cell>
          <cell r="AB153">
            <v>6</v>
          </cell>
          <cell r="AC153">
            <v>4</v>
          </cell>
          <cell r="AD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6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</row>
        <row r="154">
          <cell r="C154">
            <v>37718</v>
          </cell>
          <cell r="D154">
            <v>37900</v>
          </cell>
          <cell r="E154">
            <v>37867</v>
          </cell>
          <cell r="F154">
            <v>0.64583333333333337</v>
          </cell>
          <cell r="G154" t="str">
            <v>Perfiladora Fagor Largueros</v>
          </cell>
          <cell r="H154" t="str">
            <v>Guia da Chapa Quebrada</v>
          </cell>
          <cell r="I154" t="str">
            <v>Corretiva</v>
          </cell>
          <cell r="J154" t="str">
            <v>Não</v>
          </cell>
          <cell r="K154" t="str">
            <v>Mecânica</v>
          </cell>
          <cell r="L154" t="str">
            <v>Reparo</v>
          </cell>
          <cell r="M154" t="str">
            <v>Falha de Comando / Sistema</v>
          </cell>
          <cell r="N154">
            <v>37867</v>
          </cell>
          <cell r="O154">
            <v>0.66666666666666663</v>
          </cell>
          <cell r="P154">
            <v>37867</v>
          </cell>
          <cell r="Q154">
            <v>0.66666666666666663</v>
          </cell>
          <cell r="T154">
            <v>37867</v>
          </cell>
          <cell r="U154">
            <v>0.97916666666666663</v>
          </cell>
          <cell r="V154">
            <v>37867</v>
          </cell>
          <cell r="W154">
            <v>0.97916666666666663</v>
          </cell>
          <cell r="X154">
            <v>0.31249999999757472</v>
          </cell>
          <cell r="Y154">
            <v>0.31249999999757472</v>
          </cell>
          <cell r="AB154">
            <v>9</v>
          </cell>
          <cell r="AC154">
            <v>4</v>
          </cell>
          <cell r="AD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9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</row>
        <row r="155">
          <cell r="C155">
            <v>37718</v>
          </cell>
          <cell r="D155">
            <v>37900</v>
          </cell>
          <cell r="E155">
            <v>37873</v>
          </cell>
          <cell r="F155">
            <v>0.47222222222222227</v>
          </cell>
          <cell r="G155" t="str">
            <v>Perfiladora Zikeli</v>
          </cell>
          <cell r="H155" t="str">
            <v>Vibração no Encoder</v>
          </cell>
          <cell r="I155" t="str">
            <v>Corretiva</v>
          </cell>
          <cell r="J155" t="str">
            <v>Não</v>
          </cell>
          <cell r="K155" t="str">
            <v>Mecânica</v>
          </cell>
          <cell r="L155" t="str">
            <v>Reparo</v>
          </cell>
          <cell r="M155" t="str">
            <v>Defeito de Fabricação</v>
          </cell>
          <cell r="N155">
            <v>37873</v>
          </cell>
          <cell r="O155">
            <v>0.47222222222222227</v>
          </cell>
          <cell r="P155">
            <v>37873</v>
          </cell>
          <cell r="Q155">
            <v>0.4861111111111111</v>
          </cell>
          <cell r="R155">
            <v>37876</v>
          </cell>
          <cell r="S155">
            <v>0.94791666666666663</v>
          </cell>
          <cell r="T155">
            <v>37876</v>
          </cell>
          <cell r="U155">
            <v>0.98958333333333337</v>
          </cell>
          <cell r="V155">
            <v>0</v>
          </cell>
          <cell r="W155">
            <v>5.555555555555558E-2</v>
          </cell>
          <cell r="X155">
            <v>5.555555555555558E-2</v>
          </cell>
          <cell r="Y155">
            <v>5.555555555555558E-2</v>
          </cell>
          <cell r="AB155">
            <v>9</v>
          </cell>
          <cell r="AC155">
            <v>4</v>
          </cell>
          <cell r="AD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9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</row>
        <row r="156">
          <cell r="C156">
            <v>37718</v>
          </cell>
          <cell r="D156">
            <v>37866</v>
          </cell>
          <cell r="E156">
            <v>37865</v>
          </cell>
          <cell r="F156">
            <v>0.43055555555555558</v>
          </cell>
          <cell r="G156" t="str">
            <v>Perfiladora Zikeli</v>
          </cell>
          <cell r="H156" t="str">
            <v>Falha no Desbobinador No. 01</v>
          </cell>
          <cell r="I156" t="str">
            <v>Corretiva</v>
          </cell>
          <cell r="J156" t="str">
            <v>Sim</v>
          </cell>
          <cell r="K156" t="str">
            <v>Elétrica</v>
          </cell>
          <cell r="L156" t="str">
            <v>Reinicialização do Equipamento / Componente</v>
          </cell>
          <cell r="M156" t="str">
            <v>Causa não especificada</v>
          </cell>
          <cell r="N156">
            <v>37865</v>
          </cell>
          <cell r="O156">
            <v>0.45833333333333331</v>
          </cell>
          <cell r="P156">
            <v>37865</v>
          </cell>
          <cell r="Q156">
            <v>0.45833333333333331</v>
          </cell>
          <cell r="T156">
            <v>37865</v>
          </cell>
          <cell r="U156">
            <v>0.46875</v>
          </cell>
          <cell r="V156">
            <v>37865</v>
          </cell>
          <cell r="W156">
            <v>0.46875</v>
          </cell>
          <cell r="X156">
            <v>1.0416666666666685E-2</v>
          </cell>
          <cell r="Y156">
            <v>1.0416666666666685E-2</v>
          </cell>
          <cell r="AB156">
            <v>9</v>
          </cell>
          <cell r="AC156">
            <v>4</v>
          </cell>
          <cell r="AD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9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</row>
        <row r="157">
          <cell r="C157">
            <v>37747</v>
          </cell>
          <cell r="D157">
            <v>37756</v>
          </cell>
          <cell r="E157">
            <v>37746</v>
          </cell>
          <cell r="F157">
            <v>0.47916666666666669</v>
          </cell>
          <cell r="G157" t="str">
            <v>Linha de Pintura 15m</v>
          </cell>
          <cell r="H157" t="str">
            <v>Anomalia no elevador de descarga</v>
          </cell>
          <cell r="I157" t="str">
            <v>Corretiva</v>
          </cell>
          <cell r="J157" t="str">
            <v>Sim</v>
          </cell>
          <cell r="K157" t="str">
            <v>Elétrica</v>
          </cell>
          <cell r="L157" t="str">
            <v>Verificação do painel de comando, regulagem no micro e sensor de altura do elevador II</v>
          </cell>
          <cell r="M157" t="str">
            <v>Vibração</v>
          </cell>
          <cell r="N157">
            <v>37746</v>
          </cell>
          <cell r="O157">
            <v>0.4826388888888889</v>
          </cell>
          <cell r="P157">
            <v>37746</v>
          </cell>
          <cell r="Q157">
            <v>0.4826388888888889</v>
          </cell>
          <cell r="T157">
            <v>37746</v>
          </cell>
          <cell r="U157">
            <v>0.52430555555555558</v>
          </cell>
          <cell r="V157">
            <v>37746</v>
          </cell>
          <cell r="W157">
            <v>0.52430555555555558</v>
          </cell>
          <cell r="X157">
            <v>4.1666666666666685E-2</v>
          </cell>
          <cell r="Y157">
            <v>4.1666666665858221E-2</v>
          </cell>
          <cell r="AB157">
            <v>5</v>
          </cell>
          <cell r="AC157">
            <v>5</v>
          </cell>
          <cell r="AD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5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</row>
        <row r="158">
          <cell r="C158">
            <v>37747</v>
          </cell>
          <cell r="D158">
            <v>37756</v>
          </cell>
          <cell r="E158">
            <v>37753</v>
          </cell>
          <cell r="F158">
            <v>0.72916666666666663</v>
          </cell>
          <cell r="G158" t="str">
            <v>Linha de Pintura 15m</v>
          </cell>
          <cell r="H158" t="str">
            <v>Falha no detector do elevador 03</v>
          </cell>
          <cell r="I158" t="str">
            <v>Corretiva</v>
          </cell>
          <cell r="J158" t="str">
            <v>Sim</v>
          </cell>
          <cell r="K158" t="str">
            <v>Mecânica</v>
          </cell>
          <cell r="L158" t="str">
            <v>Regulagem do sensor do elevador 03</v>
          </cell>
          <cell r="M158" t="str">
            <v>Causa não especificada</v>
          </cell>
          <cell r="N158">
            <v>37754</v>
          </cell>
          <cell r="O158">
            <v>0.33333333333333331</v>
          </cell>
          <cell r="P158">
            <v>37754</v>
          </cell>
          <cell r="Q158">
            <v>0.33333333333333331</v>
          </cell>
          <cell r="T158">
            <v>37754</v>
          </cell>
          <cell r="U158">
            <v>0.3611111111111111</v>
          </cell>
          <cell r="V158">
            <v>37754</v>
          </cell>
          <cell r="W158">
            <v>0.3611111111111111</v>
          </cell>
          <cell r="X158">
            <v>2.777777777777779E-2</v>
          </cell>
          <cell r="Y158">
            <v>2.7777777776160917E-2</v>
          </cell>
          <cell r="AB158">
            <v>5</v>
          </cell>
          <cell r="AC158">
            <v>5</v>
          </cell>
          <cell r="AD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5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</row>
        <row r="159">
          <cell r="C159">
            <v>37747</v>
          </cell>
          <cell r="D159">
            <v>37756</v>
          </cell>
          <cell r="E159">
            <v>37754</v>
          </cell>
          <cell r="F159">
            <v>0.41666666666666669</v>
          </cell>
          <cell r="G159" t="str">
            <v>Linha de Pintura 15m</v>
          </cell>
          <cell r="H159" t="str">
            <v>Exaustor não funciona</v>
          </cell>
          <cell r="I159" t="str">
            <v>Corretiva</v>
          </cell>
          <cell r="J159" t="str">
            <v>Sim</v>
          </cell>
          <cell r="K159" t="str">
            <v>Mecânica</v>
          </cell>
          <cell r="L159" t="str">
            <v>Nova furação e substituição do pulmão completo</v>
          </cell>
          <cell r="M159" t="str">
            <v>Defeito de Fabricação</v>
          </cell>
          <cell r="N159">
            <v>37754</v>
          </cell>
          <cell r="O159">
            <v>0.41666666666666669</v>
          </cell>
          <cell r="P159">
            <v>37754</v>
          </cell>
          <cell r="Q159">
            <v>0.4375</v>
          </cell>
          <cell r="R159">
            <v>37754</v>
          </cell>
          <cell r="S159">
            <v>0.57291666666666663</v>
          </cell>
          <cell r="T159">
            <v>37754</v>
          </cell>
          <cell r="U159">
            <v>0.75</v>
          </cell>
          <cell r="V159">
            <v>0</v>
          </cell>
          <cell r="W159">
            <v>0.19791666666666669</v>
          </cell>
          <cell r="X159">
            <v>0.19791666666666669</v>
          </cell>
          <cell r="Y159">
            <v>0.19791666666666669</v>
          </cell>
          <cell r="AB159">
            <v>5</v>
          </cell>
          <cell r="AC159">
            <v>5</v>
          </cell>
          <cell r="AD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5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</row>
        <row r="160">
          <cell r="C160">
            <v>37747</v>
          </cell>
          <cell r="D160">
            <v>37803</v>
          </cell>
          <cell r="E160">
            <v>37788</v>
          </cell>
          <cell r="F160">
            <v>0.5</v>
          </cell>
          <cell r="G160" t="str">
            <v>Linha de Pintura 15m</v>
          </cell>
          <cell r="H160" t="str">
            <v>Anomalia na estufa de cura: Oscilação constante na temperatura</v>
          </cell>
          <cell r="I160" t="str">
            <v>Corretiva</v>
          </cell>
          <cell r="J160" t="str">
            <v>Não</v>
          </cell>
          <cell r="K160" t="str">
            <v>Elétrica</v>
          </cell>
          <cell r="L160" t="str">
            <v>Correção de mau contato</v>
          </cell>
          <cell r="M160" t="str">
            <v>Vibração</v>
          </cell>
          <cell r="N160">
            <v>37788</v>
          </cell>
          <cell r="O160">
            <v>0.5</v>
          </cell>
          <cell r="P160">
            <v>37788</v>
          </cell>
          <cell r="Q160">
            <v>0.5</v>
          </cell>
          <cell r="T160">
            <v>37788</v>
          </cell>
          <cell r="U160">
            <v>0.58333333333333337</v>
          </cell>
          <cell r="V160">
            <v>37788</v>
          </cell>
          <cell r="W160">
            <v>0.58333333333333337</v>
          </cell>
          <cell r="X160">
            <v>8.3333333335758653E-2</v>
          </cell>
          <cell r="Y160">
            <v>8.3333333335758653E-2</v>
          </cell>
          <cell r="AB160">
            <v>6</v>
          </cell>
          <cell r="AC160">
            <v>5</v>
          </cell>
          <cell r="AD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6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</row>
        <row r="161">
          <cell r="C161">
            <v>37747</v>
          </cell>
          <cell r="D161">
            <v>37756</v>
          </cell>
          <cell r="E161">
            <v>37755</v>
          </cell>
          <cell r="F161">
            <v>0.35416666666666669</v>
          </cell>
          <cell r="G161" t="str">
            <v>Linha de Pintura 15m</v>
          </cell>
          <cell r="H161" t="str">
            <v>Anomalia no elevador</v>
          </cell>
          <cell r="I161" t="str">
            <v>Corretiva</v>
          </cell>
          <cell r="J161" t="str">
            <v>Sim</v>
          </cell>
          <cell r="K161" t="str">
            <v>Elétrica</v>
          </cell>
          <cell r="L161" t="str">
            <v>Rearme do relé térmico, verificação da carga e alinhamento dos elevadores</v>
          </cell>
          <cell r="M161" t="str">
            <v>Sobrecarga</v>
          </cell>
          <cell r="N161">
            <v>37755</v>
          </cell>
          <cell r="O161">
            <v>0.35416666666666669</v>
          </cell>
          <cell r="P161">
            <v>37755</v>
          </cell>
          <cell r="Q161">
            <v>0.35416666666666669</v>
          </cell>
          <cell r="T161">
            <v>37755</v>
          </cell>
          <cell r="U161">
            <v>0.39583333333333331</v>
          </cell>
          <cell r="V161">
            <v>37755</v>
          </cell>
          <cell r="W161">
            <v>0.39583333333333331</v>
          </cell>
          <cell r="X161">
            <v>4.166666666666663E-2</v>
          </cell>
          <cell r="Y161">
            <v>4.1666666669091967E-2</v>
          </cell>
          <cell r="AB161">
            <v>5</v>
          </cell>
          <cell r="AC161">
            <v>5</v>
          </cell>
          <cell r="AD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5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</row>
        <row r="162">
          <cell r="C162">
            <v>37747</v>
          </cell>
          <cell r="D162">
            <v>37763</v>
          </cell>
          <cell r="E162">
            <v>37755</v>
          </cell>
          <cell r="F162">
            <v>0.4375</v>
          </cell>
          <cell r="G162" t="str">
            <v>Equipamentos diversos</v>
          </cell>
          <cell r="H162" t="str">
            <v>Não há tração da fita</v>
          </cell>
          <cell r="I162" t="str">
            <v>Corretiva</v>
          </cell>
          <cell r="J162" t="str">
            <v>Não</v>
          </cell>
          <cell r="K162" t="str">
            <v>Mecânica</v>
          </cell>
          <cell r="L162" t="str">
            <v>Substituição do(s) Componente(s)</v>
          </cell>
          <cell r="M162" t="str">
            <v>Desgaste / Fadiga</v>
          </cell>
          <cell r="N162">
            <v>37755</v>
          </cell>
          <cell r="O162">
            <v>0.4375</v>
          </cell>
          <cell r="P162">
            <v>37755</v>
          </cell>
          <cell r="Q162">
            <v>0.75</v>
          </cell>
          <cell r="R162">
            <v>37762</v>
          </cell>
          <cell r="S162">
            <v>0.33333333333333331</v>
          </cell>
          <cell r="T162">
            <v>37762</v>
          </cell>
          <cell r="U162">
            <v>0.33333333333333331</v>
          </cell>
          <cell r="V162">
            <v>0</v>
          </cell>
          <cell r="W162">
            <v>0.3125</v>
          </cell>
          <cell r="X162">
            <v>0.3125</v>
          </cell>
          <cell r="Y162">
            <v>0.3125</v>
          </cell>
          <cell r="AB162">
            <v>5</v>
          </cell>
          <cell r="AC162">
            <v>5</v>
          </cell>
          <cell r="AD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5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</row>
        <row r="163">
          <cell r="C163">
            <v>37747</v>
          </cell>
          <cell r="D163">
            <v>37762</v>
          </cell>
          <cell r="E163">
            <v>37757</v>
          </cell>
          <cell r="F163">
            <v>0.58333333333333337</v>
          </cell>
          <cell r="G163" t="str">
            <v>Linha de Pintura 15m</v>
          </cell>
          <cell r="H163" t="str">
            <v>Anomalia no elevador</v>
          </cell>
          <cell r="I163" t="str">
            <v>Corretiva</v>
          </cell>
          <cell r="J163" t="str">
            <v>Sim</v>
          </cell>
          <cell r="K163" t="str">
            <v>Elétrica</v>
          </cell>
          <cell r="L163" t="str">
            <v>Regulagem do micro do Elevador 03</v>
          </cell>
          <cell r="M163" t="str">
            <v>Falha de Regulagem / Configuração / Dimensionamento</v>
          </cell>
          <cell r="N163">
            <v>37757</v>
          </cell>
          <cell r="O163">
            <v>0.58333333333333337</v>
          </cell>
          <cell r="P163">
            <v>37757</v>
          </cell>
          <cell r="Q163">
            <v>0.58333333333333337</v>
          </cell>
          <cell r="T163">
            <v>37757</v>
          </cell>
          <cell r="U163">
            <v>0.61805555555555558</v>
          </cell>
          <cell r="V163">
            <v>37757</v>
          </cell>
          <cell r="W163">
            <v>0.61805555555555558</v>
          </cell>
          <cell r="X163">
            <v>3.472222222222221E-2</v>
          </cell>
          <cell r="Y163">
            <v>3.4722222221413745E-2</v>
          </cell>
          <cell r="AB163">
            <v>5</v>
          </cell>
          <cell r="AC163">
            <v>5</v>
          </cell>
          <cell r="AD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5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</row>
        <row r="164">
          <cell r="C164">
            <v>37747</v>
          </cell>
          <cell r="D164">
            <v>37762</v>
          </cell>
          <cell r="E164">
            <v>37761</v>
          </cell>
          <cell r="F164">
            <v>0.63541666666666663</v>
          </cell>
          <cell r="G164" t="str">
            <v>Linha de Pintura 15m</v>
          </cell>
          <cell r="H164" t="str">
            <v>Anomalia no variador VI</v>
          </cell>
          <cell r="I164" t="str">
            <v>Corretiva</v>
          </cell>
          <cell r="J164" t="str">
            <v>Sim</v>
          </cell>
          <cell r="K164" t="str">
            <v>Mecânica</v>
          </cell>
          <cell r="L164" t="str">
            <v>Substituição do(s) Componente(s)</v>
          </cell>
          <cell r="M164" t="str">
            <v>Travamento de Componente</v>
          </cell>
          <cell r="N164">
            <v>37761</v>
          </cell>
          <cell r="O164">
            <v>0.63888888888888895</v>
          </cell>
          <cell r="P164">
            <v>37761</v>
          </cell>
          <cell r="Q164">
            <v>0.63888888888888895</v>
          </cell>
          <cell r="T164">
            <v>37761</v>
          </cell>
          <cell r="U164">
            <v>0.67361111111111116</v>
          </cell>
          <cell r="V164">
            <v>37761</v>
          </cell>
          <cell r="W164">
            <v>0.67361111111111116</v>
          </cell>
          <cell r="X164">
            <v>3.472222222222221E-2</v>
          </cell>
          <cell r="Y164">
            <v>3.4722222220605281E-2</v>
          </cell>
          <cell r="AB164">
            <v>5</v>
          </cell>
          <cell r="AC164">
            <v>5</v>
          </cell>
          <cell r="AD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5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</row>
        <row r="165">
          <cell r="C165">
            <v>37747</v>
          </cell>
          <cell r="D165">
            <v>37767</v>
          </cell>
          <cell r="E165">
            <v>37763</v>
          </cell>
          <cell r="F165">
            <v>0.58333333333333337</v>
          </cell>
          <cell r="G165" t="str">
            <v>Linha de Pintura 15m</v>
          </cell>
          <cell r="H165" t="str">
            <v>Alça do tanque de fosfato quebrou-se</v>
          </cell>
          <cell r="I165" t="str">
            <v>Corretiva</v>
          </cell>
          <cell r="J165" t="str">
            <v>Não</v>
          </cell>
          <cell r="K165" t="str">
            <v>Mecânica</v>
          </cell>
          <cell r="L165" t="str">
            <v>Substituição do(s) Componente(s)</v>
          </cell>
          <cell r="M165" t="str">
            <v>Defeito de Fabricação</v>
          </cell>
          <cell r="N165">
            <v>37763</v>
          </cell>
          <cell r="O165">
            <v>0.66666666666666663</v>
          </cell>
          <cell r="P165">
            <v>37763</v>
          </cell>
          <cell r="Q165">
            <v>0.66666666666666663</v>
          </cell>
          <cell r="T165">
            <v>37763</v>
          </cell>
          <cell r="U165">
            <v>0.75</v>
          </cell>
          <cell r="V165">
            <v>37763</v>
          </cell>
          <cell r="W165">
            <v>0.75</v>
          </cell>
          <cell r="X165">
            <v>8.333333333333337E-2</v>
          </cell>
          <cell r="Y165">
            <v>8.333333333333337E-2</v>
          </cell>
          <cell r="AB165">
            <v>5</v>
          </cell>
          <cell r="AC165">
            <v>5</v>
          </cell>
          <cell r="AD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5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</row>
        <row r="166">
          <cell r="C166">
            <v>37747</v>
          </cell>
          <cell r="D166">
            <v>37769</v>
          </cell>
          <cell r="E166">
            <v>37767</v>
          </cell>
          <cell r="F166">
            <v>0.4861111111111111</v>
          </cell>
          <cell r="G166" t="str">
            <v>Linha de Pintura 15m</v>
          </cell>
          <cell r="H166" t="str">
            <v>Vazamento de fosfato na lateral do tanque</v>
          </cell>
          <cell r="I166" t="str">
            <v>Corretiva</v>
          </cell>
          <cell r="J166" t="str">
            <v>Sim</v>
          </cell>
          <cell r="K166" t="str">
            <v>Mecânica</v>
          </cell>
          <cell r="L166" t="str">
            <v>Contenção do vazamento</v>
          </cell>
          <cell r="M166" t="str">
            <v>Falha de Montagem / Preparação</v>
          </cell>
          <cell r="N166">
            <v>37767</v>
          </cell>
          <cell r="O166">
            <v>0.5</v>
          </cell>
          <cell r="P166">
            <v>37767</v>
          </cell>
          <cell r="Q166">
            <v>0.5</v>
          </cell>
          <cell r="T166">
            <v>37767</v>
          </cell>
          <cell r="U166">
            <v>0.70833333333333337</v>
          </cell>
          <cell r="V166">
            <v>37767</v>
          </cell>
          <cell r="W166">
            <v>0.70833333333333337</v>
          </cell>
          <cell r="X166">
            <v>0.20833333333333337</v>
          </cell>
          <cell r="Y166">
            <v>0.20833333333575865</v>
          </cell>
          <cell r="AB166">
            <v>5</v>
          </cell>
          <cell r="AC166">
            <v>5</v>
          </cell>
          <cell r="AD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5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</row>
        <row r="167">
          <cell r="C167">
            <v>37755</v>
          </cell>
          <cell r="I167">
            <v>0</v>
          </cell>
          <cell r="N167">
            <v>0</v>
          </cell>
          <cell r="P167">
            <v>0</v>
          </cell>
          <cell r="T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AB167">
            <v>0</v>
          </cell>
          <cell r="AC167">
            <v>5</v>
          </cell>
          <cell r="AD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</row>
        <row r="168">
          <cell r="C168">
            <v>37755</v>
          </cell>
          <cell r="I168">
            <v>0</v>
          </cell>
          <cell r="N168">
            <v>0</v>
          </cell>
          <cell r="P168">
            <v>0</v>
          </cell>
          <cell r="T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AB168">
            <v>0</v>
          </cell>
          <cell r="AC168">
            <v>5</v>
          </cell>
          <cell r="AD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</row>
        <row r="169">
          <cell r="C169">
            <v>37755</v>
          </cell>
          <cell r="I169">
            <v>0</v>
          </cell>
          <cell r="N169">
            <v>0</v>
          </cell>
          <cell r="P169">
            <v>0</v>
          </cell>
          <cell r="T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AB169">
            <v>0</v>
          </cell>
          <cell r="AC169">
            <v>5</v>
          </cell>
          <cell r="AD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</row>
        <row r="170">
          <cell r="C170">
            <v>37755</v>
          </cell>
          <cell r="I170">
            <v>0</v>
          </cell>
          <cell r="N170">
            <v>0</v>
          </cell>
          <cell r="P170">
            <v>0</v>
          </cell>
          <cell r="T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AB170">
            <v>0</v>
          </cell>
          <cell r="AC170">
            <v>5</v>
          </cell>
          <cell r="AD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</row>
        <row r="171">
          <cell r="C171">
            <v>37755</v>
          </cell>
          <cell r="I171">
            <v>0</v>
          </cell>
          <cell r="N171">
            <v>0</v>
          </cell>
          <cell r="P171">
            <v>0</v>
          </cell>
          <cell r="T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AB171">
            <v>0</v>
          </cell>
          <cell r="AC171">
            <v>5</v>
          </cell>
          <cell r="AD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</row>
        <row r="172">
          <cell r="C172">
            <v>37755</v>
          </cell>
          <cell r="D172">
            <v>37902</v>
          </cell>
          <cell r="E172">
            <v>37901</v>
          </cell>
          <cell r="F172">
            <v>0.25</v>
          </cell>
          <cell r="G172" t="str">
            <v>Perfiladora Zikeli</v>
          </cell>
          <cell r="H172" t="str">
            <v>Encosto da bobina está solto</v>
          </cell>
          <cell r="I172" t="str">
            <v>Corretiva</v>
          </cell>
          <cell r="J172" t="str">
            <v>Sim</v>
          </cell>
          <cell r="K172" t="str">
            <v>Mecânica</v>
          </cell>
          <cell r="L172" t="str">
            <v>Reparo</v>
          </cell>
          <cell r="M172" t="str">
            <v>Falha Operacional</v>
          </cell>
          <cell r="N172">
            <v>37901</v>
          </cell>
          <cell r="O172">
            <v>0.25</v>
          </cell>
          <cell r="P172">
            <v>37901</v>
          </cell>
          <cell r="Q172">
            <v>0.25</v>
          </cell>
          <cell r="T172">
            <v>37901</v>
          </cell>
          <cell r="U172">
            <v>0.29166666666666669</v>
          </cell>
          <cell r="V172">
            <v>37901</v>
          </cell>
          <cell r="W172">
            <v>0.29166666666666669</v>
          </cell>
          <cell r="X172">
            <v>4.1666666666666685E-2</v>
          </cell>
          <cell r="Y172">
            <v>4.1666666664241347E-2</v>
          </cell>
          <cell r="AB172">
            <v>10</v>
          </cell>
          <cell r="AC172">
            <v>5</v>
          </cell>
          <cell r="AD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10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</row>
        <row r="173">
          <cell r="C173">
            <v>37755</v>
          </cell>
          <cell r="D173">
            <v>37915</v>
          </cell>
          <cell r="E173">
            <v>37900</v>
          </cell>
          <cell r="F173">
            <v>0.25</v>
          </cell>
          <cell r="G173" t="str">
            <v>Perfiladora Zikeli</v>
          </cell>
          <cell r="H173" t="str">
            <v>Vazamento de óleo no desbobinador</v>
          </cell>
          <cell r="I173" t="str">
            <v>Corretiva</v>
          </cell>
          <cell r="J173" t="str">
            <v>Sim</v>
          </cell>
          <cell r="K173" t="str">
            <v>Mecânica</v>
          </cell>
          <cell r="L173" t="str">
            <v>Contenção do vazamento</v>
          </cell>
          <cell r="M173" t="str">
            <v>Desgaste / Fadiga</v>
          </cell>
          <cell r="N173">
            <v>37900</v>
          </cell>
          <cell r="O173">
            <v>0.25</v>
          </cell>
          <cell r="P173">
            <v>37900</v>
          </cell>
          <cell r="Q173">
            <v>0.29166666666666669</v>
          </cell>
          <cell r="R173">
            <v>37900</v>
          </cell>
          <cell r="S173">
            <v>0.625</v>
          </cell>
          <cell r="T173">
            <v>37900</v>
          </cell>
          <cell r="U173">
            <v>0.70833333333333337</v>
          </cell>
          <cell r="V173">
            <v>0</v>
          </cell>
          <cell r="W173">
            <v>0.12500000000000006</v>
          </cell>
          <cell r="X173">
            <v>0.12500000000000006</v>
          </cell>
          <cell r="Y173">
            <v>0.12500000000000006</v>
          </cell>
          <cell r="AB173">
            <v>10</v>
          </cell>
          <cell r="AC173">
            <v>5</v>
          </cell>
          <cell r="AD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10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</row>
        <row r="174">
          <cell r="C174">
            <v>37755</v>
          </cell>
          <cell r="D174">
            <v>37783</v>
          </cell>
          <cell r="E174">
            <v>37777</v>
          </cell>
          <cell r="F174">
            <v>0.58333333333333337</v>
          </cell>
          <cell r="G174" t="str">
            <v>Empilhadeira</v>
          </cell>
          <cell r="H174" t="str">
            <v>Suporte de trava da bateria está travado</v>
          </cell>
          <cell r="I174" t="str">
            <v>Corretiva</v>
          </cell>
          <cell r="J174" t="str">
            <v>Não</v>
          </cell>
          <cell r="K174" t="str">
            <v>Mecânica</v>
          </cell>
          <cell r="L174" t="str">
            <v>O componente foi aquecido, foi desentortado o pino e ajuste do ângulo da cantoneira para 90°</v>
          </cell>
          <cell r="M174" t="str">
            <v>Falha Operacional</v>
          </cell>
          <cell r="N174">
            <v>37777</v>
          </cell>
          <cell r="O174">
            <v>0.66666666666666663</v>
          </cell>
          <cell r="P174">
            <v>37777</v>
          </cell>
          <cell r="Q174">
            <v>0.66666666666666663</v>
          </cell>
          <cell r="T174">
            <v>37777</v>
          </cell>
          <cell r="U174">
            <v>0.70833333333333337</v>
          </cell>
          <cell r="V174">
            <v>37777</v>
          </cell>
          <cell r="W174">
            <v>0.70833333333333337</v>
          </cell>
          <cell r="X174">
            <v>4.1666666669092023E-2</v>
          </cell>
          <cell r="Y174">
            <v>4.1666666669092023E-2</v>
          </cell>
          <cell r="AB174">
            <v>6</v>
          </cell>
          <cell r="AC174">
            <v>5</v>
          </cell>
          <cell r="AD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6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</row>
        <row r="175">
          <cell r="C175">
            <v>37755</v>
          </cell>
          <cell r="D175">
            <v>37776</v>
          </cell>
          <cell r="E175">
            <v>37775</v>
          </cell>
          <cell r="F175">
            <v>0.66666666666666663</v>
          </cell>
          <cell r="G175" t="str">
            <v>Prensa Jundiaí Conectores</v>
          </cell>
          <cell r="H175" t="str">
            <v>Máquina acusando falha de lubrificação</v>
          </cell>
          <cell r="I175" t="str">
            <v>Corretiva</v>
          </cell>
          <cell r="J175" t="str">
            <v>Sim</v>
          </cell>
          <cell r="K175" t="str">
            <v>Mecânica</v>
          </cell>
          <cell r="L175" t="str">
            <v>Ajustes e limpeza da bomba de graxa</v>
          </cell>
          <cell r="M175" t="str">
            <v>Defeito de Fabricação</v>
          </cell>
          <cell r="N175">
            <v>37775</v>
          </cell>
          <cell r="O175">
            <v>0.66666666666666663</v>
          </cell>
          <cell r="P175">
            <v>37775</v>
          </cell>
          <cell r="Q175">
            <v>0.83333333333333337</v>
          </cell>
          <cell r="R175">
            <v>37776</v>
          </cell>
          <cell r="S175">
            <v>0.4375</v>
          </cell>
          <cell r="T175">
            <v>37776</v>
          </cell>
          <cell r="U175">
            <v>0.52777777777777779</v>
          </cell>
          <cell r="V175">
            <v>0</v>
          </cell>
          <cell r="W175">
            <v>0.25694444444444453</v>
          </cell>
          <cell r="X175">
            <v>0.25694444444444453</v>
          </cell>
          <cell r="Y175">
            <v>0.25694444444444453</v>
          </cell>
          <cell r="AB175">
            <v>6</v>
          </cell>
          <cell r="AC175">
            <v>5</v>
          </cell>
          <cell r="AD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6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</row>
        <row r="176">
          <cell r="C176">
            <v>37755</v>
          </cell>
          <cell r="D176">
            <v>37776</v>
          </cell>
          <cell r="E176">
            <v>37775</v>
          </cell>
          <cell r="F176">
            <v>0.33333333333333331</v>
          </cell>
          <cell r="G176" t="str">
            <v>Perfiladora Fagor Montantes</v>
          </cell>
          <cell r="H176" t="str">
            <v>Eixos de travamento das porcas nos varões roscados da Câmara de perfilação estão rompidos</v>
          </cell>
          <cell r="I176" t="str">
            <v>Corretiva</v>
          </cell>
          <cell r="J176" t="str">
            <v>Não</v>
          </cell>
          <cell r="K176" t="str">
            <v>Mecânica</v>
          </cell>
          <cell r="L176" t="str">
            <v>Melhoria no Sistema de Fixação</v>
          </cell>
          <cell r="M176" t="str">
            <v>Defeito de Fabricação</v>
          </cell>
          <cell r="N176">
            <v>37775</v>
          </cell>
          <cell r="O176">
            <v>0.33333333333333331</v>
          </cell>
          <cell r="P176">
            <v>37775</v>
          </cell>
          <cell r="Q176">
            <v>0.33333333333333331</v>
          </cell>
          <cell r="T176">
            <v>37775</v>
          </cell>
          <cell r="U176">
            <v>0.57291666666666663</v>
          </cell>
          <cell r="V176">
            <v>37775</v>
          </cell>
          <cell r="W176">
            <v>0.57291666666666663</v>
          </cell>
          <cell r="X176">
            <v>0.23958333333090803</v>
          </cell>
          <cell r="Y176">
            <v>0.23958333333090803</v>
          </cell>
          <cell r="AB176">
            <v>6</v>
          </cell>
          <cell r="AC176">
            <v>5</v>
          </cell>
          <cell r="AD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6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</row>
        <row r="177">
          <cell r="C177">
            <v>37755</v>
          </cell>
          <cell r="D177">
            <v>37775</v>
          </cell>
          <cell r="E177">
            <v>37762</v>
          </cell>
          <cell r="F177">
            <v>0.54166666666666663</v>
          </cell>
          <cell r="G177" t="str">
            <v>Perfiladora Fagor Largueros</v>
          </cell>
          <cell r="H177" t="str">
            <v>Solenóide não funciona: A Água está sendo completada manualmente. Há um vazamento no tanque de fosfato.</v>
          </cell>
          <cell r="I177" t="str">
            <v>Corretiva</v>
          </cell>
          <cell r="J177" t="str">
            <v>Não</v>
          </cell>
          <cell r="K177" t="str">
            <v>Mecânica</v>
          </cell>
          <cell r="L177" t="str">
            <v>Solenóide: não havia problemas no mesmo: apenas foi aberto o registro. Serpentina: Substituída pela Deltec</v>
          </cell>
          <cell r="M177" t="str">
            <v>Defeito de Fabricação</v>
          </cell>
          <cell r="N177">
            <v>37762</v>
          </cell>
          <cell r="O177">
            <v>0.54166666666666663</v>
          </cell>
          <cell r="P177">
            <v>37762</v>
          </cell>
          <cell r="Q177">
            <v>0.5625</v>
          </cell>
          <cell r="R177">
            <v>37771</v>
          </cell>
          <cell r="S177">
            <v>0.33333333333333331</v>
          </cell>
          <cell r="T177">
            <v>37773</v>
          </cell>
          <cell r="U177">
            <v>0.70833333333333337</v>
          </cell>
          <cell r="V177">
            <v>0</v>
          </cell>
          <cell r="W177">
            <v>2.3958333333333335</v>
          </cell>
          <cell r="X177">
            <v>2.3958333333333335</v>
          </cell>
          <cell r="Y177">
            <v>0.72916666666666696</v>
          </cell>
          <cell r="AB177">
            <v>6</v>
          </cell>
          <cell r="AC177">
            <v>5</v>
          </cell>
          <cell r="AD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6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</row>
        <row r="178">
          <cell r="C178">
            <v>37755</v>
          </cell>
          <cell r="I178">
            <v>0</v>
          </cell>
          <cell r="N178">
            <v>0</v>
          </cell>
          <cell r="P178">
            <v>0</v>
          </cell>
          <cell r="T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AB178">
            <v>0</v>
          </cell>
          <cell r="AC178">
            <v>5</v>
          </cell>
          <cell r="AD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</row>
        <row r="179">
          <cell r="C179">
            <v>37755</v>
          </cell>
          <cell r="I179">
            <v>0</v>
          </cell>
          <cell r="N179">
            <v>0</v>
          </cell>
          <cell r="P179">
            <v>0</v>
          </cell>
          <cell r="T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AB179">
            <v>0</v>
          </cell>
          <cell r="AC179">
            <v>5</v>
          </cell>
          <cell r="AD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</row>
        <row r="180">
          <cell r="C180">
            <v>37755</v>
          </cell>
          <cell r="D180">
            <v>37858</v>
          </cell>
          <cell r="E180">
            <v>37847</v>
          </cell>
          <cell r="F180">
            <v>0.54166666666666663</v>
          </cell>
          <cell r="G180" t="str">
            <v>Linha de Pintura 3,2m</v>
          </cell>
          <cell r="H180" t="str">
            <v>Mangueira de ar comprimido está furada</v>
          </cell>
          <cell r="I180" t="str">
            <v>Corretiva</v>
          </cell>
          <cell r="J180" t="str">
            <v>Não</v>
          </cell>
          <cell r="K180" t="str">
            <v>Mecânica</v>
          </cell>
          <cell r="L180" t="str">
            <v>Substituição do(s) Componente(s)</v>
          </cell>
          <cell r="M180" t="str">
            <v>Desgaste / Fadiga</v>
          </cell>
          <cell r="N180">
            <v>37847</v>
          </cell>
          <cell r="O180">
            <v>0.625</v>
          </cell>
          <cell r="P180">
            <v>37847</v>
          </cell>
          <cell r="Q180">
            <v>0.625</v>
          </cell>
          <cell r="T180">
            <v>37847</v>
          </cell>
          <cell r="U180">
            <v>0.66666666666666663</v>
          </cell>
          <cell r="V180">
            <v>37847</v>
          </cell>
          <cell r="W180">
            <v>0.66666666666666663</v>
          </cell>
          <cell r="X180">
            <v>4.1666666664241347E-2</v>
          </cell>
          <cell r="Y180">
            <v>4.1666666664241347E-2</v>
          </cell>
          <cell r="AB180">
            <v>8</v>
          </cell>
          <cell r="AC180">
            <v>5</v>
          </cell>
          <cell r="AD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8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</row>
        <row r="181">
          <cell r="C181">
            <v>37755</v>
          </cell>
          <cell r="D181">
            <v>37858</v>
          </cell>
          <cell r="E181">
            <v>37848</v>
          </cell>
          <cell r="F181">
            <v>0.41666666666666669</v>
          </cell>
          <cell r="G181" t="str">
            <v>Linha de Pintura 3,2m</v>
          </cell>
          <cell r="H181" t="str">
            <v>Pistola de retoque está em posição incorreta</v>
          </cell>
          <cell r="I181" t="str">
            <v>Melhoria</v>
          </cell>
          <cell r="J181" t="str">
            <v>Não</v>
          </cell>
          <cell r="K181" t="str">
            <v>Mecânica</v>
          </cell>
          <cell r="L181" t="str">
            <v>Montagem / Instalação</v>
          </cell>
          <cell r="M181" t="str">
            <v>Falha de Projeto</v>
          </cell>
          <cell r="N181">
            <v>37848</v>
          </cell>
          <cell r="O181">
            <v>0.41666666666666669</v>
          </cell>
          <cell r="P181">
            <v>37848</v>
          </cell>
          <cell r="Q181">
            <v>0.41666666666666669</v>
          </cell>
          <cell r="T181">
            <v>37848</v>
          </cell>
          <cell r="U181">
            <v>0.70833333333333337</v>
          </cell>
          <cell r="V181">
            <v>37848</v>
          </cell>
          <cell r="W181">
            <v>0.70833333333333337</v>
          </cell>
          <cell r="X181">
            <v>0.29166666666909197</v>
          </cell>
          <cell r="Y181">
            <v>0.29166666666909197</v>
          </cell>
          <cell r="AB181">
            <v>8</v>
          </cell>
          <cell r="AC181">
            <v>5</v>
          </cell>
          <cell r="AD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8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</row>
        <row r="182">
          <cell r="C182">
            <v>37755</v>
          </cell>
          <cell r="D182">
            <v>37858</v>
          </cell>
          <cell r="E182">
            <v>37851</v>
          </cell>
          <cell r="F182">
            <v>0.375</v>
          </cell>
          <cell r="G182" t="str">
            <v>Linha de Pintura 3,2m</v>
          </cell>
          <cell r="H182" t="str">
            <v>Pistola de Retoque não magnetiza</v>
          </cell>
          <cell r="I182" t="str">
            <v>Corretiva</v>
          </cell>
          <cell r="J182" t="str">
            <v>Sim</v>
          </cell>
          <cell r="K182" t="str">
            <v>Elétrica</v>
          </cell>
          <cell r="L182" t="str">
            <v>Correção da Montagem</v>
          </cell>
          <cell r="M182" t="str">
            <v>Falha de Montagem / Preparação</v>
          </cell>
          <cell r="N182">
            <v>37851</v>
          </cell>
          <cell r="O182">
            <v>0.38194444444444442</v>
          </cell>
          <cell r="P182">
            <v>37851</v>
          </cell>
          <cell r="Q182">
            <v>0.38194444444444442</v>
          </cell>
          <cell r="T182">
            <v>37851</v>
          </cell>
          <cell r="U182">
            <v>0.40277777777777773</v>
          </cell>
          <cell r="V182">
            <v>37851</v>
          </cell>
          <cell r="W182">
            <v>0.40277777777777773</v>
          </cell>
          <cell r="X182">
            <v>2.0833333333333315E-2</v>
          </cell>
          <cell r="Y182">
            <v>2.0833333336567117E-2</v>
          </cell>
          <cell r="AB182">
            <v>8</v>
          </cell>
          <cell r="AC182">
            <v>5</v>
          </cell>
          <cell r="AD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8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</row>
        <row r="183">
          <cell r="C183">
            <v>37755</v>
          </cell>
          <cell r="D183">
            <v>37900</v>
          </cell>
          <cell r="E183">
            <v>37867</v>
          </cell>
          <cell r="F183">
            <v>0.60416666666666663</v>
          </cell>
          <cell r="G183" t="str">
            <v>Linha de Pintura 3,2m</v>
          </cell>
          <cell r="H183" t="str">
            <v>Peneira do Recuperador de pó rompida</v>
          </cell>
          <cell r="I183" t="str">
            <v>Corretiva</v>
          </cell>
          <cell r="J183" t="str">
            <v>Não</v>
          </cell>
          <cell r="K183" t="str">
            <v>Mecânica</v>
          </cell>
          <cell r="L183" t="str">
            <v>Substituição do(s) Componente(s)</v>
          </cell>
          <cell r="M183" t="str">
            <v>Desgaste / Fadiga</v>
          </cell>
          <cell r="N183">
            <v>37867</v>
          </cell>
          <cell r="O183">
            <v>0.63541666666666663</v>
          </cell>
          <cell r="P183">
            <v>37867</v>
          </cell>
          <cell r="Q183">
            <v>0.63541666666666663</v>
          </cell>
          <cell r="T183">
            <v>37867</v>
          </cell>
          <cell r="U183">
            <v>0.66666666666666663</v>
          </cell>
          <cell r="V183">
            <v>37867</v>
          </cell>
          <cell r="W183">
            <v>0.66666666666666663</v>
          </cell>
          <cell r="X183">
            <v>3.1249999997574718E-2</v>
          </cell>
          <cell r="Y183">
            <v>3.1249999997574718E-2</v>
          </cell>
          <cell r="AB183">
            <v>9</v>
          </cell>
          <cell r="AC183">
            <v>5</v>
          </cell>
          <cell r="AD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9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</row>
        <row r="184">
          <cell r="C184">
            <v>37755</v>
          </cell>
          <cell r="D184">
            <v>37881</v>
          </cell>
          <cell r="E184">
            <v>37868</v>
          </cell>
          <cell r="F184">
            <v>0.5625</v>
          </cell>
          <cell r="G184" t="str">
            <v>Linha de Pintura 3,2m</v>
          </cell>
          <cell r="H184" t="str">
            <v>Pistola de Retoque não magnetiza</v>
          </cell>
          <cell r="I184" t="str">
            <v>Corretiva</v>
          </cell>
          <cell r="J184" t="str">
            <v>Sim</v>
          </cell>
          <cell r="K184" t="str">
            <v>Elétrica</v>
          </cell>
          <cell r="L184" t="str">
            <v>Reparo</v>
          </cell>
          <cell r="M184" t="str">
            <v>Desgaste / Fadiga</v>
          </cell>
          <cell r="N184">
            <v>37868</v>
          </cell>
          <cell r="O184">
            <v>0.56597222222222221</v>
          </cell>
          <cell r="P184">
            <v>37868</v>
          </cell>
          <cell r="Q184">
            <v>0.56597222222222221</v>
          </cell>
          <cell r="T184">
            <v>37868</v>
          </cell>
          <cell r="U184">
            <v>0.58333333333333337</v>
          </cell>
          <cell r="V184">
            <v>37868</v>
          </cell>
          <cell r="W184">
            <v>0.58333333333333337</v>
          </cell>
          <cell r="X184">
            <v>1.736111111111116E-2</v>
          </cell>
          <cell r="Y184">
            <v>1.7361111113536443E-2</v>
          </cell>
          <cell r="AB184">
            <v>9</v>
          </cell>
          <cell r="AC184">
            <v>5</v>
          </cell>
          <cell r="AD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9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</row>
        <row r="185">
          <cell r="C185">
            <v>37755</v>
          </cell>
          <cell r="D185">
            <v>37900</v>
          </cell>
          <cell r="E185">
            <v>37875</v>
          </cell>
          <cell r="F185">
            <v>0.5</v>
          </cell>
          <cell r="G185" t="str">
            <v>Linha de Pintura 3,2m</v>
          </cell>
          <cell r="H185" t="str">
            <v>Vazamento na válvula do enxágue 02</v>
          </cell>
          <cell r="I185" t="str">
            <v>Corretiva</v>
          </cell>
          <cell r="J185" t="str">
            <v>Não</v>
          </cell>
          <cell r="K185" t="str">
            <v>Mecânica</v>
          </cell>
          <cell r="L185" t="str">
            <v>Contenção do vazamento</v>
          </cell>
          <cell r="M185" t="str">
            <v>Desgaste / Fadiga</v>
          </cell>
          <cell r="N185">
            <v>37894</v>
          </cell>
          <cell r="O185">
            <v>0.4375</v>
          </cell>
          <cell r="P185">
            <v>37894</v>
          </cell>
          <cell r="Q185">
            <v>0.4375</v>
          </cell>
          <cell r="T185">
            <v>37894</v>
          </cell>
          <cell r="U185">
            <v>0.52083333333333337</v>
          </cell>
          <cell r="V185">
            <v>37894</v>
          </cell>
          <cell r="W185">
            <v>0.52083333333333337</v>
          </cell>
          <cell r="X185">
            <v>8.3333333335758653E-2</v>
          </cell>
          <cell r="Y185">
            <v>8.3333333335758653E-2</v>
          </cell>
          <cell r="AB185">
            <v>9</v>
          </cell>
          <cell r="AC185">
            <v>5</v>
          </cell>
          <cell r="AD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9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</row>
        <row r="186">
          <cell r="C186">
            <v>37755</v>
          </cell>
          <cell r="D186">
            <v>37810</v>
          </cell>
          <cell r="E186">
            <v>37799</v>
          </cell>
          <cell r="F186">
            <v>0.34027777777777773</v>
          </cell>
          <cell r="G186" t="str">
            <v>Linha de Pintura 3,2m</v>
          </cell>
          <cell r="H186" t="str">
            <v>Pistola da Cabine de Pintura não está liberando pó</v>
          </cell>
          <cell r="I186" t="str">
            <v>Corretiva</v>
          </cell>
          <cell r="J186" t="str">
            <v>Não</v>
          </cell>
          <cell r="K186" t="str">
            <v>Mecânica</v>
          </cell>
          <cell r="L186" t="str">
            <v>Limpeza interna e verificação dos contatos</v>
          </cell>
          <cell r="M186" t="str">
            <v>Mau contato</v>
          </cell>
          <cell r="N186">
            <v>37799</v>
          </cell>
          <cell r="O186">
            <v>0.34027777777777773</v>
          </cell>
          <cell r="P186">
            <v>37799</v>
          </cell>
          <cell r="Q186">
            <v>0.34027777777777773</v>
          </cell>
          <cell r="T186">
            <v>37799</v>
          </cell>
          <cell r="U186">
            <v>0.375</v>
          </cell>
          <cell r="V186">
            <v>37799</v>
          </cell>
          <cell r="W186">
            <v>0.375</v>
          </cell>
          <cell r="X186">
            <v>3.4722222222222265E-2</v>
          </cell>
          <cell r="Y186">
            <v>3.4722222222222265E-2</v>
          </cell>
          <cell r="AB186">
            <v>6</v>
          </cell>
          <cell r="AC186">
            <v>5</v>
          </cell>
          <cell r="AD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6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</row>
        <row r="187">
          <cell r="C187">
            <v>37755</v>
          </cell>
          <cell r="D187">
            <v>37756</v>
          </cell>
          <cell r="E187">
            <v>37754</v>
          </cell>
          <cell r="F187">
            <v>0.33333333333333331</v>
          </cell>
          <cell r="G187" t="str">
            <v>Linha de Pintura 8,5m</v>
          </cell>
          <cell r="H187" t="str">
            <v>Problema no filtro de ar</v>
          </cell>
          <cell r="I187" t="str">
            <v>Corretiva</v>
          </cell>
          <cell r="J187" t="str">
            <v>Não</v>
          </cell>
          <cell r="K187" t="str">
            <v>Mecânica</v>
          </cell>
          <cell r="L187" t="str">
            <v>Substituição do(s) Componente(s)</v>
          </cell>
          <cell r="M187" t="str">
            <v>Desgaste / Fadiga</v>
          </cell>
          <cell r="N187">
            <v>37754</v>
          </cell>
          <cell r="O187">
            <v>0.41666666666666669</v>
          </cell>
          <cell r="P187">
            <v>37754</v>
          </cell>
          <cell r="Q187">
            <v>0.41666666666666669</v>
          </cell>
          <cell r="T187">
            <v>37754</v>
          </cell>
          <cell r="U187">
            <v>0.5</v>
          </cell>
          <cell r="V187">
            <v>37754</v>
          </cell>
          <cell r="W187">
            <v>0.5</v>
          </cell>
          <cell r="X187">
            <v>8.3333333333333315E-2</v>
          </cell>
          <cell r="Y187">
            <v>8.3333333333333315E-2</v>
          </cell>
          <cell r="AB187">
            <v>5</v>
          </cell>
          <cell r="AC187">
            <v>5</v>
          </cell>
          <cell r="AD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5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</row>
        <row r="188">
          <cell r="C188">
            <v>37755</v>
          </cell>
          <cell r="D188">
            <v>37810</v>
          </cell>
          <cell r="E188">
            <v>37762</v>
          </cell>
          <cell r="F188">
            <v>0.44097222222222227</v>
          </cell>
          <cell r="G188" t="str">
            <v>Linha de Pintura 8,5m</v>
          </cell>
          <cell r="H188" t="str">
            <v>Elevador Parado</v>
          </cell>
          <cell r="I188" t="str">
            <v>Corretiva</v>
          </cell>
          <cell r="J188" t="str">
            <v>Sim</v>
          </cell>
          <cell r="K188" t="str">
            <v>Mecânica</v>
          </cell>
          <cell r="L188" t="str">
            <v>Regulagem da altura do Elevador</v>
          </cell>
          <cell r="M188" t="str">
            <v>Vibração</v>
          </cell>
          <cell r="N188">
            <v>37762</v>
          </cell>
          <cell r="O188">
            <v>0.68055555555555547</v>
          </cell>
          <cell r="P188">
            <v>37762</v>
          </cell>
          <cell r="Q188">
            <v>0.68055555555555547</v>
          </cell>
          <cell r="T188">
            <v>37762</v>
          </cell>
          <cell r="U188">
            <v>0.71527777777777779</v>
          </cell>
          <cell r="V188">
            <v>37762</v>
          </cell>
          <cell r="W188">
            <v>0.71527777777777779</v>
          </cell>
          <cell r="X188">
            <v>3.4722222222222321E-2</v>
          </cell>
          <cell r="Y188">
            <v>3.4722222225456068E-2</v>
          </cell>
          <cell r="AB188">
            <v>5</v>
          </cell>
          <cell r="AC188">
            <v>5</v>
          </cell>
          <cell r="AD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</row>
        <row r="189">
          <cell r="C189">
            <v>37755</v>
          </cell>
          <cell r="D189">
            <v>37769</v>
          </cell>
          <cell r="E189">
            <v>37767</v>
          </cell>
          <cell r="F189">
            <v>0.35416666666666669</v>
          </cell>
          <cell r="G189" t="str">
            <v>Linha de Pintura 8,5m</v>
          </cell>
          <cell r="H189" t="str">
            <v>Motor não funciona</v>
          </cell>
          <cell r="I189" t="str">
            <v>Corretiva</v>
          </cell>
          <cell r="J189" t="str">
            <v>Sim</v>
          </cell>
          <cell r="K189" t="str">
            <v>Elétrica</v>
          </cell>
          <cell r="L189" t="str">
            <v>Substituição do(s) Componente(s)</v>
          </cell>
          <cell r="M189" t="str">
            <v>Mau contato</v>
          </cell>
          <cell r="N189">
            <v>37767</v>
          </cell>
          <cell r="O189">
            <v>0.35416666666666669</v>
          </cell>
          <cell r="P189">
            <v>37767</v>
          </cell>
          <cell r="Q189">
            <v>0.35416666666666669</v>
          </cell>
          <cell r="T189">
            <v>37767</v>
          </cell>
          <cell r="U189">
            <v>0.4597222222222222</v>
          </cell>
          <cell r="V189">
            <v>37767</v>
          </cell>
          <cell r="W189">
            <v>0.4597222222222222</v>
          </cell>
          <cell r="X189">
            <v>0.10555555555555551</v>
          </cell>
          <cell r="Y189">
            <v>0.10555555555523216</v>
          </cell>
          <cell r="AB189">
            <v>5</v>
          </cell>
          <cell r="AC189">
            <v>5</v>
          </cell>
          <cell r="AD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</row>
        <row r="190">
          <cell r="C190">
            <v>37755</v>
          </cell>
          <cell r="I190">
            <v>0</v>
          </cell>
          <cell r="N190">
            <v>0</v>
          </cell>
          <cell r="P190">
            <v>0</v>
          </cell>
          <cell r="T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AB190">
            <v>0</v>
          </cell>
          <cell r="AC190">
            <v>5</v>
          </cell>
          <cell r="AD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</row>
        <row r="191">
          <cell r="C191">
            <v>37755</v>
          </cell>
          <cell r="D191">
            <v>37785</v>
          </cell>
          <cell r="E191">
            <v>37776</v>
          </cell>
          <cell r="F191">
            <v>0.57291666666666663</v>
          </cell>
          <cell r="G191" t="str">
            <v>Linha de Pintura 15m</v>
          </cell>
          <cell r="H191" t="str">
            <v>Exaustão da cabine não funciona</v>
          </cell>
          <cell r="I191" t="str">
            <v>Corretiva</v>
          </cell>
          <cell r="J191" t="str">
            <v>Sim</v>
          </cell>
          <cell r="K191" t="str">
            <v>Elétrica</v>
          </cell>
          <cell r="L191" t="str">
            <v>Substituição do(s) Componente(s)</v>
          </cell>
          <cell r="M191" t="str">
            <v>Sobrecarga</v>
          </cell>
          <cell r="N191">
            <v>37776</v>
          </cell>
          <cell r="O191">
            <v>0.625</v>
          </cell>
          <cell r="P191">
            <v>37776</v>
          </cell>
          <cell r="Q191">
            <v>0.625</v>
          </cell>
          <cell r="T191">
            <v>37776</v>
          </cell>
          <cell r="U191">
            <v>0.64930555555555558</v>
          </cell>
          <cell r="V191">
            <v>37776</v>
          </cell>
          <cell r="W191">
            <v>0.64930555555555558</v>
          </cell>
          <cell r="X191">
            <v>2.430555555555558E-2</v>
          </cell>
          <cell r="Y191">
            <v>2.4305555554747116E-2</v>
          </cell>
          <cell r="AB191">
            <v>6</v>
          </cell>
          <cell r="AC191">
            <v>5</v>
          </cell>
          <cell r="AD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6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</row>
        <row r="192">
          <cell r="C192">
            <v>37755</v>
          </cell>
          <cell r="D192">
            <v>37881</v>
          </cell>
          <cell r="E192">
            <v>37795</v>
          </cell>
          <cell r="F192">
            <v>0.375</v>
          </cell>
          <cell r="G192" t="str">
            <v>Linha de Pintura 8,5m</v>
          </cell>
          <cell r="H192" t="str">
            <v>Vazamento na válvula de fechamento do tanque de enxágue 01</v>
          </cell>
          <cell r="I192" t="str">
            <v>Corretiva</v>
          </cell>
          <cell r="J192" t="str">
            <v>Não</v>
          </cell>
          <cell r="K192" t="str">
            <v>Mecânica</v>
          </cell>
          <cell r="L192" t="str">
            <v>Reparo</v>
          </cell>
          <cell r="M192" t="str">
            <v>Defeito de Fabricação</v>
          </cell>
          <cell r="N192">
            <v>37876</v>
          </cell>
          <cell r="O192">
            <v>0.3125</v>
          </cell>
          <cell r="P192">
            <v>37876</v>
          </cell>
          <cell r="Q192">
            <v>0.3125</v>
          </cell>
          <cell r="T192">
            <v>37876</v>
          </cell>
          <cell r="U192">
            <v>0.39583333333333331</v>
          </cell>
          <cell r="V192">
            <v>37876</v>
          </cell>
          <cell r="W192">
            <v>0.39583333333333331</v>
          </cell>
          <cell r="X192">
            <v>8.3333333335758653E-2</v>
          </cell>
          <cell r="Y192">
            <v>8.3333333335758653E-2</v>
          </cell>
          <cell r="AB192">
            <v>9</v>
          </cell>
          <cell r="AC192">
            <v>5</v>
          </cell>
          <cell r="AD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9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</row>
        <row r="193">
          <cell r="C193">
            <v>37755</v>
          </cell>
          <cell r="D193">
            <v>37803</v>
          </cell>
          <cell r="E193">
            <v>37795</v>
          </cell>
          <cell r="F193">
            <v>0.54166666666666663</v>
          </cell>
          <cell r="G193" t="str">
            <v>Linha de Pintura 8,5m</v>
          </cell>
          <cell r="H193" t="str">
            <v>Fusível de Exaustão queimado</v>
          </cell>
          <cell r="I193" t="str">
            <v>Corretiva</v>
          </cell>
          <cell r="J193" t="str">
            <v>Sim</v>
          </cell>
          <cell r="K193" t="str">
            <v>Elétrica</v>
          </cell>
          <cell r="L193" t="str">
            <v>Substituição do(s) Componente(s)</v>
          </cell>
          <cell r="M193" t="str">
            <v>Sobrecarga</v>
          </cell>
          <cell r="N193">
            <v>37795</v>
          </cell>
          <cell r="O193">
            <v>0.58333333333333337</v>
          </cell>
          <cell r="P193">
            <v>37795</v>
          </cell>
          <cell r="Q193">
            <v>0.58333333333333337</v>
          </cell>
          <cell r="T193">
            <v>37795</v>
          </cell>
          <cell r="U193">
            <v>0.60069444444444442</v>
          </cell>
          <cell r="V193">
            <v>37795</v>
          </cell>
          <cell r="W193">
            <v>0.60069444444444442</v>
          </cell>
          <cell r="X193">
            <v>1.7361111111111049E-2</v>
          </cell>
          <cell r="Y193">
            <v>1.7361111111919514E-2</v>
          </cell>
          <cell r="AB193">
            <v>6</v>
          </cell>
          <cell r="AC193">
            <v>5</v>
          </cell>
          <cell r="AD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6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</row>
        <row r="194">
          <cell r="C194">
            <v>37755</v>
          </cell>
          <cell r="D194">
            <v>37803</v>
          </cell>
          <cell r="E194">
            <v>37802</v>
          </cell>
          <cell r="F194">
            <v>0.41666666666666669</v>
          </cell>
          <cell r="G194" t="str">
            <v>Linha de Pintura 8,5m</v>
          </cell>
          <cell r="H194" t="str">
            <v>Parada constante no bastidor da entrada da secagem</v>
          </cell>
          <cell r="I194" t="str">
            <v>Corretiva</v>
          </cell>
          <cell r="J194" t="str">
            <v>Sim</v>
          </cell>
          <cell r="K194" t="str">
            <v>Mecânica</v>
          </cell>
          <cell r="L194" t="str">
            <v>O Parô estava com a porca e o eixo do pistão solto</v>
          </cell>
          <cell r="M194" t="str">
            <v>Vibração</v>
          </cell>
          <cell r="N194">
            <v>37802</v>
          </cell>
          <cell r="O194">
            <v>0.53125</v>
          </cell>
          <cell r="P194">
            <v>37802</v>
          </cell>
          <cell r="Q194">
            <v>0.53125</v>
          </cell>
          <cell r="T194">
            <v>37802</v>
          </cell>
          <cell r="U194">
            <v>0.5625</v>
          </cell>
          <cell r="V194">
            <v>37802</v>
          </cell>
          <cell r="W194">
            <v>0.5625</v>
          </cell>
          <cell r="X194">
            <v>3.125E-2</v>
          </cell>
          <cell r="Y194">
            <v>3.125E-2</v>
          </cell>
          <cell r="AB194">
            <v>6</v>
          </cell>
          <cell r="AC194">
            <v>5</v>
          </cell>
          <cell r="AD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6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</row>
        <row r="195">
          <cell r="C195">
            <v>37755</v>
          </cell>
          <cell r="D195">
            <v>37819</v>
          </cell>
          <cell r="E195">
            <v>37814</v>
          </cell>
          <cell r="F195">
            <v>0.54166666666666663</v>
          </cell>
          <cell r="G195" t="str">
            <v>Linha de Pintura 8,5m</v>
          </cell>
          <cell r="H195" t="str">
            <v>Suporte do braço da pistola quebrado</v>
          </cell>
          <cell r="I195" t="str">
            <v>Corretiva</v>
          </cell>
          <cell r="J195" t="str">
            <v>Não</v>
          </cell>
          <cell r="K195" t="str">
            <v>Mecânica</v>
          </cell>
          <cell r="L195" t="str">
            <v>Substituição do(s) Componente(s)</v>
          </cell>
          <cell r="M195" t="str">
            <v>Defeito de Fabricação</v>
          </cell>
          <cell r="N195">
            <v>37816</v>
          </cell>
          <cell r="O195">
            <v>0.41666666666666669</v>
          </cell>
          <cell r="P195">
            <v>37816</v>
          </cell>
          <cell r="Q195">
            <v>0.41666666666666669</v>
          </cell>
          <cell r="T195">
            <v>37816</v>
          </cell>
          <cell r="U195">
            <v>0.45833333333333331</v>
          </cell>
          <cell r="V195">
            <v>37816</v>
          </cell>
          <cell r="W195">
            <v>0.45833333333333331</v>
          </cell>
          <cell r="X195">
            <v>4.166666666666663E-2</v>
          </cell>
          <cell r="Y195">
            <v>4.1666666669091967E-2</v>
          </cell>
          <cell r="AB195">
            <v>7</v>
          </cell>
          <cell r="AC195">
            <v>5</v>
          </cell>
          <cell r="AD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7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</row>
        <row r="196">
          <cell r="C196">
            <v>37755</v>
          </cell>
          <cell r="D196">
            <v>37838</v>
          </cell>
          <cell r="E196">
            <v>37816</v>
          </cell>
          <cell r="F196">
            <v>0.41666666666666669</v>
          </cell>
          <cell r="G196" t="str">
            <v>Linha de Pintura 8,5m</v>
          </cell>
          <cell r="H196" t="str">
            <v>Acúmulo de pó no reservatório, gerando transbordamento</v>
          </cell>
          <cell r="I196" t="str">
            <v>Melhoria</v>
          </cell>
          <cell r="J196" t="str">
            <v>Não</v>
          </cell>
          <cell r="K196" t="str">
            <v>Mecânica</v>
          </cell>
          <cell r="L196" t="str">
            <v>Substituição do(s) Componente(s)</v>
          </cell>
          <cell r="M196" t="str">
            <v>Falha de Projeto</v>
          </cell>
          <cell r="N196">
            <v>37826</v>
          </cell>
          <cell r="O196">
            <v>0.33333333333333331</v>
          </cell>
          <cell r="P196">
            <v>37826</v>
          </cell>
          <cell r="Q196">
            <v>0.33333333333333331</v>
          </cell>
          <cell r="T196">
            <v>37826</v>
          </cell>
          <cell r="U196">
            <v>0.5</v>
          </cell>
          <cell r="V196">
            <v>37826</v>
          </cell>
          <cell r="W196">
            <v>0.5</v>
          </cell>
          <cell r="X196">
            <v>0.16666666666666669</v>
          </cell>
          <cell r="Y196">
            <v>0.16666666666666669</v>
          </cell>
          <cell r="AB196">
            <v>7</v>
          </cell>
          <cell r="AC196">
            <v>5</v>
          </cell>
          <cell r="AD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7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</row>
        <row r="197">
          <cell r="C197">
            <v>37755</v>
          </cell>
          <cell r="D197">
            <v>37803</v>
          </cell>
          <cell r="E197">
            <v>37789</v>
          </cell>
          <cell r="F197">
            <v>0.69097222222222221</v>
          </cell>
          <cell r="G197" t="str">
            <v>Linha de Pintura 15m</v>
          </cell>
          <cell r="H197" t="str">
            <v>Elevador de carga desnivelado</v>
          </cell>
          <cell r="I197" t="str">
            <v>Corretiva</v>
          </cell>
          <cell r="J197" t="str">
            <v>Sim</v>
          </cell>
          <cell r="K197" t="str">
            <v>Elétrica</v>
          </cell>
          <cell r="L197" t="str">
            <v>Regulagem do Componente</v>
          </cell>
          <cell r="M197" t="str">
            <v>Desgaste / Fadiga</v>
          </cell>
          <cell r="N197">
            <v>37789</v>
          </cell>
          <cell r="O197">
            <v>0.69444444444444453</v>
          </cell>
          <cell r="P197">
            <v>37789</v>
          </cell>
          <cell r="Q197">
            <v>0.69444444444444453</v>
          </cell>
          <cell r="T197">
            <v>37789</v>
          </cell>
          <cell r="U197">
            <v>0.70486111111111116</v>
          </cell>
          <cell r="V197">
            <v>37789</v>
          </cell>
          <cell r="W197">
            <v>0.70486111111111116</v>
          </cell>
          <cell r="X197">
            <v>1.041666666666663E-2</v>
          </cell>
          <cell r="Y197">
            <v>1.0416666665049701E-2</v>
          </cell>
          <cell r="AB197">
            <v>6</v>
          </cell>
          <cell r="AC197">
            <v>5</v>
          </cell>
          <cell r="AD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6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</row>
        <row r="198">
          <cell r="C198">
            <v>37755</v>
          </cell>
          <cell r="D198">
            <v>37785</v>
          </cell>
          <cell r="E198">
            <v>37782</v>
          </cell>
          <cell r="F198">
            <v>0.5</v>
          </cell>
          <cell r="G198" t="str">
            <v>Linha de Pintura 15m</v>
          </cell>
          <cell r="H198" t="str">
            <v>Parafusos do suporte do transportador soltos</v>
          </cell>
          <cell r="I198" t="str">
            <v>Corretiva</v>
          </cell>
          <cell r="J198" t="str">
            <v>Não</v>
          </cell>
          <cell r="K198" t="str">
            <v>Mecânica</v>
          </cell>
          <cell r="L198" t="str">
            <v>Reaperto dos componentes</v>
          </cell>
          <cell r="M198" t="str">
            <v>Vibração</v>
          </cell>
          <cell r="N198">
            <v>37783</v>
          </cell>
          <cell r="O198">
            <v>0.64583333333333337</v>
          </cell>
          <cell r="P198">
            <v>37783</v>
          </cell>
          <cell r="Q198">
            <v>0.64583333333333337</v>
          </cell>
          <cell r="T198">
            <v>37783</v>
          </cell>
          <cell r="U198">
            <v>0.66666666666666663</v>
          </cell>
          <cell r="V198">
            <v>37783</v>
          </cell>
          <cell r="W198">
            <v>0.66666666666666663</v>
          </cell>
          <cell r="X198">
            <v>2.0833333330907977E-2</v>
          </cell>
          <cell r="Y198">
            <v>2.0833333330907977E-2</v>
          </cell>
          <cell r="AB198">
            <v>6</v>
          </cell>
          <cell r="AC198">
            <v>5</v>
          </cell>
          <cell r="AD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6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</row>
        <row r="199">
          <cell r="C199">
            <v>37755</v>
          </cell>
          <cell r="D199">
            <v>37785</v>
          </cell>
          <cell r="E199">
            <v>37784</v>
          </cell>
          <cell r="F199">
            <v>0.65277777777777779</v>
          </cell>
          <cell r="G199" t="str">
            <v>Linha de Pintura 15m</v>
          </cell>
          <cell r="H199" t="str">
            <v>Elevador de carga desnivelado</v>
          </cell>
          <cell r="I199" t="str">
            <v>Corretiva</v>
          </cell>
          <cell r="J199" t="str">
            <v>Sim</v>
          </cell>
          <cell r="K199" t="str">
            <v>Elétrica</v>
          </cell>
          <cell r="L199" t="str">
            <v>Regulagem do sensor, ajustes na máquina e no encoder. Nivelamento dos elevadores</v>
          </cell>
          <cell r="M199" t="str">
            <v>Vibração</v>
          </cell>
          <cell r="N199">
            <v>37784</v>
          </cell>
          <cell r="O199">
            <v>0.65277777777777779</v>
          </cell>
          <cell r="P199">
            <v>37784</v>
          </cell>
          <cell r="Q199">
            <v>0.65277777777777779</v>
          </cell>
          <cell r="T199">
            <v>37784</v>
          </cell>
          <cell r="U199">
            <v>0.67013888888888884</v>
          </cell>
          <cell r="V199">
            <v>37784</v>
          </cell>
          <cell r="W199">
            <v>0.67013888888888884</v>
          </cell>
          <cell r="X199">
            <v>1.7361111111111049E-2</v>
          </cell>
          <cell r="Y199">
            <v>1.7361111112727978E-2</v>
          </cell>
          <cell r="AB199">
            <v>6</v>
          </cell>
          <cell r="AC199">
            <v>5</v>
          </cell>
          <cell r="AD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6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</row>
        <row r="200">
          <cell r="C200">
            <v>37755</v>
          </cell>
          <cell r="I200">
            <v>0</v>
          </cell>
          <cell r="N200">
            <v>0</v>
          </cell>
          <cell r="P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AB200">
            <v>0</v>
          </cell>
          <cell r="AC200">
            <v>5</v>
          </cell>
          <cell r="AD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</row>
        <row r="201">
          <cell r="C201">
            <v>37755</v>
          </cell>
          <cell r="D201">
            <v>37803</v>
          </cell>
          <cell r="E201">
            <v>37798</v>
          </cell>
          <cell r="F201">
            <v>0.66666666666666663</v>
          </cell>
          <cell r="G201" t="str">
            <v>Linha de Pintura 15m</v>
          </cell>
          <cell r="H201" t="str">
            <v>Conector de Ar do Reservatório de pó quebrado; Bicos do Fosfatado desregulados</v>
          </cell>
          <cell r="I201" t="str">
            <v>Corretiva</v>
          </cell>
          <cell r="J201" t="str">
            <v>Não</v>
          </cell>
          <cell r="K201" t="str">
            <v>Mecânica</v>
          </cell>
          <cell r="L201" t="str">
            <v>Substituição do(s) Componente(s)</v>
          </cell>
          <cell r="M201" t="str">
            <v>Desgaste / Fadiga</v>
          </cell>
          <cell r="N201">
            <v>37798</v>
          </cell>
          <cell r="O201">
            <v>0.66666666666666663</v>
          </cell>
          <cell r="P201">
            <v>37798</v>
          </cell>
          <cell r="Q201">
            <v>0.66666666666666663</v>
          </cell>
          <cell r="T201">
            <v>37798</v>
          </cell>
          <cell r="U201">
            <v>0.6875</v>
          </cell>
          <cell r="V201">
            <v>37798</v>
          </cell>
          <cell r="W201">
            <v>0.6875</v>
          </cell>
          <cell r="X201">
            <v>2.083333333333337E-2</v>
          </cell>
          <cell r="Y201">
            <v>2.083333333333337E-2</v>
          </cell>
          <cell r="AB201">
            <v>6</v>
          </cell>
          <cell r="AC201">
            <v>5</v>
          </cell>
          <cell r="AD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6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</row>
        <row r="202">
          <cell r="C202">
            <v>37755</v>
          </cell>
          <cell r="D202">
            <v>37806</v>
          </cell>
          <cell r="E202">
            <v>37803</v>
          </cell>
          <cell r="F202">
            <v>0.33333333333333331</v>
          </cell>
          <cell r="G202" t="str">
            <v>Linha de Pintura 15m</v>
          </cell>
          <cell r="H202" t="str">
            <v>Variador 01 de carga/descarga apresenta funcionamento inadequado</v>
          </cell>
          <cell r="I202" t="str">
            <v>Corretiva</v>
          </cell>
          <cell r="J202" t="str">
            <v>Sim</v>
          </cell>
          <cell r="K202" t="str">
            <v>Mecânica</v>
          </cell>
          <cell r="L202" t="str">
            <v>Substituição do(s) Componente(s)</v>
          </cell>
          <cell r="M202" t="str">
            <v>Desgaste / Fadiga</v>
          </cell>
          <cell r="N202">
            <v>37803</v>
          </cell>
          <cell r="O202">
            <v>0.33333333333333331</v>
          </cell>
          <cell r="P202">
            <v>37803</v>
          </cell>
          <cell r="Q202">
            <v>0.33333333333333331</v>
          </cell>
          <cell r="T202">
            <v>37803</v>
          </cell>
          <cell r="U202">
            <v>0.3611111111111111</v>
          </cell>
          <cell r="V202">
            <v>37803</v>
          </cell>
          <cell r="W202">
            <v>0.3611111111111111</v>
          </cell>
          <cell r="X202">
            <v>2.777777777777779E-2</v>
          </cell>
          <cell r="Y202">
            <v>2.7777777776160917E-2</v>
          </cell>
          <cell r="AB202">
            <v>7</v>
          </cell>
          <cell r="AC202">
            <v>5</v>
          </cell>
          <cell r="AD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7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</row>
        <row r="203">
          <cell r="C203">
            <v>37755</v>
          </cell>
          <cell r="D203">
            <v>37810</v>
          </cell>
          <cell r="E203">
            <v>37805</v>
          </cell>
          <cell r="F203">
            <v>0.6875</v>
          </cell>
          <cell r="G203" t="str">
            <v>Linha de Pintura 15m</v>
          </cell>
          <cell r="H203" t="str">
            <v>Exaustor não funciona</v>
          </cell>
          <cell r="I203" t="str">
            <v>Corretiva</v>
          </cell>
          <cell r="J203" t="str">
            <v>Sim</v>
          </cell>
          <cell r="K203" t="str">
            <v>Elétrica</v>
          </cell>
          <cell r="L203" t="str">
            <v>Substituição do(s) Componente(s)</v>
          </cell>
          <cell r="M203" t="str">
            <v>Causa não especificada</v>
          </cell>
          <cell r="N203">
            <v>37805</v>
          </cell>
          <cell r="O203">
            <v>0.6875</v>
          </cell>
          <cell r="P203">
            <v>37805</v>
          </cell>
          <cell r="Q203">
            <v>0.6875</v>
          </cell>
          <cell r="T203">
            <v>37805</v>
          </cell>
          <cell r="U203">
            <v>0.70833333333333337</v>
          </cell>
          <cell r="V203">
            <v>37805</v>
          </cell>
          <cell r="W203">
            <v>0.70833333333333337</v>
          </cell>
          <cell r="X203">
            <v>2.083333333333337E-2</v>
          </cell>
          <cell r="Y203">
            <v>2.0833333335758653E-2</v>
          </cell>
          <cell r="AB203">
            <v>7</v>
          </cell>
          <cell r="AC203">
            <v>5</v>
          </cell>
          <cell r="AD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7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</row>
        <row r="204">
          <cell r="C204">
            <v>37755</v>
          </cell>
          <cell r="D204">
            <v>37790</v>
          </cell>
          <cell r="E204">
            <v>37789</v>
          </cell>
          <cell r="F204">
            <v>0.375</v>
          </cell>
          <cell r="G204" t="str">
            <v>Linha de Pintura 15m</v>
          </cell>
          <cell r="H204" t="str">
            <v>O aterramento das gancheiras não funciona adequadamente</v>
          </cell>
          <cell r="I204" t="str">
            <v>Corretiva</v>
          </cell>
          <cell r="J204" t="str">
            <v>Não</v>
          </cell>
          <cell r="K204" t="str">
            <v>Elétrica</v>
          </cell>
          <cell r="L204" t="str">
            <v>Foi instalado um fio conectado a um suporte metálico para condução de corrente na gancheira</v>
          </cell>
          <cell r="M204" t="str">
            <v>Melhoria Técnica</v>
          </cell>
          <cell r="N204">
            <v>37789</v>
          </cell>
          <cell r="O204">
            <v>0.375</v>
          </cell>
          <cell r="P204">
            <v>37789</v>
          </cell>
          <cell r="Q204">
            <v>0.375</v>
          </cell>
          <cell r="T204">
            <v>37789</v>
          </cell>
          <cell r="U204">
            <v>0.4375</v>
          </cell>
          <cell r="V204">
            <v>37789</v>
          </cell>
          <cell r="W204">
            <v>0.4375</v>
          </cell>
          <cell r="X204">
            <v>6.25E-2</v>
          </cell>
          <cell r="Y204">
            <v>6.25E-2</v>
          </cell>
          <cell r="AB204">
            <v>6</v>
          </cell>
          <cell r="AC204">
            <v>5</v>
          </cell>
          <cell r="AD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6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</row>
        <row r="205">
          <cell r="C205">
            <v>37755</v>
          </cell>
          <cell r="D205">
            <v>37803</v>
          </cell>
          <cell r="E205">
            <v>37785</v>
          </cell>
          <cell r="F205">
            <v>0.40277777777777773</v>
          </cell>
          <cell r="G205" t="str">
            <v>Linha de Pintura 15m</v>
          </cell>
          <cell r="H205" t="str">
            <v>Elevador de carga desnivelado</v>
          </cell>
          <cell r="I205" t="str">
            <v>Corretiva</v>
          </cell>
          <cell r="J205" t="str">
            <v>Sim</v>
          </cell>
          <cell r="K205" t="str">
            <v>Elétrica</v>
          </cell>
          <cell r="L205" t="str">
            <v>Ajuste / Regulagem</v>
          </cell>
          <cell r="M205" t="str">
            <v>Falha de Comando / Sistema</v>
          </cell>
          <cell r="N205">
            <v>37785</v>
          </cell>
          <cell r="O205">
            <v>0.40277777777777773</v>
          </cell>
          <cell r="P205">
            <v>37785</v>
          </cell>
          <cell r="Q205">
            <v>0.40277777777777773</v>
          </cell>
          <cell r="T205">
            <v>37785</v>
          </cell>
          <cell r="U205">
            <v>0.41666666666666669</v>
          </cell>
          <cell r="V205">
            <v>37785</v>
          </cell>
          <cell r="W205">
            <v>0.41666666666666669</v>
          </cell>
          <cell r="X205">
            <v>1.3888888888888951E-2</v>
          </cell>
          <cell r="Y205">
            <v>1.3888888886463613E-2</v>
          </cell>
          <cell r="AB205">
            <v>6</v>
          </cell>
          <cell r="AC205">
            <v>5</v>
          </cell>
          <cell r="AD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6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</row>
        <row r="206">
          <cell r="C206">
            <v>37755</v>
          </cell>
          <cell r="D206">
            <v>37785</v>
          </cell>
          <cell r="E206">
            <v>37781</v>
          </cell>
          <cell r="F206">
            <v>0.33333333333333331</v>
          </cell>
          <cell r="G206" t="str">
            <v>Linha de Pintura 8,5m</v>
          </cell>
          <cell r="H206" t="str">
            <v>Pistola manual não funciona</v>
          </cell>
          <cell r="I206" t="str">
            <v>Corretiva</v>
          </cell>
          <cell r="J206" t="str">
            <v>Não</v>
          </cell>
          <cell r="K206" t="str">
            <v>Elétrica</v>
          </cell>
          <cell r="L206" t="str">
            <v>Substituição do(s) Componente(s)</v>
          </cell>
          <cell r="M206" t="str">
            <v>Elétrica</v>
          </cell>
          <cell r="N206">
            <v>37784</v>
          </cell>
          <cell r="O206">
            <v>0.375</v>
          </cell>
          <cell r="P206">
            <v>37784</v>
          </cell>
          <cell r="Q206">
            <v>0.375</v>
          </cell>
          <cell r="R206">
            <v>37784</v>
          </cell>
          <cell r="S206">
            <v>0.375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AB206">
            <v>0</v>
          </cell>
          <cell r="AC206">
            <v>5</v>
          </cell>
          <cell r="AD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1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</row>
        <row r="207">
          <cell r="C207">
            <v>37795</v>
          </cell>
          <cell r="D207">
            <v>37803</v>
          </cell>
          <cell r="E207">
            <v>37796</v>
          </cell>
          <cell r="F207">
            <v>0.70833333333333337</v>
          </cell>
          <cell r="G207" t="str">
            <v>Perfiladora Dimeco Travesaños</v>
          </cell>
          <cell r="H207" t="str">
            <v>Desbobinador travado; pino guia do cassete</v>
          </cell>
          <cell r="I207" t="str">
            <v>Corretiva</v>
          </cell>
          <cell r="J207" t="str">
            <v>Não</v>
          </cell>
          <cell r="K207" t="str">
            <v>Mecânica</v>
          </cell>
          <cell r="L207" t="str">
            <v>Reparo</v>
          </cell>
          <cell r="M207" t="str">
            <v>Falha de Montagem / Preparação</v>
          </cell>
          <cell r="N207">
            <v>37800</v>
          </cell>
          <cell r="O207">
            <v>0.33333333333333331</v>
          </cell>
          <cell r="P207">
            <v>37800</v>
          </cell>
          <cell r="Q207">
            <v>0.33333333333333331</v>
          </cell>
          <cell r="T207">
            <v>37800</v>
          </cell>
          <cell r="U207">
            <v>0.58333333333333337</v>
          </cell>
          <cell r="V207">
            <v>37800</v>
          </cell>
          <cell r="W207">
            <v>0.58333333333333337</v>
          </cell>
          <cell r="X207">
            <v>0.25000000000242534</v>
          </cell>
          <cell r="Y207">
            <v>0.25000000000242534</v>
          </cell>
          <cell r="AB207">
            <v>6</v>
          </cell>
          <cell r="AC207">
            <v>6</v>
          </cell>
          <cell r="AD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6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</row>
        <row r="208">
          <cell r="C208">
            <v>37795</v>
          </cell>
          <cell r="D208">
            <v>37803</v>
          </cell>
          <cell r="E208">
            <v>37797</v>
          </cell>
          <cell r="F208">
            <v>0.42708333333333331</v>
          </cell>
          <cell r="G208" t="str">
            <v>Perfiladora Dimeco Travesaños</v>
          </cell>
          <cell r="H208" t="str">
            <v>Disjuntor desarmado</v>
          </cell>
          <cell r="I208" t="str">
            <v>Corretiva</v>
          </cell>
          <cell r="J208" t="str">
            <v>Sim</v>
          </cell>
          <cell r="K208" t="str">
            <v>Elétrica</v>
          </cell>
          <cell r="L208" t="str">
            <v>Reinicialização do Equipamento / Componente</v>
          </cell>
          <cell r="M208" t="str">
            <v>Travamento de Componente</v>
          </cell>
          <cell r="N208">
            <v>37797</v>
          </cell>
          <cell r="O208">
            <v>0.43611111111111112</v>
          </cell>
          <cell r="P208">
            <v>37797</v>
          </cell>
          <cell r="Q208">
            <v>0.43611111111111112</v>
          </cell>
          <cell r="T208">
            <v>37797</v>
          </cell>
          <cell r="U208">
            <v>0.45</v>
          </cell>
          <cell r="V208">
            <v>37797</v>
          </cell>
          <cell r="W208">
            <v>0.45</v>
          </cell>
          <cell r="X208">
            <v>1.3888888888888895E-2</v>
          </cell>
          <cell r="Y208">
            <v>1.3888888885978501E-2</v>
          </cell>
          <cell r="AB208">
            <v>6</v>
          </cell>
          <cell r="AC208">
            <v>6</v>
          </cell>
          <cell r="AD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6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</row>
        <row r="209">
          <cell r="C209">
            <v>37795</v>
          </cell>
          <cell r="D209">
            <v>37803</v>
          </cell>
          <cell r="E209">
            <v>37797</v>
          </cell>
          <cell r="F209">
            <v>0.73611111111111116</v>
          </cell>
          <cell r="G209" t="str">
            <v>Perfiladora Dimeco Travesaños</v>
          </cell>
          <cell r="H209" t="str">
            <v>Pistola da Mangueira de ar com defeito</v>
          </cell>
          <cell r="I209" t="str">
            <v>Corretiva</v>
          </cell>
          <cell r="J209" t="str">
            <v>Não</v>
          </cell>
          <cell r="K209" t="str">
            <v>Mecânica</v>
          </cell>
          <cell r="L209" t="str">
            <v>Substituição do(s) Componente(s)</v>
          </cell>
          <cell r="M209" t="str">
            <v>Defeito de Fabricação</v>
          </cell>
          <cell r="N209">
            <v>37797</v>
          </cell>
          <cell r="O209">
            <v>0.73611111111111116</v>
          </cell>
          <cell r="P209">
            <v>37797</v>
          </cell>
          <cell r="Q209">
            <v>0.73611111111111116</v>
          </cell>
          <cell r="T209">
            <v>37797</v>
          </cell>
          <cell r="U209">
            <v>0.75</v>
          </cell>
          <cell r="V209">
            <v>37797</v>
          </cell>
          <cell r="W209">
            <v>0.75</v>
          </cell>
          <cell r="X209">
            <v>1.388888888888884E-2</v>
          </cell>
          <cell r="Y209">
            <v>1.388888888888884E-2</v>
          </cell>
          <cell r="AB209">
            <v>6</v>
          </cell>
          <cell r="AC209">
            <v>6</v>
          </cell>
          <cell r="AD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6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</row>
        <row r="210">
          <cell r="C210">
            <v>37795</v>
          </cell>
          <cell r="D210">
            <v>37803</v>
          </cell>
          <cell r="E210">
            <v>37799</v>
          </cell>
          <cell r="F210">
            <v>0.57499999999999996</v>
          </cell>
          <cell r="G210" t="str">
            <v>Perfiladora Dimeco Travesaños</v>
          </cell>
          <cell r="H210" t="str">
            <v>Disco de Serra danificado</v>
          </cell>
          <cell r="I210" t="str">
            <v>Corretiva</v>
          </cell>
          <cell r="J210" t="str">
            <v>Não</v>
          </cell>
          <cell r="K210" t="str">
            <v>Mecânica</v>
          </cell>
          <cell r="L210" t="str">
            <v>Substituição do(s) Componente(s)</v>
          </cell>
          <cell r="M210" t="str">
            <v>Defeito de Fabricação</v>
          </cell>
          <cell r="N210">
            <v>37799</v>
          </cell>
          <cell r="O210">
            <v>0.57499999999999996</v>
          </cell>
          <cell r="P210">
            <v>37799</v>
          </cell>
          <cell r="Q210">
            <v>0.57499999999999996</v>
          </cell>
          <cell r="T210">
            <v>37799</v>
          </cell>
          <cell r="U210">
            <v>0.60416666666666663</v>
          </cell>
          <cell r="V210">
            <v>37799</v>
          </cell>
          <cell r="W210">
            <v>0.60416666666666663</v>
          </cell>
          <cell r="X210">
            <v>2.9166666664241392E-2</v>
          </cell>
          <cell r="Y210">
            <v>2.9166666664241392E-2</v>
          </cell>
          <cell r="AB210">
            <v>6</v>
          </cell>
          <cell r="AC210">
            <v>6</v>
          </cell>
          <cell r="AD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6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</row>
        <row r="211">
          <cell r="C211">
            <v>37795</v>
          </cell>
          <cell r="D211">
            <v>37810</v>
          </cell>
          <cell r="E211">
            <v>37805</v>
          </cell>
          <cell r="F211">
            <v>0.38194444444444442</v>
          </cell>
          <cell r="G211" t="str">
            <v>Perfiladora Dimeco Travesaños</v>
          </cell>
          <cell r="H211" t="str">
            <v>Problema no desbobinador</v>
          </cell>
          <cell r="I211" t="str">
            <v>Corretiva</v>
          </cell>
          <cell r="J211" t="str">
            <v>Não</v>
          </cell>
          <cell r="K211" t="str">
            <v>Mecânica</v>
          </cell>
          <cell r="L211" t="str">
            <v>Regulagem no Sistema Hidráulico</v>
          </cell>
          <cell r="M211" t="str">
            <v>Falha de Montagem / Preparação</v>
          </cell>
          <cell r="N211">
            <v>37805</v>
          </cell>
          <cell r="O211">
            <v>0.61458333333333337</v>
          </cell>
          <cell r="P211">
            <v>37805</v>
          </cell>
          <cell r="Q211">
            <v>0.61458333333333337</v>
          </cell>
          <cell r="T211">
            <v>37805</v>
          </cell>
          <cell r="U211">
            <v>0.75</v>
          </cell>
          <cell r="V211">
            <v>37805</v>
          </cell>
          <cell r="W211">
            <v>0.75</v>
          </cell>
          <cell r="X211">
            <v>0.13541666666666663</v>
          </cell>
          <cell r="Y211">
            <v>0.13541666666666663</v>
          </cell>
          <cell r="AB211">
            <v>7</v>
          </cell>
          <cell r="AC211">
            <v>6</v>
          </cell>
          <cell r="AD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7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</row>
        <row r="212">
          <cell r="C212">
            <v>37795</v>
          </cell>
          <cell r="D212">
            <v>37819</v>
          </cell>
          <cell r="E212">
            <v>37816</v>
          </cell>
          <cell r="F212">
            <v>0.70833333333333337</v>
          </cell>
          <cell r="G212" t="str">
            <v>Perfiladora Dimeco Travesaños</v>
          </cell>
          <cell r="H212" t="str">
            <v>Vazamento em conexão do Sistema Hidráulico</v>
          </cell>
          <cell r="I212" t="str">
            <v>Corretiva</v>
          </cell>
          <cell r="J212" t="str">
            <v>Não</v>
          </cell>
          <cell r="K212" t="str">
            <v>Mecânica</v>
          </cell>
          <cell r="L212" t="str">
            <v>Limpeza e reaperto das conexões</v>
          </cell>
          <cell r="M212" t="str">
            <v>Vibração</v>
          </cell>
          <cell r="N212">
            <v>37816</v>
          </cell>
          <cell r="O212">
            <v>0.70833333333333337</v>
          </cell>
          <cell r="P212">
            <v>37816</v>
          </cell>
          <cell r="Q212">
            <v>0.70833333333333337</v>
          </cell>
          <cell r="T212">
            <v>37816</v>
          </cell>
          <cell r="U212">
            <v>0.75</v>
          </cell>
          <cell r="V212">
            <v>37816</v>
          </cell>
          <cell r="W212">
            <v>0.75</v>
          </cell>
          <cell r="X212">
            <v>4.166666666666663E-2</v>
          </cell>
          <cell r="Y212">
            <v>4.166666666666663E-2</v>
          </cell>
          <cell r="AB212">
            <v>7</v>
          </cell>
          <cell r="AC212">
            <v>6</v>
          </cell>
          <cell r="AD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7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</row>
        <row r="213">
          <cell r="C213">
            <v>37795</v>
          </cell>
          <cell r="D213">
            <v>37819</v>
          </cell>
          <cell r="E213">
            <v>37817</v>
          </cell>
          <cell r="F213">
            <v>0.75</v>
          </cell>
          <cell r="G213" t="str">
            <v>Perfiladora Dimeco Travesaños</v>
          </cell>
          <cell r="H213" t="str">
            <v>Chaveta do Desbobinador travada</v>
          </cell>
          <cell r="I213" t="str">
            <v>Corretiva</v>
          </cell>
          <cell r="J213" t="str">
            <v>Não</v>
          </cell>
          <cell r="K213" t="str">
            <v>Mecânica</v>
          </cell>
          <cell r="L213" t="str">
            <v>Ajuste / Regulagem</v>
          </cell>
          <cell r="M213" t="str">
            <v>Falha de Regulagem / Configuração / Dimensionamento</v>
          </cell>
          <cell r="N213">
            <v>37817</v>
          </cell>
          <cell r="O213">
            <v>0.75</v>
          </cell>
          <cell r="P213">
            <v>37817</v>
          </cell>
          <cell r="Q213">
            <v>0.75</v>
          </cell>
          <cell r="T213">
            <v>37817</v>
          </cell>
          <cell r="U213">
            <v>0.83333333333333337</v>
          </cell>
          <cell r="V213">
            <v>37817</v>
          </cell>
          <cell r="W213">
            <v>0.83333333333333337</v>
          </cell>
          <cell r="X213">
            <v>8.3333333335758653E-2</v>
          </cell>
          <cell r="Y213">
            <v>8.3333333335758653E-2</v>
          </cell>
          <cell r="AB213">
            <v>7</v>
          </cell>
          <cell r="AC213">
            <v>6</v>
          </cell>
          <cell r="AD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7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</row>
        <row r="214">
          <cell r="C214">
            <v>37795</v>
          </cell>
          <cell r="D214">
            <v>37831</v>
          </cell>
          <cell r="E214">
            <v>37818</v>
          </cell>
          <cell r="F214">
            <v>0.33333333333333331</v>
          </cell>
          <cell r="G214" t="str">
            <v>Perfiladora Dimeco Travesaños</v>
          </cell>
          <cell r="H214" t="str">
            <v>Falha no painel Bimanual</v>
          </cell>
          <cell r="I214" t="str">
            <v>Corretiva</v>
          </cell>
          <cell r="J214" t="str">
            <v>Sim</v>
          </cell>
          <cell r="K214" t="str">
            <v>Elétrica</v>
          </cell>
          <cell r="L214" t="str">
            <v>Substituição do(s) Componente(s)</v>
          </cell>
          <cell r="M214" t="str">
            <v>Causa não especificada</v>
          </cell>
          <cell r="N214">
            <v>37818</v>
          </cell>
          <cell r="O214">
            <v>0.44444444444444442</v>
          </cell>
          <cell r="P214">
            <v>37818</v>
          </cell>
          <cell r="Q214">
            <v>0.44444444444444442</v>
          </cell>
          <cell r="T214">
            <v>37818</v>
          </cell>
          <cell r="U214">
            <v>0.4826388888888889</v>
          </cell>
          <cell r="V214">
            <v>37818</v>
          </cell>
          <cell r="W214">
            <v>0.4826388888888889</v>
          </cell>
          <cell r="X214">
            <v>3.8194444444444475E-2</v>
          </cell>
          <cell r="Y214">
            <v>3.8194444446061349E-2</v>
          </cell>
          <cell r="AB214">
            <v>7</v>
          </cell>
          <cell r="AC214">
            <v>6</v>
          </cell>
          <cell r="AD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7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</row>
        <row r="215">
          <cell r="C215">
            <v>37795</v>
          </cell>
          <cell r="D215">
            <v>37831</v>
          </cell>
          <cell r="E215">
            <v>37818</v>
          </cell>
          <cell r="F215">
            <v>0.63194444444444442</v>
          </cell>
          <cell r="G215" t="str">
            <v>Perfiladora Dimeco Travesaños</v>
          </cell>
          <cell r="H215" t="str">
            <v>Guias do mordente mal fixadas e peça enroscando na ferramenta</v>
          </cell>
          <cell r="I215" t="str">
            <v>Corretiva</v>
          </cell>
          <cell r="J215" t="str">
            <v>Sim</v>
          </cell>
          <cell r="K215" t="str">
            <v>Mecânica</v>
          </cell>
          <cell r="L215" t="str">
            <v>Substituição do(s) Componente(s)</v>
          </cell>
          <cell r="M215" t="str">
            <v>Vibração</v>
          </cell>
          <cell r="N215">
            <v>37818</v>
          </cell>
          <cell r="O215">
            <v>0.63194444444444442</v>
          </cell>
          <cell r="P215">
            <v>37818</v>
          </cell>
          <cell r="Q215">
            <v>0.63194444444444442</v>
          </cell>
          <cell r="T215">
            <v>37818</v>
          </cell>
          <cell r="U215">
            <v>0.75</v>
          </cell>
          <cell r="V215">
            <v>37818</v>
          </cell>
          <cell r="W215">
            <v>0.75</v>
          </cell>
          <cell r="X215">
            <v>0.11805555555555558</v>
          </cell>
          <cell r="Y215">
            <v>0.11805555555555558</v>
          </cell>
          <cell r="AB215">
            <v>7</v>
          </cell>
          <cell r="AC215">
            <v>6</v>
          </cell>
          <cell r="AD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7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</row>
        <row r="216">
          <cell r="C216">
            <v>37795</v>
          </cell>
          <cell r="D216">
            <v>37824</v>
          </cell>
          <cell r="E216">
            <v>37818</v>
          </cell>
          <cell r="F216">
            <v>0.53819444444444442</v>
          </cell>
          <cell r="G216" t="str">
            <v>Perfiladora Dimeco Travesaños</v>
          </cell>
          <cell r="H216" t="str">
            <v>Problema no Motor do Sistema Hidráulico</v>
          </cell>
          <cell r="I216" t="str">
            <v>Corretiva</v>
          </cell>
          <cell r="J216" t="str">
            <v>Não</v>
          </cell>
          <cell r="K216" t="str">
            <v>Elétrica</v>
          </cell>
          <cell r="L216" t="str">
            <v>Rearme do relé térmico</v>
          </cell>
          <cell r="M216" t="str">
            <v>Sobrecarga</v>
          </cell>
          <cell r="N216">
            <v>37824</v>
          </cell>
          <cell r="O216">
            <v>0.54166666666666663</v>
          </cell>
          <cell r="P216">
            <v>37824</v>
          </cell>
          <cell r="Q216">
            <v>0.54166666666666663</v>
          </cell>
          <cell r="T216">
            <v>37824</v>
          </cell>
          <cell r="U216">
            <v>0.54861111111111105</v>
          </cell>
          <cell r="V216">
            <v>37824</v>
          </cell>
          <cell r="W216">
            <v>0.54861111111111105</v>
          </cell>
          <cell r="X216">
            <v>6.9444444444444198E-3</v>
          </cell>
          <cell r="Y216">
            <v>6.944444442827602E-3</v>
          </cell>
          <cell r="AB216">
            <v>7</v>
          </cell>
          <cell r="AC216">
            <v>6</v>
          </cell>
          <cell r="AD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7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</row>
        <row r="217">
          <cell r="C217">
            <v>37798</v>
          </cell>
          <cell r="I217">
            <v>0</v>
          </cell>
          <cell r="N217">
            <v>0</v>
          </cell>
          <cell r="P217">
            <v>0</v>
          </cell>
          <cell r="T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AB217">
            <v>0</v>
          </cell>
          <cell r="AC217">
            <v>6</v>
          </cell>
          <cell r="AD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</row>
        <row r="218">
          <cell r="C218">
            <v>37798</v>
          </cell>
          <cell r="D218">
            <v>37970</v>
          </cell>
          <cell r="E218">
            <v>37797</v>
          </cell>
          <cell r="F218">
            <v>37797</v>
          </cell>
          <cell r="G218">
            <v>0.54166666666666663</v>
          </cell>
          <cell r="H218" t="str">
            <v>Desarme constante do Cortador</v>
          </cell>
          <cell r="I218">
            <v>0</v>
          </cell>
          <cell r="J218" t="str">
            <v>Sim</v>
          </cell>
          <cell r="K218" t="str">
            <v>Mecânica</v>
          </cell>
          <cell r="L218" t="str">
            <v>Sim</v>
          </cell>
          <cell r="M218" t="str">
            <v>Desgaste / Fadiga</v>
          </cell>
          <cell r="N218">
            <v>37797</v>
          </cell>
          <cell r="O218">
            <v>0.58333333333333337</v>
          </cell>
          <cell r="P218">
            <v>37797</v>
          </cell>
          <cell r="Q218">
            <v>0.58333333333333337</v>
          </cell>
          <cell r="T218">
            <v>37797</v>
          </cell>
          <cell r="U218">
            <v>0.625</v>
          </cell>
          <cell r="V218">
            <v>37797</v>
          </cell>
          <cell r="W218">
            <v>0.625</v>
          </cell>
          <cell r="X218">
            <v>4.166666666666663E-2</v>
          </cell>
          <cell r="Y218">
            <v>4.166666666666663E-2</v>
          </cell>
          <cell r="AB218">
            <v>6</v>
          </cell>
          <cell r="AC218">
            <v>6</v>
          </cell>
          <cell r="AD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6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</row>
        <row r="219">
          <cell r="C219">
            <v>37798</v>
          </cell>
          <cell r="D219">
            <v>37803</v>
          </cell>
          <cell r="E219">
            <v>37797</v>
          </cell>
          <cell r="F219">
            <v>0.54166666666666663</v>
          </cell>
          <cell r="G219" t="str">
            <v>Perfiladora Gasparini</v>
          </cell>
          <cell r="H219" t="str">
            <v>Freio do Desbobinador não funciona corretamente</v>
          </cell>
          <cell r="I219" t="str">
            <v>Corretiva</v>
          </cell>
          <cell r="J219" t="str">
            <v>Não</v>
          </cell>
          <cell r="K219" t="str">
            <v>Mecânica</v>
          </cell>
          <cell r="L219" t="str">
            <v>Sistema de Freio OK, mas havia muitos danos no rolo de entrada</v>
          </cell>
          <cell r="M219" t="str">
            <v>Defeito de Fabricação</v>
          </cell>
          <cell r="N219">
            <v>37802</v>
          </cell>
          <cell r="O219">
            <v>0.5</v>
          </cell>
          <cell r="P219">
            <v>37802</v>
          </cell>
          <cell r="Q219">
            <v>0.5</v>
          </cell>
          <cell r="T219">
            <v>37802</v>
          </cell>
          <cell r="U219">
            <v>0.58333333333333337</v>
          </cell>
          <cell r="V219">
            <v>37802</v>
          </cell>
          <cell r="W219">
            <v>0.58333333333333337</v>
          </cell>
          <cell r="X219">
            <v>8.3333333335758653E-2</v>
          </cell>
          <cell r="Y219">
            <v>8.3333333335758653E-2</v>
          </cell>
          <cell r="AB219">
            <v>6</v>
          </cell>
          <cell r="AC219">
            <v>6</v>
          </cell>
          <cell r="AD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6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</row>
        <row r="220">
          <cell r="C220">
            <v>37798</v>
          </cell>
          <cell r="D220">
            <v>37806</v>
          </cell>
          <cell r="E220">
            <v>37797</v>
          </cell>
          <cell r="F220">
            <v>0.54166666666666663</v>
          </cell>
          <cell r="G220" t="str">
            <v>Perfiladora Gasparini</v>
          </cell>
          <cell r="H220" t="str">
            <v>Parafuso do braço do Desbobinador deformado</v>
          </cell>
          <cell r="I220" t="str">
            <v>Corretiva</v>
          </cell>
          <cell r="J220" t="str">
            <v>Não</v>
          </cell>
          <cell r="K220" t="str">
            <v>Mecânica</v>
          </cell>
          <cell r="L220" t="str">
            <v>Substituição do(s) Componente(s)</v>
          </cell>
          <cell r="M220" t="str">
            <v>Defeito de Fabricação</v>
          </cell>
          <cell r="N220">
            <v>37802</v>
          </cell>
          <cell r="O220">
            <v>0.625</v>
          </cell>
          <cell r="P220">
            <v>37802</v>
          </cell>
          <cell r="Q220">
            <v>0.625</v>
          </cell>
          <cell r="T220">
            <v>37802</v>
          </cell>
          <cell r="U220">
            <v>0.6875</v>
          </cell>
          <cell r="V220">
            <v>37802</v>
          </cell>
          <cell r="W220">
            <v>0.6875</v>
          </cell>
          <cell r="X220">
            <v>6.25E-2</v>
          </cell>
          <cell r="Y220">
            <v>6.25E-2</v>
          </cell>
          <cell r="AB220">
            <v>6</v>
          </cell>
          <cell r="AC220">
            <v>6</v>
          </cell>
          <cell r="AD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6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</row>
        <row r="221">
          <cell r="C221">
            <v>37798</v>
          </cell>
          <cell r="D221">
            <v>37873</v>
          </cell>
          <cell r="E221">
            <v>37798</v>
          </cell>
          <cell r="F221">
            <v>0.54166666666666663</v>
          </cell>
          <cell r="G221" t="str">
            <v>Perfiladora Gasparini</v>
          </cell>
          <cell r="H221" t="str">
            <v>Rolo de Alinhamento danificado</v>
          </cell>
          <cell r="I221" t="str">
            <v>Corretiva</v>
          </cell>
          <cell r="J221" t="str">
            <v>Não</v>
          </cell>
          <cell r="K221" t="str">
            <v>Mecânica</v>
          </cell>
          <cell r="L221" t="str">
            <v>Substituição do(s) Componente(s)</v>
          </cell>
          <cell r="M221" t="str">
            <v>Defeito de Fabricação</v>
          </cell>
          <cell r="N221">
            <v>37799</v>
          </cell>
          <cell r="O221">
            <v>0.375</v>
          </cell>
          <cell r="P221">
            <v>37799</v>
          </cell>
          <cell r="Q221">
            <v>0.39583333333333331</v>
          </cell>
          <cell r="R221">
            <v>37822</v>
          </cell>
          <cell r="S221">
            <v>0.625</v>
          </cell>
          <cell r="T221">
            <v>37822</v>
          </cell>
          <cell r="U221">
            <v>0.66666666666666663</v>
          </cell>
          <cell r="V221">
            <v>0</v>
          </cell>
          <cell r="W221">
            <v>6.2499999999999944E-2</v>
          </cell>
          <cell r="X221">
            <v>6.2499999999999944E-2</v>
          </cell>
          <cell r="Y221" t="str">
            <v>Material na Garantia</v>
          </cell>
          <cell r="AB221">
            <v>7</v>
          </cell>
          <cell r="AC221">
            <v>6</v>
          </cell>
          <cell r="AD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7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</row>
        <row r="222">
          <cell r="C222">
            <v>37798</v>
          </cell>
          <cell r="D222">
            <v>37803</v>
          </cell>
          <cell r="E222">
            <v>37798</v>
          </cell>
          <cell r="F222">
            <v>0.70833333333333337</v>
          </cell>
          <cell r="G222" t="str">
            <v>Perfiladora Gasparini</v>
          </cell>
          <cell r="H222" t="str">
            <v>Roscas do Parafuso das Roldanas danificadas (03 peças)</v>
          </cell>
          <cell r="I222" t="str">
            <v>Corretiva</v>
          </cell>
          <cell r="J222" t="str">
            <v>Não</v>
          </cell>
          <cell r="K222" t="str">
            <v>Mecânica</v>
          </cell>
          <cell r="L222" t="str">
            <v>Reparo</v>
          </cell>
          <cell r="M222" t="str">
            <v>Defeito de Fabricação</v>
          </cell>
          <cell r="N222">
            <v>37798</v>
          </cell>
          <cell r="O222">
            <v>0.375</v>
          </cell>
          <cell r="P222">
            <v>37798</v>
          </cell>
          <cell r="Q222">
            <v>0.375</v>
          </cell>
          <cell r="T222">
            <v>37798</v>
          </cell>
          <cell r="U222">
            <v>0.47916666666666669</v>
          </cell>
          <cell r="V222">
            <v>37798</v>
          </cell>
          <cell r="W222">
            <v>0.47916666666666669</v>
          </cell>
          <cell r="X222">
            <v>0.10416666666424135</v>
          </cell>
          <cell r="Y222">
            <v>0.10416666666424135</v>
          </cell>
          <cell r="AB222">
            <v>6</v>
          </cell>
          <cell r="AC222">
            <v>6</v>
          </cell>
          <cell r="AD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6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</row>
        <row r="223">
          <cell r="C223">
            <v>37798</v>
          </cell>
          <cell r="D223">
            <v>37803</v>
          </cell>
          <cell r="E223">
            <v>37798</v>
          </cell>
          <cell r="F223">
            <v>0.58333333333333337</v>
          </cell>
          <cell r="G223" t="str">
            <v>Perfiladora Gasparini</v>
          </cell>
          <cell r="H223" t="str">
            <v>Parafuso do Rolo Guia da Perfiladora está quebrado</v>
          </cell>
          <cell r="I223" t="str">
            <v>Corretiva</v>
          </cell>
          <cell r="J223" t="str">
            <v>Não</v>
          </cell>
          <cell r="K223" t="str">
            <v>Mecânica</v>
          </cell>
          <cell r="L223" t="str">
            <v>Substituição do(s) Componente(s)</v>
          </cell>
          <cell r="M223" t="str">
            <v>Falha de Regulagem / Configuração / Dimensionamento</v>
          </cell>
          <cell r="N223">
            <v>37799</v>
          </cell>
          <cell r="O223">
            <v>0.45833333333333331</v>
          </cell>
          <cell r="P223">
            <v>37799</v>
          </cell>
          <cell r="Q223">
            <v>0.45833333333333331</v>
          </cell>
          <cell r="T223">
            <v>37799</v>
          </cell>
          <cell r="U223">
            <v>0.53125</v>
          </cell>
          <cell r="V223">
            <v>37799</v>
          </cell>
          <cell r="W223">
            <v>0.53125</v>
          </cell>
          <cell r="X223">
            <v>7.2916666666666685E-2</v>
          </cell>
          <cell r="Y223">
            <v>7.2916666666666685E-2</v>
          </cell>
          <cell r="AB223">
            <v>6</v>
          </cell>
          <cell r="AC223">
            <v>6</v>
          </cell>
          <cell r="AD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6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</row>
        <row r="224">
          <cell r="C224">
            <v>37798</v>
          </cell>
          <cell r="I224">
            <v>0</v>
          </cell>
          <cell r="N224">
            <v>0</v>
          </cell>
          <cell r="P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>
            <v>0</v>
          </cell>
          <cell r="AC224">
            <v>6</v>
          </cell>
          <cell r="AD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</row>
        <row r="225">
          <cell r="C225">
            <v>37798</v>
          </cell>
          <cell r="D225">
            <v>37881</v>
          </cell>
          <cell r="E225">
            <v>37810</v>
          </cell>
          <cell r="F225">
            <v>0.33333333333333331</v>
          </cell>
          <cell r="G225" t="str">
            <v>Perfiladora Gasparini</v>
          </cell>
          <cell r="H225" t="str">
            <v>Mesa coletora do perfil danificada</v>
          </cell>
          <cell r="I225" t="str">
            <v>Corretiva</v>
          </cell>
          <cell r="J225" t="str">
            <v>Não</v>
          </cell>
          <cell r="K225" t="str">
            <v>Mecânica</v>
          </cell>
          <cell r="L225" t="str">
            <v>Reparo</v>
          </cell>
          <cell r="M225" t="str">
            <v>Falha Operacional</v>
          </cell>
          <cell r="N225">
            <v>37851</v>
          </cell>
          <cell r="O225">
            <v>0.875</v>
          </cell>
          <cell r="P225">
            <v>37851</v>
          </cell>
          <cell r="Q225">
            <v>0.875</v>
          </cell>
          <cell r="T225">
            <v>37851</v>
          </cell>
          <cell r="U225">
            <v>0.96875</v>
          </cell>
          <cell r="V225">
            <v>37851</v>
          </cell>
          <cell r="W225">
            <v>0.96875</v>
          </cell>
          <cell r="X225">
            <v>9.375E-2</v>
          </cell>
          <cell r="Y225">
            <v>9.375E-2</v>
          </cell>
          <cell r="AB225">
            <v>8</v>
          </cell>
          <cell r="AC225">
            <v>6</v>
          </cell>
          <cell r="AD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8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</row>
        <row r="226">
          <cell r="C226">
            <v>37798</v>
          </cell>
          <cell r="D226">
            <v>37819</v>
          </cell>
          <cell r="E226">
            <v>37810</v>
          </cell>
          <cell r="F226">
            <v>0.33333333333333331</v>
          </cell>
          <cell r="G226" t="str">
            <v>Perfiladora Gasparini</v>
          </cell>
          <cell r="H226" t="str">
            <v>Cabos e calhas que passam por baixo da mesa do coletor estão danificados</v>
          </cell>
          <cell r="I226" t="str">
            <v>Corretiva</v>
          </cell>
          <cell r="J226" t="str">
            <v>Sim</v>
          </cell>
          <cell r="K226" t="str">
            <v>Elétrica</v>
          </cell>
          <cell r="L226" t="str">
            <v>Substituição do(s) Componente(s)</v>
          </cell>
          <cell r="M226" t="str">
            <v>Falha Operacional</v>
          </cell>
          <cell r="N226">
            <v>37810</v>
          </cell>
          <cell r="O226">
            <v>0.34375</v>
          </cell>
          <cell r="P226">
            <v>37810</v>
          </cell>
          <cell r="Q226">
            <v>0.34375</v>
          </cell>
          <cell r="T226">
            <v>37810</v>
          </cell>
          <cell r="U226">
            <v>0.41666666666666669</v>
          </cell>
          <cell r="V226">
            <v>37810</v>
          </cell>
          <cell r="W226">
            <v>0.41666666666666669</v>
          </cell>
          <cell r="X226">
            <v>7.2916666666666685E-2</v>
          </cell>
          <cell r="Y226">
            <v>7.2916666664241347E-2</v>
          </cell>
          <cell r="AB226">
            <v>7</v>
          </cell>
          <cell r="AC226">
            <v>6</v>
          </cell>
          <cell r="AD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7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</row>
        <row r="227">
          <cell r="C227">
            <v>37798</v>
          </cell>
          <cell r="D227">
            <v>37838</v>
          </cell>
          <cell r="E227">
            <v>37834</v>
          </cell>
          <cell r="F227">
            <v>0.625</v>
          </cell>
          <cell r="G227" t="str">
            <v>Perfiladora Fagor Largueros</v>
          </cell>
          <cell r="H227" t="str">
            <v>Guia de chapa está quebrada</v>
          </cell>
          <cell r="I227" t="str">
            <v>Corretiva</v>
          </cell>
          <cell r="J227" t="str">
            <v>Sim</v>
          </cell>
          <cell r="K227" t="str">
            <v>Mecânica</v>
          </cell>
          <cell r="L227" t="str">
            <v>Substituição do(s) Componente(s)</v>
          </cell>
          <cell r="M227" t="str">
            <v>Falha de Comando / Sistema</v>
          </cell>
          <cell r="N227">
            <v>37834</v>
          </cell>
          <cell r="O227">
            <v>0.625</v>
          </cell>
          <cell r="P227">
            <v>37834</v>
          </cell>
          <cell r="Q227">
            <v>0.625</v>
          </cell>
          <cell r="T227">
            <v>37834</v>
          </cell>
          <cell r="U227">
            <v>0.75</v>
          </cell>
          <cell r="V227">
            <v>37834</v>
          </cell>
          <cell r="W227">
            <v>0.75</v>
          </cell>
          <cell r="X227">
            <v>0.125</v>
          </cell>
          <cell r="Y227">
            <v>0.125</v>
          </cell>
          <cell r="AB227">
            <v>8</v>
          </cell>
          <cell r="AC227">
            <v>6</v>
          </cell>
          <cell r="AD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8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</row>
        <row r="228">
          <cell r="C228">
            <v>37798</v>
          </cell>
          <cell r="D228">
            <v>37858</v>
          </cell>
          <cell r="E228">
            <v>37848</v>
          </cell>
          <cell r="F228">
            <v>0.66666666666666663</v>
          </cell>
          <cell r="G228" t="str">
            <v>Perfiladora Fagor Largueros</v>
          </cell>
          <cell r="H228" t="str">
            <v>Parafusos de sustentação da Guia estão quebrados</v>
          </cell>
          <cell r="I228" t="str">
            <v>Corretiva</v>
          </cell>
          <cell r="J228" t="str">
            <v>Não</v>
          </cell>
          <cell r="K228" t="str">
            <v>Mecânica</v>
          </cell>
          <cell r="L228" t="str">
            <v>Substituição do(s) Componente(s)</v>
          </cell>
          <cell r="M228" t="str">
            <v>Falha de Comando / Sistema</v>
          </cell>
          <cell r="N228">
            <v>37848</v>
          </cell>
          <cell r="O228">
            <v>0.66666666666666663</v>
          </cell>
          <cell r="P228">
            <v>37848</v>
          </cell>
          <cell r="Q228">
            <v>0.66666666666666663</v>
          </cell>
          <cell r="T228">
            <v>37848</v>
          </cell>
          <cell r="U228">
            <v>0.69444444444444453</v>
          </cell>
          <cell r="V228">
            <v>37848</v>
          </cell>
          <cell r="W228">
            <v>0.69444444444444453</v>
          </cell>
          <cell r="X228">
            <v>2.7777777778586255E-2</v>
          </cell>
          <cell r="Y228">
            <v>2.7777777778586255E-2</v>
          </cell>
          <cell r="AB228">
            <v>8</v>
          </cell>
          <cell r="AC228">
            <v>6</v>
          </cell>
          <cell r="AD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8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</row>
        <row r="229">
          <cell r="C229">
            <v>37798</v>
          </cell>
          <cell r="D229">
            <v>37858</v>
          </cell>
          <cell r="E229">
            <v>37853</v>
          </cell>
          <cell r="F229">
            <v>0.41666666666666669</v>
          </cell>
          <cell r="G229" t="str">
            <v>Perfiladora Fagor Largueros</v>
          </cell>
          <cell r="H229" t="str">
            <v>Máquina desarmando constantemente</v>
          </cell>
          <cell r="I229" t="str">
            <v>Corretiva</v>
          </cell>
          <cell r="J229" t="str">
            <v>Não</v>
          </cell>
          <cell r="K229" t="str">
            <v>Elétrica</v>
          </cell>
          <cell r="L229" t="str">
            <v>Reinicialização do Equipamento / Componente</v>
          </cell>
          <cell r="M229" t="str">
            <v>Causa não especificada</v>
          </cell>
          <cell r="N229">
            <v>37853</v>
          </cell>
          <cell r="O229">
            <v>0.4236111111111111</v>
          </cell>
          <cell r="P229">
            <v>37853</v>
          </cell>
          <cell r="Q229">
            <v>0.4236111111111111</v>
          </cell>
          <cell r="T229">
            <v>37853</v>
          </cell>
          <cell r="U229">
            <v>0.47916666666666669</v>
          </cell>
          <cell r="V229">
            <v>37853</v>
          </cell>
          <cell r="W229">
            <v>0.47916666666666669</v>
          </cell>
          <cell r="X229">
            <v>5.5555555553130243E-2</v>
          </cell>
          <cell r="Y229">
            <v>5.5555555553130243E-2</v>
          </cell>
          <cell r="AB229">
            <v>8</v>
          </cell>
          <cell r="AC229">
            <v>6</v>
          </cell>
          <cell r="AD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8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</row>
        <row r="230">
          <cell r="C230">
            <v>37798</v>
          </cell>
          <cell r="D230">
            <v>37858</v>
          </cell>
          <cell r="E230">
            <v>37854</v>
          </cell>
          <cell r="F230">
            <v>0.35416666666666669</v>
          </cell>
          <cell r="G230" t="str">
            <v>Perfiladora Fagor Largueros</v>
          </cell>
          <cell r="H230" t="str">
            <v>Parafusos de sustentação da Guia estão quebrados</v>
          </cell>
          <cell r="I230" t="str">
            <v>Corretiva</v>
          </cell>
          <cell r="J230" t="str">
            <v>Sim</v>
          </cell>
          <cell r="K230" t="str">
            <v>Mecânica</v>
          </cell>
          <cell r="L230" t="str">
            <v>Substituição do(s) Componente(s)</v>
          </cell>
          <cell r="M230" t="str">
            <v>Causa não especificada</v>
          </cell>
          <cell r="N230">
            <v>37854</v>
          </cell>
          <cell r="O230">
            <v>0.35416666666666669</v>
          </cell>
          <cell r="P230">
            <v>37854</v>
          </cell>
          <cell r="Q230">
            <v>0.35416666666666669</v>
          </cell>
          <cell r="T230">
            <v>37854</v>
          </cell>
          <cell r="U230">
            <v>0.375</v>
          </cell>
          <cell r="V230">
            <v>37854</v>
          </cell>
          <cell r="W230">
            <v>0.375</v>
          </cell>
          <cell r="X230">
            <v>2.0833333333333315E-2</v>
          </cell>
          <cell r="Y230">
            <v>2.0833333333333315E-2</v>
          </cell>
          <cell r="AB230">
            <v>8</v>
          </cell>
          <cell r="AC230">
            <v>6</v>
          </cell>
          <cell r="AD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8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</row>
        <row r="231">
          <cell r="C231">
            <v>37798</v>
          </cell>
          <cell r="D231">
            <v>37858</v>
          </cell>
          <cell r="E231">
            <v>37854</v>
          </cell>
          <cell r="F231">
            <v>0.57638888888888895</v>
          </cell>
          <cell r="G231" t="str">
            <v>Perfiladora Fagor Largueros</v>
          </cell>
          <cell r="H231" t="str">
            <v>Guias desalinhadas</v>
          </cell>
          <cell r="I231" t="str">
            <v>Corretiva</v>
          </cell>
          <cell r="J231" t="str">
            <v>Não</v>
          </cell>
          <cell r="K231" t="str">
            <v>Mecânica</v>
          </cell>
          <cell r="L231" t="str">
            <v>Regulagem das guias da chapa</v>
          </cell>
          <cell r="M231" t="str">
            <v>Falha de Comando / Sistema</v>
          </cell>
          <cell r="N231">
            <v>37854</v>
          </cell>
          <cell r="O231">
            <v>0.58333333333333337</v>
          </cell>
          <cell r="P231">
            <v>37854</v>
          </cell>
          <cell r="Q231">
            <v>0.58333333333333337</v>
          </cell>
          <cell r="T231">
            <v>37854</v>
          </cell>
          <cell r="U231">
            <v>0.60416666666666663</v>
          </cell>
          <cell r="V231">
            <v>37854</v>
          </cell>
          <cell r="W231">
            <v>0.60416666666666663</v>
          </cell>
          <cell r="X231">
            <v>2.0833333330907977E-2</v>
          </cell>
          <cell r="Y231">
            <v>2.0833333330907977E-2</v>
          </cell>
          <cell r="AB231">
            <v>8</v>
          </cell>
          <cell r="AC231">
            <v>6</v>
          </cell>
          <cell r="AD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8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</row>
        <row r="232">
          <cell r="C232">
            <v>37798</v>
          </cell>
          <cell r="I232">
            <v>0</v>
          </cell>
          <cell r="N232">
            <v>0</v>
          </cell>
          <cell r="P232">
            <v>0</v>
          </cell>
          <cell r="T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AB232">
            <v>0</v>
          </cell>
          <cell r="AC232">
            <v>6</v>
          </cell>
          <cell r="AD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</row>
        <row r="233">
          <cell r="C233">
            <v>37798</v>
          </cell>
          <cell r="D233">
            <v>37867</v>
          </cell>
          <cell r="E233">
            <v>37860</v>
          </cell>
          <cell r="F233">
            <v>0.91666666666666663</v>
          </cell>
          <cell r="G233" t="str">
            <v>Perfiladora Fagor Largueros</v>
          </cell>
          <cell r="H233" t="str">
            <v>Parafuso danificado</v>
          </cell>
          <cell r="I233" t="str">
            <v>Corretiva</v>
          </cell>
          <cell r="J233" t="str">
            <v>Sim</v>
          </cell>
          <cell r="K233" t="str">
            <v>Mecânica</v>
          </cell>
          <cell r="L233" t="str">
            <v>Substituição do(s) Componente(s)</v>
          </cell>
          <cell r="M233" t="str">
            <v>Falha Operacional</v>
          </cell>
          <cell r="N233">
            <v>37860</v>
          </cell>
          <cell r="O233">
            <v>0.91666666666666663</v>
          </cell>
          <cell r="P233">
            <v>37860</v>
          </cell>
          <cell r="Q233">
            <v>0.91666666666666663</v>
          </cell>
          <cell r="T233">
            <v>37860</v>
          </cell>
          <cell r="U233">
            <v>0.95833333333333337</v>
          </cell>
          <cell r="V233">
            <v>37860</v>
          </cell>
          <cell r="W233">
            <v>0.95833333333333337</v>
          </cell>
          <cell r="X233">
            <v>4.1666666666666741E-2</v>
          </cell>
          <cell r="Y233">
            <v>4.1666666669092023E-2</v>
          </cell>
          <cell r="AB233">
            <v>8</v>
          </cell>
          <cell r="AC233">
            <v>6</v>
          </cell>
          <cell r="AD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8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</row>
        <row r="234">
          <cell r="C234">
            <v>37798</v>
          </cell>
          <cell r="D234">
            <v>37900</v>
          </cell>
          <cell r="E234">
            <v>37869</v>
          </cell>
          <cell r="F234">
            <v>0.58333333333333337</v>
          </cell>
          <cell r="G234" t="str">
            <v>Perfiladora Fagor Largueros</v>
          </cell>
          <cell r="H234" t="str">
            <v>Guia da Chapa Quebrada</v>
          </cell>
          <cell r="I234" t="str">
            <v>Corretiva</v>
          </cell>
          <cell r="J234" t="str">
            <v>Sim</v>
          </cell>
          <cell r="K234" t="str">
            <v>Mecânica</v>
          </cell>
          <cell r="L234" t="str">
            <v>Substituição do(s) Componente(s)</v>
          </cell>
          <cell r="M234" t="str">
            <v>Falha de Comando / Sistema</v>
          </cell>
          <cell r="N234">
            <v>37869</v>
          </cell>
          <cell r="O234">
            <v>0.58333333333333337</v>
          </cell>
          <cell r="P234">
            <v>37869</v>
          </cell>
          <cell r="Q234">
            <v>0.61805555555555558</v>
          </cell>
          <cell r="R234">
            <v>37869</v>
          </cell>
          <cell r="S234">
            <v>0.625</v>
          </cell>
          <cell r="T234">
            <v>37869</v>
          </cell>
          <cell r="U234">
            <v>0.66666666666666663</v>
          </cell>
          <cell r="V234">
            <v>0</v>
          </cell>
          <cell r="W234">
            <v>7.638888888888884E-2</v>
          </cell>
          <cell r="X234">
            <v>7.638888888888884E-2</v>
          </cell>
          <cell r="Y234">
            <v>7.638888888888884E-2</v>
          </cell>
          <cell r="AB234">
            <v>9</v>
          </cell>
          <cell r="AC234">
            <v>6</v>
          </cell>
          <cell r="AD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9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</row>
        <row r="235">
          <cell r="C235">
            <v>37798</v>
          </cell>
          <cell r="D235">
            <v>37915</v>
          </cell>
          <cell r="E235">
            <v>37879</v>
          </cell>
          <cell r="F235">
            <v>0.25694444444444448</v>
          </cell>
          <cell r="G235" t="str">
            <v>Perfiladora Fagor Largueros</v>
          </cell>
          <cell r="H235" t="str">
            <v>A perfiladora não dá permissão para o comando do Robô</v>
          </cell>
          <cell r="I235" t="str">
            <v>Corretiva</v>
          </cell>
          <cell r="J235" t="str">
            <v>Não</v>
          </cell>
          <cell r="K235" t="str">
            <v>Elétrica</v>
          </cell>
          <cell r="L235" t="str">
            <v>Substituição do(s) Componente(s)</v>
          </cell>
          <cell r="M235" t="str">
            <v>Falha de Comando / Sistema</v>
          </cell>
          <cell r="N235">
            <v>37882</v>
          </cell>
          <cell r="O235">
            <v>0.25694444444444448</v>
          </cell>
          <cell r="P235">
            <v>37882</v>
          </cell>
          <cell r="Q235">
            <v>0.625</v>
          </cell>
          <cell r="R235">
            <v>37886</v>
          </cell>
          <cell r="S235">
            <v>0.625</v>
          </cell>
          <cell r="T235">
            <v>37886</v>
          </cell>
          <cell r="U235">
            <v>0.625</v>
          </cell>
          <cell r="V235">
            <v>0</v>
          </cell>
          <cell r="W235">
            <v>0.36805555555555552</v>
          </cell>
          <cell r="X235">
            <v>0.36805555555555552</v>
          </cell>
          <cell r="Y235">
            <v>0.36805555555555552</v>
          </cell>
          <cell r="AB235">
            <v>9</v>
          </cell>
          <cell r="AC235">
            <v>6</v>
          </cell>
          <cell r="AD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9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</row>
        <row r="236">
          <cell r="C236">
            <v>37798</v>
          </cell>
          <cell r="D236">
            <v>37868</v>
          </cell>
          <cell r="E236">
            <v>37867</v>
          </cell>
          <cell r="F236">
            <v>0.52083333333333337</v>
          </cell>
          <cell r="G236" t="str">
            <v>Perfiladora Fagor Largueros</v>
          </cell>
          <cell r="H236" t="str">
            <v>Suporte do guia de entrada da chapa está torto</v>
          </cell>
          <cell r="I236" t="str">
            <v>Corretiva</v>
          </cell>
          <cell r="J236" t="str">
            <v>Não</v>
          </cell>
          <cell r="K236" t="str">
            <v>Mecânica</v>
          </cell>
          <cell r="L236" t="str">
            <v>Ajuste / Regulagem</v>
          </cell>
          <cell r="M236" t="str">
            <v>Falha de Comando / Sistema</v>
          </cell>
          <cell r="N236">
            <v>37867</v>
          </cell>
          <cell r="O236">
            <v>0.51388888888888895</v>
          </cell>
          <cell r="P236">
            <v>37867</v>
          </cell>
          <cell r="Q236">
            <v>0.51388888888888895</v>
          </cell>
          <cell r="T236">
            <v>37867</v>
          </cell>
          <cell r="U236">
            <v>0.54166666666666663</v>
          </cell>
          <cell r="V236">
            <v>37867</v>
          </cell>
          <cell r="W236">
            <v>0.54166666666666663</v>
          </cell>
          <cell r="X236">
            <v>2.7777777775352397E-2</v>
          </cell>
          <cell r="Y236">
            <v>2.7777777775352397E-2</v>
          </cell>
          <cell r="AB236">
            <v>9</v>
          </cell>
          <cell r="AC236">
            <v>6</v>
          </cell>
          <cell r="AD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</row>
        <row r="237">
          <cell r="C237">
            <v>37806</v>
          </cell>
          <cell r="D237">
            <v>37819</v>
          </cell>
          <cell r="E237">
            <v>37810</v>
          </cell>
          <cell r="F237">
            <v>0.46736111111111112</v>
          </cell>
          <cell r="G237" t="str">
            <v>Células de Solda Automática</v>
          </cell>
          <cell r="H237" t="str">
            <v>Falha de comunicação com o CLP</v>
          </cell>
          <cell r="I237" t="str">
            <v>Corretiva</v>
          </cell>
          <cell r="J237" t="str">
            <v>Sim</v>
          </cell>
          <cell r="K237" t="str">
            <v>Elétrica</v>
          </cell>
          <cell r="L237" t="str">
            <v>Substituição do(s) Componente(s)</v>
          </cell>
          <cell r="M237" t="str">
            <v>Falha de Comando / Sistema</v>
          </cell>
          <cell r="N237">
            <v>37810</v>
          </cell>
          <cell r="O237">
            <v>0.5</v>
          </cell>
          <cell r="P237">
            <v>37810</v>
          </cell>
          <cell r="Q237">
            <v>0.5</v>
          </cell>
          <cell r="T237">
            <v>37810</v>
          </cell>
          <cell r="U237">
            <v>0.61805555555555558</v>
          </cell>
          <cell r="V237">
            <v>37810</v>
          </cell>
          <cell r="W237">
            <v>0.61805555555555558</v>
          </cell>
          <cell r="X237">
            <v>0.11805555555555558</v>
          </cell>
          <cell r="Y237">
            <v>0.11805555555474712</v>
          </cell>
          <cell r="AB237">
            <v>7</v>
          </cell>
          <cell r="AC237">
            <v>7</v>
          </cell>
          <cell r="AD237">
            <v>0</v>
          </cell>
          <cell r="BF237">
            <v>7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</row>
        <row r="238">
          <cell r="C238">
            <v>37806</v>
          </cell>
          <cell r="D238">
            <v>37858</v>
          </cell>
          <cell r="E238">
            <v>37831</v>
          </cell>
          <cell r="F238">
            <v>0.40972222222222227</v>
          </cell>
          <cell r="G238" t="str">
            <v>Máquina de Solda MIG</v>
          </cell>
          <cell r="H238" t="str">
            <v>Plug incompatível com a tomada da linha da Solda Manual</v>
          </cell>
          <cell r="I238" t="str">
            <v>Corretiva</v>
          </cell>
          <cell r="J238" t="str">
            <v>Sim</v>
          </cell>
          <cell r="K238" t="str">
            <v>Elétrica</v>
          </cell>
          <cell r="L238" t="str">
            <v>Substituição do(s) Componente(s)</v>
          </cell>
          <cell r="M238" t="str">
            <v>Alteração na Localização da Máquina</v>
          </cell>
          <cell r="N238">
            <v>37831</v>
          </cell>
          <cell r="O238">
            <v>0.41666666666666669</v>
          </cell>
          <cell r="P238">
            <v>37831</v>
          </cell>
          <cell r="Q238">
            <v>0.41666666666666669</v>
          </cell>
          <cell r="T238">
            <v>37831</v>
          </cell>
          <cell r="U238">
            <v>0.4236111111111111</v>
          </cell>
          <cell r="V238">
            <v>37831</v>
          </cell>
          <cell r="W238">
            <v>0.4236111111111111</v>
          </cell>
          <cell r="X238">
            <v>6.9444444444444198E-3</v>
          </cell>
          <cell r="Y238">
            <v>6.9444444428275465E-3</v>
          </cell>
          <cell r="AB238">
            <v>7</v>
          </cell>
          <cell r="AC238">
            <v>7</v>
          </cell>
          <cell r="AD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7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</row>
        <row r="239">
          <cell r="C239">
            <v>37806</v>
          </cell>
          <cell r="D239">
            <v>37858</v>
          </cell>
          <cell r="E239">
            <v>37837</v>
          </cell>
          <cell r="F239">
            <v>0.34375</v>
          </cell>
          <cell r="G239" t="str">
            <v>Máquina de Solda MIG</v>
          </cell>
          <cell r="H239" t="str">
            <v>Plug incompatível com a tomada da linha da Solda Manual</v>
          </cell>
          <cell r="I239" t="str">
            <v>Corretiva</v>
          </cell>
          <cell r="J239" t="str">
            <v>Sim</v>
          </cell>
          <cell r="K239" t="str">
            <v>Elétrica</v>
          </cell>
          <cell r="L239" t="str">
            <v>Substituição do(s) Componente(s)</v>
          </cell>
          <cell r="M239" t="str">
            <v>Alteração na Localização da Máquina</v>
          </cell>
          <cell r="N239">
            <v>37837</v>
          </cell>
          <cell r="O239">
            <v>0.34375</v>
          </cell>
          <cell r="P239">
            <v>37837</v>
          </cell>
          <cell r="Q239">
            <v>0.34375</v>
          </cell>
          <cell r="T239">
            <v>37837</v>
          </cell>
          <cell r="U239">
            <v>0.35069444444444442</v>
          </cell>
          <cell r="V239">
            <v>37837</v>
          </cell>
          <cell r="W239">
            <v>0.35069444444444442</v>
          </cell>
          <cell r="X239">
            <v>6.9444444444444198E-3</v>
          </cell>
          <cell r="Y239">
            <v>6.9444444452528842E-3</v>
          </cell>
          <cell r="AB239">
            <v>8</v>
          </cell>
          <cell r="AC239">
            <v>7</v>
          </cell>
          <cell r="AD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8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</row>
        <row r="240">
          <cell r="C240">
            <v>37806</v>
          </cell>
          <cell r="D240">
            <v>37858</v>
          </cell>
          <cell r="E240">
            <v>37840</v>
          </cell>
          <cell r="F240">
            <v>0.33333333333333331</v>
          </cell>
          <cell r="G240" t="str">
            <v>Células de Solda Automática</v>
          </cell>
          <cell r="H240" t="str">
            <v>A fresa de limpeza da tocha não está jogando óleo (anti-respingos)</v>
          </cell>
          <cell r="I240" t="str">
            <v>Corretiva</v>
          </cell>
          <cell r="J240" t="str">
            <v>Não</v>
          </cell>
          <cell r="K240" t="str">
            <v>Mecânica</v>
          </cell>
          <cell r="L240" t="str">
            <v>Limpeza e Regulagem</v>
          </cell>
          <cell r="M240" t="str">
            <v>Sujeira em excesso</v>
          </cell>
          <cell r="N240">
            <v>37840</v>
          </cell>
          <cell r="O240">
            <v>0.33333333333333331</v>
          </cell>
          <cell r="P240">
            <v>37840</v>
          </cell>
          <cell r="Q240">
            <v>0.33333333333333331</v>
          </cell>
          <cell r="T240">
            <v>37840</v>
          </cell>
          <cell r="U240">
            <v>0.4375</v>
          </cell>
          <cell r="V240">
            <v>37840</v>
          </cell>
          <cell r="W240">
            <v>0.4375</v>
          </cell>
          <cell r="X240">
            <v>0.10416666666666669</v>
          </cell>
          <cell r="Y240">
            <v>0.10416666666666669</v>
          </cell>
          <cell r="AB240">
            <v>8</v>
          </cell>
          <cell r="AC240">
            <v>7</v>
          </cell>
          <cell r="AD240">
            <v>0</v>
          </cell>
          <cell r="BF240">
            <v>8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</row>
        <row r="241">
          <cell r="C241">
            <v>37806</v>
          </cell>
          <cell r="D241">
            <v>37900</v>
          </cell>
          <cell r="E241">
            <v>37888</v>
          </cell>
          <cell r="F241">
            <v>0.75</v>
          </cell>
          <cell r="G241" t="str">
            <v>Células de Solda Automática</v>
          </cell>
          <cell r="H241" t="str">
            <v>A fresa de limpeza da tocha não funciona</v>
          </cell>
          <cell r="I241" t="str">
            <v>Corretiva</v>
          </cell>
          <cell r="J241" t="str">
            <v>Sim</v>
          </cell>
          <cell r="K241" t="str">
            <v>Mecânica</v>
          </cell>
          <cell r="L241" t="str">
            <v>Reparo</v>
          </cell>
          <cell r="M241" t="str">
            <v>Sujeira em excesso</v>
          </cell>
          <cell r="N241">
            <v>37888</v>
          </cell>
          <cell r="O241">
            <v>0.75</v>
          </cell>
          <cell r="P241">
            <v>37888</v>
          </cell>
          <cell r="Q241">
            <v>0.75</v>
          </cell>
          <cell r="T241">
            <v>37888</v>
          </cell>
          <cell r="U241">
            <v>0.875</v>
          </cell>
          <cell r="V241">
            <v>37888</v>
          </cell>
          <cell r="W241">
            <v>0.875</v>
          </cell>
          <cell r="X241">
            <v>0.125</v>
          </cell>
          <cell r="Y241">
            <v>0.125</v>
          </cell>
          <cell r="AB241">
            <v>9</v>
          </cell>
          <cell r="AC241">
            <v>7</v>
          </cell>
          <cell r="AD241">
            <v>0</v>
          </cell>
          <cell r="BF241">
            <v>9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</row>
        <row r="242">
          <cell r="C242">
            <v>37806</v>
          </cell>
          <cell r="D242">
            <v>37900</v>
          </cell>
          <cell r="E242">
            <v>37875</v>
          </cell>
          <cell r="F242">
            <v>0.83333333333333337</v>
          </cell>
          <cell r="G242" t="str">
            <v>Células de Solda Automática</v>
          </cell>
          <cell r="H242" t="str">
            <v>Pistôes do Parô quebrados (Robô España)</v>
          </cell>
          <cell r="I242" t="str">
            <v>Corretiva</v>
          </cell>
          <cell r="J242" t="str">
            <v>Sim</v>
          </cell>
          <cell r="K242" t="str">
            <v>Mecânica</v>
          </cell>
          <cell r="L242" t="str">
            <v>Reaperto dos componentes</v>
          </cell>
          <cell r="M242" t="str">
            <v>Vibração</v>
          </cell>
          <cell r="N242">
            <v>37875</v>
          </cell>
          <cell r="O242">
            <v>0.83333333333333337</v>
          </cell>
          <cell r="P242">
            <v>37875</v>
          </cell>
          <cell r="Q242">
            <v>0.83333333333333337</v>
          </cell>
          <cell r="T242">
            <v>37875</v>
          </cell>
          <cell r="U242">
            <v>0.875</v>
          </cell>
          <cell r="V242">
            <v>37875</v>
          </cell>
          <cell r="W242">
            <v>0.875</v>
          </cell>
          <cell r="X242">
            <v>4.166666666666663E-2</v>
          </cell>
          <cell r="Y242">
            <v>4.166666666666663E-2</v>
          </cell>
          <cell r="AB242">
            <v>9</v>
          </cell>
          <cell r="AC242">
            <v>7</v>
          </cell>
          <cell r="AD242">
            <v>0</v>
          </cell>
          <cell r="BF242">
            <v>9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</row>
        <row r="243">
          <cell r="C243">
            <v>37806</v>
          </cell>
          <cell r="D243">
            <v>37918</v>
          </cell>
          <cell r="E243">
            <v>37887</v>
          </cell>
          <cell r="F243">
            <v>0.66666666666666663</v>
          </cell>
          <cell r="G243" t="str">
            <v>Células de Solda Automática</v>
          </cell>
          <cell r="H243" t="str">
            <v>Falha no sinal de partida do robô de manipulação</v>
          </cell>
          <cell r="I243" t="str">
            <v>Corretiva</v>
          </cell>
          <cell r="J243" t="str">
            <v>Sim</v>
          </cell>
          <cell r="K243" t="str">
            <v>Elétrica</v>
          </cell>
          <cell r="L243" t="str">
            <v>Correção de mau contato</v>
          </cell>
          <cell r="M243" t="str">
            <v>Desgaste / Fadiga</v>
          </cell>
          <cell r="N243">
            <v>37887</v>
          </cell>
          <cell r="O243">
            <v>0.75</v>
          </cell>
          <cell r="P243">
            <v>37887</v>
          </cell>
          <cell r="Q243">
            <v>0.75</v>
          </cell>
          <cell r="T243">
            <v>37887</v>
          </cell>
          <cell r="U243">
            <v>0.78819444444444453</v>
          </cell>
          <cell r="V243">
            <v>37887</v>
          </cell>
          <cell r="W243">
            <v>0.78819444444444453</v>
          </cell>
          <cell r="X243">
            <v>3.8194444444444531E-2</v>
          </cell>
          <cell r="Y243">
            <v>3.8194444445252884E-2</v>
          </cell>
          <cell r="AB243">
            <v>9</v>
          </cell>
          <cell r="AC243">
            <v>7</v>
          </cell>
          <cell r="AD243">
            <v>0</v>
          </cell>
          <cell r="BF243">
            <v>9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</row>
        <row r="244">
          <cell r="C244">
            <v>37806</v>
          </cell>
          <cell r="I244">
            <v>0</v>
          </cell>
          <cell r="N244">
            <v>0</v>
          </cell>
          <cell r="P244">
            <v>0</v>
          </cell>
          <cell r="T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AB244">
            <v>0</v>
          </cell>
          <cell r="AC244">
            <v>7</v>
          </cell>
          <cell r="AD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</row>
        <row r="245">
          <cell r="C245">
            <v>37806</v>
          </cell>
          <cell r="D245">
            <v>37900</v>
          </cell>
          <cell r="E245">
            <v>37890</v>
          </cell>
          <cell r="F245">
            <v>0.44444444444444442</v>
          </cell>
          <cell r="G245" t="str">
            <v>Células de Solda Automática</v>
          </cell>
          <cell r="H245" t="str">
            <v>Pistão da mesa de entrada está solto</v>
          </cell>
          <cell r="I245" t="str">
            <v>Corretiva</v>
          </cell>
          <cell r="J245" t="str">
            <v>Sim</v>
          </cell>
          <cell r="K245" t="str">
            <v>Mecânica</v>
          </cell>
          <cell r="L245" t="str">
            <v>Reparo</v>
          </cell>
          <cell r="M245" t="str">
            <v>Falha de Projeto</v>
          </cell>
          <cell r="N245">
            <v>37890</v>
          </cell>
          <cell r="O245">
            <v>0.44444444444444442</v>
          </cell>
          <cell r="P245">
            <v>37890</v>
          </cell>
          <cell r="Q245">
            <v>0.44444444444444442</v>
          </cell>
          <cell r="T245">
            <v>37890</v>
          </cell>
          <cell r="U245">
            <v>0.50694444444444442</v>
          </cell>
          <cell r="V245">
            <v>37890</v>
          </cell>
          <cell r="W245">
            <v>0.50694444444444442</v>
          </cell>
          <cell r="X245">
            <v>6.25E-2</v>
          </cell>
          <cell r="Y245">
            <v>6.2500000000808464E-2</v>
          </cell>
          <cell r="AB245">
            <v>9</v>
          </cell>
          <cell r="AC245">
            <v>7</v>
          </cell>
          <cell r="AD245">
            <v>0</v>
          </cell>
          <cell r="BF245">
            <v>9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</row>
        <row r="246">
          <cell r="C246">
            <v>37806</v>
          </cell>
          <cell r="D246">
            <v>37900</v>
          </cell>
          <cell r="E246">
            <v>37890</v>
          </cell>
          <cell r="F246">
            <v>0.625</v>
          </cell>
          <cell r="G246" t="str">
            <v>Células de Solda Automática</v>
          </cell>
          <cell r="H246" t="str">
            <v>A fresa de limpeza da tocha não funciona</v>
          </cell>
          <cell r="I246" t="str">
            <v>Corretiva</v>
          </cell>
          <cell r="J246" t="str">
            <v>Não</v>
          </cell>
          <cell r="K246" t="str">
            <v>Mecânica</v>
          </cell>
          <cell r="L246" t="str">
            <v>Reparo</v>
          </cell>
          <cell r="M246" t="str">
            <v>Causa não especificada</v>
          </cell>
          <cell r="N246">
            <v>37890</v>
          </cell>
          <cell r="O246">
            <v>0.625</v>
          </cell>
          <cell r="P246">
            <v>37890</v>
          </cell>
          <cell r="Q246">
            <v>0.625</v>
          </cell>
          <cell r="T246">
            <v>37890</v>
          </cell>
          <cell r="U246">
            <v>0.91666666666666663</v>
          </cell>
          <cell r="V246">
            <v>37890</v>
          </cell>
          <cell r="W246">
            <v>0.91666666666666663</v>
          </cell>
          <cell r="X246">
            <v>0.29166666666424135</v>
          </cell>
          <cell r="Y246">
            <v>0.29166666666424135</v>
          </cell>
          <cell r="AB246">
            <v>9</v>
          </cell>
          <cell r="AC246">
            <v>7</v>
          </cell>
          <cell r="AD246">
            <v>0</v>
          </cell>
          <cell r="BF246">
            <v>9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</row>
        <row r="247">
          <cell r="C247">
            <v>37816</v>
          </cell>
          <cell r="D247">
            <v>37858</v>
          </cell>
          <cell r="E247">
            <v>37831</v>
          </cell>
          <cell r="F247">
            <v>0.5</v>
          </cell>
          <cell r="G247" t="str">
            <v>Linha de Pintura 15m</v>
          </cell>
          <cell r="H247" t="str">
            <v>Eixo do Bastidor está torto</v>
          </cell>
          <cell r="I247" t="str">
            <v>Corretiva</v>
          </cell>
          <cell r="J247" t="str">
            <v>Não</v>
          </cell>
          <cell r="K247" t="str">
            <v>Mecânica</v>
          </cell>
          <cell r="L247" t="str">
            <v>Substituição do(s) Componente(s)</v>
          </cell>
          <cell r="M247" t="str">
            <v>Falha Operacional</v>
          </cell>
          <cell r="N247">
            <v>37847</v>
          </cell>
          <cell r="O247">
            <v>0.35416666666666669</v>
          </cell>
          <cell r="P247">
            <v>37847</v>
          </cell>
          <cell r="Q247">
            <v>0.35416666666666669</v>
          </cell>
          <cell r="T247">
            <v>37847</v>
          </cell>
          <cell r="U247">
            <v>0.52083333333333337</v>
          </cell>
          <cell r="V247">
            <v>37847</v>
          </cell>
          <cell r="W247">
            <v>0.52083333333333337</v>
          </cell>
          <cell r="X247">
            <v>0.16666666666909197</v>
          </cell>
          <cell r="Y247">
            <v>0.16666666666909197</v>
          </cell>
          <cell r="AB247">
            <v>8</v>
          </cell>
          <cell r="AC247">
            <v>7</v>
          </cell>
          <cell r="AD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8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</row>
        <row r="248">
          <cell r="C248">
            <v>37816</v>
          </cell>
          <cell r="D248">
            <v>37838</v>
          </cell>
          <cell r="E248">
            <v>37828</v>
          </cell>
          <cell r="F248">
            <v>0.33333333333333331</v>
          </cell>
          <cell r="G248" t="str">
            <v>Linha de Pintura 15m</v>
          </cell>
          <cell r="H248" t="str">
            <v>Válvula de ar do Transportador (Stock 07) apresenta funcionamento irregular</v>
          </cell>
          <cell r="I248" t="str">
            <v>Corretiva</v>
          </cell>
          <cell r="J248" t="str">
            <v>Não</v>
          </cell>
          <cell r="K248" t="str">
            <v>Elétrica</v>
          </cell>
          <cell r="L248" t="str">
            <v>Substituição do(s) Componente(s)</v>
          </cell>
          <cell r="M248" t="str">
            <v>Desgaste / Fadiga</v>
          </cell>
          <cell r="N248">
            <v>37828</v>
          </cell>
          <cell r="O248">
            <v>0.33333333333333331</v>
          </cell>
          <cell r="P248">
            <v>37828</v>
          </cell>
          <cell r="Q248">
            <v>0.33333333333333331</v>
          </cell>
          <cell r="T248">
            <v>37828</v>
          </cell>
          <cell r="U248">
            <v>0.41666666666666669</v>
          </cell>
          <cell r="V248">
            <v>37828</v>
          </cell>
          <cell r="W248">
            <v>0.41666666666666669</v>
          </cell>
          <cell r="X248">
            <v>8.3333333330908033E-2</v>
          </cell>
          <cell r="Y248">
            <v>8.3333333330908033E-2</v>
          </cell>
          <cell r="AB248">
            <v>7</v>
          </cell>
          <cell r="AC248">
            <v>7</v>
          </cell>
          <cell r="AD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7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</row>
        <row r="249">
          <cell r="C249">
            <v>37816</v>
          </cell>
          <cell r="D249">
            <v>37838</v>
          </cell>
          <cell r="E249">
            <v>37837</v>
          </cell>
          <cell r="F249">
            <v>0.57638888888888895</v>
          </cell>
          <cell r="G249" t="str">
            <v>Linha de Pintura 15m</v>
          </cell>
          <cell r="H249" t="str">
            <v>Variador 01 de carga/descarga apresenta funcionamento inadequado</v>
          </cell>
          <cell r="I249" t="str">
            <v>Corretiva</v>
          </cell>
          <cell r="J249" t="str">
            <v>Sim</v>
          </cell>
          <cell r="K249" t="str">
            <v>Elétrica</v>
          </cell>
          <cell r="L249" t="str">
            <v>Substituição do(s) Componente(s)</v>
          </cell>
          <cell r="M249" t="str">
            <v>Desgaste / Fadiga</v>
          </cell>
          <cell r="N249">
            <v>37837</v>
          </cell>
          <cell r="O249">
            <v>0.57638888888888895</v>
          </cell>
          <cell r="P249">
            <v>37837</v>
          </cell>
          <cell r="Q249">
            <v>0.57638888888888895</v>
          </cell>
          <cell r="T249">
            <v>37837</v>
          </cell>
          <cell r="U249">
            <v>0.59027777777777779</v>
          </cell>
          <cell r="V249">
            <v>37837</v>
          </cell>
          <cell r="W249">
            <v>0.59027777777777779</v>
          </cell>
          <cell r="X249">
            <v>1.388888888888884E-2</v>
          </cell>
          <cell r="Y249">
            <v>1.3888888892122586E-2</v>
          </cell>
          <cell r="AB249">
            <v>8</v>
          </cell>
          <cell r="AC249">
            <v>7</v>
          </cell>
          <cell r="AD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8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</row>
        <row r="250">
          <cell r="C250">
            <v>37816</v>
          </cell>
          <cell r="D250">
            <v>37858</v>
          </cell>
          <cell r="E250">
            <v>37840</v>
          </cell>
          <cell r="F250">
            <v>0.35416666666666669</v>
          </cell>
          <cell r="G250" t="str">
            <v>Linha de Pintura 15m</v>
          </cell>
          <cell r="H250" t="str">
            <v>Bomba do Fosfato apresenta constante queda de pressão</v>
          </cell>
          <cell r="I250" t="str">
            <v>Corretiva</v>
          </cell>
          <cell r="J250" t="str">
            <v>Não</v>
          </cell>
          <cell r="K250" t="str">
            <v>Elétrica</v>
          </cell>
          <cell r="L250" t="str">
            <v>Regulagem do Componente</v>
          </cell>
          <cell r="M250" t="str">
            <v>Falha de Regulagem / Configuração / Dimensionamento</v>
          </cell>
          <cell r="N250">
            <v>37842</v>
          </cell>
          <cell r="O250">
            <v>0.625</v>
          </cell>
          <cell r="P250">
            <v>37842</v>
          </cell>
          <cell r="Q250">
            <v>0.625</v>
          </cell>
          <cell r="T250">
            <v>37842</v>
          </cell>
          <cell r="U250">
            <v>0.75</v>
          </cell>
          <cell r="V250">
            <v>37842</v>
          </cell>
          <cell r="W250">
            <v>0.75</v>
          </cell>
          <cell r="X250">
            <v>0.125</v>
          </cell>
          <cell r="Y250">
            <v>0.125</v>
          </cell>
          <cell r="AB250">
            <v>8</v>
          </cell>
          <cell r="AC250">
            <v>7</v>
          </cell>
          <cell r="AD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8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</row>
        <row r="251">
          <cell r="C251">
            <v>37816</v>
          </cell>
          <cell r="I251">
            <v>0</v>
          </cell>
          <cell r="N251">
            <v>0</v>
          </cell>
          <cell r="P251">
            <v>0</v>
          </cell>
          <cell r="T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AB251">
            <v>0</v>
          </cell>
          <cell r="AC251">
            <v>7</v>
          </cell>
          <cell r="AD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</row>
        <row r="252">
          <cell r="C252">
            <v>37816</v>
          </cell>
          <cell r="D252">
            <v>37858</v>
          </cell>
          <cell r="E252">
            <v>37841</v>
          </cell>
          <cell r="F252">
            <v>0.51388888888888895</v>
          </cell>
          <cell r="G252" t="str">
            <v>Linha de Pintura 15m</v>
          </cell>
          <cell r="H252" t="str">
            <v>Exaustão não funciona</v>
          </cell>
          <cell r="I252" t="str">
            <v>Corretiva</v>
          </cell>
          <cell r="J252" t="str">
            <v>Sim</v>
          </cell>
          <cell r="K252" t="str">
            <v>Elétrica</v>
          </cell>
          <cell r="L252" t="str">
            <v>Substituição do(s) Componente(s)</v>
          </cell>
          <cell r="M252" t="str">
            <v>Sobrecarga</v>
          </cell>
          <cell r="N252">
            <v>37841</v>
          </cell>
          <cell r="O252">
            <v>0.51388888888888895</v>
          </cell>
          <cell r="P252">
            <v>37841</v>
          </cell>
          <cell r="Q252">
            <v>0.51388888888888895</v>
          </cell>
          <cell r="T252">
            <v>37841</v>
          </cell>
          <cell r="U252">
            <v>0.52430555555555558</v>
          </cell>
          <cell r="V252">
            <v>37841</v>
          </cell>
          <cell r="W252">
            <v>0.52430555555555558</v>
          </cell>
          <cell r="X252">
            <v>1.041666666666663E-2</v>
          </cell>
          <cell r="Y252">
            <v>1.0416666665858165E-2</v>
          </cell>
          <cell r="AB252">
            <v>8</v>
          </cell>
          <cell r="AC252">
            <v>7</v>
          </cell>
          <cell r="AD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8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</row>
        <row r="253">
          <cell r="C253">
            <v>37816</v>
          </cell>
          <cell r="D253">
            <v>37858</v>
          </cell>
          <cell r="E253">
            <v>37847</v>
          </cell>
          <cell r="F253">
            <v>0.33333333333333331</v>
          </cell>
          <cell r="G253" t="str">
            <v>Linha de Pintura 15m</v>
          </cell>
          <cell r="H253" t="str">
            <v>Mangueiras de Recuperação de pó estão furadas</v>
          </cell>
          <cell r="I253" t="str">
            <v>Corretiva</v>
          </cell>
          <cell r="J253" t="str">
            <v>Não</v>
          </cell>
          <cell r="K253" t="str">
            <v>Mecânica</v>
          </cell>
          <cell r="L253" t="str">
            <v>Substituição do(s) Componente(s)</v>
          </cell>
          <cell r="M253" t="str">
            <v>Defeito de Fabricação</v>
          </cell>
          <cell r="N253">
            <v>37847</v>
          </cell>
          <cell r="O253">
            <v>0.33333333333333331</v>
          </cell>
          <cell r="P253">
            <v>37847</v>
          </cell>
          <cell r="Q253">
            <v>0.33333333333333331</v>
          </cell>
          <cell r="T253">
            <v>37847</v>
          </cell>
          <cell r="U253">
            <v>0.39583333333333331</v>
          </cell>
          <cell r="V253">
            <v>37847</v>
          </cell>
          <cell r="W253">
            <v>0.39583333333333331</v>
          </cell>
          <cell r="X253">
            <v>6.2500000002425338E-2</v>
          </cell>
          <cell r="Y253">
            <v>6.2500000002425338E-2</v>
          </cell>
          <cell r="AB253">
            <v>8</v>
          </cell>
          <cell r="AC253">
            <v>7</v>
          </cell>
          <cell r="AD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8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</row>
        <row r="254">
          <cell r="C254">
            <v>37816</v>
          </cell>
          <cell r="D254">
            <v>37858</v>
          </cell>
          <cell r="E254">
            <v>37848</v>
          </cell>
          <cell r="F254">
            <v>0.33333333333333331</v>
          </cell>
          <cell r="G254" t="str">
            <v>Linha de Pintura 15m</v>
          </cell>
          <cell r="H254" t="str">
            <v>Visor de nível do enxágüe 01 está opaco</v>
          </cell>
          <cell r="I254" t="str">
            <v>Corretiva</v>
          </cell>
          <cell r="J254" t="str">
            <v>Não</v>
          </cell>
          <cell r="K254" t="str">
            <v>Mecânica</v>
          </cell>
          <cell r="L254" t="str">
            <v>Limpeza do Equipamento / Componente</v>
          </cell>
          <cell r="M254" t="str">
            <v>Sujeira em excesso</v>
          </cell>
          <cell r="N254">
            <v>37855</v>
          </cell>
          <cell r="O254">
            <v>0.45833333333333331</v>
          </cell>
          <cell r="P254">
            <v>37855</v>
          </cell>
          <cell r="Q254">
            <v>0.45833333333333331</v>
          </cell>
          <cell r="T254">
            <v>37855</v>
          </cell>
          <cell r="U254">
            <v>0.5</v>
          </cell>
          <cell r="V254">
            <v>37855</v>
          </cell>
          <cell r="W254">
            <v>0.5</v>
          </cell>
          <cell r="X254">
            <v>4.1666666666666685E-2</v>
          </cell>
          <cell r="Y254">
            <v>4.1666666666666685E-2</v>
          </cell>
          <cell r="AB254">
            <v>8</v>
          </cell>
          <cell r="AC254">
            <v>7</v>
          </cell>
          <cell r="AD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8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</row>
        <row r="255">
          <cell r="C255">
            <v>37816</v>
          </cell>
          <cell r="D255">
            <v>37865</v>
          </cell>
          <cell r="E255">
            <v>37848</v>
          </cell>
          <cell r="F255">
            <v>0.33333333333333331</v>
          </cell>
          <cell r="G255" t="str">
            <v>Linha de Pintura 15m</v>
          </cell>
          <cell r="H255" t="str">
            <v>Vazamento de água do abastecedor do enxágüe 02</v>
          </cell>
          <cell r="I255" t="str">
            <v>Corretiva</v>
          </cell>
          <cell r="J255" t="str">
            <v>Não</v>
          </cell>
          <cell r="K255" t="str">
            <v>Mecânica</v>
          </cell>
          <cell r="L255" t="str">
            <v>Contenção do vazamento</v>
          </cell>
          <cell r="M255" t="str">
            <v>Desgaste / Fadiga</v>
          </cell>
          <cell r="N255">
            <v>37861</v>
          </cell>
          <cell r="O255">
            <v>0.58333333333333337</v>
          </cell>
          <cell r="P255">
            <v>37861</v>
          </cell>
          <cell r="Q255">
            <v>0.58333333333333337</v>
          </cell>
          <cell r="T255">
            <v>37861</v>
          </cell>
          <cell r="U255">
            <v>0.625</v>
          </cell>
          <cell r="V255">
            <v>37861</v>
          </cell>
          <cell r="W255">
            <v>0.625</v>
          </cell>
          <cell r="X255">
            <v>4.166666666666663E-2</v>
          </cell>
          <cell r="Y255">
            <v>4.166666666666663E-2</v>
          </cell>
          <cell r="AB255">
            <v>8</v>
          </cell>
          <cell r="AC255">
            <v>7</v>
          </cell>
          <cell r="AD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8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</row>
        <row r="256">
          <cell r="C256">
            <v>37816</v>
          </cell>
          <cell r="D256">
            <v>37858</v>
          </cell>
          <cell r="E256">
            <v>37855</v>
          </cell>
          <cell r="F256">
            <v>0.25</v>
          </cell>
          <cell r="G256" t="str">
            <v>Linha de Pintura 15m</v>
          </cell>
          <cell r="H256" t="str">
            <v>Conector de engate rápido não funciona</v>
          </cell>
          <cell r="I256" t="str">
            <v>Corretiva</v>
          </cell>
          <cell r="J256" t="str">
            <v>Sim</v>
          </cell>
          <cell r="K256" t="str">
            <v>Mecânica</v>
          </cell>
          <cell r="L256" t="str">
            <v>Substituição do(s) Componente(s)</v>
          </cell>
          <cell r="M256" t="str">
            <v>Desgaste / Fadiga</v>
          </cell>
          <cell r="N256">
            <v>37855</v>
          </cell>
          <cell r="O256">
            <v>0.29166666666666669</v>
          </cell>
          <cell r="P256">
            <v>37855</v>
          </cell>
          <cell r="Q256">
            <v>0.29166666666666669</v>
          </cell>
          <cell r="T256">
            <v>37855</v>
          </cell>
          <cell r="U256">
            <v>0.3125</v>
          </cell>
          <cell r="V256">
            <v>37855</v>
          </cell>
          <cell r="W256">
            <v>0.3125</v>
          </cell>
          <cell r="X256">
            <v>2.0833333333333315E-2</v>
          </cell>
          <cell r="Y256">
            <v>2.0833333333333315E-2</v>
          </cell>
          <cell r="AB256">
            <v>8</v>
          </cell>
          <cell r="AC256">
            <v>7</v>
          </cell>
          <cell r="AD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8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</row>
        <row r="257">
          <cell r="C257">
            <v>37816</v>
          </cell>
          <cell r="D257">
            <v>37819</v>
          </cell>
          <cell r="E257">
            <v>37816</v>
          </cell>
          <cell r="F257">
            <v>0.46527777777777773</v>
          </cell>
          <cell r="G257" t="str">
            <v>Prensa Jundiaí</v>
          </cell>
          <cell r="H257" t="str">
            <v>Sensores apresentam leitura incorreta</v>
          </cell>
          <cell r="I257" t="str">
            <v>Corretiva</v>
          </cell>
          <cell r="J257" t="str">
            <v>Sim</v>
          </cell>
          <cell r="K257" t="str">
            <v>Elétrica</v>
          </cell>
          <cell r="L257" t="str">
            <v>Regulagem dos cames dos sensores</v>
          </cell>
          <cell r="M257" t="str">
            <v>Vibração</v>
          </cell>
          <cell r="N257">
            <v>37816</v>
          </cell>
          <cell r="O257">
            <v>0.46527777777777773</v>
          </cell>
          <cell r="P257">
            <v>37816</v>
          </cell>
          <cell r="Q257">
            <v>0.46527777777777773</v>
          </cell>
          <cell r="T257">
            <v>37816</v>
          </cell>
          <cell r="U257">
            <v>0.47916666666666669</v>
          </cell>
          <cell r="V257">
            <v>37816</v>
          </cell>
          <cell r="W257">
            <v>0.47916666666666669</v>
          </cell>
          <cell r="X257">
            <v>1.3888888888888951E-2</v>
          </cell>
          <cell r="Y257">
            <v>1.3888888886463613E-2</v>
          </cell>
          <cell r="AB257">
            <v>7</v>
          </cell>
          <cell r="AC257">
            <v>7</v>
          </cell>
          <cell r="AD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7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</row>
        <row r="258">
          <cell r="C258">
            <v>37816</v>
          </cell>
          <cell r="D258">
            <v>37819</v>
          </cell>
          <cell r="E258">
            <v>37816</v>
          </cell>
          <cell r="F258">
            <v>0.625</v>
          </cell>
          <cell r="G258" t="str">
            <v>Prensa Jundiaí</v>
          </cell>
          <cell r="H258" t="str">
            <v>Máquina travada pelo IHM</v>
          </cell>
          <cell r="I258" t="str">
            <v>Corretiva</v>
          </cell>
          <cell r="J258" t="str">
            <v>Sim</v>
          </cell>
          <cell r="K258" t="str">
            <v>Elétrica</v>
          </cell>
          <cell r="L258" t="str">
            <v>Substituição do(s) Componente(s)</v>
          </cell>
          <cell r="M258" t="str">
            <v>Falha de Comando / Sistema</v>
          </cell>
          <cell r="N258">
            <v>37816</v>
          </cell>
          <cell r="O258">
            <v>0.625</v>
          </cell>
          <cell r="P258">
            <v>37816</v>
          </cell>
          <cell r="Q258">
            <v>0.64583333333333337</v>
          </cell>
          <cell r="R258">
            <v>37816</v>
          </cell>
          <cell r="S258">
            <v>0.75</v>
          </cell>
          <cell r="T258">
            <v>37816</v>
          </cell>
          <cell r="U258">
            <v>0.80208333333333337</v>
          </cell>
          <cell r="V258">
            <v>0</v>
          </cell>
          <cell r="W258">
            <v>7.2916666666666741E-2</v>
          </cell>
          <cell r="X258">
            <v>7.2916666666666741E-2</v>
          </cell>
          <cell r="Y258" t="str">
            <v>Substituição do CLP</v>
          </cell>
          <cell r="AB258">
            <v>7</v>
          </cell>
          <cell r="AC258">
            <v>7</v>
          </cell>
          <cell r="AD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7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</row>
        <row r="259">
          <cell r="C259">
            <v>37816</v>
          </cell>
          <cell r="D259">
            <v>37831</v>
          </cell>
          <cell r="E259">
            <v>37818</v>
          </cell>
          <cell r="F259">
            <v>0.73611111111111116</v>
          </cell>
          <cell r="G259" t="str">
            <v>Guilhotina Sorg</v>
          </cell>
          <cell r="H259" t="str">
            <v>Máquina não referencia</v>
          </cell>
          <cell r="I259" t="str">
            <v>Corretiva</v>
          </cell>
          <cell r="J259" t="str">
            <v>Sim</v>
          </cell>
          <cell r="K259" t="str">
            <v>Elétrica</v>
          </cell>
          <cell r="L259" t="str">
            <v>Reset no inversor e controlador</v>
          </cell>
          <cell r="M259" t="str">
            <v>Falha de Comando / Sistema</v>
          </cell>
          <cell r="N259">
            <v>37818</v>
          </cell>
          <cell r="O259">
            <v>0.73611111111111116</v>
          </cell>
          <cell r="P259">
            <v>37818</v>
          </cell>
          <cell r="Q259">
            <v>0.73611111111111116</v>
          </cell>
          <cell r="T259">
            <v>37818</v>
          </cell>
          <cell r="U259">
            <v>0.74444444444444446</v>
          </cell>
          <cell r="V259">
            <v>37818</v>
          </cell>
          <cell r="W259">
            <v>0.74444444444444446</v>
          </cell>
          <cell r="X259">
            <v>8.3333333333333037E-3</v>
          </cell>
          <cell r="Y259">
            <v>8.3333333297761492E-3</v>
          </cell>
          <cell r="AB259">
            <v>7</v>
          </cell>
          <cell r="AC259">
            <v>7</v>
          </cell>
          <cell r="AD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7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</row>
        <row r="260">
          <cell r="C260">
            <v>37816</v>
          </cell>
          <cell r="D260">
            <v>37831</v>
          </cell>
          <cell r="E260">
            <v>37823</v>
          </cell>
          <cell r="F260">
            <v>0.38541666666666669</v>
          </cell>
          <cell r="G260" t="str">
            <v>Guilhotina Sorg</v>
          </cell>
          <cell r="H260" t="str">
            <v>Esferas da mesa estão baixas</v>
          </cell>
          <cell r="I260" t="str">
            <v>Corretiva</v>
          </cell>
          <cell r="J260" t="str">
            <v>Sim</v>
          </cell>
          <cell r="K260" t="str">
            <v>Mecânica</v>
          </cell>
          <cell r="L260" t="str">
            <v>Ajuste / Regulagem</v>
          </cell>
          <cell r="M260" t="str">
            <v>Desgaste / Fadiga</v>
          </cell>
          <cell r="N260">
            <v>37823</v>
          </cell>
          <cell r="O260">
            <v>0.38541666666666669</v>
          </cell>
          <cell r="P260">
            <v>37823</v>
          </cell>
          <cell r="Q260">
            <v>0.38541666666666669</v>
          </cell>
          <cell r="T260">
            <v>37823</v>
          </cell>
          <cell r="U260">
            <v>0.42708333333333331</v>
          </cell>
          <cell r="V260">
            <v>37823</v>
          </cell>
          <cell r="W260">
            <v>0.42708333333333331</v>
          </cell>
          <cell r="X260">
            <v>4.166666666666663E-2</v>
          </cell>
          <cell r="Y260">
            <v>4.1666666669091967E-2</v>
          </cell>
          <cell r="AB260">
            <v>7</v>
          </cell>
          <cell r="AC260">
            <v>7</v>
          </cell>
          <cell r="AD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7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</row>
        <row r="261">
          <cell r="C261">
            <v>37816</v>
          </cell>
          <cell r="D261">
            <v>37831</v>
          </cell>
          <cell r="E261">
            <v>37820</v>
          </cell>
          <cell r="F261">
            <v>0.41666666666666669</v>
          </cell>
          <cell r="G261" t="str">
            <v>Guilhotina Sorg</v>
          </cell>
          <cell r="H261" t="str">
            <v>Régua desregulada</v>
          </cell>
          <cell r="I261" t="str">
            <v>Corretiva</v>
          </cell>
          <cell r="J261" t="str">
            <v>Não</v>
          </cell>
          <cell r="K261" t="str">
            <v>Mecânica</v>
          </cell>
          <cell r="L261" t="str">
            <v>Regulagem das guias da chapa</v>
          </cell>
          <cell r="M261" t="str">
            <v>Defeito de Fabricação</v>
          </cell>
          <cell r="N261">
            <v>37820</v>
          </cell>
          <cell r="O261">
            <v>0.41666666666666669</v>
          </cell>
          <cell r="P261">
            <v>37820</v>
          </cell>
          <cell r="Q261">
            <v>0.41666666666666669</v>
          </cell>
          <cell r="T261">
            <v>37820</v>
          </cell>
          <cell r="U261">
            <v>0.54166666666666663</v>
          </cell>
          <cell r="V261">
            <v>37820</v>
          </cell>
          <cell r="W261">
            <v>0.54166666666666663</v>
          </cell>
          <cell r="X261">
            <v>0.12499999999757466</v>
          </cell>
          <cell r="Y261">
            <v>0.12499999999757466</v>
          </cell>
          <cell r="AB261">
            <v>7</v>
          </cell>
          <cell r="AC261">
            <v>7</v>
          </cell>
          <cell r="AD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7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</row>
        <row r="262">
          <cell r="C262">
            <v>37816</v>
          </cell>
          <cell r="I262">
            <v>0</v>
          </cell>
          <cell r="N262">
            <v>0</v>
          </cell>
          <cell r="P262">
            <v>0</v>
          </cell>
          <cell r="T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>
            <v>0</v>
          </cell>
          <cell r="AC262">
            <v>7</v>
          </cell>
          <cell r="AD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</row>
        <row r="263">
          <cell r="C263">
            <v>37816</v>
          </cell>
          <cell r="D263">
            <v>37858</v>
          </cell>
          <cell r="E263">
            <v>37839</v>
          </cell>
          <cell r="F263">
            <v>0.54166666666666663</v>
          </cell>
          <cell r="G263" t="str">
            <v>Prensa Jundiaí</v>
          </cell>
          <cell r="H263" t="str">
            <v>Motor com rotação invertida</v>
          </cell>
          <cell r="I263" t="str">
            <v>Corretiva</v>
          </cell>
          <cell r="J263" t="str">
            <v>Sim</v>
          </cell>
          <cell r="K263" t="str">
            <v>Elétrica</v>
          </cell>
          <cell r="L263" t="str">
            <v>Ajuste / Regulagem</v>
          </cell>
          <cell r="M263" t="str">
            <v>Travamento de Componente</v>
          </cell>
          <cell r="N263">
            <v>37839</v>
          </cell>
          <cell r="O263">
            <v>0.54166666666666663</v>
          </cell>
          <cell r="P263">
            <v>37839</v>
          </cell>
          <cell r="Q263">
            <v>0.54166666666666663</v>
          </cell>
          <cell r="T263">
            <v>37839</v>
          </cell>
          <cell r="U263">
            <v>0.55208333333333337</v>
          </cell>
          <cell r="V263">
            <v>37839</v>
          </cell>
          <cell r="W263">
            <v>0.55208333333333337</v>
          </cell>
          <cell r="X263">
            <v>1.0416666666666741E-2</v>
          </cell>
          <cell r="Y263">
            <v>1.0416666669092023E-2</v>
          </cell>
          <cell r="AB263">
            <v>8</v>
          </cell>
          <cell r="AC263">
            <v>7</v>
          </cell>
          <cell r="AD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8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</row>
        <row r="264">
          <cell r="C264">
            <v>37816</v>
          </cell>
          <cell r="D264">
            <v>37858</v>
          </cell>
          <cell r="E264">
            <v>37839</v>
          </cell>
          <cell r="F264">
            <v>0.64583333333333337</v>
          </cell>
          <cell r="G264" t="str">
            <v>Prensa Jundiaí</v>
          </cell>
          <cell r="H264" t="str">
            <v>Chaveta para alteração de curso travada</v>
          </cell>
          <cell r="I264" t="str">
            <v>Corretiva</v>
          </cell>
          <cell r="J264" t="str">
            <v>Sim</v>
          </cell>
          <cell r="K264" t="str">
            <v>Mecânica</v>
          </cell>
          <cell r="L264" t="str">
            <v>Ajuste e lubrificação do Componente</v>
          </cell>
          <cell r="M264" t="str">
            <v>Falta de Lubrificação</v>
          </cell>
          <cell r="N264">
            <v>37839</v>
          </cell>
          <cell r="O264">
            <v>0.64583333333333337</v>
          </cell>
          <cell r="P264">
            <v>37839</v>
          </cell>
          <cell r="Q264">
            <v>0.64583333333333337</v>
          </cell>
          <cell r="T264">
            <v>37839</v>
          </cell>
          <cell r="U264">
            <v>0.75</v>
          </cell>
          <cell r="V264">
            <v>37839</v>
          </cell>
          <cell r="W264">
            <v>0.75</v>
          </cell>
          <cell r="X264">
            <v>0.10416666666666663</v>
          </cell>
          <cell r="Y264">
            <v>0.10416666666666663</v>
          </cell>
          <cell r="AB264">
            <v>8</v>
          </cell>
          <cell r="AC264">
            <v>7</v>
          </cell>
          <cell r="AD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8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</row>
        <row r="265">
          <cell r="C265">
            <v>37816</v>
          </cell>
          <cell r="D265">
            <v>37858</v>
          </cell>
          <cell r="E265">
            <v>37852</v>
          </cell>
          <cell r="F265">
            <v>0.33333333333333331</v>
          </cell>
          <cell r="G265" t="str">
            <v>Guilhotina Sorg</v>
          </cell>
          <cell r="H265" t="str">
            <v>Vazamento de óleo</v>
          </cell>
          <cell r="I265" t="str">
            <v>Corretiva</v>
          </cell>
          <cell r="J265" t="str">
            <v>Sim</v>
          </cell>
          <cell r="K265" t="str">
            <v>Mecânica</v>
          </cell>
          <cell r="L265" t="str">
            <v>Substituição do(s) Componente(s)</v>
          </cell>
          <cell r="M265" t="str">
            <v>Defeito de Fabricação</v>
          </cell>
          <cell r="N265">
            <v>37852</v>
          </cell>
          <cell r="O265">
            <v>0.33333333333333331</v>
          </cell>
          <cell r="P265">
            <v>37852</v>
          </cell>
          <cell r="Q265">
            <v>0.33333333333333331</v>
          </cell>
          <cell r="T265">
            <v>37852</v>
          </cell>
          <cell r="U265">
            <v>0.45833333333333331</v>
          </cell>
          <cell r="V265">
            <v>37852</v>
          </cell>
          <cell r="W265">
            <v>0.45833333333333331</v>
          </cell>
          <cell r="X265">
            <v>0.125</v>
          </cell>
          <cell r="Y265">
            <v>0.12500000000242534</v>
          </cell>
          <cell r="AB265">
            <v>8</v>
          </cell>
          <cell r="AC265">
            <v>7</v>
          </cell>
          <cell r="AD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8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</row>
        <row r="266">
          <cell r="C266">
            <v>37816</v>
          </cell>
          <cell r="D266">
            <v>37865</v>
          </cell>
          <cell r="E266">
            <v>37858</v>
          </cell>
          <cell r="F266">
            <v>0.42708333333333331</v>
          </cell>
          <cell r="G266" t="str">
            <v>Guilhotina Sorg</v>
          </cell>
          <cell r="H266" t="str">
            <v>Referência incorreta</v>
          </cell>
          <cell r="I266" t="str">
            <v>Corretiva</v>
          </cell>
          <cell r="J266" t="str">
            <v>Sim</v>
          </cell>
          <cell r="K266" t="str">
            <v>Mecânica</v>
          </cell>
          <cell r="L266" t="str">
            <v>Nova referência no encoder do motor</v>
          </cell>
          <cell r="M266" t="str">
            <v>Causa não especificada</v>
          </cell>
          <cell r="N266">
            <v>37858</v>
          </cell>
          <cell r="O266">
            <v>0.4375</v>
          </cell>
          <cell r="P266">
            <v>37858</v>
          </cell>
          <cell r="Q266">
            <v>0.4375</v>
          </cell>
          <cell r="T266">
            <v>37858</v>
          </cell>
          <cell r="U266">
            <v>0.44791666666666669</v>
          </cell>
          <cell r="V266">
            <v>37858</v>
          </cell>
          <cell r="W266">
            <v>0.44791666666666669</v>
          </cell>
          <cell r="X266">
            <v>1.0416666666666685E-2</v>
          </cell>
          <cell r="Y266">
            <v>1.0416666664241347E-2</v>
          </cell>
          <cell r="AB266">
            <v>8</v>
          </cell>
          <cell r="AC266">
            <v>7</v>
          </cell>
          <cell r="AD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8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</row>
        <row r="267">
          <cell r="C267">
            <v>37816</v>
          </cell>
          <cell r="D267">
            <v>37831</v>
          </cell>
          <cell r="E267">
            <v>37818</v>
          </cell>
          <cell r="F267">
            <v>0.64583333333333337</v>
          </cell>
          <cell r="G267" t="str">
            <v>Perfiladora Gasparini</v>
          </cell>
          <cell r="H267" t="str">
            <v>Parafuso do Rolo Guia da Perfiladora está quebrado</v>
          </cell>
          <cell r="I267" t="str">
            <v>Corretiva</v>
          </cell>
          <cell r="J267" t="str">
            <v>Não</v>
          </cell>
          <cell r="K267" t="str">
            <v>Mecânica</v>
          </cell>
          <cell r="L267" t="str">
            <v>Substituição do(s) Componente(s)</v>
          </cell>
          <cell r="M267" t="str">
            <v>Defeito de Fabricação</v>
          </cell>
          <cell r="N267">
            <v>37818</v>
          </cell>
          <cell r="O267">
            <v>0.75</v>
          </cell>
          <cell r="P267">
            <v>37818</v>
          </cell>
          <cell r="Q267">
            <v>0.75</v>
          </cell>
          <cell r="T267">
            <v>37819</v>
          </cell>
          <cell r="U267">
            <v>0.39583333333333331</v>
          </cell>
          <cell r="V267">
            <v>37819</v>
          </cell>
          <cell r="W267">
            <v>0.39583333333333331</v>
          </cell>
          <cell r="X267">
            <v>0.64583333333575865</v>
          </cell>
          <cell r="Y267">
            <v>0.64583333333575865</v>
          </cell>
          <cell r="AB267">
            <v>7</v>
          </cell>
          <cell r="AC267">
            <v>7</v>
          </cell>
          <cell r="AD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7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</row>
        <row r="268">
          <cell r="C268">
            <v>37816</v>
          </cell>
          <cell r="I268">
            <v>0</v>
          </cell>
          <cell r="N268">
            <v>0</v>
          </cell>
          <cell r="P268">
            <v>0</v>
          </cell>
          <cell r="T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AB268">
            <v>0</v>
          </cell>
          <cell r="AC268">
            <v>7</v>
          </cell>
          <cell r="AD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</row>
        <row r="269">
          <cell r="C269">
            <v>37816</v>
          </cell>
          <cell r="D269">
            <v>37970</v>
          </cell>
          <cell r="E269">
            <v>37847</v>
          </cell>
          <cell r="F269">
            <v>37847</v>
          </cell>
          <cell r="G269">
            <v>0.375</v>
          </cell>
          <cell r="H269" t="str">
            <v>Alarme de Sondas Térmicas</v>
          </cell>
          <cell r="I269">
            <v>0</v>
          </cell>
          <cell r="J269" t="str">
            <v>Sim</v>
          </cell>
          <cell r="K269" t="str">
            <v>Elétrica</v>
          </cell>
          <cell r="L269" t="str">
            <v>Sim</v>
          </cell>
          <cell r="M269" t="str">
            <v>Desgaste / Fadiga</v>
          </cell>
          <cell r="N269">
            <v>37847</v>
          </cell>
          <cell r="O269">
            <v>0.625</v>
          </cell>
          <cell r="P269">
            <v>37847</v>
          </cell>
          <cell r="Q269">
            <v>0.625</v>
          </cell>
          <cell r="T269">
            <v>37847</v>
          </cell>
          <cell r="U269">
            <v>0.70833333333333337</v>
          </cell>
          <cell r="V269">
            <v>37847</v>
          </cell>
          <cell r="W269">
            <v>0.70833333333333337</v>
          </cell>
          <cell r="X269">
            <v>8.333333333333337E-2</v>
          </cell>
          <cell r="Y269">
            <v>8.3333333335758653E-2</v>
          </cell>
          <cell r="AB269">
            <v>8</v>
          </cell>
          <cell r="AC269">
            <v>7</v>
          </cell>
          <cell r="AD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8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</row>
        <row r="270">
          <cell r="C270">
            <v>37816</v>
          </cell>
          <cell r="D270">
            <v>37858</v>
          </cell>
          <cell r="E270">
            <v>37854</v>
          </cell>
          <cell r="F270">
            <v>0.25</v>
          </cell>
          <cell r="G270" t="str">
            <v>Perfiladora Gasparini</v>
          </cell>
          <cell r="H270" t="str">
            <v>Sensores da Prensa desregulados (Parafusos soltos)</v>
          </cell>
          <cell r="I270" t="str">
            <v>Corretiva</v>
          </cell>
          <cell r="J270" t="str">
            <v>Sim</v>
          </cell>
          <cell r="K270" t="str">
            <v>Elétrica</v>
          </cell>
          <cell r="L270" t="str">
            <v>Melhoria no Sistema de Fixação</v>
          </cell>
          <cell r="M270" t="str">
            <v>Vibração</v>
          </cell>
          <cell r="N270">
            <v>37854</v>
          </cell>
          <cell r="O270">
            <v>0.26041666666666669</v>
          </cell>
          <cell r="P270">
            <v>37854</v>
          </cell>
          <cell r="Q270">
            <v>0.26041666666666669</v>
          </cell>
          <cell r="T270">
            <v>37854</v>
          </cell>
          <cell r="U270">
            <v>0.28125</v>
          </cell>
          <cell r="V270">
            <v>37854</v>
          </cell>
          <cell r="W270">
            <v>0.28125</v>
          </cell>
          <cell r="X270">
            <v>2.0833333333333315E-2</v>
          </cell>
          <cell r="Y270">
            <v>2.0833333333333315E-2</v>
          </cell>
          <cell r="AB270">
            <v>8</v>
          </cell>
          <cell r="AC270">
            <v>7</v>
          </cell>
          <cell r="AD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8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</row>
        <row r="271">
          <cell r="C271">
            <v>37816</v>
          </cell>
          <cell r="D271">
            <v>37865</v>
          </cell>
          <cell r="E271">
            <v>37858</v>
          </cell>
          <cell r="F271">
            <v>0.45833333333333331</v>
          </cell>
          <cell r="G271" t="str">
            <v>Perfiladora Gasparini</v>
          </cell>
          <cell r="H271" t="str">
            <v>Máquina não funciona</v>
          </cell>
          <cell r="I271" t="str">
            <v>Corretiva</v>
          </cell>
          <cell r="J271" t="str">
            <v>Sim</v>
          </cell>
          <cell r="K271" t="str">
            <v>Elétrica</v>
          </cell>
          <cell r="L271" t="str">
            <v>Substituição do(s) Componente(s)</v>
          </cell>
          <cell r="M271" t="str">
            <v>Sobrecarga</v>
          </cell>
          <cell r="N271">
            <v>37858</v>
          </cell>
          <cell r="O271">
            <v>0.46875</v>
          </cell>
          <cell r="P271">
            <v>37858</v>
          </cell>
          <cell r="Q271">
            <v>0.46875</v>
          </cell>
          <cell r="T271">
            <v>37858</v>
          </cell>
          <cell r="U271">
            <v>0.4861111111111111</v>
          </cell>
          <cell r="V271">
            <v>37858</v>
          </cell>
          <cell r="W271">
            <v>0.4861111111111111</v>
          </cell>
          <cell r="X271">
            <v>1.7361111111111105E-2</v>
          </cell>
          <cell r="Y271">
            <v>1.7361111109494232E-2</v>
          </cell>
          <cell r="AB271">
            <v>8</v>
          </cell>
          <cell r="AC271">
            <v>7</v>
          </cell>
          <cell r="AD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8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</row>
        <row r="272">
          <cell r="C272">
            <v>37816</v>
          </cell>
          <cell r="D272">
            <v>37900</v>
          </cell>
          <cell r="E272">
            <v>37880</v>
          </cell>
          <cell r="F272">
            <v>0.45833333333333331</v>
          </cell>
          <cell r="G272" t="str">
            <v>Perfiladora Gasparini</v>
          </cell>
          <cell r="H272" t="str">
            <v>Sensor danificado</v>
          </cell>
          <cell r="I272" t="str">
            <v>Corretiva</v>
          </cell>
          <cell r="J272" t="str">
            <v>Sim</v>
          </cell>
          <cell r="K272" t="str">
            <v>Elétrica</v>
          </cell>
          <cell r="L272" t="str">
            <v>Substituição do(s) Componente(s)</v>
          </cell>
          <cell r="M272" t="str">
            <v>Falha Operacional</v>
          </cell>
          <cell r="N272">
            <v>37880</v>
          </cell>
          <cell r="O272">
            <v>0.45833333333333331</v>
          </cell>
          <cell r="P272">
            <v>37880</v>
          </cell>
          <cell r="Q272">
            <v>0.45833333333333331</v>
          </cell>
          <cell r="T272">
            <v>37880</v>
          </cell>
          <cell r="U272">
            <v>0.47916666666666669</v>
          </cell>
          <cell r="V272">
            <v>37880</v>
          </cell>
          <cell r="W272">
            <v>0.47916666666666669</v>
          </cell>
          <cell r="X272">
            <v>2.083333333333337E-2</v>
          </cell>
          <cell r="Y272">
            <v>2.0833333330908033E-2</v>
          </cell>
          <cell r="AB272">
            <v>9</v>
          </cell>
          <cell r="AC272">
            <v>7</v>
          </cell>
          <cell r="AD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9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</row>
        <row r="273">
          <cell r="C273">
            <v>37816</v>
          </cell>
          <cell r="D273">
            <v>37928</v>
          </cell>
          <cell r="E273">
            <v>37883</v>
          </cell>
          <cell r="F273">
            <v>4.1666666666666664E-2</v>
          </cell>
          <cell r="G273" t="str">
            <v>Perfiladora Gasparini</v>
          </cell>
          <cell r="H273" t="str">
            <v>Vazamento de Óleo na prensa</v>
          </cell>
          <cell r="I273" t="str">
            <v>Corretiva</v>
          </cell>
          <cell r="J273" t="str">
            <v>Não</v>
          </cell>
          <cell r="K273" t="str">
            <v>Mecânica</v>
          </cell>
          <cell r="L273" t="str">
            <v>Contenção do vazamento</v>
          </cell>
          <cell r="M273" t="str">
            <v>Vibração</v>
          </cell>
          <cell r="N273">
            <v>37895</v>
          </cell>
          <cell r="O273">
            <v>0.45833333333333331</v>
          </cell>
          <cell r="P273">
            <v>37895</v>
          </cell>
          <cell r="Q273">
            <v>0.45833333333333331</v>
          </cell>
          <cell r="T273">
            <v>37895</v>
          </cell>
          <cell r="U273">
            <v>0.5</v>
          </cell>
          <cell r="V273">
            <v>37895</v>
          </cell>
          <cell r="W273">
            <v>0.5</v>
          </cell>
          <cell r="X273">
            <v>4.1666666666666685E-2</v>
          </cell>
          <cell r="Y273">
            <v>4.1666666666666685E-2</v>
          </cell>
          <cell r="AB273">
            <v>10</v>
          </cell>
          <cell r="AC273">
            <v>7</v>
          </cell>
          <cell r="AD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10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</row>
        <row r="274">
          <cell r="C274">
            <v>37816</v>
          </cell>
          <cell r="D274">
            <v>37970</v>
          </cell>
          <cell r="E274">
            <v>37931</v>
          </cell>
          <cell r="F274">
            <v>37931</v>
          </cell>
          <cell r="G274">
            <v>0.25</v>
          </cell>
          <cell r="H274" t="str">
            <v>Alarme de Lubrificação</v>
          </cell>
          <cell r="I274">
            <v>0</v>
          </cell>
          <cell r="J274" t="str">
            <v>Sim</v>
          </cell>
          <cell r="K274" t="str">
            <v>Mecânica</v>
          </cell>
          <cell r="L274" t="str">
            <v>Sim</v>
          </cell>
          <cell r="M274" t="str">
            <v>Falta de Lubrificação</v>
          </cell>
          <cell r="N274">
            <v>37931</v>
          </cell>
          <cell r="O274">
            <v>0.33333333333333331</v>
          </cell>
          <cell r="P274">
            <v>37931</v>
          </cell>
          <cell r="Q274">
            <v>0.33333333333333331</v>
          </cell>
          <cell r="T274">
            <v>37931</v>
          </cell>
          <cell r="U274">
            <v>0.41666666666666669</v>
          </cell>
          <cell r="V274">
            <v>37931</v>
          </cell>
          <cell r="W274">
            <v>0.41666666666666669</v>
          </cell>
          <cell r="X274">
            <v>8.333333333333337E-2</v>
          </cell>
          <cell r="Y274">
            <v>8.3333333330908033E-2</v>
          </cell>
          <cell r="AB274">
            <v>11</v>
          </cell>
          <cell r="AC274">
            <v>7</v>
          </cell>
          <cell r="AD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11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</row>
        <row r="275">
          <cell r="C275">
            <v>37816</v>
          </cell>
          <cell r="D275">
            <v>37970</v>
          </cell>
          <cell r="E275">
            <v>37937</v>
          </cell>
          <cell r="F275">
            <v>37937</v>
          </cell>
          <cell r="G275">
            <v>0.41666666666666669</v>
          </cell>
          <cell r="H275" t="str">
            <v>Proteção danificada</v>
          </cell>
          <cell r="I275">
            <v>0</v>
          </cell>
          <cell r="J275" t="str">
            <v>Não</v>
          </cell>
          <cell r="K275" t="str">
            <v>Mecânica</v>
          </cell>
          <cell r="L275" t="str">
            <v>Não</v>
          </cell>
          <cell r="M275" t="str">
            <v>Falha Operacional</v>
          </cell>
          <cell r="N275">
            <v>37937</v>
          </cell>
          <cell r="O275">
            <v>0.55555555555555558</v>
          </cell>
          <cell r="P275">
            <v>37937</v>
          </cell>
          <cell r="Q275">
            <v>0.55555555555555558</v>
          </cell>
          <cell r="T275">
            <v>37937</v>
          </cell>
          <cell r="U275">
            <v>0.64583333333333337</v>
          </cell>
          <cell r="V275">
            <v>37937</v>
          </cell>
          <cell r="W275">
            <v>0.64583333333333337</v>
          </cell>
          <cell r="X275">
            <v>9.0277777780203072E-2</v>
          </cell>
          <cell r="Y275">
            <v>9.0277777780203072E-2</v>
          </cell>
          <cell r="AB275">
            <v>11</v>
          </cell>
          <cell r="AC275">
            <v>7</v>
          </cell>
          <cell r="AD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11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</row>
        <row r="276">
          <cell r="C276">
            <v>37816</v>
          </cell>
          <cell r="D276">
            <v>37970</v>
          </cell>
          <cell r="E276">
            <v>37949</v>
          </cell>
          <cell r="F276">
            <v>37949</v>
          </cell>
          <cell r="G276">
            <v>0.36388888888888887</v>
          </cell>
          <cell r="I276">
            <v>0</v>
          </cell>
          <cell r="J276" t="str">
            <v>Sim</v>
          </cell>
          <cell r="L276" t="str">
            <v>Sim</v>
          </cell>
          <cell r="M276" t="str">
            <v>OS Cancelada</v>
          </cell>
          <cell r="N276">
            <v>0</v>
          </cell>
          <cell r="P276">
            <v>0</v>
          </cell>
          <cell r="T276">
            <v>37970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AB276">
            <v>12</v>
          </cell>
          <cell r="AC276">
            <v>7</v>
          </cell>
          <cell r="AD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12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</row>
        <row r="277">
          <cell r="C277">
            <v>37825</v>
          </cell>
          <cell r="D277">
            <v>37867</v>
          </cell>
          <cell r="E277">
            <v>37862</v>
          </cell>
          <cell r="F277">
            <v>0.41666666666666669</v>
          </cell>
          <cell r="G277" t="str">
            <v>Perfiladora Fagor Montantes</v>
          </cell>
          <cell r="H277" t="str">
            <v>Carro guia da entrada da Perfiladora está se deslocando</v>
          </cell>
          <cell r="I277" t="str">
            <v>Corretiva</v>
          </cell>
          <cell r="J277" t="str">
            <v>Sim</v>
          </cell>
          <cell r="K277" t="str">
            <v>Mecânica</v>
          </cell>
          <cell r="L277" t="str">
            <v>Substituição do(s) Componente(s)</v>
          </cell>
          <cell r="M277" t="str">
            <v>Vibração</v>
          </cell>
          <cell r="N277">
            <v>37862</v>
          </cell>
          <cell r="O277">
            <v>0.41666666666666669</v>
          </cell>
          <cell r="P277">
            <v>37862</v>
          </cell>
          <cell r="Q277">
            <v>0.41666666666666669</v>
          </cell>
          <cell r="T277">
            <v>37862</v>
          </cell>
          <cell r="U277">
            <v>0.45833333333333331</v>
          </cell>
          <cell r="V277">
            <v>37862</v>
          </cell>
          <cell r="W277">
            <v>0.45833333333333331</v>
          </cell>
          <cell r="X277">
            <v>4.166666666666663E-2</v>
          </cell>
          <cell r="Y277">
            <v>4.1666666669091967E-2</v>
          </cell>
          <cell r="AB277">
            <v>8</v>
          </cell>
          <cell r="AC277">
            <v>7</v>
          </cell>
          <cell r="AD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8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</row>
        <row r="278">
          <cell r="C278">
            <v>37825</v>
          </cell>
          <cell r="D278">
            <v>37970</v>
          </cell>
          <cell r="E278">
            <v>37923</v>
          </cell>
          <cell r="F278">
            <v>37923</v>
          </cell>
          <cell r="G278">
            <v>0.61805555555555558</v>
          </cell>
          <cell r="H278" t="str">
            <v>cabo do leitor óptico rompido</v>
          </cell>
          <cell r="I278">
            <v>0</v>
          </cell>
          <cell r="J278" t="str">
            <v>Sim</v>
          </cell>
          <cell r="K278" t="str">
            <v>Elétrica</v>
          </cell>
          <cell r="L278" t="str">
            <v>Sim</v>
          </cell>
          <cell r="M278" t="str">
            <v>Falha Operacional</v>
          </cell>
          <cell r="N278">
            <v>37923</v>
          </cell>
          <cell r="O278">
            <v>0.66666666666666663</v>
          </cell>
          <cell r="P278">
            <v>37923</v>
          </cell>
          <cell r="Q278">
            <v>0.66666666666666663</v>
          </cell>
          <cell r="T278">
            <v>37923</v>
          </cell>
          <cell r="U278">
            <v>0.68402777777777779</v>
          </cell>
          <cell r="V278">
            <v>37923</v>
          </cell>
          <cell r="W278">
            <v>0.68402777777777779</v>
          </cell>
          <cell r="X278">
            <v>1.736111111111116E-2</v>
          </cell>
          <cell r="Y278">
            <v>1.7361111114344907E-2</v>
          </cell>
          <cell r="AB278">
            <v>10</v>
          </cell>
          <cell r="AC278">
            <v>7</v>
          </cell>
          <cell r="AD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10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</row>
        <row r="279">
          <cell r="C279">
            <v>37825</v>
          </cell>
          <cell r="D279">
            <v>37970</v>
          </cell>
          <cell r="E279">
            <v>37953</v>
          </cell>
          <cell r="F279">
            <v>0.41666666666666669</v>
          </cell>
          <cell r="G279" t="str">
            <v>Perfiladora Fagor Montantes</v>
          </cell>
          <cell r="H279" t="str">
            <v>Instalar mangueira e bico de ar no desbobinador</v>
          </cell>
          <cell r="I279">
            <v>0</v>
          </cell>
          <cell r="J279" t="str">
            <v>Não</v>
          </cell>
          <cell r="K279" t="str">
            <v>Mecânica</v>
          </cell>
          <cell r="L279" t="str">
            <v>Montagem / Instalação</v>
          </cell>
          <cell r="M279" t="str">
            <v>Melhoria Técnica</v>
          </cell>
          <cell r="N279">
            <v>37956</v>
          </cell>
          <cell r="O279">
            <v>0.44097222222222227</v>
          </cell>
          <cell r="P279">
            <v>0</v>
          </cell>
          <cell r="T279">
            <v>37956</v>
          </cell>
          <cell r="U279">
            <v>0.46180555555555558</v>
          </cell>
          <cell r="V279">
            <v>0</v>
          </cell>
          <cell r="W279">
            <v>2.083333333252485E-2</v>
          </cell>
          <cell r="X279">
            <v>0</v>
          </cell>
          <cell r="Y279">
            <v>0</v>
          </cell>
          <cell r="AB279">
            <v>12</v>
          </cell>
          <cell r="AC279">
            <v>7</v>
          </cell>
          <cell r="AD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12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</row>
        <row r="280">
          <cell r="C280">
            <v>37825</v>
          </cell>
          <cell r="D280">
            <v>37970</v>
          </cell>
          <cell r="E280">
            <v>37963</v>
          </cell>
          <cell r="F280">
            <v>0.5625</v>
          </cell>
          <cell r="G280" t="str">
            <v>Perfiladora Fagor Montantes</v>
          </cell>
          <cell r="H280" t="str">
            <v>Guia da Cortadora travado</v>
          </cell>
          <cell r="I280">
            <v>0</v>
          </cell>
          <cell r="J280" t="str">
            <v>Sim</v>
          </cell>
          <cell r="K280" t="str">
            <v>Mecânica</v>
          </cell>
          <cell r="L280" t="str">
            <v>Reparo</v>
          </cell>
          <cell r="M280" t="str">
            <v>Falha de Montagem / Preparação</v>
          </cell>
          <cell r="N280">
            <v>37963</v>
          </cell>
          <cell r="O280">
            <v>0.5625</v>
          </cell>
          <cell r="P280">
            <v>0</v>
          </cell>
          <cell r="T280">
            <v>37963</v>
          </cell>
          <cell r="U280">
            <v>0.60416666666666663</v>
          </cell>
          <cell r="V280">
            <v>0</v>
          </cell>
          <cell r="W280">
            <v>4.1666666664241347E-2</v>
          </cell>
          <cell r="X280">
            <v>0</v>
          </cell>
          <cell r="Y280">
            <v>0</v>
          </cell>
          <cell r="AB280">
            <v>12</v>
          </cell>
          <cell r="AC280">
            <v>7</v>
          </cell>
          <cell r="AD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12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</row>
        <row r="281">
          <cell r="C281">
            <v>37825</v>
          </cell>
          <cell r="D281">
            <v>37972</v>
          </cell>
          <cell r="E281">
            <v>37964</v>
          </cell>
          <cell r="F281">
            <v>0.29166666666666669</v>
          </cell>
          <cell r="G281" t="str">
            <v>Perfiladora Fagor Montantes</v>
          </cell>
          <cell r="H281" t="str">
            <v>Parafuso de regulagem da cabeça turca espanado</v>
          </cell>
          <cell r="I281">
            <v>0</v>
          </cell>
          <cell r="J281" t="str">
            <v>Não</v>
          </cell>
          <cell r="K281" t="str">
            <v>Mecânica</v>
          </cell>
          <cell r="L281" t="str">
            <v>Reparo</v>
          </cell>
          <cell r="M281" t="str">
            <v>Desgaste / Fadiga</v>
          </cell>
          <cell r="N281">
            <v>37964</v>
          </cell>
          <cell r="O281">
            <v>0.375</v>
          </cell>
          <cell r="P281">
            <v>0</v>
          </cell>
          <cell r="T281">
            <v>37964</v>
          </cell>
          <cell r="U281">
            <v>0.41666666666666669</v>
          </cell>
          <cell r="V281">
            <v>0</v>
          </cell>
          <cell r="W281">
            <v>4.1666666664241347E-2</v>
          </cell>
          <cell r="X281">
            <v>0</v>
          </cell>
          <cell r="Y281">
            <v>0</v>
          </cell>
          <cell r="AB281">
            <v>12</v>
          </cell>
          <cell r="AC281">
            <v>7</v>
          </cell>
          <cell r="AD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12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</row>
        <row r="282">
          <cell r="C282">
            <v>37825</v>
          </cell>
          <cell r="D282">
            <v>38008</v>
          </cell>
          <cell r="E282">
            <v>37978</v>
          </cell>
          <cell r="F282">
            <v>0.3125</v>
          </cell>
          <cell r="G282" t="str">
            <v>Perfiladora Fagor Montantes</v>
          </cell>
          <cell r="H282" t="str">
            <v>Desbobinador lento quando funciona no lado no. 02</v>
          </cell>
          <cell r="I282">
            <v>0</v>
          </cell>
          <cell r="J282" t="str">
            <v>Não</v>
          </cell>
          <cell r="K282" t="str">
            <v>Mecânica</v>
          </cell>
          <cell r="L282" t="str">
            <v>Regulagem do Componente</v>
          </cell>
          <cell r="M282" t="str">
            <v>Falha de Ajuste / Parâmetros</v>
          </cell>
          <cell r="N282">
            <v>0</v>
          </cell>
          <cell r="O282">
            <v>0.35416666666666669</v>
          </cell>
          <cell r="P282">
            <v>0</v>
          </cell>
          <cell r="T282">
            <v>0</v>
          </cell>
          <cell r="U282">
            <v>0.375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AB282">
            <v>0</v>
          </cell>
          <cell r="AC282">
            <v>7</v>
          </cell>
          <cell r="AD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</row>
        <row r="283">
          <cell r="C283">
            <v>37825</v>
          </cell>
          <cell r="I283">
            <v>0</v>
          </cell>
          <cell r="N283">
            <v>0</v>
          </cell>
          <cell r="P283">
            <v>0</v>
          </cell>
          <cell r="T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AB283">
            <v>0</v>
          </cell>
          <cell r="AC283">
            <v>7</v>
          </cell>
          <cell r="AD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</row>
        <row r="284">
          <cell r="C284">
            <v>37825</v>
          </cell>
          <cell r="I284">
            <v>0</v>
          </cell>
          <cell r="N284">
            <v>0</v>
          </cell>
          <cell r="P284">
            <v>0</v>
          </cell>
          <cell r="T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AB284">
            <v>0</v>
          </cell>
          <cell r="AC284">
            <v>7</v>
          </cell>
          <cell r="AD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</row>
        <row r="285">
          <cell r="C285">
            <v>37825</v>
          </cell>
          <cell r="I285">
            <v>0</v>
          </cell>
          <cell r="N285">
            <v>0</v>
          </cell>
          <cell r="P285">
            <v>0</v>
          </cell>
          <cell r="T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AB285">
            <v>0</v>
          </cell>
          <cell r="AC285">
            <v>7</v>
          </cell>
          <cell r="AD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</row>
        <row r="286">
          <cell r="C286">
            <v>37825</v>
          </cell>
          <cell r="I286">
            <v>0</v>
          </cell>
          <cell r="N286">
            <v>0</v>
          </cell>
          <cell r="P286">
            <v>0</v>
          </cell>
          <cell r="T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AB286">
            <v>0</v>
          </cell>
          <cell r="AC286">
            <v>7</v>
          </cell>
          <cell r="AD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</row>
        <row r="287">
          <cell r="C287">
            <v>37825</v>
          </cell>
          <cell r="I287">
            <v>0</v>
          </cell>
          <cell r="N287">
            <v>0</v>
          </cell>
          <cell r="P287">
            <v>0</v>
          </cell>
          <cell r="T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AB287">
            <v>0</v>
          </cell>
          <cell r="AC287">
            <v>7</v>
          </cell>
          <cell r="AD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</row>
        <row r="288">
          <cell r="C288">
            <v>37825</v>
          </cell>
          <cell r="D288">
            <v>37918</v>
          </cell>
          <cell r="E288">
            <v>37888</v>
          </cell>
          <cell r="F288">
            <v>0.35416666666666669</v>
          </cell>
          <cell r="G288" t="str">
            <v>Perfiladora Fagor Montantes</v>
          </cell>
          <cell r="H288" t="str">
            <v>Botão de acionamento da linha não funciona</v>
          </cell>
          <cell r="I288" t="str">
            <v>Corretiva</v>
          </cell>
          <cell r="J288" t="str">
            <v>Não</v>
          </cell>
          <cell r="K288" t="str">
            <v>Elétrica</v>
          </cell>
          <cell r="L288" t="str">
            <v>Substituição do(s) Componente(s)</v>
          </cell>
          <cell r="M288" t="str">
            <v>Falha Operacional</v>
          </cell>
          <cell r="N288">
            <v>37888</v>
          </cell>
          <cell r="O288">
            <v>0.39583333333333331</v>
          </cell>
          <cell r="P288">
            <v>37888</v>
          </cell>
          <cell r="Q288">
            <v>0.39583333333333331</v>
          </cell>
          <cell r="T288">
            <v>37888</v>
          </cell>
          <cell r="U288">
            <v>0.40277777777777773</v>
          </cell>
          <cell r="V288">
            <v>37888</v>
          </cell>
          <cell r="W288">
            <v>0.40277777777777773</v>
          </cell>
          <cell r="X288">
            <v>6.9444444476782219E-3</v>
          </cell>
          <cell r="Y288">
            <v>6.9444444476782219E-3</v>
          </cell>
          <cell r="AB288">
            <v>9</v>
          </cell>
          <cell r="AC288">
            <v>7</v>
          </cell>
          <cell r="AD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9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</row>
        <row r="289">
          <cell r="C289">
            <v>37825</v>
          </cell>
          <cell r="D289">
            <v>37902</v>
          </cell>
          <cell r="E289">
            <v>179</v>
          </cell>
          <cell r="F289">
            <v>0.5</v>
          </cell>
          <cell r="G289" t="str">
            <v>Perfiladora Fagor Montantes</v>
          </cell>
          <cell r="H289" t="str">
            <v>Necessidade de melhoria quanto à fixação do Encoder</v>
          </cell>
          <cell r="I289" t="str">
            <v>Melhoria</v>
          </cell>
          <cell r="J289" t="str">
            <v>Não</v>
          </cell>
          <cell r="K289" t="str">
            <v>Mecânica</v>
          </cell>
          <cell r="L289" t="str">
            <v>Alteração no sistema de fixação</v>
          </cell>
          <cell r="M289" t="str">
            <v>Melhoria Técnica</v>
          </cell>
          <cell r="N289">
            <v>37889</v>
          </cell>
          <cell r="O289">
            <v>0.54166666666666663</v>
          </cell>
          <cell r="P289">
            <v>37889</v>
          </cell>
          <cell r="Q289">
            <v>0.625</v>
          </cell>
          <cell r="R289">
            <v>37896</v>
          </cell>
          <cell r="S289">
            <v>0.33333333333333331</v>
          </cell>
          <cell r="T289">
            <v>37896</v>
          </cell>
          <cell r="U289">
            <v>0.47916666666666669</v>
          </cell>
          <cell r="V289">
            <v>0</v>
          </cell>
          <cell r="W289">
            <v>0.22916666666666674</v>
          </cell>
          <cell r="X289">
            <v>0.22916666666666674</v>
          </cell>
          <cell r="Y289">
            <v>0.22916666666666674</v>
          </cell>
          <cell r="AB289">
            <v>10</v>
          </cell>
          <cell r="AC289">
            <v>7</v>
          </cell>
          <cell r="AD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10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</row>
        <row r="290">
          <cell r="C290">
            <v>37825</v>
          </cell>
          <cell r="D290">
            <v>37868</v>
          </cell>
          <cell r="E290">
            <v>37868</v>
          </cell>
          <cell r="F290">
            <v>0.3125</v>
          </cell>
          <cell r="G290" t="str">
            <v>Perfiladora Fagor Montantes</v>
          </cell>
          <cell r="H290" t="str">
            <v>Eixo guia do perfil travado</v>
          </cell>
          <cell r="I290" t="str">
            <v>Corretiva</v>
          </cell>
          <cell r="J290" t="str">
            <v>Sim</v>
          </cell>
          <cell r="K290" t="str">
            <v>Mecânica</v>
          </cell>
          <cell r="L290" t="str">
            <v>Ajuste / Regulagem</v>
          </cell>
          <cell r="M290" t="str">
            <v>Causa não especificada</v>
          </cell>
          <cell r="N290">
            <v>37868</v>
          </cell>
          <cell r="O290">
            <v>0.3125</v>
          </cell>
          <cell r="P290">
            <v>37868</v>
          </cell>
          <cell r="Q290">
            <v>0.3125</v>
          </cell>
          <cell r="T290">
            <v>37868</v>
          </cell>
          <cell r="U290">
            <v>0.33333333333333331</v>
          </cell>
          <cell r="V290">
            <v>37868</v>
          </cell>
          <cell r="W290">
            <v>0.33333333333333331</v>
          </cell>
          <cell r="X290">
            <v>2.0833333333333315E-2</v>
          </cell>
          <cell r="Y290">
            <v>2.0833333335758653E-2</v>
          </cell>
          <cell r="AB290">
            <v>9</v>
          </cell>
          <cell r="AC290">
            <v>7</v>
          </cell>
          <cell r="AD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9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</row>
        <row r="291">
          <cell r="C291">
            <v>37825</v>
          </cell>
          <cell r="D291">
            <v>37900</v>
          </cell>
          <cell r="E291">
            <v>37882</v>
          </cell>
          <cell r="F291">
            <v>0.60416666666666663</v>
          </cell>
          <cell r="G291" t="str">
            <v>Perfiladora Fagor Montantes</v>
          </cell>
          <cell r="H291" t="str">
            <v>Acoplamento do Redutor está solto</v>
          </cell>
          <cell r="I291" t="str">
            <v>Corretiva</v>
          </cell>
          <cell r="J291" t="str">
            <v>Não</v>
          </cell>
          <cell r="K291" t="str">
            <v>Mecânica</v>
          </cell>
          <cell r="L291" t="str">
            <v>Reparo</v>
          </cell>
          <cell r="M291" t="str">
            <v>Vibração</v>
          </cell>
          <cell r="N291">
            <v>37883</v>
          </cell>
          <cell r="O291">
            <v>0.25</v>
          </cell>
          <cell r="P291">
            <v>37883</v>
          </cell>
          <cell r="Q291">
            <v>0.25</v>
          </cell>
          <cell r="T291">
            <v>37883</v>
          </cell>
          <cell r="U291">
            <v>0.3125</v>
          </cell>
          <cell r="V291">
            <v>37883</v>
          </cell>
          <cell r="W291">
            <v>0.3125</v>
          </cell>
          <cell r="X291">
            <v>6.25E-2</v>
          </cell>
          <cell r="Y291">
            <v>6.25E-2</v>
          </cell>
          <cell r="AB291">
            <v>9</v>
          </cell>
          <cell r="AC291">
            <v>7</v>
          </cell>
          <cell r="AD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9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</row>
        <row r="292">
          <cell r="C292">
            <v>37825</v>
          </cell>
          <cell r="D292">
            <v>37918</v>
          </cell>
          <cell r="E292">
            <v>37890</v>
          </cell>
          <cell r="F292">
            <v>0.5625</v>
          </cell>
          <cell r="G292" t="str">
            <v>Perfiladora Fagor Montantes</v>
          </cell>
          <cell r="H292" t="str">
            <v>Sensor de saída da prensa (na valeta) não funciona</v>
          </cell>
          <cell r="I292" t="str">
            <v>Corretiva</v>
          </cell>
          <cell r="J292" t="str">
            <v>Sim</v>
          </cell>
          <cell r="K292" t="str">
            <v>Elétrica</v>
          </cell>
          <cell r="L292" t="str">
            <v>Regulagem do Componente</v>
          </cell>
          <cell r="M292" t="str">
            <v>Vibração</v>
          </cell>
          <cell r="N292">
            <v>37890</v>
          </cell>
          <cell r="O292">
            <v>0.59722222222222221</v>
          </cell>
          <cell r="P292">
            <v>37890</v>
          </cell>
          <cell r="Q292">
            <v>0.59722222222222221</v>
          </cell>
          <cell r="T292">
            <v>37890</v>
          </cell>
          <cell r="U292">
            <v>0.60416666666666663</v>
          </cell>
          <cell r="V292">
            <v>37890</v>
          </cell>
          <cell r="W292">
            <v>0.60416666666666663</v>
          </cell>
          <cell r="X292">
            <v>6.9444444444444198E-3</v>
          </cell>
          <cell r="Y292">
            <v>6.9444444420191376E-3</v>
          </cell>
          <cell r="AB292">
            <v>9</v>
          </cell>
          <cell r="AC292">
            <v>7</v>
          </cell>
          <cell r="AD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9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</row>
        <row r="293">
          <cell r="C293">
            <v>37825</v>
          </cell>
          <cell r="D293">
            <v>37900</v>
          </cell>
          <cell r="E293">
            <v>37894</v>
          </cell>
          <cell r="F293">
            <v>0.29166666666666669</v>
          </cell>
          <cell r="G293" t="str">
            <v>Perfiladora Fagor Montantes</v>
          </cell>
          <cell r="H293" t="str">
            <v>Porcelana de Solda quebrada</v>
          </cell>
          <cell r="I293" t="str">
            <v>Corretiva</v>
          </cell>
          <cell r="J293" t="str">
            <v>Não</v>
          </cell>
          <cell r="K293" t="str">
            <v>Mecânica</v>
          </cell>
          <cell r="L293" t="str">
            <v>Substituição do(s) Componente(s)</v>
          </cell>
          <cell r="M293" t="str">
            <v>Desgaste / Fadiga</v>
          </cell>
          <cell r="N293">
            <v>37894</v>
          </cell>
          <cell r="O293">
            <v>0.29166666666666669</v>
          </cell>
          <cell r="P293">
            <v>37894</v>
          </cell>
          <cell r="Q293">
            <v>0.29166666666666669</v>
          </cell>
          <cell r="T293">
            <v>37894</v>
          </cell>
          <cell r="U293">
            <v>0.30208333333333331</v>
          </cell>
          <cell r="V293">
            <v>37894</v>
          </cell>
          <cell r="W293">
            <v>0.30208333333333331</v>
          </cell>
          <cell r="X293">
            <v>1.0416666669091967E-2</v>
          </cell>
          <cell r="Y293">
            <v>1.0416666669091967E-2</v>
          </cell>
          <cell r="AB293">
            <v>9</v>
          </cell>
          <cell r="AC293">
            <v>7</v>
          </cell>
          <cell r="AD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9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</row>
        <row r="294">
          <cell r="C294">
            <v>37825</v>
          </cell>
          <cell r="I294">
            <v>0</v>
          </cell>
          <cell r="N294">
            <v>0</v>
          </cell>
          <cell r="P294">
            <v>0</v>
          </cell>
          <cell r="T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AB294">
            <v>0</v>
          </cell>
          <cell r="AC294">
            <v>7</v>
          </cell>
          <cell r="AD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</row>
        <row r="295">
          <cell r="C295">
            <v>37825</v>
          </cell>
          <cell r="D295">
            <v>37902</v>
          </cell>
          <cell r="E295">
            <v>37896</v>
          </cell>
          <cell r="F295">
            <v>0.33333333333333331</v>
          </cell>
          <cell r="G295" t="str">
            <v>Perfiladora Fagor Montantes</v>
          </cell>
          <cell r="H295" t="str">
            <v>Acoplamento do Redutor está solto</v>
          </cell>
          <cell r="I295" t="str">
            <v>Corretiva</v>
          </cell>
          <cell r="J295" t="str">
            <v>Sim</v>
          </cell>
          <cell r="K295" t="str">
            <v>Mecânica</v>
          </cell>
          <cell r="L295" t="str">
            <v>Reparo</v>
          </cell>
          <cell r="M295" t="str">
            <v>Vibração</v>
          </cell>
          <cell r="N295">
            <v>37896</v>
          </cell>
          <cell r="O295">
            <v>0.47916666666666669</v>
          </cell>
          <cell r="P295">
            <v>37896</v>
          </cell>
          <cell r="Q295">
            <v>0.47916666666666669</v>
          </cell>
          <cell r="T295">
            <v>37896</v>
          </cell>
          <cell r="U295">
            <v>0.54166666666666663</v>
          </cell>
          <cell r="V295">
            <v>37896</v>
          </cell>
          <cell r="W295">
            <v>0.54166666666666663</v>
          </cell>
          <cell r="X295">
            <v>6.2499999999999944E-2</v>
          </cell>
          <cell r="Y295">
            <v>6.2499999997574662E-2</v>
          </cell>
          <cell r="AB295">
            <v>10</v>
          </cell>
          <cell r="AC295">
            <v>7</v>
          </cell>
          <cell r="AD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10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</row>
        <row r="296">
          <cell r="C296">
            <v>37825</v>
          </cell>
          <cell r="D296">
            <v>37902</v>
          </cell>
          <cell r="E296">
            <v>37895</v>
          </cell>
          <cell r="F296">
            <v>0.38194444444444442</v>
          </cell>
          <cell r="G296" t="str">
            <v>Perfiladora Fagor Montantes</v>
          </cell>
          <cell r="H296" t="str">
            <v>Eixo regulador de altura travado</v>
          </cell>
          <cell r="I296" t="str">
            <v>Corretiva</v>
          </cell>
          <cell r="J296" t="str">
            <v>Sim</v>
          </cell>
          <cell r="K296" t="str">
            <v>Mecânica</v>
          </cell>
          <cell r="L296" t="str">
            <v>Reparo</v>
          </cell>
          <cell r="M296" t="str">
            <v>Desgaste / Fadiga</v>
          </cell>
          <cell r="N296">
            <v>37895</v>
          </cell>
          <cell r="O296">
            <v>0.39583333333333331</v>
          </cell>
          <cell r="P296">
            <v>37895</v>
          </cell>
          <cell r="Q296">
            <v>0.39583333333333331</v>
          </cell>
          <cell r="T296">
            <v>37895</v>
          </cell>
          <cell r="U296">
            <v>0.45833333333333331</v>
          </cell>
          <cell r="V296">
            <v>37895</v>
          </cell>
          <cell r="W296">
            <v>0.45833333333333331</v>
          </cell>
          <cell r="X296">
            <v>6.25E-2</v>
          </cell>
          <cell r="Y296">
            <v>6.2500000002425338E-2</v>
          </cell>
          <cell r="AB296">
            <v>10</v>
          </cell>
          <cell r="AC296">
            <v>7</v>
          </cell>
          <cell r="AD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10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</row>
        <row r="297">
          <cell r="C297">
            <v>37826</v>
          </cell>
          <cell r="D297">
            <v>37831</v>
          </cell>
          <cell r="E297">
            <v>37825</v>
          </cell>
          <cell r="F297">
            <v>0.70833333333333337</v>
          </cell>
          <cell r="G297" t="str">
            <v>Células de Solda Automática</v>
          </cell>
          <cell r="H297" t="str">
            <v>Engate rápido de ar da mesa quebrado</v>
          </cell>
          <cell r="I297" t="str">
            <v>Corretiva</v>
          </cell>
          <cell r="J297" t="str">
            <v>Sim</v>
          </cell>
          <cell r="K297" t="str">
            <v>Mecânica</v>
          </cell>
          <cell r="L297" t="str">
            <v>Substituição do(s) Componente(s)</v>
          </cell>
          <cell r="M297" t="str">
            <v>Falha de Projeto</v>
          </cell>
          <cell r="N297">
            <v>37825</v>
          </cell>
          <cell r="O297">
            <v>0.70833333333333337</v>
          </cell>
          <cell r="P297">
            <v>37825</v>
          </cell>
          <cell r="Q297">
            <v>0.70833333333333337</v>
          </cell>
          <cell r="T297">
            <v>37825</v>
          </cell>
          <cell r="U297">
            <v>0.73611111111111116</v>
          </cell>
          <cell r="V297">
            <v>37825</v>
          </cell>
          <cell r="W297">
            <v>0.73611111111111116</v>
          </cell>
          <cell r="X297">
            <v>2.777777777777779E-2</v>
          </cell>
          <cell r="Y297">
            <v>2.7777777776160861E-2</v>
          </cell>
          <cell r="AB297">
            <v>7</v>
          </cell>
          <cell r="AC297">
            <v>7</v>
          </cell>
          <cell r="AD297">
            <v>0</v>
          </cell>
          <cell r="BF297">
            <v>7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</row>
        <row r="298">
          <cell r="C298">
            <v>37826</v>
          </cell>
          <cell r="D298">
            <v>37838</v>
          </cell>
          <cell r="E298">
            <v>37833</v>
          </cell>
          <cell r="F298">
            <v>0.4548611111111111</v>
          </cell>
          <cell r="G298" t="str">
            <v>Células de Solda Automática</v>
          </cell>
          <cell r="H298" t="str">
            <v>Vazamento de ar (mangueira furada) interferindo na qualidade da solda (poros)</v>
          </cell>
          <cell r="I298" t="str">
            <v>Corretiva</v>
          </cell>
          <cell r="J298" t="str">
            <v>Sim</v>
          </cell>
          <cell r="K298" t="str">
            <v>Mecânica</v>
          </cell>
          <cell r="L298" t="str">
            <v>Problema encaminhado para o Fabricante</v>
          </cell>
          <cell r="M298" t="str">
            <v>Falha de Projeto</v>
          </cell>
          <cell r="N298">
            <v>37833</v>
          </cell>
          <cell r="O298">
            <v>0.54166666666666663</v>
          </cell>
          <cell r="P298">
            <v>37833</v>
          </cell>
          <cell r="Q298">
            <v>0.54166666666666663</v>
          </cell>
          <cell r="T298">
            <v>37833</v>
          </cell>
          <cell r="U298">
            <v>0.58333333333333337</v>
          </cell>
          <cell r="V298">
            <v>37833</v>
          </cell>
          <cell r="W298">
            <v>0.58333333333333337</v>
          </cell>
          <cell r="X298">
            <v>4.1666666666666741E-2</v>
          </cell>
          <cell r="Y298">
            <v>4.1666666669092023E-2</v>
          </cell>
          <cell r="AB298">
            <v>7</v>
          </cell>
          <cell r="AC298">
            <v>7</v>
          </cell>
          <cell r="AD298">
            <v>0</v>
          </cell>
          <cell r="BF298">
            <v>7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</row>
        <row r="299">
          <cell r="C299">
            <v>37826</v>
          </cell>
          <cell r="I299">
            <v>0</v>
          </cell>
          <cell r="N299">
            <v>0</v>
          </cell>
          <cell r="P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AB299">
            <v>0</v>
          </cell>
          <cell r="AC299">
            <v>7</v>
          </cell>
          <cell r="AD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</row>
        <row r="300">
          <cell r="C300">
            <v>37826</v>
          </cell>
          <cell r="D300">
            <v>37858</v>
          </cell>
          <cell r="E300">
            <v>37851</v>
          </cell>
          <cell r="F300">
            <v>0.44444444444444442</v>
          </cell>
          <cell r="G300" t="str">
            <v>Células de Solda Automática</v>
          </cell>
          <cell r="H300" t="str">
            <v>Pistão da mesa não aciona</v>
          </cell>
          <cell r="I300" t="str">
            <v>Corretiva</v>
          </cell>
          <cell r="J300" t="str">
            <v>Sim</v>
          </cell>
          <cell r="K300" t="str">
            <v>Mecânica</v>
          </cell>
          <cell r="L300" t="str">
            <v>Limpeza do Equipamento / Componente</v>
          </cell>
          <cell r="M300" t="str">
            <v>Sujeira em excesso</v>
          </cell>
          <cell r="N300">
            <v>37851</v>
          </cell>
          <cell r="O300">
            <v>0.44444444444444442</v>
          </cell>
          <cell r="P300">
            <v>37851</v>
          </cell>
          <cell r="Q300">
            <v>0.44444444444444442</v>
          </cell>
          <cell r="T300">
            <v>37851</v>
          </cell>
          <cell r="U300">
            <v>0.46875</v>
          </cell>
          <cell r="V300">
            <v>37851</v>
          </cell>
          <cell r="W300">
            <v>0.46875</v>
          </cell>
          <cell r="X300">
            <v>2.430555555555558E-2</v>
          </cell>
          <cell r="Y300">
            <v>2.430555555555558E-2</v>
          </cell>
          <cell r="AB300">
            <v>8</v>
          </cell>
          <cell r="AC300">
            <v>7</v>
          </cell>
          <cell r="AD300">
            <v>0</v>
          </cell>
          <cell r="BF300">
            <v>8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</row>
        <row r="301">
          <cell r="C301">
            <v>37826</v>
          </cell>
          <cell r="D301">
            <v>37858</v>
          </cell>
          <cell r="E301">
            <v>37853</v>
          </cell>
          <cell r="F301">
            <v>0.54166666666666663</v>
          </cell>
          <cell r="G301" t="str">
            <v>Células de Solda Automática</v>
          </cell>
          <cell r="H301" t="str">
            <v>Vazamento na Conexão</v>
          </cell>
          <cell r="I301" t="str">
            <v>Corretiva</v>
          </cell>
          <cell r="J301" t="str">
            <v>Sim</v>
          </cell>
          <cell r="K301" t="str">
            <v>Mecânica</v>
          </cell>
          <cell r="L301" t="str">
            <v>Substituição do(s) Componente(s)</v>
          </cell>
          <cell r="M301" t="str">
            <v>Defeito de Fabricação</v>
          </cell>
          <cell r="N301">
            <v>37853</v>
          </cell>
          <cell r="O301">
            <v>0.54166666666666663</v>
          </cell>
          <cell r="P301">
            <v>37853</v>
          </cell>
          <cell r="Q301">
            <v>0.54166666666666663</v>
          </cell>
          <cell r="T301">
            <v>37853</v>
          </cell>
          <cell r="U301">
            <v>0.5625</v>
          </cell>
          <cell r="V301">
            <v>37853</v>
          </cell>
          <cell r="W301">
            <v>0.5625</v>
          </cell>
          <cell r="X301">
            <v>2.083333333333337E-2</v>
          </cell>
          <cell r="Y301">
            <v>2.083333333333337E-2</v>
          </cell>
          <cell r="AB301">
            <v>8</v>
          </cell>
          <cell r="AC301">
            <v>7</v>
          </cell>
          <cell r="AD301">
            <v>0</v>
          </cell>
          <cell r="BF301">
            <v>8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</row>
        <row r="302">
          <cell r="C302">
            <v>37826</v>
          </cell>
          <cell r="I302">
            <v>0</v>
          </cell>
          <cell r="N302">
            <v>0</v>
          </cell>
          <cell r="P302">
            <v>0</v>
          </cell>
          <cell r="T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AB302">
            <v>0</v>
          </cell>
          <cell r="AC302">
            <v>7</v>
          </cell>
          <cell r="AD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</row>
        <row r="303">
          <cell r="C303">
            <v>37826</v>
          </cell>
          <cell r="I303">
            <v>0</v>
          </cell>
          <cell r="N303">
            <v>0</v>
          </cell>
          <cell r="P303">
            <v>0</v>
          </cell>
          <cell r="T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AB303">
            <v>0</v>
          </cell>
          <cell r="AC303">
            <v>7</v>
          </cell>
          <cell r="AD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</row>
        <row r="304">
          <cell r="C304">
            <v>37826</v>
          </cell>
          <cell r="D304">
            <v>37881</v>
          </cell>
          <cell r="E304">
            <v>37874</v>
          </cell>
          <cell r="F304">
            <v>0.58333333333333337</v>
          </cell>
          <cell r="G304" t="str">
            <v>Células de Solda Automática</v>
          </cell>
          <cell r="H304" t="str">
            <v>Válvula pneumática da fresa de limpeza do bocal travada</v>
          </cell>
          <cell r="I304" t="str">
            <v>Corretiva</v>
          </cell>
          <cell r="J304" t="str">
            <v>Não</v>
          </cell>
          <cell r="K304" t="str">
            <v>Mecânica</v>
          </cell>
          <cell r="L304" t="str">
            <v>Reparo</v>
          </cell>
          <cell r="M304" t="str">
            <v>Desgaste / Fadiga</v>
          </cell>
          <cell r="N304">
            <v>37875</v>
          </cell>
          <cell r="O304">
            <v>0.41666666666666669</v>
          </cell>
          <cell r="P304">
            <v>37875</v>
          </cell>
          <cell r="Q304">
            <v>0.41666666666666669</v>
          </cell>
          <cell r="T304">
            <v>37875</v>
          </cell>
          <cell r="U304">
            <v>0.4375</v>
          </cell>
          <cell r="V304">
            <v>37875</v>
          </cell>
          <cell r="W304">
            <v>0.4375</v>
          </cell>
          <cell r="X304">
            <v>2.0833333333333315E-2</v>
          </cell>
          <cell r="Y304">
            <v>2.0833333333333315E-2</v>
          </cell>
          <cell r="AB304">
            <v>9</v>
          </cell>
          <cell r="AC304">
            <v>7</v>
          </cell>
          <cell r="AD304">
            <v>0</v>
          </cell>
          <cell r="BF304">
            <v>9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</row>
        <row r="305">
          <cell r="C305">
            <v>37826</v>
          </cell>
          <cell r="D305">
            <v>37881</v>
          </cell>
          <cell r="E305">
            <v>37876</v>
          </cell>
          <cell r="F305">
            <v>0.625</v>
          </cell>
          <cell r="G305" t="str">
            <v>Células de Solda Automática</v>
          </cell>
          <cell r="H305" t="str">
            <v>Sensor da garra não aciona</v>
          </cell>
          <cell r="I305" t="str">
            <v>Corretiva</v>
          </cell>
          <cell r="J305" t="str">
            <v>Não</v>
          </cell>
          <cell r="K305" t="str">
            <v>Elétrica</v>
          </cell>
          <cell r="L305" t="str">
            <v>Regulagem do Componente</v>
          </cell>
          <cell r="M305" t="str">
            <v>Vibração</v>
          </cell>
          <cell r="N305">
            <v>37876</v>
          </cell>
          <cell r="O305">
            <v>0.66666666666666663</v>
          </cell>
          <cell r="P305">
            <v>37876</v>
          </cell>
          <cell r="Q305">
            <v>0.66666666666666663</v>
          </cell>
          <cell r="T305">
            <v>37876</v>
          </cell>
          <cell r="U305">
            <v>0.85416666666666663</v>
          </cell>
          <cell r="V305">
            <v>37876</v>
          </cell>
          <cell r="W305">
            <v>0.85416666666666663</v>
          </cell>
          <cell r="X305">
            <v>0.18749999999757472</v>
          </cell>
          <cell r="Y305">
            <v>0.18749999999757472</v>
          </cell>
          <cell r="AB305">
            <v>9</v>
          </cell>
          <cell r="AC305">
            <v>7</v>
          </cell>
          <cell r="AD305">
            <v>0</v>
          </cell>
          <cell r="BF305">
            <v>9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</row>
        <row r="306">
          <cell r="C306">
            <v>37826</v>
          </cell>
          <cell r="I306">
            <v>0</v>
          </cell>
          <cell r="N306">
            <v>0</v>
          </cell>
          <cell r="P306">
            <v>0</v>
          </cell>
          <cell r="T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AB306">
            <v>0</v>
          </cell>
          <cell r="AC306">
            <v>7</v>
          </cell>
          <cell r="AD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</row>
        <row r="307">
          <cell r="C307">
            <v>37826</v>
          </cell>
          <cell r="D307">
            <v>37900</v>
          </cell>
          <cell r="E307">
            <v>37879</v>
          </cell>
          <cell r="F307">
            <v>0.83333333333333337</v>
          </cell>
          <cell r="G307" t="str">
            <v>Células de Solda Automática</v>
          </cell>
          <cell r="H307" t="str">
            <v>Pistão do parô está torto</v>
          </cell>
          <cell r="I307" t="str">
            <v>Corretiva</v>
          </cell>
          <cell r="J307" t="str">
            <v>Sim</v>
          </cell>
          <cell r="K307" t="str">
            <v>Mecânica</v>
          </cell>
          <cell r="L307" t="str">
            <v>Substituição do(s) Componente(s)</v>
          </cell>
          <cell r="M307" t="str">
            <v>Falha Operacional</v>
          </cell>
          <cell r="N307">
            <v>37879</v>
          </cell>
          <cell r="O307">
            <v>0.83333333333333337</v>
          </cell>
          <cell r="P307">
            <v>37879</v>
          </cell>
          <cell r="Q307">
            <v>0.83333333333333337</v>
          </cell>
          <cell r="T307">
            <v>37879</v>
          </cell>
          <cell r="U307">
            <v>0.875</v>
          </cell>
          <cell r="V307">
            <v>37879</v>
          </cell>
          <cell r="W307">
            <v>0.875</v>
          </cell>
          <cell r="X307">
            <v>4.166666666666663E-2</v>
          </cell>
          <cell r="Y307">
            <v>4.166666666666663E-2</v>
          </cell>
          <cell r="AB307">
            <v>9</v>
          </cell>
          <cell r="AC307">
            <v>7</v>
          </cell>
          <cell r="AD307">
            <v>0</v>
          </cell>
          <cell r="BF307">
            <v>9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</row>
        <row r="308">
          <cell r="C308">
            <v>37826</v>
          </cell>
          <cell r="I308">
            <v>0</v>
          </cell>
          <cell r="N308">
            <v>0</v>
          </cell>
          <cell r="P308">
            <v>0</v>
          </cell>
          <cell r="T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AB308">
            <v>0</v>
          </cell>
          <cell r="AC308">
            <v>7</v>
          </cell>
          <cell r="AD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</row>
        <row r="309">
          <cell r="C309">
            <v>37826</v>
          </cell>
          <cell r="I309">
            <v>0</v>
          </cell>
          <cell r="N309">
            <v>0</v>
          </cell>
          <cell r="P309">
            <v>0</v>
          </cell>
          <cell r="T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AB309">
            <v>0</v>
          </cell>
          <cell r="AC309">
            <v>7</v>
          </cell>
          <cell r="AD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</row>
        <row r="310">
          <cell r="C310">
            <v>37826</v>
          </cell>
          <cell r="D310">
            <v>37900</v>
          </cell>
          <cell r="E310">
            <v>37880</v>
          </cell>
          <cell r="F310">
            <v>0.47916666666666669</v>
          </cell>
          <cell r="G310" t="str">
            <v>Células de Solda Automática</v>
          </cell>
          <cell r="H310" t="str">
            <v>Dispositivo apresenta variação durante a fixação</v>
          </cell>
          <cell r="I310" t="str">
            <v>Corretiva</v>
          </cell>
          <cell r="J310" t="str">
            <v>Sim</v>
          </cell>
          <cell r="K310" t="str">
            <v>Mecânica</v>
          </cell>
          <cell r="L310" t="str">
            <v>Limpeza e ajuste do Componente</v>
          </cell>
          <cell r="M310" t="str">
            <v>Sujeira em excesso</v>
          </cell>
          <cell r="N310">
            <v>37880</v>
          </cell>
          <cell r="O310">
            <v>0.625</v>
          </cell>
          <cell r="P310">
            <v>37880</v>
          </cell>
          <cell r="Q310">
            <v>0.625</v>
          </cell>
          <cell r="T310">
            <v>37880</v>
          </cell>
          <cell r="U310">
            <v>0.6875</v>
          </cell>
          <cell r="V310">
            <v>37880</v>
          </cell>
          <cell r="W310">
            <v>0.6875</v>
          </cell>
          <cell r="X310">
            <v>6.25E-2</v>
          </cell>
          <cell r="Y310">
            <v>6.25E-2</v>
          </cell>
          <cell r="AB310">
            <v>9</v>
          </cell>
          <cell r="AC310">
            <v>7</v>
          </cell>
          <cell r="AD310">
            <v>0</v>
          </cell>
          <cell r="BF310">
            <v>9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</row>
        <row r="311">
          <cell r="C311">
            <v>37826</v>
          </cell>
          <cell r="D311">
            <v>37918</v>
          </cell>
          <cell r="E311">
            <v>37888</v>
          </cell>
          <cell r="F311">
            <v>0.625</v>
          </cell>
          <cell r="G311" t="str">
            <v>Células de Solda Automática</v>
          </cell>
          <cell r="H311" t="str">
            <v>Robô de manipulação pára durante o processo, e não recebe sinal para partir</v>
          </cell>
          <cell r="I311" t="str">
            <v>Corretiva</v>
          </cell>
          <cell r="J311" t="str">
            <v>Sim</v>
          </cell>
          <cell r="K311" t="str">
            <v>Elétrica</v>
          </cell>
          <cell r="L311" t="str">
            <v>Substituição do(s) Componente(s)</v>
          </cell>
          <cell r="M311" t="str">
            <v>Desgaste / Fadiga</v>
          </cell>
          <cell r="N311">
            <v>37888</v>
          </cell>
          <cell r="O311">
            <v>0.625</v>
          </cell>
          <cell r="P311">
            <v>37888</v>
          </cell>
          <cell r="Q311">
            <v>0.625</v>
          </cell>
          <cell r="T311">
            <v>37888</v>
          </cell>
          <cell r="U311">
            <v>0.70138888888888884</v>
          </cell>
          <cell r="V311">
            <v>37888</v>
          </cell>
          <cell r="W311">
            <v>0.70138888888888884</v>
          </cell>
          <cell r="X311">
            <v>7.638888888888884E-2</v>
          </cell>
          <cell r="Y311">
            <v>7.6388888890505768E-2</v>
          </cell>
          <cell r="AB311">
            <v>9</v>
          </cell>
          <cell r="AC311">
            <v>7</v>
          </cell>
          <cell r="AD311">
            <v>0</v>
          </cell>
          <cell r="BF311">
            <v>9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</row>
        <row r="312">
          <cell r="C312">
            <v>37826</v>
          </cell>
          <cell r="D312">
            <v>37900</v>
          </cell>
          <cell r="E312">
            <v>37867</v>
          </cell>
          <cell r="F312">
            <v>0.59722222222222221</v>
          </cell>
          <cell r="G312" t="str">
            <v>Células de Solda Automática</v>
          </cell>
          <cell r="H312" t="str">
            <v>Parô da 2ª esteira está com a chapa torta</v>
          </cell>
          <cell r="I312" t="str">
            <v>Corretiva</v>
          </cell>
          <cell r="J312" t="str">
            <v>Não</v>
          </cell>
          <cell r="K312" t="str">
            <v>Mecânica</v>
          </cell>
          <cell r="L312" t="str">
            <v>Regulagem do Componente</v>
          </cell>
          <cell r="M312" t="str">
            <v>Falha de Comando / Sistema</v>
          </cell>
          <cell r="N312">
            <v>37867</v>
          </cell>
          <cell r="O312">
            <v>0.70833333333333337</v>
          </cell>
          <cell r="P312">
            <v>37867</v>
          </cell>
          <cell r="Q312">
            <v>0.70833333333333337</v>
          </cell>
          <cell r="T312">
            <v>37867</v>
          </cell>
          <cell r="U312">
            <v>0.79166666666666663</v>
          </cell>
          <cell r="V312">
            <v>37867</v>
          </cell>
          <cell r="W312">
            <v>0.79166666666666663</v>
          </cell>
          <cell r="X312">
            <v>8.3333333330907977E-2</v>
          </cell>
          <cell r="Y312">
            <v>8.3333333330907977E-2</v>
          </cell>
          <cell r="AB312">
            <v>9</v>
          </cell>
          <cell r="AC312">
            <v>7</v>
          </cell>
          <cell r="AD312">
            <v>0</v>
          </cell>
          <cell r="BF312">
            <v>9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</row>
        <row r="313">
          <cell r="C313">
            <v>37826</v>
          </cell>
          <cell r="D313">
            <v>37868</v>
          </cell>
          <cell r="E313">
            <v>37867</v>
          </cell>
          <cell r="F313">
            <v>0.54166666666666663</v>
          </cell>
          <cell r="G313" t="str">
            <v>Células de Solda Automática</v>
          </cell>
          <cell r="H313" t="str">
            <v>Pistão do parô da 1ª esteira está torto</v>
          </cell>
          <cell r="I313" t="str">
            <v>Corretiva</v>
          </cell>
          <cell r="J313" t="str">
            <v>Não</v>
          </cell>
          <cell r="K313" t="str">
            <v>Mecânica</v>
          </cell>
          <cell r="L313" t="str">
            <v>Substituição do(s) Componente(s)</v>
          </cell>
          <cell r="M313" t="str">
            <v>Falha de Comando / Sistema</v>
          </cell>
          <cell r="N313">
            <v>37867</v>
          </cell>
          <cell r="O313">
            <v>0.57291666666666663</v>
          </cell>
          <cell r="P313">
            <v>37867</v>
          </cell>
          <cell r="Q313">
            <v>0.57291666666666663</v>
          </cell>
          <cell r="T313">
            <v>37867</v>
          </cell>
          <cell r="U313">
            <v>0.60763888888888895</v>
          </cell>
          <cell r="V313">
            <v>37867</v>
          </cell>
          <cell r="W313">
            <v>0.60763888888888895</v>
          </cell>
          <cell r="X313">
            <v>3.4722222223839139E-2</v>
          </cell>
          <cell r="Y313">
            <v>3.4722222223839139E-2</v>
          </cell>
          <cell r="AB313">
            <v>9</v>
          </cell>
          <cell r="AC313">
            <v>7</v>
          </cell>
          <cell r="AD313">
            <v>0</v>
          </cell>
          <cell r="BF313">
            <v>9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</row>
        <row r="314">
          <cell r="C314">
            <v>37826</v>
          </cell>
          <cell r="D314">
            <v>37868</v>
          </cell>
          <cell r="E314">
            <v>37866</v>
          </cell>
          <cell r="F314">
            <v>0.33333333333333331</v>
          </cell>
          <cell r="G314" t="str">
            <v>Células de Solda Automática</v>
          </cell>
          <cell r="H314" t="str">
            <v>Plug incompatível com a tomada da linha da Solda Manual</v>
          </cell>
          <cell r="I314" t="str">
            <v>Corretiva</v>
          </cell>
          <cell r="J314" t="str">
            <v>Sim</v>
          </cell>
          <cell r="K314" t="str">
            <v>Elétrica</v>
          </cell>
          <cell r="L314" t="str">
            <v>Substituição do(s) Componente(s)</v>
          </cell>
          <cell r="M314" t="str">
            <v>Alteração na Localização da Máquina</v>
          </cell>
          <cell r="N314">
            <v>0</v>
          </cell>
          <cell r="O314" t="str">
            <v>Alteração na Localização da Máquina</v>
          </cell>
          <cell r="P314">
            <v>0</v>
          </cell>
          <cell r="T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AB314">
            <v>0</v>
          </cell>
          <cell r="AC314">
            <v>7</v>
          </cell>
          <cell r="AD314">
            <v>0</v>
          </cell>
          <cell r="BF314">
            <v>1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</row>
        <row r="315">
          <cell r="C315">
            <v>37826</v>
          </cell>
          <cell r="D315">
            <v>37867</v>
          </cell>
          <cell r="E315">
            <v>37865</v>
          </cell>
          <cell r="F315">
            <v>0.45833333333333331</v>
          </cell>
          <cell r="G315" t="str">
            <v>Células de Solda Automática</v>
          </cell>
          <cell r="H315" t="str">
            <v>Bocal da tocha dos robôs desgastado</v>
          </cell>
          <cell r="I315" t="str">
            <v>Corretiva</v>
          </cell>
          <cell r="J315" t="str">
            <v>Não</v>
          </cell>
          <cell r="K315" t="str">
            <v>Mecânica</v>
          </cell>
          <cell r="L315" t="str">
            <v>Substituição do(s) Componente(s)</v>
          </cell>
          <cell r="M315" t="str">
            <v>Desgaste / Fadiga</v>
          </cell>
          <cell r="N315">
            <v>37865</v>
          </cell>
          <cell r="O315">
            <v>0.45833333333333331</v>
          </cell>
          <cell r="P315">
            <v>37865</v>
          </cell>
          <cell r="Q315">
            <v>0.45833333333333331</v>
          </cell>
          <cell r="T315">
            <v>37865</v>
          </cell>
          <cell r="U315">
            <v>0.47916666666666669</v>
          </cell>
          <cell r="V315">
            <v>37865</v>
          </cell>
          <cell r="W315">
            <v>0.47916666666666669</v>
          </cell>
          <cell r="X315">
            <v>2.0833333330908033E-2</v>
          </cell>
          <cell r="Y315">
            <v>2.0833333330908033E-2</v>
          </cell>
          <cell r="AB315">
            <v>9</v>
          </cell>
          <cell r="AC315">
            <v>7</v>
          </cell>
          <cell r="AD315">
            <v>0</v>
          </cell>
          <cell r="BF315">
            <v>9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</row>
        <row r="316">
          <cell r="C316">
            <v>37826</v>
          </cell>
          <cell r="D316">
            <v>37865</v>
          </cell>
          <cell r="E316">
            <v>37708</v>
          </cell>
          <cell r="F316">
            <v>0.625</v>
          </cell>
          <cell r="G316" t="str">
            <v>Células de Solda Automática</v>
          </cell>
          <cell r="H316" t="str">
            <v>Fios da Fresa soltos</v>
          </cell>
          <cell r="I316" t="str">
            <v>Corretiva</v>
          </cell>
          <cell r="J316" t="str">
            <v>Não</v>
          </cell>
          <cell r="K316" t="str">
            <v>Elétrica</v>
          </cell>
          <cell r="L316" t="str">
            <v>Reparo</v>
          </cell>
          <cell r="M316" t="str">
            <v>Vibração</v>
          </cell>
          <cell r="N316">
            <v>37708</v>
          </cell>
          <cell r="O316">
            <v>0.64583333333333337</v>
          </cell>
          <cell r="P316">
            <v>37708</v>
          </cell>
          <cell r="Q316">
            <v>0.64583333333333337</v>
          </cell>
          <cell r="T316">
            <v>37708</v>
          </cell>
          <cell r="U316">
            <v>0.6875</v>
          </cell>
          <cell r="V316">
            <v>37708</v>
          </cell>
          <cell r="W316">
            <v>0.6875</v>
          </cell>
          <cell r="X316">
            <v>4.166666666666663E-2</v>
          </cell>
          <cell r="Y316">
            <v>4.166666666666663E-2</v>
          </cell>
          <cell r="AB316">
            <v>3</v>
          </cell>
          <cell r="AC316">
            <v>7</v>
          </cell>
          <cell r="AD316">
            <v>0</v>
          </cell>
          <cell r="BF316">
            <v>3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</row>
        <row r="317">
          <cell r="C317">
            <v>37826</v>
          </cell>
          <cell r="D317">
            <v>37838</v>
          </cell>
          <cell r="E317">
            <v>37837</v>
          </cell>
          <cell r="F317">
            <v>0.4861111111111111</v>
          </cell>
          <cell r="G317" t="str">
            <v>Máquina de Solda MIG</v>
          </cell>
          <cell r="H317" t="str">
            <v>Necessidade de substituição do Bocal</v>
          </cell>
          <cell r="I317" t="str">
            <v>Corretiva</v>
          </cell>
          <cell r="J317" t="str">
            <v>Sim</v>
          </cell>
          <cell r="K317" t="str">
            <v>Mecânica</v>
          </cell>
          <cell r="L317" t="str">
            <v>Substituição do(s) Componente(s)</v>
          </cell>
          <cell r="M317" t="str">
            <v>Desgaste / Fadiga</v>
          </cell>
          <cell r="N317">
            <v>37837</v>
          </cell>
          <cell r="O317">
            <v>0.4861111111111111</v>
          </cell>
          <cell r="P317">
            <v>37837</v>
          </cell>
          <cell r="Q317">
            <v>0.4861111111111111</v>
          </cell>
          <cell r="T317">
            <v>37837</v>
          </cell>
          <cell r="U317">
            <v>0.5</v>
          </cell>
          <cell r="V317">
            <v>37837</v>
          </cell>
          <cell r="W317">
            <v>0.5</v>
          </cell>
          <cell r="X317">
            <v>1.3888888888888895E-2</v>
          </cell>
          <cell r="Y317">
            <v>1.3888888888888895E-2</v>
          </cell>
          <cell r="AB317">
            <v>8</v>
          </cell>
          <cell r="AC317">
            <v>7</v>
          </cell>
          <cell r="AD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8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</row>
        <row r="318">
          <cell r="C318">
            <v>37826</v>
          </cell>
          <cell r="I318">
            <v>0</v>
          </cell>
          <cell r="N318">
            <v>0</v>
          </cell>
          <cell r="P318">
            <v>0</v>
          </cell>
          <cell r="T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AB318">
            <v>0</v>
          </cell>
          <cell r="AC318">
            <v>7</v>
          </cell>
          <cell r="AD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</row>
        <row r="319">
          <cell r="C319">
            <v>37826</v>
          </cell>
          <cell r="D319">
            <v>37858</v>
          </cell>
          <cell r="E319">
            <v>37840</v>
          </cell>
          <cell r="F319">
            <v>0.47916666666666669</v>
          </cell>
          <cell r="G319" t="str">
            <v>Máquina de Solda MIG</v>
          </cell>
          <cell r="H319" t="str">
            <v>Mau contato no Plug de Alimentação</v>
          </cell>
          <cell r="I319" t="str">
            <v>Corretiva</v>
          </cell>
          <cell r="J319" t="str">
            <v>Sim</v>
          </cell>
          <cell r="K319" t="str">
            <v>Elétrica</v>
          </cell>
          <cell r="L319" t="str">
            <v>Correção de mau contato</v>
          </cell>
          <cell r="M319" t="str">
            <v>Desgaste / Fadiga</v>
          </cell>
          <cell r="N319">
            <v>37840</v>
          </cell>
          <cell r="O319">
            <v>0.47916666666666669</v>
          </cell>
          <cell r="P319">
            <v>37840</v>
          </cell>
          <cell r="Q319">
            <v>0.47916666666666669</v>
          </cell>
          <cell r="T319">
            <v>37840</v>
          </cell>
          <cell r="U319">
            <v>0.48958333333333331</v>
          </cell>
          <cell r="V319">
            <v>37840</v>
          </cell>
          <cell r="W319">
            <v>0.48958333333333331</v>
          </cell>
          <cell r="X319">
            <v>1.041666666666663E-2</v>
          </cell>
          <cell r="Y319">
            <v>1.0416666669091967E-2</v>
          </cell>
          <cell r="AB319">
            <v>8</v>
          </cell>
          <cell r="AC319">
            <v>7</v>
          </cell>
          <cell r="AD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8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</row>
        <row r="320">
          <cell r="C320">
            <v>37826</v>
          </cell>
          <cell r="D320">
            <v>37858</v>
          </cell>
          <cell r="E320">
            <v>37844</v>
          </cell>
          <cell r="F320">
            <v>0.34236111111111112</v>
          </cell>
          <cell r="G320" t="str">
            <v>Células de Solda Manual</v>
          </cell>
          <cell r="H320" t="str">
            <v>Chave não funciona</v>
          </cell>
          <cell r="I320" t="str">
            <v>Corretiva</v>
          </cell>
          <cell r="J320" t="str">
            <v>Sim</v>
          </cell>
          <cell r="K320" t="str">
            <v>Elétrica</v>
          </cell>
          <cell r="L320" t="str">
            <v>Reaperto dos componentes</v>
          </cell>
          <cell r="M320" t="str">
            <v>Mau contato</v>
          </cell>
          <cell r="N320">
            <v>37844</v>
          </cell>
          <cell r="O320">
            <v>0.34722222222222227</v>
          </cell>
          <cell r="P320">
            <v>37844</v>
          </cell>
          <cell r="Q320">
            <v>0.34722222222222227</v>
          </cell>
          <cell r="T320">
            <v>37844</v>
          </cell>
          <cell r="U320">
            <v>0.35416666666666669</v>
          </cell>
          <cell r="V320">
            <v>37844</v>
          </cell>
          <cell r="W320">
            <v>0.35416666666666669</v>
          </cell>
          <cell r="X320">
            <v>6.9444444444444198E-3</v>
          </cell>
          <cell r="Y320">
            <v>6.9444444420190821E-3</v>
          </cell>
          <cell r="AB320">
            <v>8</v>
          </cell>
          <cell r="AC320">
            <v>7</v>
          </cell>
          <cell r="AD320">
            <v>0</v>
          </cell>
          <cell r="BF320">
            <v>0</v>
          </cell>
          <cell r="BG320">
            <v>8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</row>
        <row r="321">
          <cell r="C321">
            <v>37826</v>
          </cell>
          <cell r="D321">
            <v>37858</v>
          </cell>
          <cell r="E321">
            <v>37853</v>
          </cell>
          <cell r="F321">
            <v>0.42708333333333331</v>
          </cell>
          <cell r="G321" t="str">
            <v>Serra de Fita</v>
          </cell>
          <cell r="H321" t="str">
            <v>Máquina não funciona</v>
          </cell>
          <cell r="I321" t="str">
            <v>Corretiva</v>
          </cell>
          <cell r="J321" t="str">
            <v>Sim</v>
          </cell>
          <cell r="K321" t="str">
            <v>Elétrica</v>
          </cell>
          <cell r="L321" t="str">
            <v>Correção de mau contato</v>
          </cell>
          <cell r="M321" t="str">
            <v>Vibração</v>
          </cell>
          <cell r="N321">
            <v>37853</v>
          </cell>
          <cell r="O321">
            <v>0.4375</v>
          </cell>
          <cell r="P321">
            <v>37853</v>
          </cell>
          <cell r="Q321">
            <v>0.4375</v>
          </cell>
          <cell r="T321">
            <v>37853</v>
          </cell>
          <cell r="U321">
            <v>0.44444444444444442</v>
          </cell>
          <cell r="V321">
            <v>37853</v>
          </cell>
          <cell r="W321">
            <v>0.44444444444444442</v>
          </cell>
          <cell r="X321">
            <v>6.9444444444444198E-3</v>
          </cell>
          <cell r="Y321">
            <v>6.9444444452528842E-3</v>
          </cell>
          <cell r="AB321">
            <v>8</v>
          </cell>
          <cell r="AC321">
            <v>7</v>
          </cell>
          <cell r="AD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8</v>
          </cell>
          <cell r="CD321">
            <v>0</v>
          </cell>
        </row>
        <row r="322">
          <cell r="C322">
            <v>37826</v>
          </cell>
          <cell r="D322">
            <v>37858</v>
          </cell>
          <cell r="E322">
            <v>37853</v>
          </cell>
          <cell r="F322">
            <v>0.42708333333333331</v>
          </cell>
          <cell r="G322" t="str">
            <v>Células de Solda Manual</v>
          </cell>
          <cell r="H322" t="str">
            <v>Nível de óleo baixo</v>
          </cell>
          <cell r="I322" t="str">
            <v>Corretiva</v>
          </cell>
          <cell r="J322" t="str">
            <v>Não</v>
          </cell>
          <cell r="K322" t="str">
            <v>Mecânica</v>
          </cell>
          <cell r="L322" t="str">
            <v>Foi verificado o nível, que estava normal</v>
          </cell>
          <cell r="M322" t="str">
            <v>Falha Operacional</v>
          </cell>
          <cell r="N322">
            <v>37853</v>
          </cell>
          <cell r="O322">
            <v>0.66666666666666663</v>
          </cell>
          <cell r="P322">
            <v>37853</v>
          </cell>
          <cell r="Q322">
            <v>0.66666666666666663</v>
          </cell>
          <cell r="T322">
            <v>37853</v>
          </cell>
          <cell r="U322">
            <v>0.6875</v>
          </cell>
          <cell r="V322">
            <v>37853</v>
          </cell>
          <cell r="W322">
            <v>0.6875</v>
          </cell>
          <cell r="X322">
            <v>2.083333333333337E-2</v>
          </cell>
          <cell r="Y322">
            <v>2.083333333333337E-2</v>
          </cell>
          <cell r="AB322">
            <v>8</v>
          </cell>
          <cell r="AC322">
            <v>7</v>
          </cell>
          <cell r="AD322">
            <v>0</v>
          </cell>
          <cell r="BF322">
            <v>0</v>
          </cell>
          <cell r="BG322">
            <v>8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</row>
        <row r="323">
          <cell r="C323">
            <v>37826</v>
          </cell>
          <cell r="D323">
            <v>37858</v>
          </cell>
          <cell r="E323">
            <v>37854</v>
          </cell>
          <cell r="F323">
            <v>0.33333333333333331</v>
          </cell>
          <cell r="G323" t="str">
            <v>Células de Solda Manual</v>
          </cell>
          <cell r="H323" t="str">
            <v>A fresa de limpeza da tocha não está jogando óleo (anti-respingos)</v>
          </cell>
          <cell r="I323" t="str">
            <v>Corretiva</v>
          </cell>
          <cell r="J323" t="str">
            <v>Não</v>
          </cell>
          <cell r="K323" t="str">
            <v>Mecânica</v>
          </cell>
          <cell r="L323" t="str">
            <v>Ajuste / Regulagem</v>
          </cell>
          <cell r="M323" t="str">
            <v>Desgaste / Fadiga</v>
          </cell>
          <cell r="N323">
            <v>37854</v>
          </cell>
          <cell r="O323">
            <v>0.33333333333333331</v>
          </cell>
          <cell r="P323">
            <v>37854</v>
          </cell>
          <cell r="Q323">
            <v>0.33333333333333331</v>
          </cell>
          <cell r="T323">
            <v>37854</v>
          </cell>
          <cell r="U323">
            <v>0.41666666666666669</v>
          </cell>
          <cell r="V323">
            <v>37854</v>
          </cell>
          <cell r="W323">
            <v>0.41666666666666669</v>
          </cell>
          <cell r="X323">
            <v>8.3333333330908033E-2</v>
          </cell>
          <cell r="Y323">
            <v>8.3333333330908033E-2</v>
          </cell>
          <cell r="AB323">
            <v>8</v>
          </cell>
          <cell r="AC323">
            <v>7</v>
          </cell>
          <cell r="AD323">
            <v>0</v>
          </cell>
          <cell r="BF323">
            <v>0</v>
          </cell>
          <cell r="BG323">
            <v>8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</row>
        <row r="324">
          <cell r="C324">
            <v>37826</v>
          </cell>
          <cell r="D324">
            <v>37858</v>
          </cell>
          <cell r="E324">
            <v>37854</v>
          </cell>
          <cell r="F324">
            <v>0.375</v>
          </cell>
          <cell r="G324" t="str">
            <v>Máquina de Solda MIG</v>
          </cell>
          <cell r="H324" t="str">
            <v>Plug incompatível com a tomada da linha da Solda Manual</v>
          </cell>
          <cell r="I324" t="str">
            <v>Corretiva</v>
          </cell>
          <cell r="J324" t="str">
            <v>Sim</v>
          </cell>
          <cell r="K324" t="str">
            <v>Elétrica</v>
          </cell>
          <cell r="L324" t="str">
            <v>Substituição do(s) Componente(s)</v>
          </cell>
          <cell r="M324" t="str">
            <v>Alteração na Localização da Máquina</v>
          </cell>
          <cell r="N324">
            <v>37854</v>
          </cell>
          <cell r="O324">
            <v>0.41666666666666669</v>
          </cell>
          <cell r="P324">
            <v>37854</v>
          </cell>
          <cell r="Q324">
            <v>0.41666666666666669</v>
          </cell>
          <cell r="T324">
            <v>37854</v>
          </cell>
          <cell r="U324">
            <v>0.42708333333333331</v>
          </cell>
          <cell r="V324">
            <v>37854</v>
          </cell>
          <cell r="W324">
            <v>0.42708333333333331</v>
          </cell>
          <cell r="X324">
            <v>1.041666666666663E-2</v>
          </cell>
          <cell r="Y324">
            <v>1.0416666669091967E-2</v>
          </cell>
          <cell r="AB324">
            <v>8</v>
          </cell>
          <cell r="AC324">
            <v>7</v>
          </cell>
          <cell r="AD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8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</row>
        <row r="325">
          <cell r="C325">
            <v>37826</v>
          </cell>
          <cell r="D325">
            <v>37865</v>
          </cell>
          <cell r="E325">
            <v>37855</v>
          </cell>
          <cell r="F325">
            <v>0.39027777777777778</v>
          </cell>
          <cell r="G325" t="str">
            <v>Células de Solda Manual</v>
          </cell>
          <cell r="H325" t="str">
            <v>Plug incompatível com a tomada da linha da Solda Manual</v>
          </cell>
          <cell r="I325" t="str">
            <v>Corretiva</v>
          </cell>
          <cell r="J325" t="str">
            <v>Sim</v>
          </cell>
          <cell r="K325" t="str">
            <v>Elétrica</v>
          </cell>
          <cell r="L325" t="str">
            <v>Substituição do(s) Componente(s)</v>
          </cell>
          <cell r="M325" t="str">
            <v>Causa não especificada</v>
          </cell>
          <cell r="N325">
            <v>37855</v>
          </cell>
          <cell r="O325">
            <v>0.41666666666666669</v>
          </cell>
          <cell r="P325">
            <v>37855</v>
          </cell>
          <cell r="Q325">
            <v>0.41666666666666669</v>
          </cell>
          <cell r="T325">
            <v>37855</v>
          </cell>
          <cell r="U325">
            <v>0.4236111111111111</v>
          </cell>
          <cell r="V325">
            <v>37855</v>
          </cell>
          <cell r="W325">
            <v>0.4236111111111111</v>
          </cell>
          <cell r="X325">
            <v>6.9444444444444198E-3</v>
          </cell>
          <cell r="Y325">
            <v>6.9444444428275465E-3</v>
          </cell>
          <cell r="AB325">
            <v>8</v>
          </cell>
          <cell r="AC325">
            <v>7</v>
          </cell>
          <cell r="AD325">
            <v>0</v>
          </cell>
          <cell r="BF325">
            <v>0</v>
          </cell>
          <cell r="BG325">
            <v>8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</row>
        <row r="326">
          <cell r="C326">
            <v>37826</v>
          </cell>
          <cell r="D326">
            <v>37868</v>
          </cell>
          <cell r="E326">
            <v>37862</v>
          </cell>
          <cell r="F326">
            <v>0.31041666666666667</v>
          </cell>
          <cell r="G326" t="str">
            <v>Máquina de Solda MIG</v>
          </cell>
          <cell r="H326" t="str">
            <v>Plug incompatível com a tomada da linha da Solda Manual</v>
          </cell>
          <cell r="I326" t="str">
            <v>Corretiva</v>
          </cell>
          <cell r="J326" t="str">
            <v>Sim</v>
          </cell>
          <cell r="K326" t="str">
            <v>Elétrica</v>
          </cell>
          <cell r="L326" t="str">
            <v>Substituição do(s) Componente(s)</v>
          </cell>
          <cell r="M326" t="str">
            <v>Alteração na Localização da Máquina</v>
          </cell>
          <cell r="N326">
            <v>37862</v>
          </cell>
          <cell r="O326">
            <v>0.3125</v>
          </cell>
          <cell r="P326">
            <v>37862</v>
          </cell>
          <cell r="Q326">
            <v>0.3125</v>
          </cell>
          <cell r="T326">
            <v>37862</v>
          </cell>
          <cell r="U326">
            <v>0.31944444444444448</v>
          </cell>
          <cell r="V326">
            <v>37862</v>
          </cell>
          <cell r="W326">
            <v>0.31944444444444448</v>
          </cell>
          <cell r="X326">
            <v>6.9444444444444753E-3</v>
          </cell>
          <cell r="Y326">
            <v>6.9444444452528842E-3</v>
          </cell>
          <cell r="AB326">
            <v>8</v>
          </cell>
          <cell r="AC326">
            <v>7</v>
          </cell>
          <cell r="AD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8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</row>
        <row r="327">
          <cell r="C327">
            <v>37826</v>
          </cell>
          <cell r="D327">
            <v>37868</v>
          </cell>
          <cell r="E327">
            <v>37862</v>
          </cell>
          <cell r="F327">
            <v>0.95833333333333337</v>
          </cell>
          <cell r="G327" t="str">
            <v>Células de Solda Manual</v>
          </cell>
          <cell r="H327" t="str">
            <v>Balancim travado</v>
          </cell>
          <cell r="I327" t="str">
            <v>Corretiva</v>
          </cell>
          <cell r="J327" t="str">
            <v>Não</v>
          </cell>
          <cell r="K327" t="str">
            <v>Mecânica</v>
          </cell>
          <cell r="L327" t="str">
            <v>Ajuste / Regulagem</v>
          </cell>
          <cell r="M327" t="str">
            <v>Travamento de Componente</v>
          </cell>
          <cell r="N327">
            <v>37865</v>
          </cell>
          <cell r="O327">
            <v>0.625</v>
          </cell>
          <cell r="P327">
            <v>37865</v>
          </cell>
          <cell r="Q327">
            <v>0.625</v>
          </cell>
          <cell r="T327">
            <v>37865</v>
          </cell>
          <cell r="U327">
            <v>0.70833333333333337</v>
          </cell>
          <cell r="V327">
            <v>37865</v>
          </cell>
          <cell r="W327">
            <v>0.70833333333333337</v>
          </cell>
          <cell r="X327">
            <v>8.3333333335758653E-2</v>
          </cell>
          <cell r="Y327">
            <v>8.3333333335758653E-2</v>
          </cell>
          <cell r="AB327">
            <v>9</v>
          </cell>
          <cell r="AC327">
            <v>7</v>
          </cell>
          <cell r="AD327">
            <v>0</v>
          </cell>
          <cell r="BF327">
            <v>0</v>
          </cell>
          <cell r="BG327">
            <v>9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</row>
        <row r="328">
          <cell r="C328">
            <v>37826</v>
          </cell>
          <cell r="D328">
            <v>37868</v>
          </cell>
          <cell r="E328">
            <v>37867</v>
          </cell>
          <cell r="F328">
            <v>0.4201388888888889</v>
          </cell>
          <cell r="G328" t="str">
            <v>Células de Solda Manual</v>
          </cell>
          <cell r="H328" t="str">
            <v>Plug incompatível com a tomada da linha da Solda Manual</v>
          </cell>
          <cell r="I328" t="str">
            <v>Corretiva</v>
          </cell>
          <cell r="J328" t="str">
            <v>Sim</v>
          </cell>
          <cell r="K328" t="str">
            <v>Elétrica</v>
          </cell>
          <cell r="L328" t="str">
            <v>Substituição do(s) Componente(s)</v>
          </cell>
          <cell r="M328" t="str">
            <v>Alteração na Localização da Máquina</v>
          </cell>
          <cell r="N328">
            <v>37867</v>
          </cell>
          <cell r="O328">
            <v>0.4236111111111111</v>
          </cell>
          <cell r="P328">
            <v>37867</v>
          </cell>
          <cell r="Q328">
            <v>0.4236111111111111</v>
          </cell>
          <cell r="T328">
            <v>37867</v>
          </cell>
          <cell r="U328">
            <v>0.43055555555555558</v>
          </cell>
          <cell r="V328">
            <v>37867</v>
          </cell>
          <cell r="W328">
            <v>0.43055555555555558</v>
          </cell>
          <cell r="X328">
            <v>6.9444444444444753E-3</v>
          </cell>
          <cell r="Y328">
            <v>6.9444444436360109E-3</v>
          </cell>
          <cell r="AB328">
            <v>9</v>
          </cell>
          <cell r="AC328">
            <v>7</v>
          </cell>
          <cell r="AD328">
            <v>0</v>
          </cell>
          <cell r="BF328">
            <v>0</v>
          </cell>
          <cell r="BG328">
            <v>9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</row>
        <row r="329">
          <cell r="C329">
            <v>37826</v>
          </cell>
          <cell r="D329">
            <v>37881</v>
          </cell>
          <cell r="E329">
            <v>37876</v>
          </cell>
          <cell r="F329">
            <v>0.55833333333333335</v>
          </cell>
          <cell r="G329" t="str">
            <v>Máquina de Solda MIG</v>
          </cell>
          <cell r="H329" t="str">
            <v>Tomada apresenta defeito</v>
          </cell>
          <cell r="I329" t="str">
            <v>Corretiva</v>
          </cell>
          <cell r="J329" t="str">
            <v>Sim</v>
          </cell>
          <cell r="K329" t="str">
            <v>Elétrica</v>
          </cell>
          <cell r="L329" t="str">
            <v>Reinicialização do Equipamento / Componente</v>
          </cell>
          <cell r="M329" t="str">
            <v>Sobrecarga</v>
          </cell>
          <cell r="N329">
            <v>37876</v>
          </cell>
          <cell r="O329">
            <v>0.57638888888888895</v>
          </cell>
          <cell r="P329">
            <v>37876</v>
          </cell>
          <cell r="Q329">
            <v>0.57638888888888895</v>
          </cell>
          <cell r="T329">
            <v>37876</v>
          </cell>
          <cell r="U329">
            <v>0.58333333333333337</v>
          </cell>
          <cell r="V329">
            <v>37876</v>
          </cell>
          <cell r="W329">
            <v>0.58333333333333337</v>
          </cell>
          <cell r="X329">
            <v>6.9444444444444198E-3</v>
          </cell>
          <cell r="Y329">
            <v>6.944444446869702E-3</v>
          </cell>
          <cell r="AB329">
            <v>9</v>
          </cell>
          <cell r="AC329">
            <v>7</v>
          </cell>
          <cell r="AD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9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</row>
        <row r="330">
          <cell r="C330">
            <v>37826</v>
          </cell>
          <cell r="D330">
            <v>37900</v>
          </cell>
          <cell r="E330">
            <v>37879</v>
          </cell>
          <cell r="F330">
            <v>0.59722222222222221</v>
          </cell>
          <cell r="G330" t="str">
            <v>Células de Solda Manual</v>
          </cell>
          <cell r="H330" t="str">
            <v>Máquina não Solda</v>
          </cell>
          <cell r="I330" t="str">
            <v>Corretiva</v>
          </cell>
          <cell r="J330" t="str">
            <v>Sim</v>
          </cell>
          <cell r="K330" t="str">
            <v>Elétrica</v>
          </cell>
          <cell r="L330" t="str">
            <v>Substituição do(s) Componente(s)</v>
          </cell>
          <cell r="M330" t="str">
            <v>Defeito de Fabricação</v>
          </cell>
          <cell r="N330">
            <v>37879</v>
          </cell>
          <cell r="O330">
            <v>0.625</v>
          </cell>
          <cell r="P330">
            <v>37879</v>
          </cell>
          <cell r="Q330">
            <v>0.625</v>
          </cell>
          <cell r="T330">
            <v>37879</v>
          </cell>
          <cell r="U330">
            <v>0.99652777777777779</v>
          </cell>
          <cell r="V330">
            <v>37879</v>
          </cell>
          <cell r="W330">
            <v>0.99652777777777779</v>
          </cell>
          <cell r="X330">
            <v>0.37152777777777779</v>
          </cell>
          <cell r="Y330">
            <v>0.37152777778101154</v>
          </cell>
          <cell r="AB330">
            <v>9</v>
          </cell>
          <cell r="AC330">
            <v>7</v>
          </cell>
          <cell r="AD330">
            <v>0</v>
          </cell>
          <cell r="BF330">
            <v>0</v>
          </cell>
          <cell r="BG330">
            <v>9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</row>
        <row r="331">
          <cell r="C331">
            <v>37826</v>
          </cell>
          <cell r="D331">
            <v>37900</v>
          </cell>
          <cell r="E331">
            <v>37881</v>
          </cell>
          <cell r="F331">
            <v>0.97916666666666663</v>
          </cell>
          <cell r="G331" t="str">
            <v>Células de Solda Manual</v>
          </cell>
          <cell r="H331" t="str">
            <v>Vazamento d'água na tocha do robô</v>
          </cell>
          <cell r="I331" t="str">
            <v>Corretiva</v>
          </cell>
          <cell r="J331" t="str">
            <v>Sim</v>
          </cell>
          <cell r="K331" t="str">
            <v>Mecânica</v>
          </cell>
          <cell r="L331" t="str">
            <v>Substituição do(s) Componente(s)</v>
          </cell>
          <cell r="M331" t="str">
            <v>Defeito de Fabricação</v>
          </cell>
          <cell r="N331">
            <v>37881</v>
          </cell>
          <cell r="O331">
            <v>0.97916666666666663</v>
          </cell>
          <cell r="P331">
            <v>37881</v>
          </cell>
          <cell r="Q331">
            <v>0.97916666666666663</v>
          </cell>
          <cell r="T331">
            <v>37882</v>
          </cell>
          <cell r="U331">
            <v>0.47916666666666669</v>
          </cell>
          <cell r="V331">
            <v>37882</v>
          </cell>
          <cell r="W331">
            <v>0.47916666666666669</v>
          </cell>
          <cell r="X331">
            <v>0.5</v>
          </cell>
          <cell r="Y331">
            <v>0.49999999999757472</v>
          </cell>
          <cell r="AB331">
            <v>9</v>
          </cell>
          <cell r="AC331">
            <v>7</v>
          </cell>
          <cell r="AD331">
            <v>0</v>
          </cell>
          <cell r="BF331">
            <v>0</v>
          </cell>
          <cell r="BG331">
            <v>9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</row>
        <row r="332">
          <cell r="C332">
            <v>37826</v>
          </cell>
          <cell r="I332">
            <v>0</v>
          </cell>
          <cell r="N332">
            <v>0</v>
          </cell>
          <cell r="P332">
            <v>0</v>
          </cell>
          <cell r="T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AB332">
            <v>0</v>
          </cell>
          <cell r="AC332">
            <v>7</v>
          </cell>
          <cell r="AD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</row>
        <row r="333">
          <cell r="C333">
            <v>37826</v>
          </cell>
          <cell r="D333">
            <v>37868</v>
          </cell>
          <cell r="E333">
            <v>37867</v>
          </cell>
          <cell r="F333">
            <v>0.4861111111111111</v>
          </cell>
          <cell r="G333" t="str">
            <v>Células de Solda Manual</v>
          </cell>
          <cell r="H333" t="str">
            <v>Mangueira d'água para refrigeração da tocha apresenta vazamento</v>
          </cell>
          <cell r="I333" t="str">
            <v>Corretiva</v>
          </cell>
          <cell r="J333" t="str">
            <v>Sim</v>
          </cell>
          <cell r="K333" t="str">
            <v>Mecânica</v>
          </cell>
          <cell r="L333" t="str">
            <v>Reparo</v>
          </cell>
          <cell r="M333" t="str">
            <v>Desgaste / Fadiga</v>
          </cell>
          <cell r="N333">
            <v>37867</v>
          </cell>
          <cell r="O333">
            <v>0.54166666666666663</v>
          </cell>
          <cell r="P333">
            <v>37867</v>
          </cell>
          <cell r="Q333">
            <v>0.54166666666666663</v>
          </cell>
          <cell r="T333">
            <v>37867</v>
          </cell>
          <cell r="U333">
            <v>0.57986111111111105</v>
          </cell>
          <cell r="V333">
            <v>37867</v>
          </cell>
          <cell r="W333">
            <v>0.57986111111111105</v>
          </cell>
          <cell r="X333">
            <v>3.819444444444442E-2</v>
          </cell>
          <cell r="Y333">
            <v>3.8194444442827602E-2</v>
          </cell>
          <cell r="AB333">
            <v>9</v>
          </cell>
          <cell r="AC333">
            <v>7</v>
          </cell>
          <cell r="AD333">
            <v>0</v>
          </cell>
          <cell r="BF333">
            <v>0</v>
          </cell>
          <cell r="BG333">
            <v>9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</row>
        <row r="334">
          <cell r="C334">
            <v>37826</v>
          </cell>
          <cell r="D334">
            <v>37918</v>
          </cell>
          <cell r="E334">
            <v>37888</v>
          </cell>
          <cell r="F334">
            <v>0.33333333333333331</v>
          </cell>
          <cell r="G334" t="str">
            <v>Células de Solda Manual</v>
          </cell>
          <cell r="H334" t="str">
            <v>Máquina não liga</v>
          </cell>
          <cell r="I334" t="str">
            <v>Corretiva</v>
          </cell>
          <cell r="J334" t="str">
            <v>Sim</v>
          </cell>
          <cell r="K334" t="str">
            <v>Elétrica</v>
          </cell>
          <cell r="L334" t="str">
            <v>Reparo</v>
          </cell>
          <cell r="M334" t="str">
            <v>Falha Operacional</v>
          </cell>
          <cell r="N334">
            <v>37888</v>
          </cell>
          <cell r="O334">
            <v>0.34375</v>
          </cell>
          <cell r="P334">
            <v>37888</v>
          </cell>
          <cell r="Q334">
            <v>0.34375</v>
          </cell>
          <cell r="T334">
            <v>37888</v>
          </cell>
          <cell r="U334">
            <v>0.3576388888888889</v>
          </cell>
          <cell r="V334">
            <v>37888</v>
          </cell>
          <cell r="W334">
            <v>0.3576388888888889</v>
          </cell>
          <cell r="X334">
            <v>1.3888888888888895E-2</v>
          </cell>
          <cell r="Y334">
            <v>1.3888888890505768E-2</v>
          </cell>
          <cell r="AB334">
            <v>9</v>
          </cell>
          <cell r="AC334">
            <v>7</v>
          </cell>
          <cell r="AD334">
            <v>0</v>
          </cell>
          <cell r="BF334">
            <v>0</v>
          </cell>
          <cell r="BG334">
            <v>9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</row>
        <row r="335">
          <cell r="C335">
            <v>37826</v>
          </cell>
          <cell r="D335">
            <v>37928</v>
          </cell>
          <cell r="E335">
            <v>37889</v>
          </cell>
          <cell r="F335">
            <v>0.54166666666666663</v>
          </cell>
          <cell r="G335" t="str">
            <v>Células de Solda Manual</v>
          </cell>
          <cell r="H335" t="str">
            <v>Rolamento do Exaustor Travado</v>
          </cell>
          <cell r="I335" t="str">
            <v>Corretiva</v>
          </cell>
          <cell r="J335" t="str">
            <v>Sim</v>
          </cell>
          <cell r="K335" t="str">
            <v>Mecânica</v>
          </cell>
          <cell r="L335" t="str">
            <v>Lubrificação do Componente</v>
          </cell>
          <cell r="M335" t="str">
            <v>Falta de Lubrificação</v>
          </cell>
          <cell r="N335">
            <v>37889</v>
          </cell>
          <cell r="O335">
            <v>0.54166666666666663</v>
          </cell>
          <cell r="P335">
            <v>37889</v>
          </cell>
          <cell r="Q335">
            <v>0.54166666666666663</v>
          </cell>
          <cell r="T335">
            <v>37889</v>
          </cell>
          <cell r="U335">
            <v>0.5625</v>
          </cell>
          <cell r="V335">
            <v>37889</v>
          </cell>
          <cell r="W335">
            <v>0.5625</v>
          </cell>
          <cell r="X335">
            <v>2.083333333333337E-2</v>
          </cell>
          <cell r="Y335">
            <v>2.083333333333337E-2</v>
          </cell>
          <cell r="AB335">
            <v>9</v>
          </cell>
          <cell r="AC335">
            <v>7</v>
          </cell>
          <cell r="AD335">
            <v>0</v>
          </cell>
          <cell r="BF335">
            <v>0</v>
          </cell>
          <cell r="BG335">
            <v>9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</row>
        <row r="336">
          <cell r="C336">
            <v>37826</v>
          </cell>
          <cell r="D336">
            <v>37970</v>
          </cell>
          <cell r="E336">
            <v>37839</v>
          </cell>
          <cell r="F336">
            <v>0.70833333333333337</v>
          </cell>
          <cell r="G336" t="str">
            <v>Células de Solda Manual</v>
          </cell>
          <cell r="H336" t="str">
            <v>Lâmpadas não acendem</v>
          </cell>
          <cell r="I336">
            <v>0</v>
          </cell>
          <cell r="J336" t="str">
            <v>Não</v>
          </cell>
          <cell r="K336" t="str">
            <v>Elétrica</v>
          </cell>
          <cell r="L336" t="str">
            <v>Substituição do(s) Componente(s)</v>
          </cell>
          <cell r="M336" t="str">
            <v>Desgaste / Fadiga</v>
          </cell>
          <cell r="N336">
            <v>37839</v>
          </cell>
          <cell r="O336">
            <v>0.70833333333333337</v>
          </cell>
          <cell r="P336">
            <v>0</v>
          </cell>
          <cell r="Q336">
            <v>0.71875</v>
          </cell>
          <cell r="R336">
            <v>37881</v>
          </cell>
          <cell r="S336">
            <v>0.66666666666666663</v>
          </cell>
          <cell r="T336">
            <v>37881</v>
          </cell>
          <cell r="U336">
            <v>0.75555555555555554</v>
          </cell>
          <cell r="V336">
            <v>0</v>
          </cell>
          <cell r="W336">
            <v>9.9305555555555536E-2</v>
          </cell>
          <cell r="X336">
            <v>0</v>
          </cell>
          <cell r="Y336">
            <v>0</v>
          </cell>
          <cell r="AB336">
            <v>9</v>
          </cell>
          <cell r="AC336">
            <v>7</v>
          </cell>
          <cell r="AD336">
            <v>0</v>
          </cell>
          <cell r="BF336">
            <v>0</v>
          </cell>
          <cell r="BG336">
            <v>9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</row>
        <row r="337">
          <cell r="C337">
            <v>37826</v>
          </cell>
          <cell r="D337">
            <v>37858</v>
          </cell>
          <cell r="E337">
            <v>37832</v>
          </cell>
          <cell r="F337">
            <v>0.41666666666666669</v>
          </cell>
          <cell r="G337" t="str">
            <v>Linha de Pintura 8,5m</v>
          </cell>
          <cell r="H337" t="str">
            <v>Pistolas manuais 07 e 14 apresentam mau contato</v>
          </cell>
          <cell r="I337" t="str">
            <v>Corretiva</v>
          </cell>
          <cell r="J337" t="str">
            <v>Não</v>
          </cell>
          <cell r="K337" t="str">
            <v>Elétrica</v>
          </cell>
          <cell r="L337" t="str">
            <v>Correção de mau contato</v>
          </cell>
          <cell r="M337" t="str">
            <v>Desgaste / Fadiga</v>
          </cell>
          <cell r="N337">
            <v>37834</v>
          </cell>
          <cell r="O337">
            <v>0.375</v>
          </cell>
          <cell r="P337">
            <v>37834</v>
          </cell>
          <cell r="Q337">
            <v>0.375</v>
          </cell>
          <cell r="T337">
            <v>37834</v>
          </cell>
          <cell r="U337">
            <v>0.43611111111111112</v>
          </cell>
          <cell r="V337">
            <v>37834</v>
          </cell>
          <cell r="W337">
            <v>0.43611111111111112</v>
          </cell>
          <cell r="X337">
            <v>6.1111111113859806E-2</v>
          </cell>
          <cell r="Y337">
            <v>6.1111111113859806E-2</v>
          </cell>
          <cell r="AB337">
            <v>8</v>
          </cell>
          <cell r="AC337">
            <v>7</v>
          </cell>
          <cell r="AD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8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</row>
        <row r="338">
          <cell r="C338">
            <v>37826</v>
          </cell>
          <cell r="D338">
            <v>37838</v>
          </cell>
          <cell r="E338">
            <v>37832</v>
          </cell>
          <cell r="F338">
            <v>0.60416666666666663</v>
          </cell>
          <cell r="G338" t="str">
            <v>Linha de Pintura 8,5m</v>
          </cell>
          <cell r="H338" t="str">
            <v>Movimentação simultânea de 02 bastidores, ocasionando colisão</v>
          </cell>
          <cell r="I338" t="str">
            <v>Corretiva</v>
          </cell>
          <cell r="J338" t="str">
            <v>Sim</v>
          </cell>
          <cell r="K338" t="str">
            <v>Mecânica</v>
          </cell>
          <cell r="L338" t="str">
            <v>Destravamento dos Componentes</v>
          </cell>
          <cell r="M338" t="str">
            <v>Falha de Comando / Sistema</v>
          </cell>
          <cell r="N338">
            <v>37832</v>
          </cell>
          <cell r="O338">
            <v>0.60416666666666663</v>
          </cell>
          <cell r="P338">
            <v>37832</v>
          </cell>
          <cell r="Q338">
            <v>0.60416666666666663</v>
          </cell>
          <cell r="T338">
            <v>37832</v>
          </cell>
          <cell r="U338">
            <v>0.63888888888888895</v>
          </cell>
          <cell r="V338">
            <v>37832</v>
          </cell>
          <cell r="W338">
            <v>0.63888888888888895</v>
          </cell>
          <cell r="X338">
            <v>3.4722222222222321E-2</v>
          </cell>
          <cell r="Y338">
            <v>3.4722222223839139E-2</v>
          </cell>
          <cell r="AB338">
            <v>7</v>
          </cell>
          <cell r="AC338">
            <v>7</v>
          </cell>
          <cell r="AD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7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</row>
        <row r="339">
          <cell r="C339">
            <v>37826</v>
          </cell>
          <cell r="D339">
            <v>37865</v>
          </cell>
          <cell r="E339">
            <v>37844</v>
          </cell>
          <cell r="F339">
            <v>0.54861111111111105</v>
          </cell>
          <cell r="G339" t="str">
            <v>Linha de Pintura 8,5m</v>
          </cell>
          <cell r="H339" t="str">
            <v>Sobrecarga nos motores de enxágüe 01,02 e 03</v>
          </cell>
          <cell r="I339" t="str">
            <v>Corretiva</v>
          </cell>
          <cell r="J339" t="str">
            <v>Sim</v>
          </cell>
          <cell r="K339" t="str">
            <v>Elétrica</v>
          </cell>
          <cell r="L339" t="str">
            <v>Substituição do(s) Componente(s)</v>
          </cell>
          <cell r="M339" t="str">
            <v>Aquecimento</v>
          </cell>
          <cell r="N339">
            <v>37844</v>
          </cell>
          <cell r="O339">
            <v>0.5625</v>
          </cell>
          <cell r="P339">
            <v>37844</v>
          </cell>
          <cell r="Q339">
            <v>0.5625</v>
          </cell>
          <cell r="T339">
            <v>37845</v>
          </cell>
          <cell r="U339">
            <v>0.35416666666666669</v>
          </cell>
          <cell r="V339">
            <v>37845</v>
          </cell>
          <cell r="W339">
            <v>0.35416666666666669</v>
          </cell>
          <cell r="X339">
            <v>0.54166666666666674</v>
          </cell>
          <cell r="Y339">
            <v>0.54166666666424135</v>
          </cell>
          <cell r="AB339">
            <v>8</v>
          </cell>
          <cell r="AC339">
            <v>7</v>
          </cell>
          <cell r="AD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8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</row>
        <row r="340">
          <cell r="C340">
            <v>37826</v>
          </cell>
          <cell r="D340">
            <v>37865</v>
          </cell>
          <cell r="E340">
            <v>37860</v>
          </cell>
          <cell r="F340">
            <v>0.52083333333333337</v>
          </cell>
          <cell r="G340" t="str">
            <v>Linha de Pintura 8,5m</v>
          </cell>
          <cell r="H340" t="str">
            <v>Falha no elevador 01 de descarga</v>
          </cell>
          <cell r="I340" t="str">
            <v>Corretiva</v>
          </cell>
          <cell r="J340" t="str">
            <v>Sim</v>
          </cell>
          <cell r="K340" t="str">
            <v>Mecânica</v>
          </cell>
          <cell r="L340" t="str">
            <v>Ajuste / Regulagem</v>
          </cell>
          <cell r="M340" t="str">
            <v>Vibração</v>
          </cell>
          <cell r="N340">
            <v>37860</v>
          </cell>
          <cell r="O340">
            <v>0.53472222222222221</v>
          </cell>
          <cell r="P340">
            <v>37860</v>
          </cell>
          <cell r="Q340">
            <v>0.53472222222222221</v>
          </cell>
          <cell r="T340">
            <v>37860</v>
          </cell>
          <cell r="U340">
            <v>0.54861111111111105</v>
          </cell>
          <cell r="V340">
            <v>37860</v>
          </cell>
          <cell r="W340">
            <v>0.54861111111111105</v>
          </cell>
          <cell r="X340">
            <v>1.388888888888884E-2</v>
          </cell>
          <cell r="Y340">
            <v>1.3888888887272022E-2</v>
          </cell>
          <cell r="AB340">
            <v>8</v>
          </cell>
          <cell r="AC340">
            <v>7</v>
          </cell>
          <cell r="AD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8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</row>
        <row r="341">
          <cell r="C341">
            <v>37826</v>
          </cell>
          <cell r="D341">
            <v>37868</v>
          </cell>
          <cell r="E341">
            <v>37862</v>
          </cell>
          <cell r="F341">
            <v>0.25</v>
          </cell>
          <cell r="G341" t="str">
            <v>Linha de Pintura 8,5m</v>
          </cell>
          <cell r="H341" t="str">
            <v>Puxador da tampa de fosfato está quebrado</v>
          </cell>
          <cell r="I341" t="str">
            <v>Corretiva</v>
          </cell>
          <cell r="J341" t="str">
            <v>Não</v>
          </cell>
          <cell r="K341" t="str">
            <v>Mecânica</v>
          </cell>
          <cell r="L341" t="str">
            <v>Substituição do(s) Componente(s)</v>
          </cell>
          <cell r="M341" t="str">
            <v>Defeito de Fabricação</v>
          </cell>
          <cell r="N341">
            <v>37862</v>
          </cell>
          <cell r="O341">
            <v>0.625</v>
          </cell>
          <cell r="P341">
            <v>37862</v>
          </cell>
          <cell r="Q341">
            <v>0.625</v>
          </cell>
          <cell r="T341">
            <v>37862</v>
          </cell>
          <cell r="U341">
            <v>0.66666666666666663</v>
          </cell>
          <cell r="V341">
            <v>37862</v>
          </cell>
          <cell r="W341">
            <v>0.66666666666666663</v>
          </cell>
          <cell r="X341">
            <v>4.1666666664241347E-2</v>
          </cell>
          <cell r="Y341">
            <v>4.1666666664241347E-2</v>
          </cell>
          <cell r="AB341">
            <v>8</v>
          </cell>
          <cell r="AC341">
            <v>7</v>
          </cell>
          <cell r="AD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8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</row>
        <row r="342">
          <cell r="C342">
            <v>37826</v>
          </cell>
          <cell r="I342">
            <v>0</v>
          </cell>
          <cell r="N342">
            <v>0</v>
          </cell>
          <cell r="P342">
            <v>0</v>
          </cell>
          <cell r="T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AB342">
            <v>0</v>
          </cell>
          <cell r="AC342">
            <v>7</v>
          </cell>
          <cell r="AD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</row>
        <row r="343">
          <cell r="C343">
            <v>37826</v>
          </cell>
          <cell r="D343">
            <v>37881</v>
          </cell>
          <cell r="E343">
            <v>37874</v>
          </cell>
          <cell r="F343">
            <v>0.5625</v>
          </cell>
          <cell r="G343" t="str">
            <v>Linha de Pintura 8,5m</v>
          </cell>
          <cell r="H343" t="str">
            <v>Sobrecarga nos motores</v>
          </cell>
          <cell r="I343" t="str">
            <v>Corretiva</v>
          </cell>
          <cell r="J343" t="str">
            <v>Sim</v>
          </cell>
          <cell r="K343" t="str">
            <v>Elétrica</v>
          </cell>
          <cell r="L343" t="str">
            <v>Substituição do(s) Componente(s)</v>
          </cell>
          <cell r="M343" t="str">
            <v>Mau contato</v>
          </cell>
          <cell r="N343">
            <v>37874</v>
          </cell>
          <cell r="O343">
            <v>0.63194444444444442</v>
          </cell>
          <cell r="P343">
            <v>37874</v>
          </cell>
          <cell r="Q343">
            <v>0.66666666666666663</v>
          </cell>
          <cell r="R343">
            <v>37874</v>
          </cell>
          <cell r="S343">
            <v>0.75</v>
          </cell>
          <cell r="T343">
            <v>37874</v>
          </cell>
          <cell r="U343">
            <v>0.82638888888888884</v>
          </cell>
          <cell r="V343">
            <v>6.944444444444442E-2</v>
          </cell>
          <cell r="W343">
            <v>0.18055555555555547</v>
          </cell>
          <cell r="X343">
            <v>0.11111111111111105</v>
          </cell>
          <cell r="Y343" t="str">
            <v>Havia cabo em curto. Substituição de terminais e parafusos</v>
          </cell>
          <cell r="AB343">
            <v>9</v>
          </cell>
          <cell r="AC343">
            <v>7</v>
          </cell>
          <cell r="AD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9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</row>
        <row r="344">
          <cell r="C344">
            <v>37826</v>
          </cell>
          <cell r="D344">
            <v>37918</v>
          </cell>
          <cell r="E344">
            <v>37894</v>
          </cell>
          <cell r="F344">
            <v>0.58333333333333337</v>
          </cell>
          <cell r="G344" t="str">
            <v>Linha de Pintura 8,5m</v>
          </cell>
          <cell r="H344" t="str">
            <v>Exaustão não funciona</v>
          </cell>
          <cell r="I344" t="str">
            <v>Corretiva</v>
          </cell>
          <cell r="J344" t="str">
            <v>Sim</v>
          </cell>
          <cell r="K344" t="str">
            <v>Elétrica</v>
          </cell>
          <cell r="L344" t="str">
            <v>Substituição do(s) Componente(s)</v>
          </cell>
          <cell r="M344" t="str">
            <v>Sobrecarga</v>
          </cell>
          <cell r="N344">
            <v>37894</v>
          </cell>
          <cell r="O344">
            <v>0.59027777777777779</v>
          </cell>
          <cell r="P344">
            <v>37894</v>
          </cell>
          <cell r="Q344">
            <v>0.59027777777777779</v>
          </cell>
          <cell r="T344">
            <v>37894</v>
          </cell>
          <cell r="U344">
            <v>0.60416666666666663</v>
          </cell>
          <cell r="V344">
            <v>37894</v>
          </cell>
          <cell r="W344">
            <v>0.60416666666666663</v>
          </cell>
          <cell r="X344">
            <v>1.388888888888884E-2</v>
          </cell>
          <cell r="Y344">
            <v>1.3888888886463557E-2</v>
          </cell>
          <cell r="AB344">
            <v>9</v>
          </cell>
          <cell r="AC344">
            <v>7</v>
          </cell>
          <cell r="AD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9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</row>
        <row r="345">
          <cell r="C345">
            <v>37826</v>
          </cell>
          <cell r="D345">
            <v>37902</v>
          </cell>
          <cell r="E345">
            <v>37896</v>
          </cell>
          <cell r="F345">
            <v>0.5</v>
          </cell>
          <cell r="G345" t="str">
            <v>Linha de Pintura 8,5m</v>
          </cell>
          <cell r="H345" t="str">
            <v>Mangueiras das pistolas danificadas</v>
          </cell>
          <cell r="I345" t="str">
            <v>Corretiva</v>
          </cell>
          <cell r="J345" t="str">
            <v>Não</v>
          </cell>
          <cell r="K345" t="str">
            <v>Mecânica</v>
          </cell>
          <cell r="L345" t="str">
            <v>Substituição do(s) Componente(s)</v>
          </cell>
          <cell r="M345" t="str">
            <v>Desgaste / Fadiga</v>
          </cell>
          <cell r="N345">
            <v>37900</v>
          </cell>
          <cell r="O345">
            <v>0.375</v>
          </cell>
          <cell r="P345">
            <v>37900</v>
          </cell>
          <cell r="Q345">
            <v>0.375</v>
          </cell>
          <cell r="T345">
            <v>37900</v>
          </cell>
          <cell r="U345">
            <v>0.57638888888888895</v>
          </cell>
          <cell r="V345">
            <v>37900</v>
          </cell>
          <cell r="W345">
            <v>0.57638888888888895</v>
          </cell>
          <cell r="X345">
            <v>0.20138888889050577</v>
          </cell>
          <cell r="Y345">
            <v>0.20138888889050577</v>
          </cell>
          <cell r="AB345">
            <v>10</v>
          </cell>
          <cell r="AC345">
            <v>7</v>
          </cell>
          <cell r="AD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10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</row>
        <row r="346">
          <cell r="C346">
            <v>37826</v>
          </cell>
          <cell r="D346">
            <v>37970</v>
          </cell>
          <cell r="E346">
            <v>37898</v>
          </cell>
          <cell r="F346">
            <v>0.41666666666666669</v>
          </cell>
          <cell r="G346" t="str">
            <v>Linha de Pintura 15m</v>
          </cell>
          <cell r="H346" t="str">
            <v>Funcionamento com meia fase</v>
          </cell>
          <cell r="I346">
            <v>0</v>
          </cell>
          <cell r="J346" t="str">
            <v>Sim</v>
          </cell>
          <cell r="K346" t="str">
            <v>Elétrica</v>
          </cell>
          <cell r="L346" t="str">
            <v>Correção de mau contato</v>
          </cell>
          <cell r="M346" t="str">
            <v>Vibração</v>
          </cell>
          <cell r="N346">
            <v>37898</v>
          </cell>
          <cell r="O346">
            <v>0.41666666666666669</v>
          </cell>
          <cell r="P346">
            <v>0</v>
          </cell>
          <cell r="T346">
            <v>37898</v>
          </cell>
          <cell r="U346">
            <v>0.625</v>
          </cell>
          <cell r="V346">
            <v>0</v>
          </cell>
          <cell r="W346">
            <v>0.20833333333333331</v>
          </cell>
          <cell r="X346">
            <v>0</v>
          </cell>
          <cell r="Y346">
            <v>0</v>
          </cell>
          <cell r="AB346">
            <v>10</v>
          </cell>
          <cell r="AC346">
            <v>7</v>
          </cell>
          <cell r="AD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10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</row>
        <row r="347">
          <cell r="C347">
            <v>37826</v>
          </cell>
          <cell r="D347">
            <v>37918</v>
          </cell>
          <cell r="E347">
            <v>37902</v>
          </cell>
          <cell r="F347">
            <v>0.88194444444444453</v>
          </cell>
          <cell r="G347" t="str">
            <v>Linha de Pintura 15m</v>
          </cell>
          <cell r="H347" t="str">
            <v>Linha parou de funcionar</v>
          </cell>
          <cell r="I347" t="str">
            <v>Corretiva</v>
          </cell>
          <cell r="J347" t="str">
            <v>Sim</v>
          </cell>
          <cell r="K347" t="str">
            <v>Mecânica</v>
          </cell>
          <cell r="L347" t="str">
            <v>Substituição do(s) Componente(s)</v>
          </cell>
          <cell r="M347" t="str">
            <v>Sobrecarga</v>
          </cell>
          <cell r="N347">
            <v>37902</v>
          </cell>
          <cell r="O347">
            <v>0.89583333333333337</v>
          </cell>
          <cell r="P347">
            <v>37902</v>
          </cell>
          <cell r="Q347">
            <v>0.89583333333333337</v>
          </cell>
          <cell r="T347">
            <v>37902</v>
          </cell>
          <cell r="U347">
            <v>0.9375</v>
          </cell>
          <cell r="V347">
            <v>37902</v>
          </cell>
          <cell r="W347">
            <v>0.9375</v>
          </cell>
          <cell r="X347">
            <v>4.166666666666663E-2</v>
          </cell>
          <cell r="Y347">
            <v>4.166666666666663E-2</v>
          </cell>
          <cell r="AB347">
            <v>10</v>
          </cell>
          <cell r="AC347">
            <v>7</v>
          </cell>
          <cell r="AD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10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</row>
        <row r="348">
          <cell r="C348">
            <v>37826</v>
          </cell>
          <cell r="D348">
            <v>37928</v>
          </cell>
          <cell r="E348">
            <v>37922</v>
          </cell>
          <cell r="F348">
            <v>0.41666666666666669</v>
          </cell>
          <cell r="G348" t="str">
            <v>Linha de Pintura 8,5m</v>
          </cell>
          <cell r="H348" t="str">
            <v>Bomba do Recuperador de pó necessita de Limpeza - Mangueira furada</v>
          </cell>
          <cell r="I348" t="str">
            <v>Corretiva</v>
          </cell>
          <cell r="J348" t="str">
            <v>Não</v>
          </cell>
          <cell r="K348" t="str">
            <v>Mecânica</v>
          </cell>
          <cell r="L348" t="str">
            <v>Limpeza do Equipamento / Componente</v>
          </cell>
          <cell r="M348" t="str">
            <v>Sujeira em excesso</v>
          </cell>
          <cell r="N348">
            <v>37922</v>
          </cell>
          <cell r="O348">
            <v>0.41666666666666669</v>
          </cell>
          <cell r="P348">
            <v>37922</v>
          </cell>
          <cell r="Q348">
            <v>0.41666666666666669</v>
          </cell>
          <cell r="T348">
            <v>37922</v>
          </cell>
          <cell r="U348">
            <v>0.45833333333333331</v>
          </cell>
          <cell r="V348">
            <v>37922</v>
          </cell>
          <cell r="W348">
            <v>0.45833333333333331</v>
          </cell>
          <cell r="X348">
            <v>4.1666666669091967E-2</v>
          </cell>
          <cell r="Y348">
            <v>4.1666666669091967E-2</v>
          </cell>
          <cell r="AB348">
            <v>10</v>
          </cell>
          <cell r="AC348">
            <v>7</v>
          </cell>
          <cell r="AD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10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</row>
        <row r="349">
          <cell r="C349">
            <v>37826</v>
          </cell>
          <cell r="D349">
            <v>37970</v>
          </cell>
          <cell r="E349">
            <v>37953</v>
          </cell>
          <cell r="F349">
            <v>37953</v>
          </cell>
          <cell r="G349">
            <v>0.41666666666666669</v>
          </cell>
          <cell r="H349" t="str">
            <v>Anomalia no elevador de descarga</v>
          </cell>
          <cell r="I349">
            <v>0</v>
          </cell>
          <cell r="J349" t="str">
            <v>Sim</v>
          </cell>
          <cell r="K349" t="str">
            <v>Elétrica</v>
          </cell>
          <cell r="L349" t="str">
            <v>Sim</v>
          </cell>
          <cell r="M349" t="str">
            <v>Causa não especificada</v>
          </cell>
          <cell r="N349">
            <v>37953</v>
          </cell>
          <cell r="O349">
            <v>0.41666666666666669</v>
          </cell>
          <cell r="P349">
            <v>37953</v>
          </cell>
          <cell r="Q349">
            <v>0.41666666666666669</v>
          </cell>
          <cell r="T349">
            <v>37953</v>
          </cell>
          <cell r="U349">
            <v>0.4375</v>
          </cell>
          <cell r="V349">
            <v>37953</v>
          </cell>
          <cell r="W349">
            <v>0.4375</v>
          </cell>
          <cell r="X349">
            <v>2.0833333333333315E-2</v>
          </cell>
          <cell r="Y349">
            <v>2.0833333333333315E-2</v>
          </cell>
          <cell r="AB349">
            <v>11</v>
          </cell>
          <cell r="AC349">
            <v>7</v>
          </cell>
          <cell r="AD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11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</row>
        <row r="350">
          <cell r="C350">
            <v>37826</v>
          </cell>
          <cell r="D350">
            <v>37928</v>
          </cell>
          <cell r="E350">
            <v>37926</v>
          </cell>
          <cell r="F350">
            <v>0.60902777777777783</v>
          </cell>
          <cell r="G350" t="str">
            <v>Linha de Pintura 8,5m</v>
          </cell>
          <cell r="H350" t="str">
            <v>Ssitema de Exaustão apresenta funcionamento inadequado</v>
          </cell>
          <cell r="I350" t="str">
            <v>Corretiva</v>
          </cell>
          <cell r="J350" t="str">
            <v>Sim</v>
          </cell>
          <cell r="K350" t="str">
            <v>Elétrica</v>
          </cell>
          <cell r="L350" t="str">
            <v>Substituição do(s) Componente(s)</v>
          </cell>
          <cell r="M350" t="str">
            <v>Sobrecarga</v>
          </cell>
          <cell r="N350">
            <v>37926</v>
          </cell>
          <cell r="O350">
            <v>0.61111111111111105</v>
          </cell>
          <cell r="P350">
            <v>37926</v>
          </cell>
          <cell r="Q350">
            <v>0.61111111111111105</v>
          </cell>
          <cell r="T350">
            <v>37926</v>
          </cell>
          <cell r="U350">
            <v>0.625</v>
          </cell>
          <cell r="V350">
            <v>37926</v>
          </cell>
          <cell r="W350">
            <v>0.625</v>
          </cell>
          <cell r="X350">
            <v>1.3888888888888951E-2</v>
          </cell>
          <cell r="Y350">
            <v>1.3888888888888951E-2</v>
          </cell>
          <cell r="AB350">
            <v>11</v>
          </cell>
          <cell r="AC350">
            <v>7</v>
          </cell>
          <cell r="AD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11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</row>
        <row r="351">
          <cell r="C351">
            <v>37826</v>
          </cell>
          <cell r="D351">
            <v>37970</v>
          </cell>
          <cell r="E351">
            <v>37929</v>
          </cell>
          <cell r="F351">
            <v>37929</v>
          </cell>
          <cell r="G351">
            <v>0.41666666666666669</v>
          </cell>
          <cell r="H351" t="str">
            <v>Peneira do Recuperador de pó rompida</v>
          </cell>
          <cell r="I351">
            <v>0</v>
          </cell>
          <cell r="J351" t="str">
            <v>Não</v>
          </cell>
          <cell r="K351" t="str">
            <v>Mecânica</v>
          </cell>
          <cell r="L351" t="str">
            <v>Não</v>
          </cell>
          <cell r="M351" t="str">
            <v>Desgaste / Fadiga</v>
          </cell>
          <cell r="N351">
            <v>37930</v>
          </cell>
          <cell r="O351">
            <v>0.375</v>
          </cell>
          <cell r="P351">
            <v>37930</v>
          </cell>
          <cell r="Q351">
            <v>0.375</v>
          </cell>
          <cell r="T351">
            <v>37930</v>
          </cell>
          <cell r="U351">
            <v>0.58333333333333337</v>
          </cell>
          <cell r="V351">
            <v>37930</v>
          </cell>
          <cell r="W351">
            <v>0.58333333333333337</v>
          </cell>
          <cell r="X351">
            <v>0.20833333333575865</v>
          </cell>
          <cell r="Y351">
            <v>0.20833333333575865</v>
          </cell>
          <cell r="AB351">
            <v>11</v>
          </cell>
          <cell r="AC351">
            <v>7</v>
          </cell>
          <cell r="AD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11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</row>
        <row r="352">
          <cell r="C352">
            <v>37826</v>
          </cell>
          <cell r="D352">
            <v>37970</v>
          </cell>
          <cell r="E352">
            <v>37929</v>
          </cell>
          <cell r="F352">
            <v>37929</v>
          </cell>
          <cell r="G352">
            <v>0.41666666666666669</v>
          </cell>
          <cell r="H352" t="str">
            <v>Mangueira da Pistola Manual danificada</v>
          </cell>
          <cell r="I352">
            <v>0</v>
          </cell>
          <cell r="J352" t="str">
            <v>Não</v>
          </cell>
          <cell r="K352" t="str">
            <v>Mecânica</v>
          </cell>
          <cell r="L352" t="str">
            <v>Não</v>
          </cell>
          <cell r="M352" t="str">
            <v>Sujeira em excesso</v>
          </cell>
          <cell r="N352">
            <v>37929</v>
          </cell>
          <cell r="O352">
            <v>0.45833333333333331</v>
          </cell>
          <cell r="P352">
            <v>37929</v>
          </cell>
          <cell r="Q352">
            <v>0.45833333333333331</v>
          </cell>
          <cell r="T352">
            <v>37929</v>
          </cell>
          <cell r="U352">
            <v>0.54166666666666663</v>
          </cell>
          <cell r="V352">
            <v>37929</v>
          </cell>
          <cell r="W352">
            <v>0.54166666666666663</v>
          </cell>
          <cell r="X352">
            <v>8.3333333330908033E-2</v>
          </cell>
          <cell r="Y352">
            <v>8.3333333330908033E-2</v>
          </cell>
          <cell r="AB352">
            <v>11</v>
          </cell>
          <cell r="AC352">
            <v>7</v>
          </cell>
          <cell r="AD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11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</row>
        <row r="353">
          <cell r="C353">
            <v>37826</v>
          </cell>
          <cell r="D353">
            <v>37970</v>
          </cell>
          <cell r="E353">
            <v>37932</v>
          </cell>
          <cell r="F353">
            <v>0.625</v>
          </cell>
          <cell r="G353" t="str">
            <v>Linha de Pintura 8,5m</v>
          </cell>
          <cell r="H353" t="str">
            <v>Peças enroscadas no forno de secagem</v>
          </cell>
          <cell r="I353" t="str">
            <v>Corretiva</v>
          </cell>
          <cell r="J353" t="str">
            <v>Sim</v>
          </cell>
          <cell r="K353" t="str">
            <v>Mecânica</v>
          </cell>
          <cell r="L353" t="str">
            <v>Sim</v>
          </cell>
          <cell r="M353" t="str">
            <v>Falha Operacional</v>
          </cell>
          <cell r="N353">
            <v>37932</v>
          </cell>
          <cell r="O353">
            <v>0.625</v>
          </cell>
          <cell r="P353">
            <v>37932</v>
          </cell>
          <cell r="Q353">
            <v>0.625</v>
          </cell>
          <cell r="T353">
            <v>37932</v>
          </cell>
          <cell r="U353">
            <v>0.6875</v>
          </cell>
          <cell r="V353">
            <v>37932</v>
          </cell>
          <cell r="W353">
            <v>0.6875</v>
          </cell>
          <cell r="X353">
            <v>6.25E-2</v>
          </cell>
          <cell r="Y353">
            <v>6.25E-2</v>
          </cell>
          <cell r="AB353">
            <v>11</v>
          </cell>
          <cell r="AC353">
            <v>7</v>
          </cell>
          <cell r="AD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11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</row>
        <row r="354">
          <cell r="C354">
            <v>37826</v>
          </cell>
          <cell r="D354">
            <v>37970</v>
          </cell>
          <cell r="E354">
            <v>37942</v>
          </cell>
          <cell r="F354">
            <v>0.3840277777777778</v>
          </cell>
          <cell r="G354" t="str">
            <v>Linha de Pintura 8,5m</v>
          </cell>
          <cell r="H354" t="str">
            <v>Anomalia na entrada do forno de secagem</v>
          </cell>
          <cell r="I354">
            <v>0</v>
          </cell>
          <cell r="J354" t="str">
            <v>Não</v>
          </cell>
          <cell r="K354" t="str">
            <v>Mecânica</v>
          </cell>
          <cell r="L354" t="str">
            <v>Ajuste / Regulagem</v>
          </cell>
          <cell r="M354" t="str">
            <v>Desgaste / Fadiga</v>
          </cell>
          <cell r="N354">
            <v>37942</v>
          </cell>
          <cell r="O354">
            <v>0.3888888888888889</v>
          </cell>
          <cell r="P354">
            <v>0</v>
          </cell>
          <cell r="T354">
            <v>37942</v>
          </cell>
          <cell r="U354">
            <v>0.41666666666666669</v>
          </cell>
          <cell r="V354">
            <v>0</v>
          </cell>
          <cell r="W354">
            <v>2.7777777775352452E-2</v>
          </cell>
          <cell r="X354">
            <v>0</v>
          </cell>
          <cell r="Y354">
            <v>0</v>
          </cell>
          <cell r="AB354">
            <v>11</v>
          </cell>
          <cell r="AC354">
            <v>7</v>
          </cell>
          <cell r="AD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11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</row>
        <row r="355">
          <cell r="C355">
            <v>37826</v>
          </cell>
          <cell r="D355">
            <v>37970</v>
          </cell>
          <cell r="E355">
            <v>37932</v>
          </cell>
          <cell r="F355">
            <v>0.66666666666666663</v>
          </cell>
          <cell r="G355" t="str">
            <v>Linha de Pintura 8,5m</v>
          </cell>
          <cell r="H355" t="str">
            <v>Falha no exaustor da cabine 01</v>
          </cell>
          <cell r="I355">
            <v>0</v>
          </cell>
          <cell r="J355" t="str">
            <v>Sim</v>
          </cell>
          <cell r="K355" t="str">
            <v>Elétrica</v>
          </cell>
          <cell r="L355" t="str">
            <v>Substituição do(s) Componente(s)</v>
          </cell>
          <cell r="M355" t="str">
            <v>Sobrecarga</v>
          </cell>
          <cell r="N355">
            <v>37932</v>
          </cell>
          <cell r="O355">
            <v>0.70833333333333337</v>
          </cell>
          <cell r="P355">
            <v>0</v>
          </cell>
          <cell r="T355">
            <v>37932</v>
          </cell>
          <cell r="U355">
            <v>0.8125</v>
          </cell>
          <cell r="V355">
            <v>0</v>
          </cell>
          <cell r="W355">
            <v>0.14583333333333337</v>
          </cell>
          <cell r="X355">
            <v>0</v>
          </cell>
          <cell r="Y355">
            <v>0</v>
          </cell>
          <cell r="AB355">
            <v>11</v>
          </cell>
          <cell r="AC355">
            <v>7</v>
          </cell>
          <cell r="AD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11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</row>
        <row r="356">
          <cell r="C356">
            <v>37826</v>
          </cell>
          <cell r="D356">
            <v>37970</v>
          </cell>
          <cell r="E356">
            <v>37932</v>
          </cell>
          <cell r="F356">
            <v>0.66666666666666663</v>
          </cell>
          <cell r="G356" t="str">
            <v>Linha de Pintura 8,5m</v>
          </cell>
          <cell r="H356" t="str">
            <v>Inserir plug no aspirador de pó</v>
          </cell>
          <cell r="I356">
            <v>0</v>
          </cell>
          <cell r="J356" t="str">
            <v>Sim</v>
          </cell>
          <cell r="K356" t="str">
            <v>Elétrica</v>
          </cell>
          <cell r="L356" t="str">
            <v>Substituição do(s) Componente(s)</v>
          </cell>
          <cell r="M356" t="str">
            <v>Falha Operacional</v>
          </cell>
          <cell r="N356">
            <v>37932</v>
          </cell>
          <cell r="O356">
            <v>0.70833333333333337</v>
          </cell>
          <cell r="P356">
            <v>0</v>
          </cell>
          <cell r="T356">
            <v>37932</v>
          </cell>
          <cell r="U356">
            <v>0.71875</v>
          </cell>
          <cell r="V356">
            <v>0</v>
          </cell>
          <cell r="W356">
            <v>5.208333333333337E-2</v>
          </cell>
          <cell r="X356">
            <v>0</v>
          </cell>
          <cell r="Y356">
            <v>0</v>
          </cell>
          <cell r="AB356">
            <v>11</v>
          </cell>
          <cell r="AC356">
            <v>7</v>
          </cell>
          <cell r="AD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11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</row>
        <row r="357">
          <cell r="C357">
            <v>37826</v>
          </cell>
          <cell r="D357">
            <v>37858</v>
          </cell>
          <cell r="E357">
            <v>37838</v>
          </cell>
          <cell r="F357">
            <v>0.41666666666666669</v>
          </cell>
          <cell r="G357" t="str">
            <v>Prensa Jundiaí Conectores</v>
          </cell>
          <cell r="H357" t="str">
            <v>Indicador de curso não funciona</v>
          </cell>
          <cell r="I357" t="str">
            <v>Corretiva</v>
          </cell>
          <cell r="J357" t="str">
            <v>Sim</v>
          </cell>
          <cell r="K357" t="str">
            <v>Mecânica</v>
          </cell>
          <cell r="L357" t="str">
            <v>Substituição do(s) Componente(s)</v>
          </cell>
          <cell r="M357" t="str">
            <v>Vibração</v>
          </cell>
          <cell r="N357">
            <v>37838</v>
          </cell>
          <cell r="O357">
            <v>0.41666666666666669</v>
          </cell>
          <cell r="P357">
            <v>37838</v>
          </cell>
          <cell r="Q357">
            <v>0.41666666666666669</v>
          </cell>
          <cell r="T357">
            <v>37841</v>
          </cell>
          <cell r="U357">
            <v>0.60416666666666663</v>
          </cell>
          <cell r="V357">
            <v>37841</v>
          </cell>
          <cell r="W357">
            <v>0.60416666666666663</v>
          </cell>
          <cell r="X357">
            <v>0.60416666666666652</v>
          </cell>
          <cell r="Y357">
            <v>0.60416666666424135</v>
          </cell>
          <cell r="AB357">
            <v>8</v>
          </cell>
          <cell r="AC357">
            <v>7</v>
          </cell>
          <cell r="AD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8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</row>
        <row r="358">
          <cell r="C358">
            <v>37826</v>
          </cell>
          <cell r="D358">
            <v>37970</v>
          </cell>
          <cell r="E358">
            <v>37858</v>
          </cell>
          <cell r="F358">
            <v>0.2673611111111111</v>
          </cell>
          <cell r="G358" t="str">
            <v>Prensa Jundiaí Conectores</v>
          </cell>
          <cell r="H358" t="str">
            <v>Chave do painel de ajuste está travada</v>
          </cell>
          <cell r="I358">
            <v>0</v>
          </cell>
          <cell r="J358" t="str">
            <v>Não</v>
          </cell>
          <cell r="K358" t="str">
            <v>Elétrica</v>
          </cell>
          <cell r="L358" t="str">
            <v>Substituição do(s) Componente(s)</v>
          </cell>
          <cell r="M358" t="str">
            <v>Desgaste / Fadiga</v>
          </cell>
          <cell r="N358">
            <v>37868</v>
          </cell>
          <cell r="O358">
            <v>0.41666666666666669</v>
          </cell>
          <cell r="P358">
            <v>0</v>
          </cell>
          <cell r="T358">
            <v>37868</v>
          </cell>
          <cell r="U358">
            <v>0.4375</v>
          </cell>
          <cell r="V358">
            <v>0</v>
          </cell>
          <cell r="W358">
            <v>2.0833333333333315E-2</v>
          </cell>
          <cell r="X358">
            <v>0</v>
          </cell>
          <cell r="Y358">
            <v>0</v>
          </cell>
          <cell r="AB358">
            <v>9</v>
          </cell>
          <cell r="AC358">
            <v>7</v>
          </cell>
          <cell r="AD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9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</row>
        <row r="359">
          <cell r="C359">
            <v>37826</v>
          </cell>
          <cell r="D359">
            <v>37858</v>
          </cell>
          <cell r="E359">
            <v>37851</v>
          </cell>
          <cell r="F359">
            <v>0.61805555555555558</v>
          </cell>
          <cell r="G359" t="str">
            <v>Prensa Jundiaí Conectores</v>
          </cell>
          <cell r="H359" t="str">
            <v>Esteira permite a queda de cavacos no chão</v>
          </cell>
          <cell r="I359" t="str">
            <v>Melhoria</v>
          </cell>
          <cell r="J359" t="str">
            <v>Não</v>
          </cell>
          <cell r="K359" t="str">
            <v>Mecânica</v>
          </cell>
          <cell r="L359" t="str">
            <v>Substituição do(s) Componente(s)</v>
          </cell>
          <cell r="M359" t="str">
            <v>Falha de Projeto</v>
          </cell>
          <cell r="N359">
            <v>37852</v>
          </cell>
          <cell r="O359">
            <v>0.625</v>
          </cell>
          <cell r="P359">
            <v>37852</v>
          </cell>
          <cell r="Q359">
            <v>0.625</v>
          </cell>
          <cell r="T359">
            <v>37852</v>
          </cell>
          <cell r="U359">
            <v>0.75</v>
          </cell>
          <cell r="V359">
            <v>37852</v>
          </cell>
          <cell r="W359">
            <v>0.75</v>
          </cell>
          <cell r="X359">
            <v>0.125</v>
          </cell>
          <cell r="Y359">
            <v>0.125</v>
          </cell>
          <cell r="AB359">
            <v>8</v>
          </cell>
          <cell r="AC359">
            <v>7</v>
          </cell>
          <cell r="AD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8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</row>
        <row r="360">
          <cell r="C360">
            <v>37826</v>
          </cell>
          <cell r="D360">
            <v>37874</v>
          </cell>
          <cell r="E360">
            <v>37872</v>
          </cell>
          <cell r="F360">
            <v>0.47916666666666669</v>
          </cell>
          <cell r="G360" t="str">
            <v>Prensa Jundiaí Conectores</v>
          </cell>
          <cell r="H360" t="str">
            <v>Rosca do suporte do micro da porta está espanada</v>
          </cell>
          <cell r="I360" t="str">
            <v>Corretiva</v>
          </cell>
          <cell r="J360" t="str">
            <v>Sim</v>
          </cell>
          <cell r="K360" t="str">
            <v>Mecânica</v>
          </cell>
          <cell r="L360" t="str">
            <v>Reparo</v>
          </cell>
          <cell r="M360" t="str">
            <v>Defeito de Fabricação</v>
          </cell>
          <cell r="N360">
            <v>37872</v>
          </cell>
          <cell r="O360">
            <v>0.47916666666666669</v>
          </cell>
          <cell r="P360">
            <v>37872</v>
          </cell>
          <cell r="Q360">
            <v>0.46527777777777773</v>
          </cell>
          <cell r="T360">
            <v>37872</v>
          </cell>
          <cell r="U360">
            <v>0.4861111111111111</v>
          </cell>
          <cell r="V360">
            <v>37872</v>
          </cell>
          <cell r="W360">
            <v>0.4861111111111111</v>
          </cell>
          <cell r="X360">
            <v>2.083333333333337E-2</v>
          </cell>
          <cell r="Y360">
            <v>2.0833333331716497E-2</v>
          </cell>
          <cell r="AB360">
            <v>9</v>
          </cell>
          <cell r="AC360">
            <v>7</v>
          </cell>
          <cell r="AD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9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</row>
        <row r="361">
          <cell r="C361">
            <v>37826</v>
          </cell>
          <cell r="D361">
            <v>37900</v>
          </cell>
          <cell r="E361">
            <v>37885</v>
          </cell>
          <cell r="F361">
            <v>0.41666666666666669</v>
          </cell>
          <cell r="G361" t="str">
            <v>Prensa Jundiaí Conectores</v>
          </cell>
          <cell r="H361" t="str">
            <v>Esteira de cavacos não funciona</v>
          </cell>
          <cell r="I361" t="str">
            <v>Corretiva</v>
          </cell>
          <cell r="J361" t="str">
            <v>Sim</v>
          </cell>
          <cell r="K361" t="str">
            <v>Mecânica</v>
          </cell>
          <cell r="L361" t="str">
            <v>Limpeza do Equipamento / Componente</v>
          </cell>
          <cell r="M361" t="str">
            <v>Falha de Regulagem / Configuração / Dimensionamento</v>
          </cell>
          <cell r="N361">
            <v>37885</v>
          </cell>
          <cell r="O361">
            <v>0.41666666666666669</v>
          </cell>
          <cell r="P361">
            <v>37885</v>
          </cell>
          <cell r="Q361">
            <v>0.41666666666666669</v>
          </cell>
          <cell r="T361">
            <v>37885</v>
          </cell>
          <cell r="U361">
            <v>0.46180555555555558</v>
          </cell>
          <cell r="V361">
            <v>37885</v>
          </cell>
          <cell r="W361">
            <v>0.46180555555555558</v>
          </cell>
          <cell r="X361">
            <v>4.5138888888888895E-2</v>
          </cell>
          <cell r="Y361">
            <v>4.5138888888080431E-2</v>
          </cell>
          <cell r="AB361">
            <v>9</v>
          </cell>
          <cell r="AC361">
            <v>7</v>
          </cell>
          <cell r="AD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9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</row>
        <row r="362">
          <cell r="C362">
            <v>37826</v>
          </cell>
          <cell r="D362">
            <v>37900</v>
          </cell>
          <cell r="E362">
            <v>37887</v>
          </cell>
          <cell r="F362">
            <v>0.41666666666666669</v>
          </cell>
          <cell r="G362" t="str">
            <v>Prensa Jundiaí Conectores</v>
          </cell>
          <cell r="H362" t="str">
            <v>Porca das Guias do Alimentador Quebrada</v>
          </cell>
          <cell r="I362" t="str">
            <v>Corretiva</v>
          </cell>
          <cell r="J362" t="str">
            <v>Sim</v>
          </cell>
          <cell r="K362" t="str">
            <v>Mecânica</v>
          </cell>
          <cell r="L362" t="str">
            <v>Substituição do(s) Componente(s)</v>
          </cell>
          <cell r="M362" t="str">
            <v>Defeito de Fabricação</v>
          </cell>
          <cell r="N362">
            <v>37887</v>
          </cell>
          <cell r="O362">
            <v>0.41666666666666669</v>
          </cell>
          <cell r="P362">
            <v>37887</v>
          </cell>
          <cell r="Q362">
            <v>0.41666666666666669</v>
          </cell>
          <cell r="T362">
            <v>37887</v>
          </cell>
          <cell r="U362">
            <v>0.47916666666666669</v>
          </cell>
          <cell r="V362">
            <v>37887</v>
          </cell>
          <cell r="W362">
            <v>0.47916666666666669</v>
          </cell>
          <cell r="X362">
            <v>6.25E-2</v>
          </cell>
          <cell r="Y362">
            <v>6.2499999997574662E-2</v>
          </cell>
          <cell r="AB362">
            <v>9</v>
          </cell>
          <cell r="AC362">
            <v>7</v>
          </cell>
          <cell r="AD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9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</row>
        <row r="363">
          <cell r="C363">
            <v>37826</v>
          </cell>
          <cell r="D363">
            <v>37918</v>
          </cell>
          <cell r="E363">
            <v>37902</v>
          </cell>
          <cell r="F363">
            <v>0.33333333333333331</v>
          </cell>
          <cell r="G363" t="str">
            <v>Prensa Jundiaí Conectores</v>
          </cell>
          <cell r="H363" t="str">
            <v>Esteira permite a queda de cavacos no chão</v>
          </cell>
          <cell r="I363" t="str">
            <v>Corretiva</v>
          </cell>
          <cell r="J363" t="str">
            <v>Não</v>
          </cell>
          <cell r="K363" t="str">
            <v>Mecânica</v>
          </cell>
          <cell r="L363" t="str">
            <v>Alteração no sistema de transporte, acrescentando-se nova chapa</v>
          </cell>
          <cell r="M363" t="str">
            <v>Falha de Projeto</v>
          </cell>
          <cell r="N363">
            <v>37902</v>
          </cell>
          <cell r="O363">
            <v>0.35416666666666669</v>
          </cell>
          <cell r="P363">
            <v>37902</v>
          </cell>
          <cell r="Q363">
            <v>0.35416666666666669</v>
          </cell>
          <cell r="T363">
            <v>37902</v>
          </cell>
          <cell r="U363">
            <v>0.4375</v>
          </cell>
          <cell r="V363">
            <v>37902</v>
          </cell>
          <cell r="W363">
            <v>0.4375</v>
          </cell>
          <cell r="X363">
            <v>8.3333333333333315E-2</v>
          </cell>
          <cell r="Y363">
            <v>8.3333333333333315E-2</v>
          </cell>
          <cell r="AB363">
            <v>10</v>
          </cell>
          <cell r="AC363">
            <v>7</v>
          </cell>
          <cell r="AD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10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</row>
        <row r="364">
          <cell r="C364">
            <v>37826</v>
          </cell>
          <cell r="D364">
            <v>37928</v>
          </cell>
          <cell r="E364">
            <v>37911</v>
          </cell>
          <cell r="F364">
            <v>0.31944444444444448</v>
          </cell>
          <cell r="G364" t="str">
            <v>Prensa Jundiaí Conectores</v>
          </cell>
          <cell r="H364" t="str">
            <v>Sensor de Segurança da Ferramenta acionando constantemente</v>
          </cell>
          <cell r="I364" t="str">
            <v>Corretiva</v>
          </cell>
          <cell r="J364" t="str">
            <v>Não</v>
          </cell>
          <cell r="K364" t="str">
            <v>Elétrica</v>
          </cell>
          <cell r="L364" t="str">
            <v>Regulagem do Componente</v>
          </cell>
          <cell r="M364" t="str">
            <v>Falha de Regulagem / Configuração / Dimensionamento</v>
          </cell>
          <cell r="N364">
            <v>37911</v>
          </cell>
          <cell r="O364">
            <v>0.33333333333333331</v>
          </cell>
          <cell r="P364">
            <v>37911</v>
          </cell>
          <cell r="Q364">
            <v>0.33333333333333331</v>
          </cell>
          <cell r="T364">
            <v>37911</v>
          </cell>
          <cell r="U364">
            <v>0.3611111111111111</v>
          </cell>
          <cell r="V364">
            <v>37911</v>
          </cell>
          <cell r="W364">
            <v>0.3611111111111111</v>
          </cell>
          <cell r="X364">
            <v>2.7777777776160917E-2</v>
          </cell>
          <cell r="Y364">
            <v>2.7777777776160917E-2</v>
          </cell>
          <cell r="AB364">
            <v>10</v>
          </cell>
          <cell r="AC364">
            <v>7</v>
          </cell>
          <cell r="AD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10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</row>
        <row r="365">
          <cell r="C365">
            <v>37826</v>
          </cell>
          <cell r="D365">
            <v>37972</v>
          </cell>
          <cell r="E365">
            <v>37953</v>
          </cell>
          <cell r="F365">
            <v>0.3611111111111111</v>
          </cell>
          <cell r="G365" t="str">
            <v>Prensa Jundiaí Conectores</v>
          </cell>
          <cell r="H365" t="str">
            <v>Parafusos do alimentador quebrados</v>
          </cell>
          <cell r="I365">
            <v>0</v>
          </cell>
          <cell r="J365" t="str">
            <v>Não</v>
          </cell>
          <cell r="K365" t="str">
            <v>Mecânica</v>
          </cell>
          <cell r="L365" t="str">
            <v>Substituição do(s) Componente(s)</v>
          </cell>
          <cell r="M365" t="str">
            <v>Sobrecarga</v>
          </cell>
          <cell r="N365">
            <v>37965</v>
          </cell>
          <cell r="O365">
            <v>0.54166666666666663</v>
          </cell>
          <cell r="P365">
            <v>0</v>
          </cell>
          <cell r="T365">
            <v>37965</v>
          </cell>
          <cell r="U365">
            <v>0.83333333333333337</v>
          </cell>
          <cell r="V365">
            <v>0</v>
          </cell>
          <cell r="W365">
            <v>0.29166666666909202</v>
          </cell>
          <cell r="X365">
            <v>0</v>
          </cell>
          <cell r="Y365">
            <v>0</v>
          </cell>
          <cell r="AB365">
            <v>12</v>
          </cell>
          <cell r="AC365">
            <v>7</v>
          </cell>
          <cell r="AD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12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</row>
        <row r="366">
          <cell r="C366">
            <v>37826</v>
          </cell>
          <cell r="D366">
            <v>37972</v>
          </cell>
          <cell r="E366">
            <v>37965</v>
          </cell>
          <cell r="F366">
            <v>0.45833333333333331</v>
          </cell>
          <cell r="G366" t="str">
            <v>Prensa Jundiaí Conectores</v>
          </cell>
          <cell r="H366" t="str">
            <v>Alimentador está solto</v>
          </cell>
          <cell r="I366">
            <v>0</v>
          </cell>
          <cell r="J366" t="str">
            <v>Sim</v>
          </cell>
          <cell r="K366" t="str">
            <v>Mecânica</v>
          </cell>
          <cell r="L366" t="str">
            <v>Reparo</v>
          </cell>
          <cell r="M366" t="str">
            <v>Vibração</v>
          </cell>
          <cell r="N366">
            <v>37965</v>
          </cell>
          <cell r="O366">
            <v>0.54166666666666663</v>
          </cell>
          <cell r="P366">
            <v>0</v>
          </cell>
          <cell r="T366">
            <v>37965</v>
          </cell>
          <cell r="U366">
            <v>0.83333333333333337</v>
          </cell>
          <cell r="V366">
            <v>0</v>
          </cell>
          <cell r="W366">
            <v>0.37500000000242534</v>
          </cell>
          <cell r="X366">
            <v>0</v>
          </cell>
          <cell r="Y366">
            <v>0</v>
          </cell>
          <cell r="AB366">
            <v>12</v>
          </cell>
          <cell r="AC366">
            <v>7</v>
          </cell>
          <cell r="AD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12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</row>
        <row r="367">
          <cell r="C367">
            <v>37826</v>
          </cell>
          <cell r="D367">
            <v>37993</v>
          </cell>
          <cell r="E367">
            <v>37967</v>
          </cell>
          <cell r="F367">
            <v>0.625</v>
          </cell>
          <cell r="G367" t="str">
            <v>Prensa Jundiaí Conectores</v>
          </cell>
          <cell r="H367" t="str">
            <v>Máquina acusando falha de lubrificação</v>
          </cell>
          <cell r="I367">
            <v>0</v>
          </cell>
          <cell r="J367" t="str">
            <v>Não</v>
          </cell>
          <cell r="K367" t="str">
            <v>Mecânica</v>
          </cell>
          <cell r="L367" t="str">
            <v>Limpeza e Regulagem</v>
          </cell>
          <cell r="M367" t="str">
            <v>Falha de Regulagem / Configuração / Dimensionamento</v>
          </cell>
          <cell r="N367">
            <v>0</v>
          </cell>
          <cell r="O367">
            <v>0.625</v>
          </cell>
          <cell r="P367">
            <v>0</v>
          </cell>
          <cell r="T367">
            <v>0</v>
          </cell>
          <cell r="U367">
            <v>0.70833333333333337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AB367">
            <v>0</v>
          </cell>
          <cell r="AC367">
            <v>7</v>
          </cell>
          <cell r="AD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</row>
        <row r="368">
          <cell r="C368">
            <v>37826</v>
          </cell>
          <cell r="D368">
            <v>37868</v>
          </cell>
          <cell r="E368">
            <v>37854</v>
          </cell>
          <cell r="F368">
            <v>0.40972222222222227</v>
          </cell>
          <cell r="G368" t="str">
            <v>Prensa Jundiaí Conectores</v>
          </cell>
          <cell r="H368" t="str">
            <v>Régua graduada do desbobinador está solta</v>
          </cell>
          <cell r="I368" t="str">
            <v>Corretiva</v>
          </cell>
          <cell r="J368" t="str">
            <v>Não</v>
          </cell>
          <cell r="K368" t="str">
            <v>Mecânica</v>
          </cell>
          <cell r="L368" t="str">
            <v>Reparo</v>
          </cell>
          <cell r="M368" t="str">
            <v>Desgaste / Fadiga</v>
          </cell>
          <cell r="N368">
            <v>37854</v>
          </cell>
          <cell r="O368">
            <v>0.40972222222222227</v>
          </cell>
          <cell r="P368">
            <v>37854</v>
          </cell>
          <cell r="Q368">
            <v>0.40972222222222227</v>
          </cell>
          <cell r="T368">
            <v>37854</v>
          </cell>
          <cell r="U368">
            <v>0.47916666666666669</v>
          </cell>
          <cell r="V368">
            <v>37854</v>
          </cell>
          <cell r="W368">
            <v>0.47916666666666669</v>
          </cell>
          <cell r="X368">
            <v>6.9444444442019082E-2</v>
          </cell>
          <cell r="Y368">
            <v>6.9444444442019082E-2</v>
          </cell>
          <cell r="AB368">
            <v>8</v>
          </cell>
          <cell r="AC368">
            <v>7</v>
          </cell>
          <cell r="AD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8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</row>
        <row r="369">
          <cell r="C369">
            <v>37826</v>
          </cell>
          <cell r="I369">
            <v>0</v>
          </cell>
          <cell r="N369">
            <v>0</v>
          </cell>
          <cell r="P369">
            <v>0</v>
          </cell>
          <cell r="T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AB369">
            <v>0</v>
          </cell>
          <cell r="AC369">
            <v>7</v>
          </cell>
          <cell r="AD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</row>
        <row r="370">
          <cell r="C370">
            <v>37826</v>
          </cell>
          <cell r="D370">
            <v>38008</v>
          </cell>
          <cell r="E370">
            <v>37977</v>
          </cell>
          <cell r="F370">
            <v>0.51388888888888895</v>
          </cell>
          <cell r="G370" t="str">
            <v>Prensa Jundiaí Conectores</v>
          </cell>
          <cell r="H370" t="str">
            <v>Esteira parada</v>
          </cell>
          <cell r="I370">
            <v>0</v>
          </cell>
          <cell r="J370" t="str">
            <v>Sim</v>
          </cell>
          <cell r="K370" t="str">
            <v>Mecânica</v>
          </cell>
          <cell r="L370" t="str">
            <v>Destravamento dos Componentes</v>
          </cell>
          <cell r="M370" t="str">
            <v>Desgaste / Fadiga</v>
          </cell>
          <cell r="N370">
            <v>0</v>
          </cell>
          <cell r="O370">
            <v>0.33333333333333331</v>
          </cell>
          <cell r="P370">
            <v>0</v>
          </cell>
          <cell r="T370">
            <v>0</v>
          </cell>
          <cell r="U370">
            <v>0.59375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AB370">
            <v>0</v>
          </cell>
          <cell r="AC370">
            <v>7</v>
          </cell>
          <cell r="AD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</row>
        <row r="371">
          <cell r="C371">
            <v>37826</v>
          </cell>
          <cell r="I371">
            <v>0</v>
          </cell>
          <cell r="N371">
            <v>0</v>
          </cell>
          <cell r="P371">
            <v>0</v>
          </cell>
          <cell r="T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AB371">
            <v>0</v>
          </cell>
          <cell r="AC371">
            <v>7</v>
          </cell>
          <cell r="AD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</row>
        <row r="372">
          <cell r="C372">
            <v>37826</v>
          </cell>
          <cell r="I372">
            <v>0</v>
          </cell>
          <cell r="N372">
            <v>0</v>
          </cell>
          <cell r="P372">
            <v>0</v>
          </cell>
          <cell r="T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AB372">
            <v>0</v>
          </cell>
          <cell r="AC372">
            <v>7</v>
          </cell>
          <cell r="AD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</row>
        <row r="373">
          <cell r="C373">
            <v>37826</v>
          </cell>
          <cell r="I373">
            <v>0</v>
          </cell>
          <cell r="N373">
            <v>0</v>
          </cell>
          <cell r="P373">
            <v>0</v>
          </cell>
          <cell r="T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AB373">
            <v>0</v>
          </cell>
          <cell r="AC373">
            <v>7</v>
          </cell>
          <cell r="AD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</row>
        <row r="374">
          <cell r="C374">
            <v>37826</v>
          </cell>
          <cell r="I374">
            <v>0</v>
          </cell>
          <cell r="N374">
            <v>0</v>
          </cell>
          <cell r="P374">
            <v>0</v>
          </cell>
          <cell r="T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AB374">
            <v>0</v>
          </cell>
          <cell r="AC374">
            <v>7</v>
          </cell>
          <cell r="AD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</row>
        <row r="375">
          <cell r="C375">
            <v>37826</v>
          </cell>
          <cell r="I375">
            <v>0</v>
          </cell>
          <cell r="N375">
            <v>0</v>
          </cell>
          <cell r="P375">
            <v>0</v>
          </cell>
          <cell r="T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AB375">
            <v>0</v>
          </cell>
          <cell r="AC375">
            <v>7</v>
          </cell>
          <cell r="AD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</row>
        <row r="376">
          <cell r="C376">
            <v>37826</v>
          </cell>
          <cell r="I376">
            <v>0</v>
          </cell>
          <cell r="N376">
            <v>0</v>
          </cell>
          <cell r="P376">
            <v>0</v>
          </cell>
          <cell r="T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AB376">
            <v>0</v>
          </cell>
          <cell r="AC376">
            <v>7</v>
          </cell>
          <cell r="AD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</row>
        <row r="377">
          <cell r="C377">
            <v>37839</v>
          </cell>
          <cell r="D377">
            <v>37902</v>
          </cell>
          <cell r="E377">
            <v>37896</v>
          </cell>
          <cell r="F377">
            <v>0.25694444444444448</v>
          </cell>
          <cell r="G377" t="str">
            <v>Prensa Jundiaí</v>
          </cell>
          <cell r="H377" t="str">
            <v>Curso do Martelo não funciona</v>
          </cell>
          <cell r="I377" t="str">
            <v>Corretiva</v>
          </cell>
          <cell r="J377" t="str">
            <v>Sim</v>
          </cell>
          <cell r="K377" t="str">
            <v>Mecânica</v>
          </cell>
          <cell r="L377" t="str">
            <v>Reinicialização do Equipamento / Componente</v>
          </cell>
          <cell r="M377" t="str">
            <v>Sobrecarga</v>
          </cell>
          <cell r="N377">
            <v>37896</v>
          </cell>
          <cell r="O377">
            <v>0.25694444444444448</v>
          </cell>
          <cell r="P377">
            <v>37896</v>
          </cell>
          <cell r="Q377">
            <v>0.25694444444444448</v>
          </cell>
          <cell r="T377">
            <v>37896</v>
          </cell>
          <cell r="U377">
            <v>0.27083333333333331</v>
          </cell>
          <cell r="V377">
            <v>37896</v>
          </cell>
          <cell r="W377">
            <v>0.27083333333333331</v>
          </cell>
          <cell r="X377">
            <v>1.388888888888884E-2</v>
          </cell>
          <cell r="Y377">
            <v>1.3888888891314177E-2</v>
          </cell>
          <cell r="AB377">
            <v>10</v>
          </cell>
          <cell r="AC377">
            <v>8</v>
          </cell>
          <cell r="AD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10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</row>
        <row r="378">
          <cell r="C378">
            <v>37839</v>
          </cell>
          <cell r="D378">
            <v>37918</v>
          </cell>
          <cell r="E378">
            <v>37904</v>
          </cell>
          <cell r="F378">
            <v>0.375</v>
          </cell>
          <cell r="G378" t="str">
            <v>Prensa Jundiaí</v>
          </cell>
          <cell r="H378" t="str">
            <v>Martelo apresenta ruído anormal e não se movimenta adequadamente</v>
          </cell>
          <cell r="I378" t="str">
            <v>Corretiva</v>
          </cell>
          <cell r="J378" t="str">
            <v>Sim</v>
          </cell>
          <cell r="K378" t="str">
            <v>Elétrica</v>
          </cell>
          <cell r="L378" t="str">
            <v>Substituição do(s) Componente(s)</v>
          </cell>
          <cell r="M378" t="str">
            <v>Vibração</v>
          </cell>
          <cell r="N378">
            <v>37904</v>
          </cell>
          <cell r="O378">
            <v>0.375</v>
          </cell>
          <cell r="P378">
            <v>37904</v>
          </cell>
          <cell r="Q378">
            <v>0.375</v>
          </cell>
          <cell r="T378">
            <v>37904</v>
          </cell>
          <cell r="U378">
            <v>0.55555555555555558</v>
          </cell>
          <cell r="V378">
            <v>37904</v>
          </cell>
          <cell r="W378">
            <v>0.55555555555555558</v>
          </cell>
          <cell r="X378">
            <v>0.18055555555555558</v>
          </cell>
          <cell r="Y378">
            <v>0.18055555555474712</v>
          </cell>
          <cell r="AB378">
            <v>10</v>
          </cell>
          <cell r="AC378">
            <v>8</v>
          </cell>
          <cell r="AD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10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</row>
        <row r="379">
          <cell r="C379">
            <v>37839</v>
          </cell>
          <cell r="D379">
            <v>37918</v>
          </cell>
          <cell r="E379">
            <v>37907</v>
          </cell>
          <cell r="F379">
            <v>0.56597222222222221</v>
          </cell>
          <cell r="G379" t="str">
            <v>Dobradeira Sorg</v>
          </cell>
          <cell r="H379" t="str">
            <v>Punção está parando ao subir</v>
          </cell>
          <cell r="I379" t="str">
            <v>Corretiva</v>
          </cell>
          <cell r="J379" t="str">
            <v>Sim</v>
          </cell>
          <cell r="K379" t="str">
            <v>Elétrica</v>
          </cell>
          <cell r="L379" t="str">
            <v>Substituição do(s) Componente(s)</v>
          </cell>
          <cell r="M379" t="str">
            <v>Desgaste / Fadiga</v>
          </cell>
          <cell r="N379">
            <v>37907</v>
          </cell>
          <cell r="O379">
            <v>0.56944444444444442</v>
          </cell>
          <cell r="P379">
            <v>37907</v>
          </cell>
          <cell r="Q379">
            <v>0.56944444444444442</v>
          </cell>
          <cell r="T379">
            <v>37907</v>
          </cell>
          <cell r="U379">
            <v>0.59375</v>
          </cell>
          <cell r="V379">
            <v>37907</v>
          </cell>
          <cell r="W379">
            <v>0.59375</v>
          </cell>
          <cell r="X379">
            <v>2.430555555555558E-2</v>
          </cell>
          <cell r="Y379">
            <v>2.430555555555558E-2</v>
          </cell>
          <cell r="AB379">
            <v>10</v>
          </cell>
          <cell r="AC379">
            <v>8</v>
          </cell>
          <cell r="AD379">
            <v>0</v>
          </cell>
          <cell r="BF379">
            <v>0</v>
          </cell>
          <cell r="BG379">
            <v>0</v>
          </cell>
          <cell r="BH379">
            <v>10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</row>
        <row r="380">
          <cell r="C380">
            <v>37839</v>
          </cell>
          <cell r="D380">
            <v>37970</v>
          </cell>
          <cell r="E380">
            <v>37931</v>
          </cell>
          <cell r="F380">
            <v>37931</v>
          </cell>
          <cell r="G380">
            <v>0.63888888888888895</v>
          </cell>
          <cell r="H380" t="str">
            <v>Vazamento de Óleo</v>
          </cell>
          <cell r="I380">
            <v>0</v>
          </cell>
          <cell r="J380" t="str">
            <v>Não</v>
          </cell>
          <cell r="K380" t="str">
            <v>Mecânica</v>
          </cell>
          <cell r="L380" t="str">
            <v>Não</v>
          </cell>
          <cell r="M380" t="str">
            <v>Desgaste / Fadiga</v>
          </cell>
          <cell r="N380">
            <v>37931</v>
          </cell>
          <cell r="O380">
            <v>0.63888888888888895</v>
          </cell>
          <cell r="P380">
            <v>37931</v>
          </cell>
          <cell r="Q380">
            <v>0.63888888888888895</v>
          </cell>
          <cell r="T380">
            <v>37931</v>
          </cell>
          <cell r="U380">
            <v>0.66666666666666663</v>
          </cell>
          <cell r="V380">
            <v>37931</v>
          </cell>
          <cell r="W380">
            <v>0.66666666666666663</v>
          </cell>
          <cell r="X380">
            <v>2.7777777775352397E-2</v>
          </cell>
          <cell r="Y380">
            <v>2.7777777775352397E-2</v>
          </cell>
          <cell r="AB380">
            <v>11</v>
          </cell>
          <cell r="AC380">
            <v>8</v>
          </cell>
          <cell r="AD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11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</row>
        <row r="381">
          <cell r="C381">
            <v>37839</v>
          </cell>
          <cell r="D381">
            <v>37970</v>
          </cell>
          <cell r="E381">
            <v>37943</v>
          </cell>
          <cell r="F381">
            <v>37943</v>
          </cell>
          <cell r="G381">
            <v>0.86458333333333337</v>
          </cell>
          <cell r="H381" t="str">
            <v>Punção está parando ao descer</v>
          </cell>
          <cell r="I381">
            <v>0</v>
          </cell>
          <cell r="J381" t="str">
            <v>Sim</v>
          </cell>
          <cell r="K381" t="str">
            <v>Elétrica</v>
          </cell>
          <cell r="L381" t="str">
            <v>Sim</v>
          </cell>
          <cell r="M381" t="str">
            <v>Desgaste / Fadiga</v>
          </cell>
          <cell r="N381">
            <v>37943</v>
          </cell>
          <cell r="O381">
            <v>0.86458333333333337</v>
          </cell>
          <cell r="P381">
            <v>37943</v>
          </cell>
          <cell r="Q381">
            <v>0.86458333333333337</v>
          </cell>
          <cell r="T381">
            <v>37944</v>
          </cell>
          <cell r="U381">
            <v>0.34027777777777773</v>
          </cell>
          <cell r="V381">
            <v>37944</v>
          </cell>
          <cell r="W381">
            <v>0.34027777777777773</v>
          </cell>
          <cell r="X381">
            <v>0.47569444444444442</v>
          </cell>
          <cell r="Y381">
            <v>0.47569444444767817</v>
          </cell>
          <cell r="AB381">
            <v>11</v>
          </cell>
          <cell r="AC381">
            <v>8</v>
          </cell>
          <cell r="AD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11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</row>
        <row r="382">
          <cell r="C382">
            <v>37839</v>
          </cell>
          <cell r="D382">
            <v>37970</v>
          </cell>
          <cell r="E382">
            <v>37945</v>
          </cell>
          <cell r="F382">
            <v>0.92708333333333337</v>
          </cell>
          <cell r="G382" t="str">
            <v>Prensa Jundiaí</v>
          </cell>
          <cell r="H382" t="str">
            <v>Martelo travado</v>
          </cell>
          <cell r="I382">
            <v>0</v>
          </cell>
          <cell r="J382" t="str">
            <v>Sim</v>
          </cell>
          <cell r="K382" t="str">
            <v>Elétrica</v>
          </cell>
          <cell r="L382" t="str">
            <v>Ajuste / Regulagem</v>
          </cell>
          <cell r="M382" t="str">
            <v>Falha Operacional</v>
          </cell>
          <cell r="N382">
            <v>37945</v>
          </cell>
          <cell r="O382">
            <v>0.92708333333333337</v>
          </cell>
          <cell r="P382">
            <v>0</v>
          </cell>
          <cell r="T382">
            <v>37945</v>
          </cell>
          <cell r="U382">
            <v>0.94444444444444453</v>
          </cell>
          <cell r="V382">
            <v>0</v>
          </cell>
          <cell r="W382">
            <v>1.7361111111919514E-2</v>
          </cell>
          <cell r="X382">
            <v>0</v>
          </cell>
          <cell r="Y382">
            <v>0</v>
          </cell>
          <cell r="AB382">
            <v>11</v>
          </cell>
          <cell r="AC382">
            <v>8</v>
          </cell>
          <cell r="AD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11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</row>
        <row r="383">
          <cell r="C383">
            <v>37839</v>
          </cell>
          <cell r="D383">
            <v>37970</v>
          </cell>
          <cell r="E383">
            <v>37956</v>
          </cell>
          <cell r="F383">
            <v>0.70833333333333337</v>
          </cell>
          <cell r="G383" t="str">
            <v>Prensa Jundiaí</v>
          </cell>
          <cell r="H383" t="str">
            <v>Martelo travado</v>
          </cell>
          <cell r="I383">
            <v>0</v>
          </cell>
          <cell r="J383" t="str">
            <v>Sim</v>
          </cell>
          <cell r="K383" t="str">
            <v>Elétrica</v>
          </cell>
          <cell r="L383" t="str">
            <v>Ajuste / Regulagem</v>
          </cell>
          <cell r="M383" t="str">
            <v>Falha de Regulagem / Configuração / Dimensionamento</v>
          </cell>
          <cell r="N383">
            <v>37956</v>
          </cell>
          <cell r="O383">
            <v>0.70833333333333337</v>
          </cell>
          <cell r="P383">
            <v>0</v>
          </cell>
          <cell r="T383">
            <v>37956</v>
          </cell>
          <cell r="U383">
            <v>0.75</v>
          </cell>
          <cell r="V383">
            <v>0</v>
          </cell>
          <cell r="W383">
            <v>4.166666666666663E-2</v>
          </cell>
          <cell r="X383">
            <v>0</v>
          </cell>
          <cell r="Y383">
            <v>0</v>
          </cell>
          <cell r="AB383">
            <v>12</v>
          </cell>
          <cell r="AC383">
            <v>8</v>
          </cell>
          <cell r="AD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12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</row>
        <row r="384">
          <cell r="C384">
            <v>37839</v>
          </cell>
          <cell r="D384">
            <v>38008</v>
          </cell>
          <cell r="E384">
            <v>37964</v>
          </cell>
          <cell r="F384">
            <v>0.71180555555555547</v>
          </cell>
          <cell r="G384" t="str">
            <v>Dobradeira Sorg</v>
          </cell>
          <cell r="H384" t="str">
            <v>Máquina apresenta ruído estranho</v>
          </cell>
          <cell r="I384">
            <v>0</v>
          </cell>
          <cell r="J384" t="str">
            <v>Sim</v>
          </cell>
          <cell r="K384" t="str">
            <v>Mecânica</v>
          </cell>
          <cell r="L384" t="str">
            <v>Reparo</v>
          </cell>
          <cell r="M384" t="str">
            <v>Desgaste / Fadiga</v>
          </cell>
          <cell r="N384">
            <v>0</v>
          </cell>
          <cell r="O384">
            <v>0.71527777777777779</v>
          </cell>
          <cell r="P384">
            <v>0</v>
          </cell>
          <cell r="T384">
            <v>0</v>
          </cell>
          <cell r="U384">
            <v>0.83333333333333337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AB384">
            <v>0</v>
          </cell>
          <cell r="AC384">
            <v>8</v>
          </cell>
          <cell r="AD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</row>
        <row r="385">
          <cell r="C385">
            <v>37839</v>
          </cell>
          <cell r="D385">
            <v>37993</v>
          </cell>
          <cell r="E385">
            <v>37977</v>
          </cell>
          <cell r="F385">
            <v>0.81944444444444453</v>
          </cell>
          <cell r="G385" t="str">
            <v>Prensa Jundiaí</v>
          </cell>
          <cell r="H385" t="str">
            <v>Parafuso do encosto da ferramenta quebrado</v>
          </cell>
          <cell r="I385">
            <v>0</v>
          </cell>
          <cell r="J385" t="str">
            <v>Sim</v>
          </cell>
          <cell r="K385" t="str">
            <v>Mecânica</v>
          </cell>
          <cell r="L385" t="str">
            <v>Substituição do(s) Componente(s)</v>
          </cell>
          <cell r="M385" t="str">
            <v>Desgaste / Fadiga</v>
          </cell>
          <cell r="N385">
            <v>0</v>
          </cell>
          <cell r="O385">
            <v>0.81944444444444453</v>
          </cell>
          <cell r="P385">
            <v>0</v>
          </cell>
          <cell r="T385">
            <v>0</v>
          </cell>
          <cell r="U385">
            <v>0.86111111111111116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AB385">
            <v>0</v>
          </cell>
          <cell r="AC385">
            <v>8</v>
          </cell>
          <cell r="AD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</row>
        <row r="386">
          <cell r="C386">
            <v>37839</v>
          </cell>
          <cell r="D386">
            <v>37993</v>
          </cell>
          <cell r="E386">
            <v>37977</v>
          </cell>
          <cell r="F386">
            <v>0.86111111111111116</v>
          </cell>
          <cell r="G386" t="str">
            <v>Prensa Jundiaí</v>
          </cell>
          <cell r="H386" t="str">
            <v>Problema no reparo do bico de ar</v>
          </cell>
          <cell r="I386">
            <v>0</v>
          </cell>
          <cell r="J386" t="str">
            <v>Sim</v>
          </cell>
          <cell r="K386" t="str">
            <v>Mecânica</v>
          </cell>
          <cell r="L386" t="str">
            <v>Substituição do(s) Componente(s)</v>
          </cell>
          <cell r="M386" t="str">
            <v>Desgaste / Fadiga</v>
          </cell>
          <cell r="N386">
            <v>0</v>
          </cell>
          <cell r="O386">
            <v>0.86111111111111116</v>
          </cell>
          <cell r="P386">
            <v>0</v>
          </cell>
          <cell r="T386">
            <v>0</v>
          </cell>
          <cell r="U386">
            <v>0.875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AB386">
            <v>0</v>
          </cell>
          <cell r="AC386">
            <v>8</v>
          </cell>
          <cell r="AD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</row>
        <row r="387">
          <cell r="C387">
            <v>37839</v>
          </cell>
          <cell r="D387">
            <v>37977</v>
          </cell>
          <cell r="E387">
            <v>37965</v>
          </cell>
          <cell r="F387">
            <v>0.95833333333333337</v>
          </cell>
          <cell r="G387" t="str">
            <v>Prensa Jundiaí Conectores</v>
          </cell>
          <cell r="H387" t="str">
            <v>Martelo travado</v>
          </cell>
          <cell r="I387">
            <v>0</v>
          </cell>
          <cell r="J387" t="str">
            <v>Sim</v>
          </cell>
          <cell r="K387" t="str">
            <v>Elétrica</v>
          </cell>
          <cell r="L387" t="str">
            <v>Destravamento dos Componentes</v>
          </cell>
          <cell r="M387" t="str">
            <v>Falha Operacional</v>
          </cell>
          <cell r="N387">
            <v>37965</v>
          </cell>
          <cell r="O387">
            <v>0.95833333333333337</v>
          </cell>
          <cell r="P387">
            <v>0</v>
          </cell>
          <cell r="T387">
            <v>37965</v>
          </cell>
          <cell r="U387">
            <v>0.97916666666666663</v>
          </cell>
          <cell r="V387">
            <v>0</v>
          </cell>
          <cell r="W387">
            <v>2.0833333330907977E-2</v>
          </cell>
          <cell r="X387">
            <v>0</v>
          </cell>
          <cell r="Y387">
            <v>0</v>
          </cell>
          <cell r="AB387">
            <v>12</v>
          </cell>
          <cell r="AC387">
            <v>8</v>
          </cell>
          <cell r="AD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12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</row>
        <row r="388">
          <cell r="C388">
            <v>37839</v>
          </cell>
          <cell r="D388">
            <v>38008</v>
          </cell>
          <cell r="E388">
            <v>37992</v>
          </cell>
          <cell r="F388">
            <v>0.85416666666666663</v>
          </cell>
          <cell r="G388" t="str">
            <v>Prensa Jundiaí</v>
          </cell>
          <cell r="H388" t="str">
            <v>Martelo travado</v>
          </cell>
          <cell r="I388">
            <v>0</v>
          </cell>
          <cell r="J388" t="str">
            <v>Sim</v>
          </cell>
          <cell r="K388" t="str">
            <v>Elétrica</v>
          </cell>
          <cell r="L388" t="str">
            <v>Destravamento dos Componentes</v>
          </cell>
          <cell r="M388" t="str">
            <v>Falha Operacional</v>
          </cell>
          <cell r="N388">
            <v>0</v>
          </cell>
          <cell r="O388">
            <v>0.85416666666666663</v>
          </cell>
          <cell r="P388">
            <v>0</v>
          </cell>
          <cell r="T388">
            <v>0</v>
          </cell>
          <cell r="U388">
            <v>0.89583333333333337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AB388">
            <v>0</v>
          </cell>
          <cell r="AC388">
            <v>8</v>
          </cell>
          <cell r="AD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</row>
        <row r="389">
          <cell r="C389">
            <v>37839</v>
          </cell>
          <cell r="I389">
            <v>0</v>
          </cell>
          <cell r="N389">
            <v>0</v>
          </cell>
          <cell r="P389">
            <v>0</v>
          </cell>
          <cell r="T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AB389">
            <v>0</v>
          </cell>
          <cell r="AC389">
            <v>8</v>
          </cell>
          <cell r="AD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</row>
        <row r="390">
          <cell r="C390">
            <v>37839</v>
          </cell>
          <cell r="D390">
            <v>37993</v>
          </cell>
          <cell r="E390">
            <v>37985</v>
          </cell>
          <cell r="F390">
            <v>0.46875</v>
          </cell>
          <cell r="G390" t="str">
            <v>Prensa Jundiaí</v>
          </cell>
          <cell r="H390" t="str">
            <v>Motor do Martelo quemado</v>
          </cell>
          <cell r="I390">
            <v>0</v>
          </cell>
          <cell r="J390" t="str">
            <v>Sim</v>
          </cell>
          <cell r="K390" t="str">
            <v>Elétrica</v>
          </cell>
          <cell r="L390" t="str">
            <v>Substituição do(s) Componente(s)</v>
          </cell>
          <cell r="M390" t="str">
            <v>Causa não especificada</v>
          </cell>
          <cell r="N390">
            <v>0</v>
          </cell>
          <cell r="O390">
            <v>0.46875</v>
          </cell>
          <cell r="P390">
            <v>0</v>
          </cell>
          <cell r="T390">
            <v>0</v>
          </cell>
          <cell r="U390">
            <v>0.58333333333333337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AB390">
            <v>0</v>
          </cell>
          <cell r="AC390">
            <v>8</v>
          </cell>
          <cell r="AD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</row>
        <row r="391">
          <cell r="C391">
            <v>37839</v>
          </cell>
          <cell r="I391">
            <v>0</v>
          </cell>
          <cell r="N391">
            <v>0</v>
          </cell>
          <cell r="P391">
            <v>0</v>
          </cell>
          <cell r="T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AB391">
            <v>0</v>
          </cell>
          <cell r="AC391">
            <v>8</v>
          </cell>
          <cell r="AD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</row>
        <row r="392">
          <cell r="C392">
            <v>37839</v>
          </cell>
          <cell r="D392">
            <v>37993</v>
          </cell>
          <cell r="E392">
            <v>37991</v>
          </cell>
          <cell r="F392">
            <v>0.49305555555555558</v>
          </cell>
          <cell r="G392" t="str">
            <v>Prensa Jundiaí</v>
          </cell>
          <cell r="H392" t="str">
            <v>Caixa do motor do martelo está solta</v>
          </cell>
          <cell r="I392">
            <v>0</v>
          </cell>
          <cell r="J392" t="str">
            <v>Sim</v>
          </cell>
          <cell r="K392" t="str">
            <v>Mecânica</v>
          </cell>
          <cell r="L392" t="str">
            <v>Reparo</v>
          </cell>
          <cell r="M392" t="str">
            <v>Vibração</v>
          </cell>
          <cell r="N392">
            <v>0</v>
          </cell>
          <cell r="O392">
            <v>0.49652777777777773</v>
          </cell>
          <cell r="P392">
            <v>0</v>
          </cell>
          <cell r="T392">
            <v>0</v>
          </cell>
          <cell r="U392">
            <v>0.66666666666666663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AB392">
            <v>0</v>
          </cell>
          <cell r="AC392">
            <v>8</v>
          </cell>
          <cell r="AD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</row>
        <row r="393">
          <cell r="C393">
            <v>37839</v>
          </cell>
          <cell r="D393">
            <v>37993</v>
          </cell>
          <cell r="E393">
            <v>37991</v>
          </cell>
          <cell r="F393">
            <v>0.85416666666666663</v>
          </cell>
          <cell r="G393" t="str">
            <v>Dobradeira Sorg</v>
          </cell>
          <cell r="H393" t="str">
            <v>Prensa não retorna</v>
          </cell>
          <cell r="I393">
            <v>0</v>
          </cell>
          <cell r="J393" t="str">
            <v>Sim</v>
          </cell>
          <cell r="K393" t="str">
            <v>Elétrica</v>
          </cell>
          <cell r="L393" t="str">
            <v>Substituição do(s) Componente(s)</v>
          </cell>
          <cell r="M393" t="str">
            <v>Desgaste / Fadiga</v>
          </cell>
          <cell r="N393">
            <v>0</v>
          </cell>
          <cell r="O393">
            <v>0.85416666666666663</v>
          </cell>
          <cell r="P393">
            <v>0</v>
          </cell>
          <cell r="T393">
            <v>0</v>
          </cell>
          <cell r="U393">
            <v>0.89583333333333337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AB393">
            <v>0</v>
          </cell>
          <cell r="AC393">
            <v>8</v>
          </cell>
          <cell r="AD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</row>
        <row r="394">
          <cell r="C394">
            <v>37839</v>
          </cell>
          <cell r="I394">
            <v>0</v>
          </cell>
          <cell r="N394">
            <v>0</v>
          </cell>
          <cell r="P394">
            <v>0</v>
          </cell>
          <cell r="T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AB394">
            <v>0</v>
          </cell>
          <cell r="AC394">
            <v>8</v>
          </cell>
          <cell r="AD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</row>
        <row r="395">
          <cell r="C395">
            <v>37839</v>
          </cell>
          <cell r="I395">
            <v>0</v>
          </cell>
          <cell r="N395">
            <v>0</v>
          </cell>
          <cell r="P395">
            <v>0</v>
          </cell>
          <cell r="T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AB395">
            <v>0</v>
          </cell>
          <cell r="AC395">
            <v>8</v>
          </cell>
          <cell r="AD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</row>
        <row r="396">
          <cell r="C396">
            <v>37839</v>
          </cell>
          <cell r="D396">
            <v>37865</v>
          </cell>
          <cell r="E396">
            <v>37859</v>
          </cell>
          <cell r="F396">
            <v>0.64583333333333337</v>
          </cell>
          <cell r="G396" t="str">
            <v>Guilhotina Sorg</v>
          </cell>
          <cell r="H396" t="str">
            <v>Máquina não referencia</v>
          </cell>
          <cell r="I396" t="str">
            <v>Corretiva</v>
          </cell>
          <cell r="J396" t="str">
            <v>Sim</v>
          </cell>
          <cell r="K396" t="str">
            <v>Elétrica</v>
          </cell>
          <cell r="L396" t="str">
            <v>Regulagem do Componente</v>
          </cell>
          <cell r="M396" t="str">
            <v>Falha Operacional</v>
          </cell>
          <cell r="N396">
            <v>37859</v>
          </cell>
          <cell r="O396">
            <v>0.75</v>
          </cell>
          <cell r="P396">
            <v>37859</v>
          </cell>
          <cell r="Q396">
            <v>0.75</v>
          </cell>
          <cell r="T396">
            <v>37859</v>
          </cell>
          <cell r="U396">
            <v>0.77777777777777779</v>
          </cell>
          <cell r="V396">
            <v>37859</v>
          </cell>
          <cell r="W396">
            <v>0.77777777777777779</v>
          </cell>
          <cell r="X396">
            <v>2.777777777777779E-2</v>
          </cell>
          <cell r="Y396">
            <v>2.7777777781011537E-2</v>
          </cell>
          <cell r="AB396">
            <v>8</v>
          </cell>
          <cell r="AC396">
            <v>8</v>
          </cell>
          <cell r="AD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8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</row>
        <row r="397">
          <cell r="C397">
            <v>37848</v>
          </cell>
          <cell r="D397">
            <v>37858</v>
          </cell>
          <cell r="E397">
            <v>37855</v>
          </cell>
          <cell r="F397">
            <v>0.3840277777777778</v>
          </cell>
          <cell r="G397" t="str">
            <v>Perfiladora Dimeco Travesaños</v>
          </cell>
          <cell r="H397" t="str">
            <v>Necessidade de substituição do Disco de Serra</v>
          </cell>
          <cell r="I397" t="str">
            <v>Corretiva</v>
          </cell>
          <cell r="J397" t="str">
            <v>Sim</v>
          </cell>
          <cell r="K397" t="str">
            <v>Mecânica</v>
          </cell>
          <cell r="L397" t="str">
            <v>Substituição do(s) Componente(s)</v>
          </cell>
          <cell r="M397" t="str">
            <v>Desgaste / Fadiga</v>
          </cell>
          <cell r="N397">
            <v>37855</v>
          </cell>
          <cell r="O397">
            <v>0.3888888888888889</v>
          </cell>
          <cell r="P397">
            <v>37855</v>
          </cell>
          <cell r="Q397">
            <v>0.3888888888888889</v>
          </cell>
          <cell r="T397">
            <v>37855</v>
          </cell>
          <cell r="U397">
            <v>0.41666666666666669</v>
          </cell>
          <cell r="V397">
            <v>37855</v>
          </cell>
          <cell r="W397">
            <v>0.41666666666666669</v>
          </cell>
          <cell r="X397">
            <v>2.777777777777779E-2</v>
          </cell>
          <cell r="Y397">
            <v>2.7777777775352452E-2</v>
          </cell>
          <cell r="AB397">
            <v>8</v>
          </cell>
          <cell r="AC397">
            <v>8</v>
          </cell>
          <cell r="AD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8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</row>
        <row r="398">
          <cell r="C398">
            <v>37848</v>
          </cell>
          <cell r="D398">
            <v>37867</v>
          </cell>
          <cell r="E398">
            <v>37865</v>
          </cell>
          <cell r="F398">
            <v>0.45833333333333331</v>
          </cell>
          <cell r="G398" t="str">
            <v>Perfiladora Dimeco Travesaños</v>
          </cell>
          <cell r="H398" t="str">
            <v>Eixo da cabeça de turco danificado, dificultando a retirada dos Rolamentos</v>
          </cell>
          <cell r="I398" t="str">
            <v>Corretiva</v>
          </cell>
          <cell r="J398" t="str">
            <v>Sim</v>
          </cell>
          <cell r="K398" t="str">
            <v>Mecânica</v>
          </cell>
          <cell r="L398" t="str">
            <v>Reparo</v>
          </cell>
          <cell r="M398" t="str">
            <v>Falha de Montagem / Preparação</v>
          </cell>
          <cell r="N398">
            <v>37865</v>
          </cell>
          <cell r="O398">
            <v>0.47916666666666669</v>
          </cell>
          <cell r="P398">
            <v>37865</v>
          </cell>
          <cell r="Q398">
            <v>0.47916666666666669</v>
          </cell>
          <cell r="T398">
            <v>37865</v>
          </cell>
          <cell r="U398">
            <v>0.52083333333333337</v>
          </cell>
          <cell r="V398">
            <v>37865</v>
          </cell>
          <cell r="W398">
            <v>0.52083333333333337</v>
          </cell>
          <cell r="X398">
            <v>4.1666666666666685E-2</v>
          </cell>
          <cell r="Y398">
            <v>4.1666666669091967E-2</v>
          </cell>
          <cell r="AB398">
            <v>9</v>
          </cell>
          <cell r="AC398">
            <v>8</v>
          </cell>
          <cell r="AD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9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</row>
        <row r="399">
          <cell r="C399">
            <v>37848</v>
          </cell>
          <cell r="D399">
            <v>37868</v>
          </cell>
          <cell r="E399">
            <v>37865</v>
          </cell>
          <cell r="F399">
            <v>0.59722222222222221</v>
          </cell>
          <cell r="G399" t="str">
            <v>Prensa Gijón</v>
          </cell>
          <cell r="H399" t="str">
            <v>Barra roscada de Regulagem de distância está torta</v>
          </cell>
          <cell r="I399" t="str">
            <v>Corretiva</v>
          </cell>
          <cell r="J399" t="str">
            <v>Não</v>
          </cell>
          <cell r="K399" t="str">
            <v>Mecânica</v>
          </cell>
          <cell r="L399" t="str">
            <v>Reparo</v>
          </cell>
          <cell r="M399" t="str">
            <v>Falha Operacional</v>
          </cell>
          <cell r="N399">
            <v>37865</v>
          </cell>
          <cell r="O399">
            <v>0.70833333333333337</v>
          </cell>
          <cell r="P399">
            <v>37865</v>
          </cell>
          <cell r="Q399">
            <v>0.70833333333333337</v>
          </cell>
          <cell r="T399">
            <v>37865</v>
          </cell>
          <cell r="U399">
            <v>0.875</v>
          </cell>
          <cell r="V399">
            <v>37865</v>
          </cell>
          <cell r="W399">
            <v>0.875</v>
          </cell>
          <cell r="X399">
            <v>0.16666666666666663</v>
          </cell>
          <cell r="Y399">
            <v>0.16666666666666663</v>
          </cell>
          <cell r="AB399">
            <v>9</v>
          </cell>
          <cell r="AC399">
            <v>8</v>
          </cell>
          <cell r="AD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9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</row>
        <row r="400">
          <cell r="C400">
            <v>37848</v>
          </cell>
          <cell r="D400">
            <v>37900</v>
          </cell>
          <cell r="E400">
            <v>37893</v>
          </cell>
          <cell r="F400">
            <v>0.44236111111111115</v>
          </cell>
          <cell r="G400" t="str">
            <v>Perfiladora Dimeco Travesaños</v>
          </cell>
          <cell r="H400" t="str">
            <v>Mangueira do Hidráulico furada</v>
          </cell>
          <cell r="I400" t="str">
            <v>Corretiva</v>
          </cell>
          <cell r="J400" t="str">
            <v>Sim</v>
          </cell>
          <cell r="K400" t="str">
            <v>Mecânica</v>
          </cell>
          <cell r="L400" t="str">
            <v>Substituição do(s) Componente(s)</v>
          </cell>
          <cell r="M400" t="str">
            <v>Desgaste / Fadiga</v>
          </cell>
          <cell r="N400">
            <v>37893</v>
          </cell>
          <cell r="O400">
            <v>0.44444444444444442</v>
          </cell>
          <cell r="P400">
            <v>37893</v>
          </cell>
          <cell r="Q400">
            <v>0.44444444444444442</v>
          </cell>
          <cell r="T400">
            <v>37893</v>
          </cell>
          <cell r="U400">
            <v>0.52777777777777779</v>
          </cell>
          <cell r="V400">
            <v>37893</v>
          </cell>
          <cell r="W400">
            <v>0.52777777777777779</v>
          </cell>
          <cell r="X400">
            <v>8.333333333333337E-2</v>
          </cell>
          <cell r="Y400">
            <v>8.3333333336567117E-2</v>
          </cell>
          <cell r="AB400">
            <v>9</v>
          </cell>
          <cell r="AC400">
            <v>8</v>
          </cell>
          <cell r="AD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9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</row>
        <row r="401">
          <cell r="C401">
            <v>37848</v>
          </cell>
          <cell r="V401">
            <v>0</v>
          </cell>
          <cell r="W401">
            <v>0</v>
          </cell>
          <cell r="X401">
            <v>0</v>
          </cell>
          <cell r="AB401">
            <v>0</v>
          </cell>
          <cell r="AC401">
            <v>8</v>
          </cell>
          <cell r="AD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</row>
        <row r="402">
          <cell r="C402">
            <v>37848</v>
          </cell>
          <cell r="D402">
            <v>37924</v>
          </cell>
          <cell r="E402">
            <v>37902</v>
          </cell>
          <cell r="F402">
            <v>0.70833333333333337</v>
          </cell>
          <cell r="G402" t="str">
            <v>Perfiladora Dimeco Travesaños</v>
          </cell>
          <cell r="H402" t="str">
            <v>Vazamento no pistão do cortante</v>
          </cell>
          <cell r="I402" t="str">
            <v>Corretiva</v>
          </cell>
          <cell r="J402" t="str">
            <v>Não</v>
          </cell>
          <cell r="K402" t="str">
            <v>Mecânica</v>
          </cell>
          <cell r="L402" t="str">
            <v>Reparo</v>
          </cell>
          <cell r="M402" t="str">
            <v>Desgaste / Fadiga</v>
          </cell>
          <cell r="N402">
            <v>37902</v>
          </cell>
          <cell r="O402">
            <v>0.70833333333333337</v>
          </cell>
          <cell r="P402">
            <v>37902</v>
          </cell>
          <cell r="Q402">
            <v>0.98958333333333337</v>
          </cell>
          <cell r="R402">
            <v>37908</v>
          </cell>
          <cell r="S402">
            <v>0.66666666666666663</v>
          </cell>
          <cell r="T402">
            <v>37908</v>
          </cell>
          <cell r="U402">
            <v>0.70833333333333337</v>
          </cell>
          <cell r="V402">
            <v>0</v>
          </cell>
          <cell r="W402">
            <v>0.32291666666666674</v>
          </cell>
          <cell r="X402">
            <v>0.32291666666666674</v>
          </cell>
          <cell r="Y402">
            <v>0.32291666666666674</v>
          </cell>
          <cell r="AB402">
            <v>10</v>
          </cell>
          <cell r="AC402">
            <v>8</v>
          </cell>
          <cell r="AD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10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</row>
        <row r="403">
          <cell r="C403">
            <v>37848</v>
          </cell>
          <cell r="D403">
            <v>37918</v>
          </cell>
          <cell r="E403">
            <v>37907</v>
          </cell>
          <cell r="F403">
            <v>0.60416666666666663</v>
          </cell>
          <cell r="G403" t="str">
            <v>Perfiladora Dimeco Travesaños</v>
          </cell>
          <cell r="H403" t="str">
            <v>Funcionamento inadequado no grupo hidráulico</v>
          </cell>
          <cell r="I403" t="str">
            <v>Corretiva</v>
          </cell>
          <cell r="J403" t="str">
            <v>Sim</v>
          </cell>
          <cell r="K403" t="str">
            <v>Elétrica</v>
          </cell>
          <cell r="L403" t="str">
            <v>Ajuste / Regulagem</v>
          </cell>
          <cell r="M403" t="str">
            <v>Falha de Comando / Sistema</v>
          </cell>
          <cell r="N403">
            <v>37907</v>
          </cell>
          <cell r="O403">
            <v>0.625</v>
          </cell>
          <cell r="P403">
            <v>37907</v>
          </cell>
          <cell r="Q403">
            <v>0.625</v>
          </cell>
          <cell r="T403">
            <v>37907</v>
          </cell>
          <cell r="U403">
            <v>0.70833333333333337</v>
          </cell>
          <cell r="V403">
            <v>37907</v>
          </cell>
          <cell r="W403">
            <v>0.70833333333333337</v>
          </cell>
          <cell r="X403">
            <v>8.333333333333337E-2</v>
          </cell>
          <cell r="Y403">
            <v>8.3333333335758653E-2</v>
          </cell>
          <cell r="AB403">
            <v>10</v>
          </cell>
          <cell r="AC403">
            <v>8</v>
          </cell>
          <cell r="AD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10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</row>
        <row r="404">
          <cell r="C404">
            <v>37848</v>
          </cell>
          <cell r="D404">
            <v>37928</v>
          </cell>
          <cell r="E404">
            <v>37902</v>
          </cell>
          <cell r="F404">
            <v>0.65833333333333333</v>
          </cell>
          <cell r="G404" t="str">
            <v>Perfiladora Dimeco Travesaños</v>
          </cell>
          <cell r="H404" t="str">
            <v>Carro de Corte não Funciona</v>
          </cell>
          <cell r="I404" t="str">
            <v>Corretiva</v>
          </cell>
          <cell r="J404" t="str">
            <v>Sim</v>
          </cell>
          <cell r="K404" t="str">
            <v>Elétrica</v>
          </cell>
          <cell r="L404" t="str">
            <v>Regulagem do Componente</v>
          </cell>
          <cell r="M404" t="str">
            <v>Causa não especificada</v>
          </cell>
          <cell r="N404">
            <v>37902</v>
          </cell>
          <cell r="O404">
            <v>0.65833333333333333</v>
          </cell>
          <cell r="P404">
            <v>37902</v>
          </cell>
          <cell r="Q404">
            <v>0.65833333333333333</v>
          </cell>
          <cell r="T404">
            <v>37902</v>
          </cell>
          <cell r="U404">
            <v>0.70138888888888884</v>
          </cell>
          <cell r="V404">
            <v>37902</v>
          </cell>
          <cell r="W404">
            <v>0.70138888888888884</v>
          </cell>
          <cell r="X404">
            <v>4.3055555555555514E-2</v>
          </cell>
          <cell r="Y404">
            <v>4.3055555557172442E-2</v>
          </cell>
          <cell r="AB404">
            <v>10</v>
          </cell>
          <cell r="AC404">
            <v>8</v>
          </cell>
          <cell r="AD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10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</row>
        <row r="405">
          <cell r="C405">
            <v>37848</v>
          </cell>
          <cell r="D405">
            <v>37928</v>
          </cell>
          <cell r="E405">
            <v>37914</v>
          </cell>
          <cell r="F405">
            <v>0.45833333333333331</v>
          </cell>
          <cell r="G405" t="str">
            <v>Perfiladora Dimeco Travesaños</v>
          </cell>
          <cell r="H405" t="str">
            <v>Serra não funciona</v>
          </cell>
          <cell r="I405" t="str">
            <v>Corretiva</v>
          </cell>
          <cell r="J405" t="str">
            <v>Sim</v>
          </cell>
          <cell r="K405" t="str">
            <v>Elétrica</v>
          </cell>
          <cell r="L405" t="str">
            <v>Regulagem do Componente</v>
          </cell>
          <cell r="M405" t="str">
            <v>Vibração</v>
          </cell>
          <cell r="N405">
            <v>37914</v>
          </cell>
          <cell r="O405">
            <v>0.45833333333333331</v>
          </cell>
          <cell r="P405">
            <v>37914</v>
          </cell>
          <cell r="Q405">
            <v>0.45833333333333331</v>
          </cell>
          <cell r="T405">
            <v>37914</v>
          </cell>
          <cell r="U405">
            <v>0.4861111111111111</v>
          </cell>
          <cell r="V405">
            <v>37914</v>
          </cell>
          <cell r="W405">
            <v>0.4861111111111111</v>
          </cell>
          <cell r="X405">
            <v>2.777777777777779E-2</v>
          </cell>
          <cell r="Y405">
            <v>2.7777777776160917E-2</v>
          </cell>
          <cell r="AB405">
            <v>10</v>
          </cell>
          <cell r="AC405">
            <v>8</v>
          </cell>
          <cell r="AD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10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</row>
        <row r="406">
          <cell r="C406">
            <v>37848</v>
          </cell>
          <cell r="D406">
            <v>37928</v>
          </cell>
          <cell r="E406">
            <v>37915</v>
          </cell>
          <cell r="F406">
            <v>0.41666666666666669</v>
          </cell>
          <cell r="G406" t="str">
            <v>Perfiladora Dimeco Travesaños</v>
          </cell>
          <cell r="H406" t="str">
            <v>Mordaça da serra enguiçando</v>
          </cell>
          <cell r="I406" t="str">
            <v>Corretiva</v>
          </cell>
          <cell r="J406" t="str">
            <v>Sim</v>
          </cell>
          <cell r="K406" t="str">
            <v>Elétrica</v>
          </cell>
          <cell r="L406" t="str">
            <v>Correção de mau contato</v>
          </cell>
          <cell r="M406" t="str">
            <v>Sujeira em excesso</v>
          </cell>
          <cell r="N406">
            <v>37915</v>
          </cell>
          <cell r="O406">
            <v>0.41666666666666669</v>
          </cell>
          <cell r="P406">
            <v>37915</v>
          </cell>
          <cell r="Q406">
            <v>0.41666666666666669</v>
          </cell>
          <cell r="T406">
            <v>37915</v>
          </cell>
          <cell r="U406">
            <v>0.44305555555555554</v>
          </cell>
          <cell r="V406">
            <v>37915</v>
          </cell>
          <cell r="W406">
            <v>0.44305555555555554</v>
          </cell>
          <cell r="X406">
            <v>2.6388888888888851E-2</v>
          </cell>
          <cell r="Y406">
            <v>2.6388888892446005E-2</v>
          </cell>
          <cell r="AB406">
            <v>10</v>
          </cell>
          <cell r="AC406">
            <v>8</v>
          </cell>
          <cell r="AD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10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</row>
        <row r="407">
          <cell r="C407">
            <v>37848</v>
          </cell>
          <cell r="D407">
            <v>37928</v>
          </cell>
          <cell r="E407">
            <v>37915</v>
          </cell>
          <cell r="F407">
            <v>0.4513888888888889</v>
          </cell>
          <cell r="G407" t="str">
            <v>Perfiladora Dimeco Travesaños</v>
          </cell>
          <cell r="H407" t="str">
            <v>Disco de serra requer troca</v>
          </cell>
          <cell r="I407" t="str">
            <v>Corretiva</v>
          </cell>
          <cell r="J407" t="str">
            <v>Sim</v>
          </cell>
          <cell r="K407" t="str">
            <v>Mecânica</v>
          </cell>
          <cell r="L407" t="str">
            <v>Substituição do(s) Componente(s)</v>
          </cell>
          <cell r="M407" t="str">
            <v>Desgaste / Fadiga</v>
          </cell>
          <cell r="N407">
            <v>37915</v>
          </cell>
          <cell r="O407">
            <v>0.4513888888888889</v>
          </cell>
          <cell r="P407">
            <v>37915</v>
          </cell>
          <cell r="Q407">
            <v>0.4513888888888889</v>
          </cell>
          <cell r="T407">
            <v>37915</v>
          </cell>
          <cell r="U407">
            <v>0.5</v>
          </cell>
          <cell r="V407">
            <v>37915</v>
          </cell>
          <cell r="W407">
            <v>0.5</v>
          </cell>
          <cell r="X407">
            <v>4.8611111111111105E-2</v>
          </cell>
          <cell r="Y407">
            <v>4.8611111111111105E-2</v>
          </cell>
          <cell r="AB407">
            <v>10</v>
          </cell>
          <cell r="AC407">
            <v>8</v>
          </cell>
          <cell r="AD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10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</row>
        <row r="408">
          <cell r="C408">
            <v>37848</v>
          </cell>
          <cell r="D408">
            <v>37928</v>
          </cell>
          <cell r="E408">
            <v>37918</v>
          </cell>
          <cell r="F408">
            <v>0.66666666666666663</v>
          </cell>
          <cell r="G408" t="str">
            <v>Perfiladora Dimeco Travesaños</v>
          </cell>
          <cell r="H408" t="str">
            <v>Disco de serra requer troca</v>
          </cell>
          <cell r="I408" t="str">
            <v>Corretiva</v>
          </cell>
          <cell r="J408" t="str">
            <v>Sim</v>
          </cell>
          <cell r="K408" t="str">
            <v>Mecânica</v>
          </cell>
          <cell r="L408" t="str">
            <v>Substituição do(s) Componente(s)</v>
          </cell>
          <cell r="M408" t="str">
            <v>Desgaste / Fadiga</v>
          </cell>
          <cell r="N408">
            <v>37918</v>
          </cell>
          <cell r="O408">
            <v>0.66666666666666663</v>
          </cell>
          <cell r="P408">
            <v>37918</v>
          </cell>
          <cell r="Q408">
            <v>0.66666666666666663</v>
          </cell>
          <cell r="T408">
            <v>37918</v>
          </cell>
          <cell r="U408">
            <v>0.69444444444444453</v>
          </cell>
          <cell r="V408">
            <v>37918</v>
          </cell>
          <cell r="W408">
            <v>0.69444444444444453</v>
          </cell>
          <cell r="X408">
            <v>2.7777777777777901E-2</v>
          </cell>
          <cell r="Y408">
            <v>2.7777777778586255E-2</v>
          </cell>
          <cell r="AB408">
            <v>10</v>
          </cell>
          <cell r="AC408">
            <v>8</v>
          </cell>
          <cell r="AD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10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</row>
        <row r="409">
          <cell r="C409">
            <v>37848</v>
          </cell>
          <cell r="I409">
            <v>0</v>
          </cell>
          <cell r="N409">
            <v>0</v>
          </cell>
          <cell r="P409">
            <v>0</v>
          </cell>
          <cell r="T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AB409">
            <v>0</v>
          </cell>
          <cell r="AC409">
            <v>8</v>
          </cell>
          <cell r="AD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</row>
        <row r="410">
          <cell r="C410">
            <v>37848</v>
          </cell>
          <cell r="D410">
            <v>37970</v>
          </cell>
          <cell r="E410">
            <v>37936</v>
          </cell>
          <cell r="F410">
            <v>37936</v>
          </cell>
          <cell r="G410">
            <v>0.37847222222222227</v>
          </cell>
          <cell r="H410" t="str">
            <v>Disco de serra requer troca</v>
          </cell>
          <cell r="I410">
            <v>0</v>
          </cell>
          <cell r="J410" t="str">
            <v>Sim</v>
          </cell>
          <cell r="K410" t="str">
            <v>Mecânica</v>
          </cell>
          <cell r="L410" t="str">
            <v>Sim</v>
          </cell>
          <cell r="M410" t="str">
            <v>Desgaste / Fadiga</v>
          </cell>
          <cell r="N410">
            <v>37936</v>
          </cell>
          <cell r="O410">
            <v>0.3888888888888889</v>
          </cell>
          <cell r="P410">
            <v>37936</v>
          </cell>
          <cell r="Q410">
            <v>0.3888888888888889</v>
          </cell>
          <cell r="T410">
            <v>37936</v>
          </cell>
          <cell r="U410">
            <v>0.41319444444444442</v>
          </cell>
          <cell r="V410">
            <v>37936</v>
          </cell>
          <cell r="W410">
            <v>0.41319444444444442</v>
          </cell>
          <cell r="X410">
            <v>2.4305555555555525E-2</v>
          </cell>
          <cell r="Y410">
            <v>2.4305555556363989E-2</v>
          </cell>
          <cell r="AB410">
            <v>11</v>
          </cell>
          <cell r="AC410">
            <v>8</v>
          </cell>
          <cell r="AD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11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</row>
        <row r="411">
          <cell r="C411">
            <v>37848</v>
          </cell>
          <cell r="D411">
            <v>38008</v>
          </cell>
          <cell r="E411">
            <v>38000</v>
          </cell>
          <cell r="F411">
            <v>0.3263888888888889</v>
          </cell>
          <cell r="G411" t="str">
            <v>Prensa Gijón</v>
          </cell>
          <cell r="H411" t="str">
            <v>Não funciona</v>
          </cell>
          <cell r="I411">
            <v>0</v>
          </cell>
          <cell r="J411" t="str">
            <v>Sim</v>
          </cell>
          <cell r="K411" t="str">
            <v>Elétrica</v>
          </cell>
          <cell r="L411" t="str">
            <v>Ajuste / Regulagem</v>
          </cell>
          <cell r="M411" t="str">
            <v>Alteração na Localização da Máquina</v>
          </cell>
          <cell r="N411">
            <v>0</v>
          </cell>
          <cell r="O411">
            <v>0.33333333333333331</v>
          </cell>
          <cell r="P411">
            <v>0</v>
          </cell>
          <cell r="T411">
            <v>0</v>
          </cell>
          <cell r="U411">
            <v>0.35416666666666669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AB411">
            <v>0</v>
          </cell>
          <cell r="AC411">
            <v>8</v>
          </cell>
          <cell r="AD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</row>
        <row r="412">
          <cell r="C412">
            <v>37848</v>
          </cell>
          <cell r="D412">
            <v>37970</v>
          </cell>
          <cell r="E412">
            <v>37946</v>
          </cell>
          <cell r="F412">
            <v>37946</v>
          </cell>
          <cell r="G412">
            <v>0.33333333333333331</v>
          </cell>
          <cell r="H412" t="str">
            <v>Suporte do sensor do carrinho da prensa quebrado</v>
          </cell>
          <cell r="I412">
            <v>0</v>
          </cell>
          <cell r="J412" t="str">
            <v>Não</v>
          </cell>
          <cell r="K412" t="str">
            <v>Mecânica</v>
          </cell>
          <cell r="L412" t="str">
            <v>Não</v>
          </cell>
          <cell r="M412" t="str">
            <v>Falha de Regulagem / Configuração / Dimensionamento</v>
          </cell>
          <cell r="N412">
            <v>37946</v>
          </cell>
          <cell r="O412">
            <v>0.41666666666666669</v>
          </cell>
          <cell r="P412">
            <v>37946</v>
          </cell>
          <cell r="Q412">
            <v>0.41666666666666669</v>
          </cell>
          <cell r="T412">
            <v>37946</v>
          </cell>
          <cell r="U412">
            <v>0.45833333333333331</v>
          </cell>
          <cell r="V412">
            <v>37946</v>
          </cell>
          <cell r="W412">
            <v>0.45833333333333331</v>
          </cell>
          <cell r="X412">
            <v>4.1666666669091967E-2</v>
          </cell>
          <cell r="Y412">
            <v>4.1666666669091967E-2</v>
          </cell>
          <cell r="AB412">
            <v>11</v>
          </cell>
          <cell r="AC412">
            <v>8</v>
          </cell>
          <cell r="AD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11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</row>
        <row r="413">
          <cell r="C413">
            <v>37848</v>
          </cell>
          <cell r="D413">
            <v>37970</v>
          </cell>
          <cell r="E413">
            <v>37950</v>
          </cell>
          <cell r="F413">
            <v>37950</v>
          </cell>
          <cell r="G413">
            <v>0.7583333333333333</v>
          </cell>
          <cell r="H413" t="str">
            <v>Vazamento de óleo no varão do parafuso de fixação da máquina</v>
          </cell>
          <cell r="I413">
            <v>0</v>
          </cell>
          <cell r="J413" t="str">
            <v>Não</v>
          </cell>
          <cell r="K413" t="str">
            <v>Mecânica</v>
          </cell>
          <cell r="L413" t="str">
            <v>Não</v>
          </cell>
          <cell r="M413" t="str">
            <v>Vibração</v>
          </cell>
          <cell r="N413">
            <v>37950</v>
          </cell>
          <cell r="O413">
            <v>0.8125</v>
          </cell>
          <cell r="P413">
            <v>37950</v>
          </cell>
          <cell r="Q413">
            <v>0.8125</v>
          </cell>
          <cell r="T413">
            <v>37950</v>
          </cell>
          <cell r="U413">
            <v>0.83333333333333337</v>
          </cell>
          <cell r="V413">
            <v>37950</v>
          </cell>
          <cell r="W413">
            <v>0.83333333333333337</v>
          </cell>
          <cell r="X413">
            <v>2.0833333335758653E-2</v>
          </cell>
          <cell r="Y413">
            <v>2.0833333335758653E-2</v>
          </cell>
          <cell r="AB413">
            <v>11</v>
          </cell>
          <cell r="AC413">
            <v>8</v>
          </cell>
          <cell r="AD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11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</row>
        <row r="414">
          <cell r="C414">
            <v>37848</v>
          </cell>
          <cell r="I414">
            <v>0</v>
          </cell>
          <cell r="N414">
            <v>0</v>
          </cell>
          <cell r="P414">
            <v>0</v>
          </cell>
          <cell r="T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AB414">
            <v>0</v>
          </cell>
          <cell r="AC414">
            <v>8</v>
          </cell>
          <cell r="AD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</row>
        <row r="415">
          <cell r="C415">
            <v>37848</v>
          </cell>
          <cell r="I415">
            <v>0</v>
          </cell>
          <cell r="N415">
            <v>0</v>
          </cell>
          <cell r="P415">
            <v>0</v>
          </cell>
          <cell r="T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AB415">
            <v>0</v>
          </cell>
          <cell r="AC415">
            <v>8</v>
          </cell>
          <cell r="AD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</row>
        <row r="416">
          <cell r="C416">
            <v>37848</v>
          </cell>
          <cell r="I416">
            <v>0</v>
          </cell>
          <cell r="N416">
            <v>0</v>
          </cell>
          <cell r="P416">
            <v>0</v>
          </cell>
          <cell r="T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AB416">
            <v>0</v>
          </cell>
          <cell r="AC416">
            <v>8</v>
          </cell>
          <cell r="AD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</row>
        <row r="417">
          <cell r="C417">
            <v>37854</v>
          </cell>
          <cell r="I417">
            <v>0</v>
          </cell>
          <cell r="N417">
            <v>0</v>
          </cell>
          <cell r="P417">
            <v>0</v>
          </cell>
          <cell r="T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AB417">
            <v>0</v>
          </cell>
          <cell r="AC417">
            <v>8</v>
          </cell>
          <cell r="AD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</row>
        <row r="418">
          <cell r="C418">
            <v>37854</v>
          </cell>
          <cell r="D418">
            <v>37970</v>
          </cell>
          <cell r="E418">
            <v>37959</v>
          </cell>
          <cell r="F418">
            <v>0.59027777777777779</v>
          </cell>
          <cell r="G418" t="str">
            <v>Linha de Pintura 8,5m</v>
          </cell>
          <cell r="H418" t="str">
            <v>Problema no carrinho hidráulico</v>
          </cell>
          <cell r="I418">
            <v>0</v>
          </cell>
          <cell r="J418" t="str">
            <v>Não</v>
          </cell>
          <cell r="K418" t="str">
            <v>Mecânica</v>
          </cell>
          <cell r="L418" t="str">
            <v>Reparo</v>
          </cell>
          <cell r="M418" t="str">
            <v>Falta de Lubrificação</v>
          </cell>
          <cell r="N418">
            <v>37959</v>
          </cell>
          <cell r="O418">
            <v>0.59375</v>
          </cell>
          <cell r="P418">
            <v>0</v>
          </cell>
          <cell r="T418">
            <v>37959</v>
          </cell>
          <cell r="U418">
            <v>0.63888888888888895</v>
          </cell>
          <cell r="V418">
            <v>0</v>
          </cell>
          <cell r="W418">
            <v>4.5138888890505768E-2</v>
          </cell>
          <cell r="X418">
            <v>0</v>
          </cell>
          <cell r="Y418">
            <v>0</v>
          </cell>
          <cell r="AB418">
            <v>12</v>
          </cell>
          <cell r="AC418">
            <v>8</v>
          </cell>
          <cell r="AD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12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</row>
        <row r="419">
          <cell r="C419">
            <v>37854</v>
          </cell>
          <cell r="D419">
            <v>37970</v>
          </cell>
          <cell r="E419">
            <v>37937</v>
          </cell>
          <cell r="F419">
            <v>0.72569444444444453</v>
          </cell>
          <cell r="G419" t="str">
            <v>Linha de Pintura 8,5m</v>
          </cell>
          <cell r="H419" t="str">
            <v>Anomalia no Queimador do Fosfato</v>
          </cell>
          <cell r="I419">
            <v>0</v>
          </cell>
          <cell r="J419" t="str">
            <v>Sim</v>
          </cell>
          <cell r="K419" t="str">
            <v>Elétrica</v>
          </cell>
          <cell r="L419" t="str">
            <v>Limpeza do Equipamento / Componente</v>
          </cell>
          <cell r="M419" t="str">
            <v>Sujeira em excesso</v>
          </cell>
          <cell r="N419">
            <v>37937</v>
          </cell>
          <cell r="O419">
            <v>0.73611111111111116</v>
          </cell>
          <cell r="P419">
            <v>0</v>
          </cell>
          <cell r="T419">
            <v>37937</v>
          </cell>
          <cell r="U419">
            <v>0.75763888888888886</v>
          </cell>
          <cell r="V419">
            <v>0</v>
          </cell>
          <cell r="W419">
            <v>3.1944444447516429E-2</v>
          </cell>
          <cell r="X419">
            <v>0</v>
          </cell>
          <cell r="Y419">
            <v>0</v>
          </cell>
          <cell r="AB419">
            <v>11</v>
          </cell>
          <cell r="AC419">
            <v>8</v>
          </cell>
          <cell r="AD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11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</row>
        <row r="420">
          <cell r="C420">
            <v>37854</v>
          </cell>
          <cell r="D420">
            <v>37970</v>
          </cell>
          <cell r="E420">
            <v>37956</v>
          </cell>
          <cell r="F420">
            <v>0.75</v>
          </cell>
          <cell r="G420" t="str">
            <v>Equipamentos diversos</v>
          </cell>
          <cell r="H420" t="str">
            <v>Problema na máquina de pressão WAP</v>
          </cell>
          <cell r="I420">
            <v>0</v>
          </cell>
          <cell r="J420" t="str">
            <v>Sim</v>
          </cell>
          <cell r="K420" t="str">
            <v>Elétrica</v>
          </cell>
          <cell r="L420" t="str">
            <v>Substituição do(s) Componente(s)</v>
          </cell>
          <cell r="M420" t="str">
            <v>Sobrecarga</v>
          </cell>
          <cell r="N420">
            <v>37956</v>
          </cell>
          <cell r="O420">
            <v>0.75</v>
          </cell>
          <cell r="P420">
            <v>0</v>
          </cell>
          <cell r="T420">
            <v>37956</v>
          </cell>
          <cell r="U420">
            <v>0.78125</v>
          </cell>
          <cell r="V420">
            <v>0</v>
          </cell>
          <cell r="W420">
            <v>3.125E-2</v>
          </cell>
          <cell r="X420">
            <v>0</v>
          </cell>
          <cell r="Y420">
            <v>0</v>
          </cell>
          <cell r="AB420">
            <v>12</v>
          </cell>
          <cell r="AC420">
            <v>8</v>
          </cell>
          <cell r="AD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12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</row>
        <row r="421">
          <cell r="C421">
            <v>37854</v>
          </cell>
          <cell r="D421">
            <v>38008</v>
          </cell>
          <cell r="E421">
            <v>37957</v>
          </cell>
          <cell r="F421">
            <v>0.33333333333333331</v>
          </cell>
          <cell r="G421" t="str">
            <v>Linha de Pintura 8,5m</v>
          </cell>
          <cell r="H421" t="str">
            <v>Parada constante no elevador (Parô 03)</v>
          </cell>
          <cell r="I421">
            <v>0</v>
          </cell>
          <cell r="J421" t="str">
            <v>Não</v>
          </cell>
          <cell r="K421" t="str">
            <v>Mecânica</v>
          </cell>
          <cell r="L421" t="str">
            <v>Ajuste / Regulagem</v>
          </cell>
          <cell r="M421" t="str">
            <v>Falha de Ajuste / Parâmetros</v>
          </cell>
          <cell r="N421">
            <v>0</v>
          </cell>
          <cell r="O421">
            <v>0.35416666666666669</v>
          </cell>
          <cell r="P421">
            <v>0</v>
          </cell>
          <cell r="T421">
            <v>0</v>
          </cell>
          <cell r="U421">
            <v>0.39583333333333331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AB421">
            <v>0</v>
          </cell>
          <cell r="AC421">
            <v>8</v>
          </cell>
          <cell r="AD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</row>
        <row r="422">
          <cell r="C422">
            <v>37854</v>
          </cell>
          <cell r="D422">
            <v>37970</v>
          </cell>
          <cell r="E422">
            <v>37935</v>
          </cell>
          <cell r="F422">
            <v>37935</v>
          </cell>
          <cell r="G422">
            <v>0.53125</v>
          </cell>
          <cell r="H422" t="str">
            <v>Parafuso do motor 01 quebrado</v>
          </cell>
          <cell r="I422">
            <v>0</v>
          </cell>
          <cell r="J422" t="str">
            <v>Sim</v>
          </cell>
          <cell r="K422" t="str">
            <v>Mecânica</v>
          </cell>
          <cell r="L422" t="str">
            <v>Sim</v>
          </cell>
          <cell r="M422" t="str">
            <v>Falha de Comando / Sistema</v>
          </cell>
          <cell r="N422">
            <v>37935</v>
          </cell>
          <cell r="O422">
            <v>0.53819444444444442</v>
          </cell>
          <cell r="P422">
            <v>37935</v>
          </cell>
          <cell r="Q422">
            <v>0.53819444444444442</v>
          </cell>
          <cell r="T422">
            <v>37935</v>
          </cell>
          <cell r="U422">
            <v>0.55208333333333337</v>
          </cell>
          <cell r="V422">
            <v>37935</v>
          </cell>
          <cell r="W422">
            <v>0.55208333333333337</v>
          </cell>
          <cell r="X422">
            <v>1.3888888888888951E-2</v>
          </cell>
          <cell r="Y422">
            <v>1.3888888891314233E-2</v>
          </cell>
          <cell r="AB422">
            <v>11</v>
          </cell>
          <cell r="AC422">
            <v>8</v>
          </cell>
          <cell r="AD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11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</row>
        <row r="423">
          <cell r="C423">
            <v>37854</v>
          </cell>
          <cell r="D423">
            <v>37993</v>
          </cell>
          <cell r="E423">
            <v>37936</v>
          </cell>
          <cell r="F423">
            <v>0.625</v>
          </cell>
          <cell r="G423" t="str">
            <v>Linha de Pintura 8,5m</v>
          </cell>
          <cell r="H423" t="str">
            <v>Módulo apresenta mau contato</v>
          </cell>
          <cell r="I423">
            <v>0</v>
          </cell>
          <cell r="J423" t="str">
            <v>Não</v>
          </cell>
          <cell r="K423" t="str">
            <v>Elétrica</v>
          </cell>
          <cell r="L423" t="str">
            <v>Reaperto dos componentes</v>
          </cell>
          <cell r="M423" t="str">
            <v>Vibração</v>
          </cell>
          <cell r="N423">
            <v>0</v>
          </cell>
          <cell r="O423">
            <v>0.625</v>
          </cell>
          <cell r="P423">
            <v>0</v>
          </cell>
          <cell r="T423">
            <v>0</v>
          </cell>
          <cell r="U423">
            <v>0.66666666666666663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AB423">
            <v>0</v>
          </cell>
          <cell r="AC423">
            <v>8</v>
          </cell>
          <cell r="AD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</row>
        <row r="424">
          <cell r="C424">
            <v>37854</v>
          </cell>
          <cell r="I424">
            <v>0</v>
          </cell>
          <cell r="N424">
            <v>0</v>
          </cell>
          <cell r="P424">
            <v>0</v>
          </cell>
          <cell r="T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AB424">
            <v>0</v>
          </cell>
          <cell r="AC424">
            <v>8</v>
          </cell>
          <cell r="AD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</row>
        <row r="425">
          <cell r="C425">
            <v>37854</v>
          </cell>
          <cell r="D425">
            <v>37970</v>
          </cell>
          <cell r="E425">
            <v>37935</v>
          </cell>
          <cell r="F425">
            <v>37935</v>
          </cell>
          <cell r="G425">
            <v>0.77083333333333337</v>
          </cell>
          <cell r="H425" t="str">
            <v>Bastidor Travado</v>
          </cell>
          <cell r="I425">
            <v>0</v>
          </cell>
          <cell r="J425" t="str">
            <v>Sim</v>
          </cell>
          <cell r="K425" t="str">
            <v>Mecânica</v>
          </cell>
          <cell r="L425" t="str">
            <v>Sim</v>
          </cell>
          <cell r="M425" t="str">
            <v>Falha de Regulagem / Configuração / Dimensionamento</v>
          </cell>
          <cell r="N425">
            <v>37935</v>
          </cell>
          <cell r="O425">
            <v>0.77083333333333337</v>
          </cell>
          <cell r="P425">
            <v>37935</v>
          </cell>
          <cell r="Q425">
            <v>0.77083333333333337</v>
          </cell>
          <cell r="T425">
            <v>37935</v>
          </cell>
          <cell r="U425">
            <v>0.85416666666666663</v>
          </cell>
          <cell r="V425">
            <v>37935</v>
          </cell>
          <cell r="W425">
            <v>0.85416666666666663</v>
          </cell>
          <cell r="X425">
            <v>8.3333333333333259E-2</v>
          </cell>
          <cell r="Y425">
            <v>8.3333333330907977E-2</v>
          </cell>
          <cell r="AB425">
            <v>11</v>
          </cell>
          <cell r="AC425">
            <v>8</v>
          </cell>
          <cell r="AD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11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</row>
        <row r="426">
          <cell r="C426">
            <v>37854</v>
          </cell>
          <cell r="D426">
            <v>37993</v>
          </cell>
          <cell r="E426">
            <v>37960</v>
          </cell>
          <cell r="F426">
            <v>0.58333333333333337</v>
          </cell>
          <cell r="G426" t="str">
            <v>Linha de Pintura 8,5m</v>
          </cell>
          <cell r="H426" t="str">
            <v>parada constante no elevador de descarga</v>
          </cell>
          <cell r="I426">
            <v>0</v>
          </cell>
          <cell r="J426" t="str">
            <v>Sim</v>
          </cell>
          <cell r="K426" t="str">
            <v>Mecânica</v>
          </cell>
          <cell r="L426" t="str">
            <v>Ajuste / Regulagem</v>
          </cell>
          <cell r="M426" t="str">
            <v>Falha de Regulagem / Configuração / Dimensionamento</v>
          </cell>
          <cell r="N426">
            <v>0</v>
          </cell>
          <cell r="O426">
            <v>0.58333333333333337</v>
          </cell>
          <cell r="P426">
            <v>0</v>
          </cell>
          <cell r="T426">
            <v>0</v>
          </cell>
          <cell r="U426">
            <v>0.625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AB426">
            <v>0</v>
          </cell>
          <cell r="AC426">
            <v>8</v>
          </cell>
          <cell r="AD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</row>
        <row r="427">
          <cell r="C427">
            <v>37854</v>
          </cell>
          <cell r="D427">
            <v>37970</v>
          </cell>
          <cell r="E427">
            <v>37946</v>
          </cell>
          <cell r="F427">
            <v>0.33333333333333331</v>
          </cell>
          <cell r="G427" t="str">
            <v>Linha de Pintura 8,5m</v>
          </cell>
          <cell r="H427" t="str">
            <v>Problema no solenóide e bóia do tanque de fosfato</v>
          </cell>
          <cell r="I427">
            <v>0</v>
          </cell>
          <cell r="J427" t="str">
            <v>Não</v>
          </cell>
          <cell r="K427" t="str">
            <v>Mecânica</v>
          </cell>
          <cell r="L427" t="str">
            <v>Limpeza do Equipamento / Componente</v>
          </cell>
          <cell r="M427" t="str">
            <v>Sujeira em excesso</v>
          </cell>
          <cell r="N427">
            <v>37946</v>
          </cell>
          <cell r="O427">
            <v>0.34027777777777773</v>
          </cell>
          <cell r="P427">
            <v>0</v>
          </cell>
          <cell r="T427">
            <v>37946</v>
          </cell>
          <cell r="U427">
            <v>0.36805555555555558</v>
          </cell>
          <cell r="V427">
            <v>0</v>
          </cell>
          <cell r="W427">
            <v>2.7777777776969381E-2</v>
          </cell>
          <cell r="X427">
            <v>0</v>
          </cell>
          <cell r="Y427">
            <v>0</v>
          </cell>
          <cell r="AB427">
            <v>11</v>
          </cell>
          <cell r="AC427">
            <v>8</v>
          </cell>
          <cell r="AD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11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</row>
        <row r="428">
          <cell r="C428">
            <v>37854</v>
          </cell>
          <cell r="I428">
            <v>0</v>
          </cell>
          <cell r="N428">
            <v>0</v>
          </cell>
          <cell r="P428">
            <v>0</v>
          </cell>
          <cell r="T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AB428">
            <v>0</v>
          </cell>
          <cell r="AC428">
            <v>8</v>
          </cell>
          <cell r="AD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</row>
        <row r="429">
          <cell r="C429">
            <v>37854</v>
          </cell>
          <cell r="D429">
            <v>37970</v>
          </cell>
          <cell r="E429">
            <v>37950</v>
          </cell>
          <cell r="F429">
            <v>37950</v>
          </cell>
          <cell r="G429">
            <v>0.33333333333333331</v>
          </cell>
          <cell r="H429" t="str">
            <v>Eliminar vazamento de ar no transportador aéreo</v>
          </cell>
          <cell r="I429">
            <v>0</v>
          </cell>
          <cell r="J429" t="str">
            <v>Não</v>
          </cell>
          <cell r="K429" t="str">
            <v>Mecânica</v>
          </cell>
          <cell r="L429" t="str">
            <v>Não</v>
          </cell>
          <cell r="M429" t="str">
            <v>Desgaste / Fadiga</v>
          </cell>
          <cell r="N429">
            <v>37950</v>
          </cell>
          <cell r="O429">
            <v>0.34722222222222227</v>
          </cell>
          <cell r="P429">
            <v>37950</v>
          </cell>
          <cell r="Q429">
            <v>0.34722222222222227</v>
          </cell>
          <cell r="T429">
            <v>37950</v>
          </cell>
          <cell r="U429">
            <v>0.38194444444444442</v>
          </cell>
          <cell r="V429">
            <v>37950</v>
          </cell>
          <cell r="W429">
            <v>0.38194444444444442</v>
          </cell>
          <cell r="X429">
            <v>3.4722222223030619E-2</v>
          </cell>
          <cell r="Y429">
            <v>3.4722222223030619E-2</v>
          </cell>
          <cell r="AB429">
            <v>11</v>
          </cell>
          <cell r="AC429">
            <v>8</v>
          </cell>
          <cell r="AD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11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</row>
        <row r="430">
          <cell r="C430">
            <v>37854</v>
          </cell>
          <cell r="D430">
            <v>37970</v>
          </cell>
          <cell r="E430">
            <v>37951</v>
          </cell>
          <cell r="F430">
            <v>37951</v>
          </cell>
          <cell r="G430">
            <v>0.41666666666666669</v>
          </cell>
          <cell r="H430" t="str">
            <v>Problema no engate rápido do Venturi</v>
          </cell>
          <cell r="I430">
            <v>0</v>
          </cell>
          <cell r="J430" t="str">
            <v>Não</v>
          </cell>
          <cell r="K430" t="str">
            <v>Mecânica</v>
          </cell>
          <cell r="L430" t="str">
            <v>Não</v>
          </cell>
          <cell r="M430" t="str">
            <v>Desgaste / Fadiga</v>
          </cell>
          <cell r="N430">
            <v>37951</v>
          </cell>
          <cell r="O430">
            <v>0.4236111111111111</v>
          </cell>
          <cell r="P430">
            <v>37951</v>
          </cell>
          <cell r="Q430">
            <v>0.4236111111111111</v>
          </cell>
          <cell r="T430">
            <v>37951</v>
          </cell>
          <cell r="U430">
            <v>0.44791666666666669</v>
          </cell>
          <cell r="V430">
            <v>37951</v>
          </cell>
          <cell r="W430">
            <v>0.44791666666666669</v>
          </cell>
          <cell r="X430">
            <v>2.4305555553130243E-2</v>
          </cell>
          <cell r="Y430">
            <v>2.4305555553130243E-2</v>
          </cell>
          <cell r="AB430">
            <v>11</v>
          </cell>
          <cell r="AC430">
            <v>8</v>
          </cell>
          <cell r="AD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11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</row>
        <row r="431">
          <cell r="C431">
            <v>37854</v>
          </cell>
          <cell r="D431">
            <v>37993</v>
          </cell>
          <cell r="E431">
            <v>37901</v>
          </cell>
          <cell r="F431">
            <v>37901</v>
          </cell>
          <cell r="G431">
            <v>0.41666666666666669</v>
          </cell>
          <cell r="H431" t="str">
            <v>Mau contato na pistola manual</v>
          </cell>
          <cell r="I431">
            <v>0</v>
          </cell>
          <cell r="J431" t="str">
            <v>Não</v>
          </cell>
          <cell r="K431" t="str">
            <v>Elétrica</v>
          </cell>
          <cell r="L431" t="str">
            <v>Não</v>
          </cell>
          <cell r="M431" t="str">
            <v>Falha de Comando / Sistema</v>
          </cell>
          <cell r="N431">
            <v>37901</v>
          </cell>
          <cell r="O431">
            <v>0.41666666666666669</v>
          </cell>
          <cell r="P431">
            <v>0</v>
          </cell>
          <cell r="Q431">
            <v>0.45833333333333331</v>
          </cell>
          <cell r="R431">
            <v>37907</v>
          </cell>
          <cell r="S431">
            <v>0.41666666666666669</v>
          </cell>
          <cell r="T431">
            <v>0</v>
          </cell>
          <cell r="U431">
            <v>0.45833333333333331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AB431">
            <v>0</v>
          </cell>
          <cell r="AC431">
            <v>8</v>
          </cell>
          <cell r="AD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1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</row>
        <row r="432">
          <cell r="C432">
            <v>37854</v>
          </cell>
          <cell r="I432">
            <v>0</v>
          </cell>
          <cell r="N432">
            <v>0</v>
          </cell>
          <cell r="P432">
            <v>0</v>
          </cell>
          <cell r="T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AB432">
            <v>0</v>
          </cell>
          <cell r="AC432">
            <v>8</v>
          </cell>
          <cell r="AD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</row>
        <row r="433">
          <cell r="C433">
            <v>37854</v>
          </cell>
          <cell r="D433">
            <v>37970</v>
          </cell>
          <cell r="E433">
            <v>37952</v>
          </cell>
          <cell r="F433">
            <v>37952</v>
          </cell>
          <cell r="G433">
            <v>0.33333333333333331</v>
          </cell>
          <cell r="H433" t="str">
            <v>Rotâmetro do túnel de tratamento apresenta sujeira em excesso</v>
          </cell>
          <cell r="I433">
            <v>0</v>
          </cell>
          <cell r="J433" t="str">
            <v>Não</v>
          </cell>
          <cell r="K433" t="str">
            <v>Mecânica</v>
          </cell>
          <cell r="L433" t="str">
            <v>Sim</v>
          </cell>
          <cell r="M433" t="str">
            <v>Sujeira em excesso</v>
          </cell>
          <cell r="N433">
            <v>37953</v>
          </cell>
          <cell r="O433">
            <v>0.34375</v>
          </cell>
          <cell r="P433">
            <v>37953</v>
          </cell>
          <cell r="Q433">
            <v>0.34375</v>
          </cell>
          <cell r="T433">
            <v>37953</v>
          </cell>
          <cell r="U433">
            <v>0.375</v>
          </cell>
          <cell r="V433">
            <v>37953</v>
          </cell>
          <cell r="W433">
            <v>0.375</v>
          </cell>
          <cell r="X433">
            <v>3.125E-2</v>
          </cell>
          <cell r="Y433">
            <v>3.125E-2</v>
          </cell>
          <cell r="AB433">
            <v>11</v>
          </cell>
          <cell r="AC433">
            <v>8</v>
          </cell>
          <cell r="AD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11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</row>
        <row r="434">
          <cell r="C434">
            <v>37854</v>
          </cell>
          <cell r="D434">
            <v>37970</v>
          </cell>
          <cell r="E434">
            <v>37953</v>
          </cell>
          <cell r="F434">
            <v>0.33333333333333331</v>
          </cell>
          <cell r="G434" t="str">
            <v>Linha de Pintura 8,5m</v>
          </cell>
          <cell r="H434" t="str">
            <v>Peneira do peneirador inadequada (muito fina)</v>
          </cell>
          <cell r="I434">
            <v>0</v>
          </cell>
          <cell r="J434" t="str">
            <v>Não</v>
          </cell>
          <cell r="K434" t="str">
            <v>Mecânica</v>
          </cell>
          <cell r="L434" t="str">
            <v>Substituição do(s) Componente(s)</v>
          </cell>
          <cell r="M434" t="str">
            <v>Umidade em excesso</v>
          </cell>
          <cell r="N434">
            <v>37957</v>
          </cell>
          <cell r="O434">
            <v>0.52777777777777779</v>
          </cell>
          <cell r="P434">
            <v>0</v>
          </cell>
          <cell r="T434">
            <v>37957</v>
          </cell>
          <cell r="U434">
            <v>0.55555555555555558</v>
          </cell>
          <cell r="V434">
            <v>0</v>
          </cell>
          <cell r="W434">
            <v>2.7777777776969326E-2</v>
          </cell>
          <cell r="X434">
            <v>0</v>
          </cell>
          <cell r="Y434">
            <v>0</v>
          </cell>
          <cell r="AB434">
            <v>12</v>
          </cell>
          <cell r="AC434">
            <v>8</v>
          </cell>
          <cell r="AD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12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</row>
        <row r="435">
          <cell r="C435">
            <v>37854</v>
          </cell>
          <cell r="D435">
            <v>37970</v>
          </cell>
          <cell r="E435">
            <v>37953</v>
          </cell>
          <cell r="F435">
            <v>0.41666666666666669</v>
          </cell>
          <cell r="G435" t="str">
            <v>Linha de Pintura 8,5m</v>
          </cell>
          <cell r="H435" t="str">
            <v>Mau contato no módulo Nº 03</v>
          </cell>
          <cell r="I435">
            <v>0</v>
          </cell>
          <cell r="J435" t="str">
            <v>Não</v>
          </cell>
          <cell r="K435" t="str">
            <v>Elétrica</v>
          </cell>
          <cell r="L435" t="str">
            <v>Limpeza do Equipamento / Componente</v>
          </cell>
          <cell r="M435" t="str">
            <v>Sujeira em excesso</v>
          </cell>
          <cell r="N435">
            <v>37953</v>
          </cell>
          <cell r="O435">
            <v>0.4375</v>
          </cell>
          <cell r="P435">
            <v>0</v>
          </cell>
          <cell r="T435">
            <v>37953</v>
          </cell>
          <cell r="U435">
            <v>0.47222222222222227</v>
          </cell>
          <cell r="V435">
            <v>0</v>
          </cell>
          <cell r="W435">
            <v>3.4722222218988463E-2</v>
          </cell>
          <cell r="X435">
            <v>0</v>
          </cell>
          <cell r="Y435">
            <v>0</v>
          </cell>
          <cell r="AB435">
            <v>11</v>
          </cell>
          <cell r="AC435">
            <v>8</v>
          </cell>
          <cell r="AD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11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</row>
        <row r="436">
          <cell r="C436">
            <v>37854</v>
          </cell>
          <cell r="D436">
            <v>37881</v>
          </cell>
          <cell r="E436">
            <v>37874</v>
          </cell>
          <cell r="F436">
            <v>0.375</v>
          </cell>
          <cell r="G436" t="str">
            <v>Linha de Pintura 8,5m</v>
          </cell>
          <cell r="H436" t="str">
            <v>Falha na chama do queimador do fosfato</v>
          </cell>
          <cell r="I436" t="str">
            <v>Corretiva</v>
          </cell>
          <cell r="J436" t="str">
            <v>Sim</v>
          </cell>
          <cell r="K436" t="str">
            <v>Elétrica</v>
          </cell>
          <cell r="L436" t="str">
            <v>Reinicialização do Equipamento / Componente</v>
          </cell>
          <cell r="M436" t="str">
            <v>Falha de Comando / Sistema</v>
          </cell>
          <cell r="N436">
            <v>37874</v>
          </cell>
          <cell r="O436">
            <v>0.38194444444444442</v>
          </cell>
          <cell r="P436">
            <v>37874</v>
          </cell>
          <cell r="Q436">
            <v>0.38194444444444442</v>
          </cell>
          <cell r="T436">
            <v>37874</v>
          </cell>
          <cell r="U436">
            <v>0.40277777777777773</v>
          </cell>
          <cell r="V436">
            <v>37874</v>
          </cell>
          <cell r="W436">
            <v>0.40277777777777773</v>
          </cell>
          <cell r="X436">
            <v>2.0833333333333315E-2</v>
          </cell>
          <cell r="Y436">
            <v>2.0833333336567117E-2</v>
          </cell>
          <cell r="AB436">
            <v>9</v>
          </cell>
          <cell r="AC436">
            <v>8</v>
          </cell>
          <cell r="AD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9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</row>
        <row r="437">
          <cell r="C437">
            <v>37858</v>
          </cell>
          <cell r="D437">
            <v>37867</v>
          </cell>
          <cell r="E437">
            <v>37839</v>
          </cell>
          <cell r="F437">
            <v>0.25</v>
          </cell>
          <cell r="G437" t="str">
            <v>Linha de Pintura 15m</v>
          </cell>
          <cell r="H437" t="str">
            <v>Peneira do fosfato Rompida</v>
          </cell>
          <cell r="I437" t="str">
            <v>Corretiva</v>
          </cell>
          <cell r="J437" t="str">
            <v>Não</v>
          </cell>
          <cell r="K437" t="str">
            <v>Mecânica</v>
          </cell>
          <cell r="L437" t="str">
            <v>Reparo</v>
          </cell>
          <cell r="M437" t="str">
            <v>Desgaste / Fadiga</v>
          </cell>
          <cell r="N437">
            <v>37839</v>
          </cell>
          <cell r="O437">
            <v>0.25</v>
          </cell>
          <cell r="P437">
            <v>37839</v>
          </cell>
          <cell r="Q437">
            <v>0.25</v>
          </cell>
          <cell r="T437">
            <v>37839</v>
          </cell>
          <cell r="U437">
            <v>0.3125</v>
          </cell>
          <cell r="V437">
            <v>37839</v>
          </cell>
          <cell r="W437">
            <v>0.3125</v>
          </cell>
          <cell r="X437">
            <v>6.25E-2</v>
          </cell>
          <cell r="Y437">
            <v>6.25E-2</v>
          </cell>
          <cell r="AB437">
            <v>8</v>
          </cell>
          <cell r="AC437">
            <v>8</v>
          </cell>
          <cell r="AD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8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</row>
        <row r="438">
          <cell r="C438">
            <v>37858</v>
          </cell>
          <cell r="D438">
            <v>37900</v>
          </cell>
          <cell r="E438">
            <v>37859</v>
          </cell>
          <cell r="F438">
            <v>0.41666666666666669</v>
          </cell>
          <cell r="G438" t="str">
            <v>Linha de Pintura 15m</v>
          </cell>
          <cell r="H438" t="str">
            <v>Pistola de Líquido parada</v>
          </cell>
          <cell r="I438" t="str">
            <v>Corretiva</v>
          </cell>
          <cell r="J438" t="str">
            <v>Não</v>
          </cell>
          <cell r="K438" t="str">
            <v>Mecânica</v>
          </cell>
          <cell r="L438" t="str">
            <v>Reparo</v>
          </cell>
          <cell r="M438" t="str">
            <v>Desgaste / Fadiga</v>
          </cell>
          <cell r="N438">
            <v>37859</v>
          </cell>
          <cell r="O438">
            <v>0.41666666666666669</v>
          </cell>
          <cell r="P438">
            <v>37859</v>
          </cell>
          <cell r="Q438">
            <v>0.4375</v>
          </cell>
          <cell r="R438">
            <v>37880</v>
          </cell>
          <cell r="S438">
            <v>0.375</v>
          </cell>
          <cell r="T438">
            <v>37881</v>
          </cell>
          <cell r="U438">
            <v>0.33333333333333331</v>
          </cell>
          <cell r="V438">
            <v>0</v>
          </cell>
          <cell r="W438">
            <v>0.97916666666666652</v>
          </cell>
          <cell r="X438">
            <v>0.97916666666666652</v>
          </cell>
          <cell r="Y438">
            <v>0.97916666666666652</v>
          </cell>
          <cell r="AB438">
            <v>9</v>
          </cell>
          <cell r="AC438">
            <v>8</v>
          </cell>
          <cell r="AD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9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</row>
        <row r="439">
          <cell r="C439">
            <v>37858</v>
          </cell>
          <cell r="D439">
            <v>37900</v>
          </cell>
          <cell r="E439">
            <v>37873</v>
          </cell>
          <cell r="F439">
            <v>0.47916666666666669</v>
          </cell>
          <cell r="G439" t="str">
            <v>Linha de Pintura 15m</v>
          </cell>
          <cell r="H439" t="str">
            <v>Venturis do Recuperador de pó danificados</v>
          </cell>
          <cell r="I439" t="str">
            <v>Corretiva</v>
          </cell>
          <cell r="J439" t="str">
            <v>Não</v>
          </cell>
          <cell r="K439" t="str">
            <v>Mecânica</v>
          </cell>
          <cell r="L439" t="str">
            <v>Substituição do(s) Componente(s)</v>
          </cell>
          <cell r="M439" t="str">
            <v>Defeito de Fabricação</v>
          </cell>
          <cell r="N439">
            <v>37886</v>
          </cell>
          <cell r="O439">
            <v>0.41666666666666669</v>
          </cell>
          <cell r="P439">
            <v>37886</v>
          </cell>
          <cell r="Q439">
            <v>0.41666666666666669</v>
          </cell>
          <cell r="T439">
            <v>37886</v>
          </cell>
          <cell r="U439">
            <v>0.45833333333333331</v>
          </cell>
          <cell r="V439">
            <v>37886</v>
          </cell>
          <cell r="W439">
            <v>0.45833333333333331</v>
          </cell>
          <cell r="X439">
            <v>4.1666666669091967E-2</v>
          </cell>
          <cell r="Y439">
            <v>4.1666666669091967E-2</v>
          </cell>
          <cell r="AB439">
            <v>9</v>
          </cell>
          <cell r="AC439">
            <v>8</v>
          </cell>
          <cell r="AD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9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</row>
        <row r="440">
          <cell r="C440">
            <v>37858</v>
          </cell>
          <cell r="D440">
            <v>37918</v>
          </cell>
          <cell r="E440">
            <v>37859</v>
          </cell>
          <cell r="F440">
            <v>0.58333333333333337</v>
          </cell>
          <cell r="G440" t="str">
            <v>Linha de Pintura 15m</v>
          </cell>
          <cell r="H440" t="str">
            <v>Há a necessidade se modificar a localização da botoeira de parada do transportador para a coluna pós-cabine</v>
          </cell>
          <cell r="I440" t="str">
            <v>Melhoria</v>
          </cell>
          <cell r="J440" t="str">
            <v>Não</v>
          </cell>
          <cell r="K440" t="str">
            <v>Elétrica</v>
          </cell>
          <cell r="L440" t="str">
            <v>Montagem / Instalação</v>
          </cell>
          <cell r="M440" t="str">
            <v>Melhoria Técnica</v>
          </cell>
          <cell r="N440">
            <v>37879</v>
          </cell>
          <cell r="O440">
            <v>0.95833333333333337</v>
          </cell>
          <cell r="P440">
            <v>37879</v>
          </cell>
          <cell r="Q440">
            <v>0.95833333333333337</v>
          </cell>
          <cell r="T440">
            <v>37880</v>
          </cell>
          <cell r="U440">
            <v>0.33333333333333331</v>
          </cell>
          <cell r="V440">
            <v>37880</v>
          </cell>
          <cell r="W440">
            <v>0.33333333333333331</v>
          </cell>
          <cell r="X440">
            <v>0.37500000000242528</v>
          </cell>
          <cell r="Y440">
            <v>0.37500000000242528</v>
          </cell>
          <cell r="AB440">
            <v>9</v>
          </cell>
          <cell r="AC440">
            <v>8</v>
          </cell>
          <cell r="AD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9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</row>
        <row r="441">
          <cell r="C441">
            <v>37858</v>
          </cell>
          <cell r="D441">
            <v>37900</v>
          </cell>
          <cell r="E441">
            <v>37873</v>
          </cell>
          <cell r="F441">
            <v>0.47916666666666669</v>
          </cell>
          <cell r="G441" t="str">
            <v>Linha de Pintura 15m</v>
          </cell>
          <cell r="H441" t="str">
            <v>Falha na agulha da pistola líquida</v>
          </cell>
          <cell r="I441" t="str">
            <v>Corretiva</v>
          </cell>
          <cell r="J441" t="str">
            <v>Não</v>
          </cell>
          <cell r="K441" t="str">
            <v>Mecânica</v>
          </cell>
          <cell r="L441" t="str">
            <v>Limpeza e troca do Kit de Reparo</v>
          </cell>
          <cell r="M441" t="str">
            <v>Desgaste / Fadiga</v>
          </cell>
          <cell r="N441">
            <v>37888</v>
          </cell>
          <cell r="O441">
            <v>0.25</v>
          </cell>
          <cell r="P441">
            <v>37888</v>
          </cell>
          <cell r="Q441">
            <v>0.25</v>
          </cell>
          <cell r="T441">
            <v>37888</v>
          </cell>
          <cell r="U441">
            <v>0.5</v>
          </cell>
          <cell r="V441">
            <v>37888</v>
          </cell>
          <cell r="W441">
            <v>0.5</v>
          </cell>
          <cell r="X441">
            <v>0.25</v>
          </cell>
          <cell r="Y441">
            <v>0.25</v>
          </cell>
          <cell r="AB441">
            <v>9</v>
          </cell>
          <cell r="AC441">
            <v>8</v>
          </cell>
          <cell r="AD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9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</row>
        <row r="442">
          <cell r="C442">
            <v>37858</v>
          </cell>
          <cell r="D442">
            <v>37900</v>
          </cell>
          <cell r="E442">
            <v>37889</v>
          </cell>
          <cell r="F442">
            <v>0.39583333333333331</v>
          </cell>
          <cell r="G442" t="str">
            <v>Linha de Pintura 15m</v>
          </cell>
          <cell r="H442" t="str">
            <v>Anomalia no variador VI</v>
          </cell>
          <cell r="I442" t="str">
            <v>Corretiva</v>
          </cell>
          <cell r="J442" t="str">
            <v>Sim</v>
          </cell>
          <cell r="K442" t="str">
            <v>Mecânica</v>
          </cell>
          <cell r="L442" t="str">
            <v>Reparo</v>
          </cell>
          <cell r="M442" t="str">
            <v>Falha de Comando / Sistema</v>
          </cell>
          <cell r="N442">
            <v>37889</v>
          </cell>
          <cell r="O442">
            <v>0.39583333333333331</v>
          </cell>
          <cell r="P442">
            <v>37889</v>
          </cell>
          <cell r="Q442">
            <v>0.39583333333333331</v>
          </cell>
          <cell r="T442">
            <v>37889</v>
          </cell>
          <cell r="U442">
            <v>0.40972222222222227</v>
          </cell>
          <cell r="V442">
            <v>37889</v>
          </cell>
          <cell r="W442">
            <v>0.40972222222222227</v>
          </cell>
          <cell r="X442">
            <v>1.3888888888888951E-2</v>
          </cell>
          <cell r="Y442">
            <v>1.3888888885655148E-2</v>
          </cell>
          <cell r="AB442">
            <v>9</v>
          </cell>
          <cell r="AC442">
            <v>8</v>
          </cell>
          <cell r="AD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9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</row>
        <row r="443">
          <cell r="C443">
            <v>37858</v>
          </cell>
          <cell r="D443">
            <v>37918</v>
          </cell>
          <cell r="E443">
            <v>37908</v>
          </cell>
          <cell r="F443">
            <v>0.5</v>
          </cell>
          <cell r="G443" t="str">
            <v>Linha de Pintura 15m</v>
          </cell>
          <cell r="H443" t="str">
            <v>Problema no painel de regulagem de pó Nº 08</v>
          </cell>
          <cell r="I443" t="str">
            <v>Corretiva</v>
          </cell>
          <cell r="J443" t="str">
            <v>Sim</v>
          </cell>
          <cell r="K443" t="str">
            <v>Elétrica</v>
          </cell>
          <cell r="L443" t="str">
            <v>Substituição do(s) Componente(s)</v>
          </cell>
          <cell r="M443" t="str">
            <v>Desgaste / Fadiga</v>
          </cell>
          <cell r="N443">
            <v>37908</v>
          </cell>
          <cell r="O443">
            <v>0.5</v>
          </cell>
          <cell r="P443">
            <v>37908</v>
          </cell>
          <cell r="Q443">
            <v>0.5</v>
          </cell>
          <cell r="T443">
            <v>37908</v>
          </cell>
          <cell r="U443">
            <v>0.58333333333333337</v>
          </cell>
          <cell r="V443">
            <v>37908</v>
          </cell>
          <cell r="W443">
            <v>0.58333333333333337</v>
          </cell>
          <cell r="X443">
            <v>8.333333333333337E-2</v>
          </cell>
          <cell r="Y443">
            <v>8.3333333335758653E-2</v>
          </cell>
          <cell r="AB443">
            <v>10</v>
          </cell>
          <cell r="AC443">
            <v>8</v>
          </cell>
          <cell r="AD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10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</row>
        <row r="444">
          <cell r="C444">
            <v>37858</v>
          </cell>
          <cell r="D444">
            <v>37928</v>
          </cell>
          <cell r="E444">
            <v>37911</v>
          </cell>
          <cell r="F444">
            <v>0.3125</v>
          </cell>
          <cell r="G444" t="str">
            <v>Linha de Pintura 15m</v>
          </cell>
          <cell r="H444" t="str">
            <v>Variador 01 de carga/descarga apresenta funcionamento inadequado</v>
          </cell>
          <cell r="I444" t="str">
            <v>Corretiva</v>
          </cell>
          <cell r="J444" t="str">
            <v>Sim</v>
          </cell>
          <cell r="K444" t="str">
            <v>Mecânica</v>
          </cell>
          <cell r="L444" t="str">
            <v>Reparo</v>
          </cell>
          <cell r="M444" t="str">
            <v>Travamento de Componente</v>
          </cell>
          <cell r="N444">
            <v>37911</v>
          </cell>
          <cell r="O444">
            <v>0.3611111111111111</v>
          </cell>
          <cell r="P444">
            <v>37911</v>
          </cell>
          <cell r="Q444">
            <v>0.3611111111111111</v>
          </cell>
          <cell r="T444">
            <v>37911</v>
          </cell>
          <cell r="U444">
            <v>0.3743055555555555</v>
          </cell>
          <cell r="V444">
            <v>37911</v>
          </cell>
          <cell r="W444">
            <v>0.3743055555555555</v>
          </cell>
          <cell r="X444">
            <v>1.3194444444444398E-2</v>
          </cell>
          <cell r="Y444">
            <v>1.3194444442180819E-2</v>
          </cell>
          <cell r="AB444">
            <v>10</v>
          </cell>
          <cell r="AC444">
            <v>8</v>
          </cell>
          <cell r="AD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10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</row>
        <row r="445">
          <cell r="C445">
            <v>37858</v>
          </cell>
          <cell r="D445">
            <v>37928</v>
          </cell>
          <cell r="E445">
            <v>37909</v>
          </cell>
          <cell r="F445">
            <v>0.52083333333333337</v>
          </cell>
          <cell r="G445" t="str">
            <v>Linha de Pintura 15m</v>
          </cell>
          <cell r="H445" t="str">
            <v>Problema no parô do "Stock 05"</v>
          </cell>
          <cell r="I445" t="str">
            <v>Corretiva</v>
          </cell>
          <cell r="J445" t="str">
            <v>Sim</v>
          </cell>
          <cell r="K445" t="str">
            <v>Mecânica</v>
          </cell>
          <cell r="L445" t="str">
            <v>Regulagem do Componente</v>
          </cell>
          <cell r="M445" t="str">
            <v>Travamento de Componente</v>
          </cell>
          <cell r="N445">
            <v>37909</v>
          </cell>
          <cell r="O445">
            <v>0.52083333333333337</v>
          </cell>
          <cell r="P445">
            <v>37909</v>
          </cell>
          <cell r="Q445">
            <v>0.52083333333333337</v>
          </cell>
          <cell r="T445">
            <v>37909</v>
          </cell>
          <cell r="U445">
            <v>0.60416666666666663</v>
          </cell>
          <cell r="V445">
            <v>37909</v>
          </cell>
          <cell r="W445">
            <v>0.60416666666666663</v>
          </cell>
          <cell r="X445">
            <v>8.3333333333333259E-2</v>
          </cell>
          <cell r="Y445">
            <v>8.3333333330907977E-2</v>
          </cell>
          <cell r="AB445">
            <v>10</v>
          </cell>
          <cell r="AC445">
            <v>8</v>
          </cell>
          <cell r="AD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10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</row>
        <row r="446">
          <cell r="C446">
            <v>37858</v>
          </cell>
          <cell r="D446">
            <v>37928</v>
          </cell>
          <cell r="E446">
            <v>37917</v>
          </cell>
          <cell r="F446">
            <v>0.58333333333333337</v>
          </cell>
          <cell r="G446" t="str">
            <v>Linha de Pintura 15m</v>
          </cell>
          <cell r="H446" t="str">
            <v>Abraçadeira do braço da pistola está quebrada</v>
          </cell>
          <cell r="I446" t="str">
            <v>Corretiva</v>
          </cell>
          <cell r="J446" t="str">
            <v>Não</v>
          </cell>
          <cell r="K446" t="str">
            <v>Mecânica</v>
          </cell>
          <cell r="L446" t="str">
            <v>Substituição do(s) Componente(s)</v>
          </cell>
          <cell r="M446" t="str">
            <v>Desgaste / Fadiga</v>
          </cell>
          <cell r="N446">
            <v>37917</v>
          </cell>
          <cell r="O446">
            <v>0.58333333333333337</v>
          </cell>
          <cell r="P446">
            <v>37917</v>
          </cell>
          <cell r="Q446">
            <v>0.58333333333333337</v>
          </cell>
          <cell r="T446">
            <v>37917</v>
          </cell>
          <cell r="U446">
            <v>0.60416666666666663</v>
          </cell>
          <cell r="V446">
            <v>37917</v>
          </cell>
          <cell r="W446">
            <v>0.60416666666666663</v>
          </cell>
          <cell r="X446">
            <v>2.0833333330907977E-2</v>
          </cell>
          <cell r="Y446">
            <v>2.0833333330907977E-2</v>
          </cell>
          <cell r="AB446">
            <v>10</v>
          </cell>
          <cell r="AC446">
            <v>8</v>
          </cell>
          <cell r="AD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10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</row>
        <row r="447">
          <cell r="C447">
            <v>37858</v>
          </cell>
          <cell r="D447">
            <v>37970</v>
          </cell>
          <cell r="E447">
            <v>37925</v>
          </cell>
          <cell r="F447">
            <v>37925</v>
          </cell>
          <cell r="G447">
            <v>0.25</v>
          </cell>
          <cell r="H447" t="str">
            <v>03 Fusíveis do painel da cabine estão queimados</v>
          </cell>
          <cell r="I447">
            <v>0</v>
          </cell>
          <cell r="J447" t="str">
            <v>Sim</v>
          </cell>
          <cell r="K447" t="str">
            <v>Elétrica</v>
          </cell>
          <cell r="L447" t="str">
            <v>Sim</v>
          </cell>
          <cell r="M447" t="str">
            <v>Sobrecarga</v>
          </cell>
          <cell r="N447">
            <v>37925</v>
          </cell>
          <cell r="O447">
            <v>0.29166666666666669</v>
          </cell>
          <cell r="P447">
            <v>37925</v>
          </cell>
          <cell r="Q447">
            <v>0.29166666666666669</v>
          </cell>
          <cell r="T447">
            <v>37925</v>
          </cell>
          <cell r="U447">
            <v>0.30208333333333331</v>
          </cell>
          <cell r="V447">
            <v>37925</v>
          </cell>
          <cell r="W447">
            <v>0.30208333333333331</v>
          </cell>
          <cell r="X447">
            <v>1.041666666666663E-2</v>
          </cell>
          <cell r="Y447">
            <v>1.0416666669091967E-2</v>
          </cell>
          <cell r="AB447">
            <v>10</v>
          </cell>
          <cell r="AC447">
            <v>8</v>
          </cell>
          <cell r="AD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10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</row>
        <row r="448">
          <cell r="C448">
            <v>37858</v>
          </cell>
          <cell r="D448">
            <v>37970</v>
          </cell>
          <cell r="E448">
            <v>37935</v>
          </cell>
          <cell r="F448">
            <v>37935</v>
          </cell>
          <cell r="G448">
            <v>0.3888888888888889</v>
          </cell>
          <cell r="H448" t="str">
            <v>Anomalia no variador VI</v>
          </cell>
          <cell r="I448">
            <v>0</v>
          </cell>
          <cell r="J448" t="str">
            <v>Sim</v>
          </cell>
          <cell r="K448" t="str">
            <v>Mecânica</v>
          </cell>
          <cell r="L448" t="str">
            <v>Sim</v>
          </cell>
          <cell r="M448" t="str">
            <v>Falha Operacional</v>
          </cell>
          <cell r="N448">
            <v>37935</v>
          </cell>
          <cell r="O448">
            <v>0.41666666666666669</v>
          </cell>
          <cell r="P448">
            <v>37935</v>
          </cell>
          <cell r="Q448">
            <v>0.41666666666666669</v>
          </cell>
          <cell r="T448">
            <v>37935</v>
          </cell>
          <cell r="U448">
            <v>0.70833333333333337</v>
          </cell>
          <cell r="V448">
            <v>37935</v>
          </cell>
          <cell r="W448">
            <v>0.70833333333333337</v>
          </cell>
          <cell r="X448">
            <v>0.29166666666666669</v>
          </cell>
          <cell r="Y448">
            <v>0.29166666666909197</v>
          </cell>
          <cell r="AB448">
            <v>11</v>
          </cell>
          <cell r="AC448">
            <v>8</v>
          </cell>
          <cell r="AD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11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</row>
        <row r="449">
          <cell r="C449">
            <v>37858</v>
          </cell>
          <cell r="D449">
            <v>37970</v>
          </cell>
          <cell r="E449">
            <v>37937</v>
          </cell>
          <cell r="F449">
            <v>37937</v>
          </cell>
          <cell r="G449">
            <v>0.45833333333333331</v>
          </cell>
          <cell r="H449" t="str">
            <v>Sobrecarga no Motor de ventilação 02</v>
          </cell>
          <cell r="I449">
            <v>0</v>
          </cell>
          <cell r="J449" t="str">
            <v>Sim</v>
          </cell>
          <cell r="K449" t="str">
            <v>Elétrica</v>
          </cell>
          <cell r="L449" t="str">
            <v>Sim</v>
          </cell>
          <cell r="M449" t="str">
            <v>Mau contato</v>
          </cell>
          <cell r="N449">
            <v>37937</v>
          </cell>
          <cell r="O449">
            <v>0.45833333333333331</v>
          </cell>
          <cell r="P449">
            <v>37937</v>
          </cell>
          <cell r="Q449">
            <v>0.45833333333333331</v>
          </cell>
          <cell r="T449">
            <v>37937</v>
          </cell>
          <cell r="U449">
            <v>0.5</v>
          </cell>
          <cell r="V449">
            <v>37937</v>
          </cell>
          <cell r="W449">
            <v>0.5</v>
          </cell>
          <cell r="X449">
            <v>4.1666666666666685E-2</v>
          </cell>
          <cell r="Y449">
            <v>4.1666666666666685E-2</v>
          </cell>
          <cell r="AB449">
            <v>11</v>
          </cell>
          <cell r="AC449">
            <v>8</v>
          </cell>
          <cell r="AD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11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</row>
        <row r="450">
          <cell r="C450">
            <v>37858</v>
          </cell>
          <cell r="D450">
            <v>37970</v>
          </cell>
          <cell r="E450">
            <v>37938</v>
          </cell>
          <cell r="F450">
            <v>37938</v>
          </cell>
          <cell r="G450">
            <v>0.4465277777777778</v>
          </cell>
          <cell r="H450" t="str">
            <v>Anomalia no variador VI</v>
          </cell>
          <cell r="I450">
            <v>0</v>
          </cell>
          <cell r="J450" t="str">
            <v>Sim</v>
          </cell>
          <cell r="K450" t="str">
            <v>Mecânica</v>
          </cell>
          <cell r="L450" t="str">
            <v>sim</v>
          </cell>
          <cell r="M450" t="str">
            <v>Falha de Comando / Sistema</v>
          </cell>
          <cell r="N450">
            <v>37938</v>
          </cell>
          <cell r="O450">
            <v>0.4513888888888889</v>
          </cell>
          <cell r="P450">
            <v>37938</v>
          </cell>
          <cell r="Q450">
            <v>0.4513888888888889</v>
          </cell>
          <cell r="T450">
            <v>37938</v>
          </cell>
          <cell r="U450">
            <v>0.46875</v>
          </cell>
          <cell r="V450">
            <v>37938</v>
          </cell>
          <cell r="W450">
            <v>0.46875</v>
          </cell>
          <cell r="X450">
            <v>1.7361111111111105E-2</v>
          </cell>
          <cell r="Y450">
            <v>1.7361111111111105E-2</v>
          </cell>
          <cell r="AB450">
            <v>11</v>
          </cell>
          <cell r="AC450">
            <v>8</v>
          </cell>
          <cell r="AD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11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</row>
        <row r="451">
          <cell r="C451">
            <v>37858</v>
          </cell>
          <cell r="D451">
            <v>37970</v>
          </cell>
          <cell r="E451">
            <v>37937</v>
          </cell>
          <cell r="F451">
            <v>37937</v>
          </cell>
          <cell r="G451">
            <v>0.41666666666666669</v>
          </cell>
          <cell r="H451" t="str">
            <v>Problema nos conectores da mangueira de ar, pistola e máquina de embalagem</v>
          </cell>
          <cell r="I451">
            <v>0</v>
          </cell>
          <cell r="J451" t="str">
            <v>Não</v>
          </cell>
          <cell r="K451" t="str">
            <v>Mecânica</v>
          </cell>
          <cell r="L451" t="str">
            <v>Não</v>
          </cell>
          <cell r="M451" t="str">
            <v>Desgaste / Fadiga</v>
          </cell>
          <cell r="N451">
            <v>37937</v>
          </cell>
          <cell r="O451">
            <v>0.4236111111111111</v>
          </cell>
          <cell r="P451">
            <v>37937</v>
          </cell>
          <cell r="Q451">
            <v>0.4236111111111111</v>
          </cell>
          <cell r="T451">
            <v>37937</v>
          </cell>
          <cell r="U451">
            <v>0.44444444444444442</v>
          </cell>
          <cell r="V451">
            <v>37937</v>
          </cell>
          <cell r="W451">
            <v>0.44444444444444442</v>
          </cell>
          <cell r="X451">
            <v>2.0833333334141779E-2</v>
          </cell>
          <cell r="Y451">
            <v>2.0833333334141779E-2</v>
          </cell>
          <cell r="AB451">
            <v>11</v>
          </cell>
          <cell r="AC451">
            <v>8</v>
          </cell>
          <cell r="AD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11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</row>
        <row r="452">
          <cell r="C452">
            <v>37858</v>
          </cell>
          <cell r="D452">
            <v>37970</v>
          </cell>
          <cell r="E452">
            <v>37943</v>
          </cell>
          <cell r="F452">
            <v>0.33333333333333331</v>
          </cell>
          <cell r="G452" t="str">
            <v>Linha de Pintura 15m</v>
          </cell>
          <cell r="H452" t="str">
            <v>Painel Nº 02 de regulagem de pó está parado</v>
          </cell>
          <cell r="I452">
            <v>0</v>
          </cell>
          <cell r="J452" t="str">
            <v>Não</v>
          </cell>
          <cell r="K452" t="str">
            <v>Elétrica</v>
          </cell>
          <cell r="L452" t="str">
            <v>Substituição do(s) Componente(s)</v>
          </cell>
          <cell r="M452" t="str">
            <v>Curto-circuito</v>
          </cell>
          <cell r="N452">
            <v>37943</v>
          </cell>
          <cell r="O452">
            <v>0.33333333333333331</v>
          </cell>
          <cell r="P452">
            <v>0</v>
          </cell>
          <cell r="T452">
            <v>37943</v>
          </cell>
          <cell r="U452">
            <v>0.375</v>
          </cell>
          <cell r="V452">
            <v>0</v>
          </cell>
          <cell r="W452">
            <v>4.1666666666666685E-2</v>
          </cell>
          <cell r="X452">
            <v>0</v>
          </cell>
          <cell r="Y452">
            <v>0</v>
          </cell>
          <cell r="AB452">
            <v>11</v>
          </cell>
          <cell r="AC452">
            <v>8</v>
          </cell>
          <cell r="AD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11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</row>
        <row r="453">
          <cell r="C453">
            <v>37858</v>
          </cell>
          <cell r="D453">
            <v>37970</v>
          </cell>
          <cell r="E453">
            <v>37947</v>
          </cell>
          <cell r="F453">
            <v>0.41666666666666669</v>
          </cell>
          <cell r="G453" t="str">
            <v>Linha de Pintura 15m</v>
          </cell>
          <cell r="H453" t="str">
            <v>Fusível do controle de regulagem de pó da pistola Nº 02 queimado</v>
          </cell>
          <cell r="I453">
            <v>0</v>
          </cell>
          <cell r="J453" t="str">
            <v>Não</v>
          </cell>
          <cell r="K453" t="str">
            <v>Elétrica</v>
          </cell>
          <cell r="L453" t="str">
            <v>Substituição do(s) Componente(s)</v>
          </cell>
          <cell r="M453" t="str">
            <v>Curto-circuito</v>
          </cell>
          <cell r="N453">
            <v>37947</v>
          </cell>
          <cell r="O453">
            <v>0.4236111111111111</v>
          </cell>
          <cell r="P453">
            <v>0</v>
          </cell>
          <cell r="T453">
            <v>37947</v>
          </cell>
          <cell r="U453">
            <v>0.46527777777777773</v>
          </cell>
          <cell r="V453">
            <v>0</v>
          </cell>
          <cell r="W453">
            <v>4.1666666669900432E-2</v>
          </cell>
          <cell r="X453">
            <v>0</v>
          </cell>
          <cell r="Y453">
            <v>0</v>
          </cell>
          <cell r="AB453">
            <v>11</v>
          </cell>
          <cell r="AC453">
            <v>8</v>
          </cell>
          <cell r="AD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11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</row>
        <row r="454">
          <cell r="C454">
            <v>37858</v>
          </cell>
          <cell r="D454">
            <v>37977</v>
          </cell>
          <cell r="E454">
            <v>37949</v>
          </cell>
          <cell r="F454">
            <v>0.36458333333333331</v>
          </cell>
          <cell r="G454" t="str">
            <v>Linha de Pintura 15m</v>
          </cell>
          <cell r="H454" t="str">
            <v>Painel Nº 02 de regulagem de pó está parado</v>
          </cell>
          <cell r="I454">
            <v>0</v>
          </cell>
          <cell r="J454" t="str">
            <v>Não</v>
          </cell>
          <cell r="K454" t="str">
            <v>Elétrica</v>
          </cell>
          <cell r="L454" t="str">
            <v>Substituição do(s) Componente(s)</v>
          </cell>
          <cell r="M454" t="str">
            <v>Curto-circuito</v>
          </cell>
          <cell r="N454">
            <v>37949</v>
          </cell>
          <cell r="O454">
            <v>0.36458333333333331</v>
          </cell>
          <cell r="P454">
            <v>0</v>
          </cell>
          <cell r="T454">
            <v>37949</v>
          </cell>
          <cell r="U454">
            <v>0.39583333333333331</v>
          </cell>
          <cell r="V454">
            <v>0</v>
          </cell>
          <cell r="W454">
            <v>3.1250000002425338E-2</v>
          </cell>
          <cell r="X454">
            <v>0</v>
          </cell>
          <cell r="Y454">
            <v>0</v>
          </cell>
          <cell r="AB454">
            <v>11</v>
          </cell>
          <cell r="AC454">
            <v>8</v>
          </cell>
          <cell r="AD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11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</row>
        <row r="455">
          <cell r="C455">
            <v>37858</v>
          </cell>
          <cell r="E455">
            <v>37951</v>
          </cell>
          <cell r="F455">
            <v>37951</v>
          </cell>
          <cell r="G455">
            <v>0.70138888888888884</v>
          </cell>
          <cell r="H455" t="str">
            <v>Engate rápido do recuperador de pó quebrado</v>
          </cell>
          <cell r="I455">
            <v>0</v>
          </cell>
          <cell r="J455" t="str">
            <v>Sim</v>
          </cell>
          <cell r="K455" t="str">
            <v>Mecânica</v>
          </cell>
          <cell r="L455" t="str">
            <v>sim</v>
          </cell>
          <cell r="M455" t="str">
            <v>Falha Operacional</v>
          </cell>
          <cell r="N455">
            <v>0</v>
          </cell>
          <cell r="P455">
            <v>0</v>
          </cell>
          <cell r="T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AB455">
            <v>0</v>
          </cell>
          <cell r="AC455">
            <v>8</v>
          </cell>
          <cell r="AD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1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</row>
        <row r="456">
          <cell r="C456">
            <v>37858</v>
          </cell>
          <cell r="D456">
            <v>37970</v>
          </cell>
          <cell r="E456">
            <v>37952</v>
          </cell>
          <cell r="F456">
            <v>0.48958333333333331</v>
          </cell>
          <cell r="G456" t="str">
            <v>Linha de Pintura 15m</v>
          </cell>
          <cell r="H456" t="str">
            <v>Sobrecarga no motor Nº 02</v>
          </cell>
          <cell r="I456">
            <v>0</v>
          </cell>
          <cell r="J456" t="str">
            <v>Sim</v>
          </cell>
          <cell r="K456" t="str">
            <v>Elétrica</v>
          </cell>
          <cell r="L456" t="str">
            <v>Destravamento dos Componentes</v>
          </cell>
          <cell r="M456" t="str">
            <v>Falha de Regulagem / Configuração / Dimensionamento</v>
          </cell>
          <cell r="N456">
            <v>37952</v>
          </cell>
          <cell r="O456">
            <v>0.49305555555555558</v>
          </cell>
          <cell r="P456">
            <v>0</v>
          </cell>
          <cell r="T456">
            <v>37952</v>
          </cell>
          <cell r="U456">
            <v>0.51388888888888895</v>
          </cell>
          <cell r="V456">
            <v>0</v>
          </cell>
          <cell r="W456">
            <v>2.4305555557172454E-2</v>
          </cell>
          <cell r="X456">
            <v>0</v>
          </cell>
          <cell r="Y456">
            <v>0</v>
          </cell>
          <cell r="AB456">
            <v>11</v>
          </cell>
          <cell r="AC456">
            <v>8</v>
          </cell>
          <cell r="AD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11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</row>
        <row r="457">
          <cell r="C457">
            <v>37861</v>
          </cell>
          <cell r="D457">
            <v>37867</v>
          </cell>
          <cell r="E457">
            <v>37865</v>
          </cell>
          <cell r="F457">
            <v>0.39930555555555558</v>
          </cell>
          <cell r="G457" t="str">
            <v>Dobradeira Sorg</v>
          </cell>
          <cell r="H457" t="str">
            <v>Pedal não Funciona</v>
          </cell>
          <cell r="I457" t="str">
            <v>Corretiva</v>
          </cell>
          <cell r="J457" t="str">
            <v>Sim</v>
          </cell>
          <cell r="K457" t="str">
            <v>Elétrica</v>
          </cell>
          <cell r="L457" t="str">
            <v>Substituição do(s) Componente(s)</v>
          </cell>
          <cell r="M457" t="str">
            <v>Desgaste / Fadiga</v>
          </cell>
          <cell r="N457">
            <v>37865</v>
          </cell>
          <cell r="O457">
            <v>0.40277777777777773</v>
          </cell>
          <cell r="P457">
            <v>37865</v>
          </cell>
          <cell r="Q457">
            <v>0.40277777777777773</v>
          </cell>
          <cell r="T457">
            <v>37865</v>
          </cell>
          <cell r="U457">
            <v>0.41666666666666669</v>
          </cell>
          <cell r="V457">
            <v>37865</v>
          </cell>
          <cell r="W457">
            <v>0.41666666666666669</v>
          </cell>
          <cell r="X457">
            <v>1.3888888888888951E-2</v>
          </cell>
          <cell r="Y457">
            <v>1.3888888886463613E-2</v>
          </cell>
          <cell r="AB457">
            <v>9</v>
          </cell>
          <cell r="AC457">
            <v>8</v>
          </cell>
          <cell r="AD457">
            <v>0</v>
          </cell>
          <cell r="BF457">
            <v>0</v>
          </cell>
          <cell r="BG457">
            <v>0</v>
          </cell>
          <cell r="BH457">
            <v>9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</row>
        <row r="458">
          <cell r="C458">
            <v>37861</v>
          </cell>
          <cell r="D458">
            <v>37881</v>
          </cell>
          <cell r="E458">
            <v>37872</v>
          </cell>
          <cell r="F458">
            <v>0.8125</v>
          </cell>
          <cell r="G458" t="str">
            <v>Prensa Jundiaí</v>
          </cell>
          <cell r="H458" t="str">
            <v>Máquina travada</v>
          </cell>
          <cell r="I458" t="str">
            <v>Corretiva</v>
          </cell>
          <cell r="J458" t="str">
            <v>Sim</v>
          </cell>
          <cell r="K458" t="str">
            <v>Elétrica</v>
          </cell>
          <cell r="L458" t="str">
            <v>Ajuste / Regulagem</v>
          </cell>
          <cell r="M458" t="str">
            <v>Falha Operacional</v>
          </cell>
          <cell r="N458">
            <v>37872</v>
          </cell>
          <cell r="O458">
            <v>0.8125</v>
          </cell>
          <cell r="P458">
            <v>37872</v>
          </cell>
          <cell r="Q458">
            <v>0.8125</v>
          </cell>
          <cell r="T458">
            <v>37872</v>
          </cell>
          <cell r="U458">
            <v>0.98611111111111116</v>
          </cell>
          <cell r="V458">
            <v>37872</v>
          </cell>
          <cell r="W458">
            <v>0.98611111111111116</v>
          </cell>
          <cell r="X458">
            <v>0.17361111111111116</v>
          </cell>
          <cell r="Y458">
            <v>0.17361111110949423</v>
          </cell>
          <cell r="AB458">
            <v>9</v>
          </cell>
          <cell r="AC458">
            <v>8</v>
          </cell>
          <cell r="AD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9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</row>
        <row r="459">
          <cell r="C459">
            <v>37861</v>
          </cell>
          <cell r="D459">
            <v>37874</v>
          </cell>
          <cell r="E459">
            <v>37873</v>
          </cell>
          <cell r="F459">
            <v>0.31944444444444448</v>
          </cell>
          <cell r="G459" t="str">
            <v>Prensa Jundiaí</v>
          </cell>
          <cell r="H459" t="str">
            <v>Posicionamento incorreto do Martelo</v>
          </cell>
          <cell r="I459" t="str">
            <v>Corretiva</v>
          </cell>
          <cell r="J459" t="str">
            <v>Sim</v>
          </cell>
          <cell r="K459" t="str">
            <v>Mecânica</v>
          </cell>
          <cell r="L459" t="str">
            <v>Ajuste / Regulagem</v>
          </cell>
          <cell r="M459" t="str">
            <v>Vibração</v>
          </cell>
          <cell r="N459">
            <v>37873</v>
          </cell>
          <cell r="O459">
            <v>0.31944444444444448</v>
          </cell>
          <cell r="P459">
            <v>37873</v>
          </cell>
          <cell r="Q459">
            <v>0.31944444444444448</v>
          </cell>
          <cell r="T459">
            <v>37873</v>
          </cell>
          <cell r="U459">
            <v>0.33333333333333331</v>
          </cell>
          <cell r="V459">
            <v>37873</v>
          </cell>
          <cell r="W459">
            <v>0.33333333333333331</v>
          </cell>
          <cell r="X459">
            <v>1.388888888888884E-2</v>
          </cell>
          <cell r="Y459">
            <v>1.3888888891314177E-2</v>
          </cell>
          <cell r="AB459">
            <v>9</v>
          </cell>
          <cell r="AC459">
            <v>8</v>
          </cell>
          <cell r="AD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9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</row>
        <row r="460">
          <cell r="C460">
            <v>37861</v>
          </cell>
          <cell r="D460">
            <v>37874</v>
          </cell>
          <cell r="E460">
            <v>37873</v>
          </cell>
          <cell r="F460">
            <v>0.41666666666666669</v>
          </cell>
          <cell r="G460" t="str">
            <v>Prensa Jundiaí</v>
          </cell>
          <cell r="H460" t="str">
            <v>Martelo travado</v>
          </cell>
          <cell r="I460" t="str">
            <v>Corretiva</v>
          </cell>
          <cell r="J460" t="str">
            <v>Sim</v>
          </cell>
          <cell r="K460" t="str">
            <v>Mecânica</v>
          </cell>
          <cell r="L460" t="str">
            <v>Ajuste / Regulagem</v>
          </cell>
          <cell r="M460" t="str">
            <v>Falha de Regulagem / Configuração / Dimensionamento</v>
          </cell>
          <cell r="N460">
            <v>37873</v>
          </cell>
          <cell r="O460">
            <v>0.41666666666666669</v>
          </cell>
          <cell r="P460">
            <v>37873</v>
          </cell>
          <cell r="Q460">
            <v>0.41666666666666669</v>
          </cell>
          <cell r="T460">
            <v>37873</v>
          </cell>
          <cell r="U460">
            <v>0.45833333333333331</v>
          </cell>
          <cell r="V460">
            <v>37873</v>
          </cell>
          <cell r="W460">
            <v>0.45833333333333331</v>
          </cell>
          <cell r="X460">
            <v>4.166666666666663E-2</v>
          </cell>
          <cell r="Y460">
            <v>4.1666666669091967E-2</v>
          </cell>
          <cell r="AB460">
            <v>9</v>
          </cell>
          <cell r="AC460">
            <v>8</v>
          </cell>
          <cell r="AD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9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</row>
        <row r="461">
          <cell r="C461">
            <v>37861</v>
          </cell>
          <cell r="D461">
            <v>37900</v>
          </cell>
          <cell r="E461">
            <v>37887</v>
          </cell>
          <cell r="F461">
            <v>0.6875</v>
          </cell>
          <cell r="G461" t="str">
            <v>Guilhotina Sorg</v>
          </cell>
          <cell r="H461" t="str">
            <v>Variação dimensional</v>
          </cell>
          <cell r="I461" t="str">
            <v>Corretiva</v>
          </cell>
          <cell r="J461" t="str">
            <v>Sim</v>
          </cell>
          <cell r="K461" t="str">
            <v>Elétrica</v>
          </cell>
          <cell r="L461" t="str">
            <v>Reinicialização do Equipamento / Componente</v>
          </cell>
          <cell r="M461" t="str">
            <v>Desgaste / Fadiga</v>
          </cell>
          <cell r="N461">
            <v>37887</v>
          </cell>
          <cell r="O461">
            <v>0.6875</v>
          </cell>
          <cell r="P461">
            <v>37887</v>
          </cell>
          <cell r="Q461">
            <v>0.6875</v>
          </cell>
          <cell r="T461">
            <v>37887</v>
          </cell>
          <cell r="U461">
            <v>0.75</v>
          </cell>
          <cell r="V461">
            <v>37887</v>
          </cell>
          <cell r="W461">
            <v>0.75</v>
          </cell>
          <cell r="X461">
            <v>6.25E-2</v>
          </cell>
          <cell r="Y461">
            <v>6.25E-2</v>
          </cell>
          <cell r="AB461">
            <v>9</v>
          </cell>
          <cell r="AC461">
            <v>8</v>
          </cell>
          <cell r="AD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9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</row>
        <row r="462">
          <cell r="C462">
            <v>37861</v>
          </cell>
          <cell r="I462">
            <v>0</v>
          </cell>
          <cell r="N462">
            <v>0</v>
          </cell>
          <cell r="P462">
            <v>0</v>
          </cell>
          <cell r="T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AB462">
            <v>0</v>
          </cell>
          <cell r="AC462">
            <v>8</v>
          </cell>
          <cell r="AD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</row>
        <row r="463">
          <cell r="C463">
            <v>37861</v>
          </cell>
          <cell r="I463">
            <v>0</v>
          </cell>
          <cell r="N463">
            <v>0</v>
          </cell>
          <cell r="P463">
            <v>0</v>
          </cell>
          <cell r="T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AB463">
            <v>0</v>
          </cell>
          <cell r="AC463">
            <v>8</v>
          </cell>
          <cell r="AD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</row>
        <row r="464">
          <cell r="C464">
            <v>37861</v>
          </cell>
          <cell r="I464">
            <v>0</v>
          </cell>
          <cell r="N464">
            <v>0</v>
          </cell>
          <cell r="P464">
            <v>0</v>
          </cell>
          <cell r="T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AB464">
            <v>0</v>
          </cell>
          <cell r="AC464">
            <v>8</v>
          </cell>
          <cell r="AD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</row>
        <row r="465">
          <cell r="C465">
            <v>37861</v>
          </cell>
          <cell r="I465">
            <v>0</v>
          </cell>
          <cell r="N465">
            <v>0</v>
          </cell>
          <cell r="P465">
            <v>0</v>
          </cell>
          <cell r="T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AB465">
            <v>0</v>
          </cell>
          <cell r="AC465">
            <v>8</v>
          </cell>
          <cell r="AD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</row>
        <row r="466">
          <cell r="C466">
            <v>37861</v>
          </cell>
          <cell r="I466">
            <v>0</v>
          </cell>
          <cell r="N466">
            <v>0</v>
          </cell>
          <cell r="P466">
            <v>0</v>
          </cell>
          <cell r="T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AB466">
            <v>0</v>
          </cell>
          <cell r="AC466">
            <v>8</v>
          </cell>
          <cell r="AD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</row>
        <row r="467">
          <cell r="C467">
            <v>37861</v>
          </cell>
          <cell r="I467">
            <v>0</v>
          </cell>
          <cell r="N467">
            <v>0</v>
          </cell>
          <cell r="P467">
            <v>0</v>
          </cell>
          <cell r="T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AB467">
            <v>0</v>
          </cell>
          <cell r="AC467">
            <v>8</v>
          </cell>
          <cell r="AD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</row>
        <row r="468">
          <cell r="C468">
            <v>37861</v>
          </cell>
          <cell r="I468">
            <v>0</v>
          </cell>
          <cell r="N468">
            <v>0</v>
          </cell>
          <cell r="P468">
            <v>0</v>
          </cell>
          <cell r="T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AB468">
            <v>0</v>
          </cell>
          <cell r="AC468">
            <v>8</v>
          </cell>
          <cell r="AD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</row>
        <row r="469">
          <cell r="C469">
            <v>37861</v>
          </cell>
          <cell r="I469">
            <v>0</v>
          </cell>
          <cell r="N469">
            <v>0</v>
          </cell>
          <cell r="P469">
            <v>0</v>
          </cell>
          <cell r="T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AB469">
            <v>0</v>
          </cell>
          <cell r="AC469">
            <v>8</v>
          </cell>
          <cell r="AD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</row>
        <row r="470">
          <cell r="C470">
            <v>37861</v>
          </cell>
          <cell r="I470">
            <v>0</v>
          </cell>
          <cell r="N470">
            <v>0</v>
          </cell>
          <cell r="P470">
            <v>0</v>
          </cell>
          <cell r="T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AB470">
            <v>0</v>
          </cell>
          <cell r="AC470">
            <v>8</v>
          </cell>
          <cell r="AD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</row>
        <row r="471">
          <cell r="C471">
            <v>37861</v>
          </cell>
          <cell r="I471">
            <v>0</v>
          </cell>
          <cell r="N471">
            <v>0</v>
          </cell>
          <cell r="P471">
            <v>0</v>
          </cell>
          <cell r="T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AB471">
            <v>0</v>
          </cell>
          <cell r="AC471">
            <v>8</v>
          </cell>
          <cell r="AD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</row>
        <row r="472">
          <cell r="C472">
            <v>37861</v>
          </cell>
          <cell r="I472">
            <v>0</v>
          </cell>
          <cell r="N472">
            <v>0</v>
          </cell>
          <cell r="P472">
            <v>0</v>
          </cell>
          <cell r="T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AB472">
            <v>0</v>
          </cell>
          <cell r="AC472">
            <v>8</v>
          </cell>
          <cell r="AD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</row>
        <row r="473">
          <cell r="C473">
            <v>37861</v>
          </cell>
          <cell r="I473">
            <v>0</v>
          </cell>
          <cell r="N473">
            <v>0</v>
          </cell>
          <cell r="P473">
            <v>0</v>
          </cell>
          <cell r="T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AB473">
            <v>0</v>
          </cell>
          <cell r="AC473">
            <v>8</v>
          </cell>
          <cell r="AD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</row>
        <row r="474">
          <cell r="C474">
            <v>37861</v>
          </cell>
          <cell r="I474">
            <v>0</v>
          </cell>
          <cell r="N474">
            <v>0</v>
          </cell>
          <cell r="P474">
            <v>0</v>
          </cell>
          <cell r="T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AB474">
            <v>0</v>
          </cell>
          <cell r="AC474">
            <v>8</v>
          </cell>
          <cell r="AD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</row>
        <row r="475">
          <cell r="C475">
            <v>37861</v>
          </cell>
          <cell r="I475">
            <v>0</v>
          </cell>
          <cell r="N475">
            <v>0</v>
          </cell>
          <cell r="P475">
            <v>0</v>
          </cell>
          <cell r="T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AB475">
            <v>0</v>
          </cell>
          <cell r="AC475">
            <v>8</v>
          </cell>
          <cell r="AD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</row>
        <row r="476">
          <cell r="C476">
            <v>37861</v>
          </cell>
          <cell r="I476">
            <v>0</v>
          </cell>
          <cell r="N476">
            <v>0</v>
          </cell>
          <cell r="P476">
            <v>0</v>
          </cell>
          <cell r="T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AB476">
            <v>0</v>
          </cell>
          <cell r="AC476">
            <v>8</v>
          </cell>
          <cell r="AD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</row>
        <row r="477">
          <cell r="C477">
            <v>37873</v>
          </cell>
          <cell r="D477">
            <v>37902</v>
          </cell>
          <cell r="E477">
            <v>37875</v>
          </cell>
          <cell r="F477">
            <v>0.29166666666666669</v>
          </cell>
          <cell r="G477" t="str">
            <v>Serra de Fita</v>
          </cell>
          <cell r="H477" t="str">
            <v>Manípulo quebrado</v>
          </cell>
          <cell r="I477" t="str">
            <v>Corretiva</v>
          </cell>
          <cell r="J477" t="str">
            <v>Não</v>
          </cell>
          <cell r="K477" t="str">
            <v>Mecânica</v>
          </cell>
          <cell r="L477" t="str">
            <v>Substituição do(s) Componente(s)</v>
          </cell>
          <cell r="M477" t="str">
            <v>Defeito de Fabricação</v>
          </cell>
          <cell r="N477">
            <v>37895</v>
          </cell>
          <cell r="O477">
            <v>0.875</v>
          </cell>
          <cell r="P477">
            <v>37895</v>
          </cell>
          <cell r="Q477">
            <v>0.99305555555555547</v>
          </cell>
          <cell r="R477">
            <v>37896</v>
          </cell>
          <cell r="S477">
            <v>0.625</v>
          </cell>
          <cell r="T477">
            <v>37896</v>
          </cell>
          <cell r="U477">
            <v>0.75</v>
          </cell>
          <cell r="V477">
            <v>0</v>
          </cell>
          <cell r="W477">
            <v>0.24305555555555547</v>
          </cell>
          <cell r="X477">
            <v>0.24305555555555547</v>
          </cell>
          <cell r="Y477">
            <v>0.24305555555555547</v>
          </cell>
          <cell r="AB477">
            <v>10</v>
          </cell>
          <cell r="AC477">
            <v>9</v>
          </cell>
          <cell r="AD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10</v>
          </cell>
          <cell r="CD477">
            <v>0</v>
          </cell>
        </row>
        <row r="478">
          <cell r="C478">
            <v>37873</v>
          </cell>
          <cell r="I478">
            <v>0</v>
          </cell>
          <cell r="N478">
            <v>0</v>
          </cell>
          <cell r="P478">
            <v>0</v>
          </cell>
          <cell r="T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AB478">
            <v>0</v>
          </cell>
          <cell r="AC478">
            <v>9</v>
          </cell>
          <cell r="AD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</row>
        <row r="479">
          <cell r="C479">
            <v>37873</v>
          </cell>
          <cell r="I479">
            <v>0</v>
          </cell>
          <cell r="N479">
            <v>0</v>
          </cell>
          <cell r="P479">
            <v>0</v>
          </cell>
          <cell r="T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AB479">
            <v>0</v>
          </cell>
          <cell r="AC479">
            <v>9</v>
          </cell>
          <cell r="AD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</row>
        <row r="480">
          <cell r="C480">
            <v>37873</v>
          </cell>
          <cell r="D480">
            <v>37900</v>
          </cell>
          <cell r="E480">
            <v>37881</v>
          </cell>
          <cell r="F480">
            <v>0.38194444444444442</v>
          </cell>
          <cell r="G480" t="str">
            <v>Células de Solda Manual</v>
          </cell>
          <cell r="H480" t="str">
            <v>Isolador de Gás quebrado</v>
          </cell>
          <cell r="I480" t="str">
            <v>Corretiva</v>
          </cell>
          <cell r="J480" t="str">
            <v>Sim</v>
          </cell>
          <cell r="K480" t="str">
            <v>Elétrica</v>
          </cell>
          <cell r="L480" t="str">
            <v>Substituição do(s) Componente(s)</v>
          </cell>
          <cell r="M480" t="str">
            <v>Desgaste / Fadiga</v>
          </cell>
          <cell r="N480">
            <v>37881</v>
          </cell>
          <cell r="O480">
            <v>0.38194444444444442</v>
          </cell>
          <cell r="P480">
            <v>37881</v>
          </cell>
          <cell r="Q480">
            <v>0.38194444444444442</v>
          </cell>
          <cell r="T480">
            <v>37881</v>
          </cell>
          <cell r="U480">
            <v>0.39583333333333331</v>
          </cell>
          <cell r="V480">
            <v>37881</v>
          </cell>
          <cell r="W480">
            <v>0.39583333333333331</v>
          </cell>
          <cell r="X480">
            <v>1.3888888888888895E-2</v>
          </cell>
          <cell r="Y480">
            <v>1.3888888891314233E-2</v>
          </cell>
          <cell r="AB480">
            <v>9</v>
          </cell>
          <cell r="AC480">
            <v>9</v>
          </cell>
          <cell r="AD480">
            <v>0</v>
          </cell>
          <cell r="BF480">
            <v>0</v>
          </cell>
          <cell r="BG480">
            <v>9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</row>
        <row r="481">
          <cell r="C481">
            <v>37873</v>
          </cell>
          <cell r="I481">
            <v>0</v>
          </cell>
          <cell r="N481">
            <v>0</v>
          </cell>
          <cell r="P481">
            <v>0</v>
          </cell>
          <cell r="T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AB481">
            <v>0</v>
          </cell>
          <cell r="AC481">
            <v>9</v>
          </cell>
          <cell r="AD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</row>
        <row r="482">
          <cell r="C482">
            <v>37873</v>
          </cell>
          <cell r="I482">
            <v>0</v>
          </cell>
          <cell r="N482">
            <v>0</v>
          </cell>
          <cell r="P482">
            <v>0</v>
          </cell>
          <cell r="T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AB482">
            <v>0</v>
          </cell>
          <cell r="AC482">
            <v>9</v>
          </cell>
          <cell r="AD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</row>
        <row r="483">
          <cell r="C483">
            <v>37873</v>
          </cell>
          <cell r="D483">
            <v>37918</v>
          </cell>
          <cell r="E483">
            <v>37900</v>
          </cell>
          <cell r="F483">
            <v>0.4375</v>
          </cell>
          <cell r="G483" t="str">
            <v>Serra de Fita</v>
          </cell>
          <cell r="H483" t="str">
            <v>Máquina não funciona</v>
          </cell>
          <cell r="I483" t="str">
            <v>Corretiva</v>
          </cell>
          <cell r="J483" t="str">
            <v>Sim</v>
          </cell>
          <cell r="K483" t="str">
            <v>Elétrica</v>
          </cell>
          <cell r="L483" t="str">
            <v>Reinicialização do Equipamento / Componente</v>
          </cell>
          <cell r="M483" t="str">
            <v>Sobrecarga</v>
          </cell>
          <cell r="N483">
            <v>37900</v>
          </cell>
          <cell r="O483">
            <v>0.4375</v>
          </cell>
          <cell r="P483">
            <v>37900</v>
          </cell>
          <cell r="Q483">
            <v>0.4375</v>
          </cell>
          <cell r="T483">
            <v>37900</v>
          </cell>
          <cell r="U483">
            <v>0.44791666666666669</v>
          </cell>
          <cell r="V483">
            <v>37900</v>
          </cell>
          <cell r="W483">
            <v>0.44791666666666669</v>
          </cell>
          <cell r="X483">
            <v>1.0416666666666685E-2</v>
          </cell>
          <cell r="Y483">
            <v>1.0416666664241347E-2</v>
          </cell>
          <cell r="AB483">
            <v>10</v>
          </cell>
          <cell r="AC483">
            <v>9</v>
          </cell>
          <cell r="AD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10</v>
          </cell>
          <cell r="CD483">
            <v>0</v>
          </cell>
        </row>
        <row r="484">
          <cell r="C484">
            <v>37873</v>
          </cell>
          <cell r="D484">
            <v>37970</v>
          </cell>
          <cell r="E484">
            <v>37910</v>
          </cell>
          <cell r="F484">
            <v>0.76388888888888884</v>
          </cell>
          <cell r="G484" t="str">
            <v>Máquina de Solda MIG</v>
          </cell>
          <cell r="H484" t="str">
            <v>Sistema de tração do arame não funciona</v>
          </cell>
          <cell r="I484">
            <v>0</v>
          </cell>
          <cell r="J484" t="str">
            <v>Não</v>
          </cell>
          <cell r="K484" t="str">
            <v>Elétrica</v>
          </cell>
          <cell r="L484" t="str">
            <v>Substituição do(s) Componente(s)</v>
          </cell>
          <cell r="M484" t="str">
            <v>Sobrecarga</v>
          </cell>
          <cell r="N484">
            <v>37911</v>
          </cell>
          <cell r="O484">
            <v>0.70833333333333337</v>
          </cell>
          <cell r="P484">
            <v>0</v>
          </cell>
          <cell r="Q484">
            <v>0.70833333333333337</v>
          </cell>
          <cell r="R484">
            <v>37916</v>
          </cell>
          <cell r="S484">
            <v>0.5</v>
          </cell>
          <cell r="T484">
            <v>37916</v>
          </cell>
          <cell r="U484">
            <v>0.53472222222222221</v>
          </cell>
          <cell r="V484">
            <v>0</v>
          </cell>
          <cell r="W484">
            <v>3.472222222222221E-2</v>
          </cell>
          <cell r="X484">
            <v>0</v>
          </cell>
          <cell r="Y484">
            <v>0</v>
          </cell>
          <cell r="AB484">
            <v>10</v>
          </cell>
          <cell r="AC484">
            <v>9</v>
          </cell>
          <cell r="AD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10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</row>
        <row r="485">
          <cell r="C485">
            <v>37873</v>
          </cell>
          <cell r="D485">
            <v>37972</v>
          </cell>
          <cell r="E485">
            <v>37951</v>
          </cell>
          <cell r="F485">
            <v>0.64583333333333337</v>
          </cell>
          <cell r="G485" t="str">
            <v>Máquina de Solda MIG</v>
          </cell>
          <cell r="H485" t="str">
            <v>Cabo terra danificado</v>
          </cell>
          <cell r="I485">
            <v>0</v>
          </cell>
          <cell r="J485" t="str">
            <v>Não</v>
          </cell>
          <cell r="K485" t="str">
            <v>Elétrica</v>
          </cell>
          <cell r="L485" t="str">
            <v>Reparo</v>
          </cell>
          <cell r="M485" t="str">
            <v>Aquecimento</v>
          </cell>
          <cell r="N485">
            <v>37951</v>
          </cell>
          <cell r="O485">
            <v>0.65277777777777779</v>
          </cell>
          <cell r="P485">
            <v>0</v>
          </cell>
          <cell r="Q485">
            <v>0.70833333333333337</v>
          </cell>
          <cell r="R485">
            <v>37964</v>
          </cell>
          <cell r="S485">
            <v>0.54166666666666663</v>
          </cell>
          <cell r="T485">
            <v>37964</v>
          </cell>
          <cell r="U485">
            <v>0.58333333333333337</v>
          </cell>
          <cell r="V485">
            <v>0</v>
          </cell>
          <cell r="W485">
            <v>9.7222222222222321E-2</v>
          </cell>
          <cell r="X485">
            <v>0</v>
          </cell>
          <cell r="Y485">
            <v>0</v>
          </cell>
          <cell r="AB485">
            <v>12</v>
          </cell>
          <cell r="AC485">
            <v>9</v>
          </cell>
          <cell r="AD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12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</row>
        <row r="486">
          <cell r="C486">
            <v>37873</v>
          </cell>
          <cell r="D486">
            <v>37918</v>
          </cell>
          <cell r="E486">
            <v>37901</v>
          </cell>
          <cell r="F486">
            <v>0.35416666666666669</v>
          </cell>
          <cell r="G486" t="str">
            <v>Máquina de Solda MIG</v>
          </cell>
          <cell r="H486" t="str">
            <v>Ventulação não funciona</v>
          </cell>
          <cell r="I486" t="str">
            <v>Corretiva</v>
          </cell>
          <cell r="J486" t="str">
            <v>Sim</v>
          </cell>
          <cell r="K486" t="str">
            <v>Elétrica</v>
          </cell>
          <cell r="L486" t="str">
            <v>Substituição do(s) Componente(s)</v>
          </cell>
          <cell r="M486" t="str">
            <v>Travamento de Componente</v>
          </cell>
          <cell r="N486">
            <v>37901</v>
          </cell>
          <cell r="O486">
            <v>0.35416666666666669</v>
          </cell>
          <cell r="P486">
            <v>37901</v>
          </cell>
          <cell r="Q486">
            <v>0.35416666666666669</v>
          </cell>
          <cell r="T486">
            <v>37901</v>
          </cell>
          <cell r="U486">
            <v>0.375</v>
          </cell>
          <cell r="V486">
            <v>37901</v>
          </cell>
          <cell r="W486">
            <v>0.375</v>
          </cell>
          <cell r="X486">
            <v>2.0833333333333315E-2</v>
          </cell>
          <cell r="Y486">
            <v>2.0833333333333315E-2</v>
          </cell>
          <cell r="AB486">
            <v>10</v>
          </cell>
          <cell r="AC486">
            <v>9</v>
          </cell>
          <cell r="AD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10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</row>
        <row r="487">
          <cell r="C487">
            <v>37873</v>
          </cell>
          <cell r="D487">
            <v>37970</v>
          </cell>
          <cell r="E487">
            <v>37953</v>
          </cell>
          <cell r="F487">
            <v>0.625</v>
          </cell>
          <cell r="G487" t="str">
            <v>Máquina de Solda MIG</v>
          </cell>
          <cell r="H487" t="str">
            <v>Ventilador não liga</v>
          </cell>
          <cell r="I487">
            <v>0</v>
          </cell>
          <cell r="J487" t="str">
            <v>Sim</v>
          </cell>
          <cell r="K487" t="str">
            <v>Elétrica</v>
          </cell>
          <cell r="L487" t="str">
            <v>Substituição do(s) Componente(s)</v>
          </cell>
          <cell r="M487" t="str">
            <v>Falha de Comando / Sistema</v>
          </cell>
          <cell r="N487">
            <v>37953</v>
          </cell>
          <cell r="O487">
            <v>0.625</v>
          </cell>
          <cell r="P487">
            <v>0</v>
          </cell>
          <cell r="T487">
            <v>37953</v>
          </cell>
          <cell r="U487">
            <v>0.70833333333333337</v>
          </cell>
          <cell r="V487">
            <v>0</v>
          </cell>
          <cell r="W487">
            <v>8.3333333335758653E-2</v>
          </cell>
          <cell r="X487">
            <v>0</v>
          </cell>
          <cell r="Y487">
            <v>0</v>
          </cell>
          <cell r="AB487">
            <v>11</v>
          </cell>
          <cell r="AC487">
            <v>9</v>
          </cell>
          <cell r="AD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11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</row>
        <row r="488">
          <cell r="C488">
            <v>37873</v>
          </cell>
          <cell r="D488">
            <v>37970</v>
          </cell>
          <cell r="E488">
            <v>37959</v>
          </cell>
          <cell r="F488">
            <v>0.96527777777777779</v>
          </cell>
          <cell r="G488" t="str">
            <v>Serra de Fita</v>
          </cell>
          <cell r="H488" t="str">
            <v>Máquina não liga</v>
          </cell>
          <cell r="I488">
            <v>0</v>
          </cell>
          <cell r="J488" t="str">
            <v>Sim</v>
          </cell>
          <cell r="K488" t="str">
            <v>Elétrica</v>
          </cell>
          <cell r="L488" t="str">
            <v>Reinicialização do Equipamento / Componente</v>
          </cell>
          <cell r="M488" t="str">
            <v>Sobrecarga</v>
          </cell>
          <cell r="N488">
            <v>37959</v>
          </cell>
          <cell r="O488">
            <v>0.97222222222222221</v>
          </cell>
          <cell r="P488">
            <v>0</v>
          </cell>
          <cell r="T488">
            <v>37959</v>
          </cell>
          <cell r="U488">
            <v>0.97916666666666663</v>
          </cell>
          <cell r="V488">
            <v>0</v>
          </cell>
          <cell r="W488">
            <v>1.3888888886463557E-2</v>
          </cell>
          <cell r="X488">
            <v>0</v>
          </cell>
          <cell r="Y488">
            <v>0</v>
          </cell>
          <cell r="AB488">
            <v>12</v>
          </cell>
          <cell r="AC488">
            <v>9</v>
          </cell>
          <cell r="AD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12</v>
          </cell>
          <cell r="CD488">
            <v>0</v>
          </cell>
        </row>
        <row r="489">
          <cell r="C489">
            <v>37873</v>
          </cell>
          <cell r="I489">
            <v>0</v>
          </cell>
          <cell r="N489">
            <v>0</v>
          </cell>
          <cell r="P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AB489">
            <v>0</v>
          </cell>
          <cell r="AC489">
            <v>9</v>
          </cell>
          <cell r="AD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</row>
        <row r="490">
          <cell r="C490">
            <v>37873</v>
          </cell>
          <cell r="D490">
            <v>37972</v>
          </cell>
          <cell r="E490">
            <v>37967</v>
          </cell>
          <cell r="F490">
            <v>0.47569444444444442</v>
          </cell>
          <cell r="G490" t="str">
            <v>Serra de Fita</v>
          </cell>
          <cell r="H490" t="str">
            <v>Máquina não funciona</v>
          </cell>
          <cell r="I490">
            <v>0</v>
          </cell>
          <cell r="J490" t="str">
            <v>Sim</v>
          </cell>
          <cell r="K490" t="str">
            <v>Elétrica</v>
          </cell>
          <cell r="L490" t="str">
            <v>Reinicialização do Equipamento / Componente</v>
          </cell>
          <cell r="M490" t="str">
            <v>Travamento de Componente</v>
          </cell>
          <cell r="N490">
            <v>37967</v>
          </cell>
          <cell r="O490">
            <v>0.49305555555555558</v>
          </cell>
          <cell r="P490">
            <v>0</v>
          </cell>
          <cell r="T490">
            <v>37967</v>
          </cell>
          <cell r="U490">
            <v>0.49861111111111112</v>
          </cell>
          <cell r="V490">
            <v>0</v>
          </cell>
          <cell r="W490">
            <v>2.2916666669415386E-2</v>
          </cell>
          <cell r="X490">
            <v>0</v>
          </cell>
          <cell r="Y490">
            <v>0</v>
          </cell>
          <cell r="AB490">
            <v>12</v>
          </cell>
          <cell r="AC490">
            <v>9</v>
          </cell>
          <cell r="AD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12</v>
          </cell>
          <cell r="CD490">
            <v>0</v>
          </cell>
        </row>
        <row r="491">
          <cell r="C491">
            <v>37873</v>
          </cell>
          <cell r="I491">
            <v>0</v>
          </cell>
          <cell r="N491">
            <v>0</v>
          </cell>
          <cell r="P491">
            <v>0</v>
          </cell>
          <cell r="T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AB491">
            <v>0</v>
          </cell>
          <cell r="AC491">
            <v>9</v>
          </cell>
          <cell r="AD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</row>
        <row r="492">
          <cell r="C492">
            <v>37873</v>
          </cell>
          <cell r="D492">
            <v>38008</v>
          </cell>
          <cell r="E492">
            <v>37999</v>
          </cell>
          <cell r="F492">
            <v>0.79166666666666663</v>
          </cell>
          <cell r="G492" t="str">
            <v>Equipamentos diversos</v>
          </cell>
          <cell r="H492" t="str">
            <v>Há a necessidade de fabricação de um pino de trava (esteira de roletes)</v>
          </cell>
          <cell r="I492">
            <v>0</v>
          </cell>
          <cell r="J492" t="str">
            <v>Não</v>
          </cell>
          <cell r="K492" t="str">
            <v>Mecânica</v>
          </cell>
          <cell r="L492" t="str">
            <v>Montagem / Instalação</v>
          </cell>
          <cell r="M492" t="str">
            <v>Melhoria Técnica</v>
          </cell>
          <cell r="N492">
            <v>0</v>
          </cell>
          <cell r="O492">
            <v>0.79166666666666663</v>
          </cell>
          <cell r="P492">
            <v>0</v>
          </cell>
          <cell r="T492">
            <v>0</v>
          </cell>
          <cell r="U492">
            <v>0.91666666666666663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AB492">
            <v>0</v>
          </cell>
          <cell r="AC492">
            <v>9</v>
          </cell>
          <cell r="AD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</row>
        <row r="493">
          <cell r="C493">
            <v>37873</v>
          </cell>
          <cell r="D493">
            <v>37928</v>
          </cell>
          <cell r="E493">
            <v>37921</v>
          </cell>
          <cell r="F493">
            <v>0.59722222222222221</v>
          </cell>
          <cell r="G493" t="str">
            <v>Equipamentos diversos</v>
          </cell>
          <cell r="H493" t="str">
            <v>Não funciona</v>
          </cell>
          <cell r="I493" t="str">
            <v>Corretiva</v>
          </cell>
          <cell r="J493" t="str">
            <v>Sim</v>
          </cell>
          <cell r="K493" t="str">
            <v>Elétrica</v>
          </cell>
          <cell r="L493" t="str">
            <v>Correção de mau contato</v>
          </cell>
          <cell r="M493" t="str">
            <v>Mau contato</v>
          </cell>
          <cell r="N493">
            <v>37921</v>
          </cell>
          <cell r="O493">
            <v>0.625</v>
          </cell>
          <cell r="P493">
            <v>37921</v>
          </cell>
          <cell r="Q493">
            <v>0.625</v>
          </cell>
          <cell r="T493">
            <v>37921</v>
          </cell>
          <cell r="U493">
            <v>0.64930555555555558</v>
          </cell>
          <cell r="V493">
            <v>37921</v>
          </cell>
          <cell r="W493">
            <v>0.64930555555555558</v>
          </cell>
          <cell r="X493">
            <v>2.430555555555558E-2</v>
          </cell>
          <cell r="Y493">
            <v>2.4305555554747116E-2</v>
          </cell>
          <cell r="AB493">
            <v>10</v>
          </cell>
          <cell r="AC493">
            <v>9</v>
          </cell>
          <cell r="AD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10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</row>
        <row r="494">
          <cell r="C494">
            <v>37873</v>
          </cell>
          <cell r="I494">
            <v>0</v>
          </cell>
          <cell r="N494">
            <v>0</v>
          </cell>
          <cell r="P494">
            <v>0</v>
          </cell>
          <cell r="T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AB494">
            <v>0</v>
          </cell>
          <cell r="AC494">
            <v>9</v>
          </cell>
          <cell r="AD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</row>
        <row r="495">
          <cell r="C495">
            <v>37873</v>
          </cell>
          <cell r="I495">
            <v>0</v>
          </cell>
          <cell r="N495">
            <v>0</v>
          </cell>
          <cell r="P495">
            <v>0</v>
          </cell>
          <cell r="T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AB495">
            <v>0</v>
          </cell>
          <cell r="AC495">
            <v>9</v>
          </cell>
          <cell r="AD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</row>
        <row r="496">
          <cell r="C496">
            <v>37873</v>
          </cell>
          <cell r="I496">
            <v>0</v>
          </cell>
          <cell r="N496">
            <v>0</v>
          </cell>
          <cell r="P496">
            <v>0</v>
          </cell>
          <cell r="T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AB496">
            <v>0</v>
          </cell>
          <cell r="AC496">
            <v>9</v>
          </cell>
          <cell r="AD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</row>
        <row r="497">
          <cell r="C497">
            <v>37894</v>
          </cell>
          <cell r="D497">
            <v>37918</v>
          </cell>
          <cell r="E497">
            <v>37890</v>
          </cell>
          <cell r="F497">
            <v>0.70833333333333337</v>
          </cell>
          <cell r="G497" t="str">
            <v>Células de Solda Manual</v>
          </cell>
          <cell r="H497" t="str">
            <v>Rotação da mesa não funciona para "Lado A"</v>
          </cell>
          <cell r="I497" t="str">
            <v>Corretiva</v>
          </cell>
          <cell r="J497" t="str">
            <v>Sim</v>
          </cell>
          <cell r="K497" t="str">
            <v>Elétrica</v>
          </cell>
          <cell r="L497" t="str">
            <v>Ajuste / Regulagem</v>
          </cell>
          <cell r="M497" t="str">
            <v>Falha Operacional</v>
          </cell>
          <cell r="N497">
            <v>37890</v>
          </cell>
          <cell r="O497">
            <v>0.72916666666666663</v>
          </cell>
          <cell r="P497">
            <v>37890</v>
          </cell>
          <cell r="Q497">
            <v>0.72916666666666663</v>
          </cell>
          <cell r="T497">
            <v>37891</v>
          </cell>
          <cell r="U497">
            <v>0.41666666666666669</v>
          </cell>
          <cell r="V497">
            <v>37891</v>
          </cell>
          <cell r="W497">
            <v>0.41666666666666669</v>
          </cell>
          <cell r="X497">
            <v>0.6875</v>
          </cell>
          <cell r="Y497">
            <v>0.68749999999757472</v>
          </cell>
          <cell r="AB497">
            <v>9</v>
          </cell>
          <cell r="AC497">
            <v>9</v>
          </cell>
          <cell r="AD497">
            <v>0</v>
          </cell>
          <cell r="BF497">
            <v>0</v>
          </cell>
          <cell r="BG497">
            <v>9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</row>
        <row r="498">
          <cell r="C498">
            <v>37894</v>
          </cell>
          <cell r="D498">
            <v>37918</v>
          </cell>
          <cell r="E498">
            <v>299</v>
          </cell>
          <cell r="F498">
            <v>0.625</v>
          </cell>
          <cell r="G498" t="str">
            <v>Células de Solda Manual</v>
          </cell>
          <cell r="H498" t="str">
            <v>O Robô solda 03 vezes do "Lado A"</v>
          </cell>
          <cell r="I498" t="str">
            <v>Corretiva</v>
          </cell>
          <cell r="J498" t="str">
            <v>Não</v>
          </cell>
          <cell r="K498" t="str">
            <v>Elétrica</v>
          </cell>
          <cell r="L498" t="str">
            <v>Ajuste / Regulagem</v>
          </cell>
          <cell r="M498" t="str">
            <v>Falha Operacional</v>
          </cell>
          <cell r="N498">
            <v>299</v>
          </cell>
          <cell r="O498">
            <v>0.625</v>
          </cell>
          <cell r="P498">
            <v>299</v>
          </cell>
          <cell r="Q498">
            <v>0.625</v>
          </cell>
          <cell r="T498">
            <v>299</v>
          </cell>
          <cell r="U498">
            <v>0.70833333333333337</v>
          </cell>
          <cell r="V498">
            <v>299</v>
          </cell>
          <cell r="W498">
            <v>0.70833333333333337</v>
          </cell>
          <cell r="X498">
            <v>8.3333333333314386E-2</v>
          </cell>
          <cell r="Y498">
            <v>8.3333333333314386E-2</v>
          </cell>
          <cell r="AB498">
            <v>10</v>
          </cell>
          <cell r="AC498">
            <v>9</v>
          </cell>
          <cell r="AD498">
            <v>0</v>
          </cell>
          <cell r="BF498">
            <v>0</v>
          </cell>
          <cell r="BG498">
            <v>10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</row>
        <row r="499">
          <cell r="C499">
            <v>37894</v>
          </cell>
          <cell r="D499">
            <v>37902</v>
          </cell>
          <cell r="E499">
            <v>37895</v>
          </cell>
          <cell r="F499">
            <v>0.29166666666666669</v>
          </cell>
          <cell r="G499" t="str">
            <v>Células de Solda Manual</v>
          </cell>
          <cell r="H499" t="str">
            <v>Máquina de Solda apresenta erro "H20"</v>
          </cell>
          <cell r="I499" t="str">
            <v>Corretiva</v>
          </cell>
          <cell r="J499" t="str">
            <v>Não</v>
          </cell>
          <cell r="K499" t="str">
            <v>Mecânica</v>
          </cell>
          <cell r="L499" t="str">
            <v>Regulagem do Componente</v>
          </cell>
          <cell r="M499" t="str">
            <v>Falha de Regulagem / Configuração / Dimensionamento</v>
          </cell>
          <cell r="N499">
            <v>37895</v>
          </cell>
          <cell r="O499">
            <v>0.33333333333333331</v>
          </cell>
          <cell r="P499">
            <v>37895</v>
          </cell>
          <cell r="Q499">
            <v>0.33333333333333331</v>
          </cell>
          <cell r="T499">
            <v>37895</v>
          </cell>
          <cell r="U499">
            <v>0.39583333333333331</v>
          </cell>
          <cell r="V499">
            <v>37895</v>
          </cell>
          <cell r="W499">
            <v>0.39583333333333331</v>
          </cell>
          <cell r="X499">
            <v>6.2500000002425338E-2</v>
          </cell>
          <cell r="Y499">
            <v>6.2500000002425338E-2</v>
          </cell>
          <cell r="AB499">
            <v>10</v>
          </cell>
          <cell r="AC499">
            <v>9</v>
          </cell>
          <cell r="AD499">
            <v>0</v>
          </cell>
          <cell r="BF499">
            <v>0</v>
          </cell>
          <cell r="BG499">
            <v>10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</row>
        <row r="500">
          <cell r="C500">
            <v>37894</v>
          </cell>
          <cell r="D500">
            <v>37918</v>
          </cell>
          <cell r="E500">
            <v>37902</v>
          </cell>
          <cell r="F500">
            <v>0.61805555555555558</v>
          </cell>
          <cell r="G500" t="str">
            <v>Células de Solda Manual</v>
          </cell>
          <cell r="H500" t="str">
            <v>Suporte do flexível quebrado</v>
          </cell>
          <cell r="I500" t="str">
            <v>Corretiva</v>
          </cell>
          <cell r="J500" t="str">
            <v>Sim</v>
          </cell>
          <cell r="K500" t="str">
            <v>Mecânica</v>
          </cell>
          <cell r="L500" t="str">
            <v>Adaptação</v>
          </cell>
          <cell r="M500" t="str">
            <v>Defeito de Fabricação</v>
          </cell>
          <cell r="N500">
            <v>37902</v>
          </cell>
          <cell r="O500">
            <v>0.625</v>
          </cell>
          <cell r="P500">
            <v>37902</v>
          </cell>
          <cell r="Q500">
            <v>0.625</v>
          </cell>
          <cell r="T500">
            <v>37902</v>
          </cell>
          <cell r="U500">
            <v>0.70833333333333337</v>
          </cell>
          <cell r="V500">
            <v>37902</v>
          </cell>
          <cell r="W500">
            <v>0.70833333333333337</v>
          </cell>
          <cell r="X500">
            <v>8.333333333333337E-2</v>
          </cell>
          <cell r="Y500">
            <v>8.3333333335758653E-2</v>
          </cell>
          <cell r="AB500">
            <v>10</v>
          </cell>
          <cell r="AC500">
            <v>9</v>
          </cell>
          <cell r="AD500">
            <v>0</v>
          </cell>
          <cell r="BF500">
            <v>0</v>
          </cell>
          <cell r="BG500">
            <v>10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</row>
        <row r="501">
          <cell r="C501">
            <v>37894</v>
          </cell>
          <cell r="D501">
            <v>37970</v>
          </cell>
          <cell r="E501">
            <v>37928</v>
          </cell>
          <cell r="F501">
            <v>37928</v>
          </cell>
          <cell r="G501">
            <v>0.61805555555555558</v>
          </cell>
          <cell r="H501" t="str">
            <v>Fresa não limpa o bocal de solda</v>
          </cell>
          <cell r="I501">
            <v>0</v>
          </cell>
          <cell r="J501" t="str">
            <v>Não</v>
          </cell>
          <cell r="K501" t="str">
            <v>Mecânica</v>
          </cell>
          <cell r="L501" t="str">
            <v>Não</v>
          </cell>
          <cell r="M501" t="str">
            <v>Falha de Regulagem / Configuração / Dimensionamento</v>
          </cell>
          <cell r="N501">
            <v>37929</v>
          </cell>
          <cell r="O501">
            <v>0.41666666666666669</v>
          </cell>
          <cell r="P501">
            <v>37929</v>
          </cell>
          <cell r="Q501">
            <v>0.41666666666666669</v>
          </cell>
          <cell r="T501">
            <v>37929</v>
          </cell>
          <cell r="U501">
            <v>0.45833333333333331</v>
          </cell>
          <cell r="V501">
            <v>37929</v>
          </cell>
          <cell r="W501">
            <v>0.45833333333333331</v>
          </cell>
          <cell r="X501">
            <v>4.1666666669091967E-2</v>
          </cell>
          <cell r="Y501">
            <v>4.1666666669091967E-2</v>
          </cell>
          <cell r="AB501">
            <v>11</v>
          </cell>
          <cell r="AC501">
            <v>9</v>
          </cell>
          <cell r="AD501">
            <v>0</v>
          </cell>
          <cell r="BF501">
            <v>0</v>
          </cell>
          <cell r="BG501">
            <v>11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</row>
        <row r="502">
          <cell r="C502">
            <v>37894</v>
          </cell>
          <cell r="D502">
            <v>37970</v>
          </cell>
          <cell r="E502">
            <v>37935</v>
          </cell>
          <cell r="F502">
            <v>37935</v>
          </cell>
          <cell r="G502">
            <v>0.59722222222222221</v>
          </cell>
          <cell r="H502" t="str">
            <v>Mangueira de água furada</v>
          </cell>
          <cell r="I502">
            <v>0</v>
          </cell>
          <cell r="J502" t="str">
            <v>Sim</v>
          </cell>
          <cell r="K502" t="str">
            <v>Mecânica</v>
          </cell>
          <cell r="L502" t="str">
            <v>Sim</v>
          </cell>
          <cell r="M502" t="str">
            <v>Desgaste / Fadiga</v>
          </cell>
          <cell r="N502">
            <v>37935</v>
          </cell>
          <cell r="O502">
            <v>0.625</v>
          </cell>
          <cell r="P502">
            <v>37935</v>
          </cell>
          <cell r="Q502">
            <v>0.625</v>
          </cell>
          <cell r="T502">
            <v>37935</v>
          </cell>
          <cell r="U502">
            <v>0.91666666666666663</v>
          </cell>
          <cell r="V502">
            <v>37935</v>
          </cell>
          <cell r="W502">
            <v>0.91666666666666663</v>
          </cell>
          <cell r="X502">
            <v>0.29166666666666663</v>
          </cell>
          <cell r="Y502">
            <v>0.29166666666424135</v>
          </cell>
          <cell r="AB502">
            <v>11</v>
          </cell>
          <cell r="AC502">
            <v>9</v>
          </cell>
          <cell r="AD502">
            <v>0</v>
          </cell>
          <cell r="BF502">
            <v>0</v>
          </cell>
          <cell r="BG502">
            <v>11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</row>
        <row r="503">
          <cell r="C503">
            <v>37894</v>
          </cell>
          <cell r="D503">
            <v>37970</v>
          </cell>
          <cell r="E503">
            <v>37937</v>
          </cell>
          <cell r="F503">
            <v>37937</v>
          </cell>
          <cell r="G503">
            <v>0.34027777777777773</v>
          </cell>
          <cell r="H503" t="str">
            <v>Micros do painel de comando com defeito</v>
          </cell>
          <cell r="I503">
            <v>0</v>
          </cell>
          <cell r="J503" t="str">
            <v>Sim</v>
          </cell>
          <cell r="K503" t="str">
            <v>Elétrica</v>
          </cell>
          <cell r="L503" t="str">
            <v>Sim</v>
          </cell>
          <cell r="M503" t="str">
            <v>Falha de Comando / Sistema</v>
          </cell>
          <cell r="N503">
            <v>37937</v>
          </cell>
          <cell r="O503">
            <v>0.34027777777777773</v>
          </cell>
          <cell r="P503">
            <v>37937</v>
          </cell>
          <cell r="Q503">
            <v>0.34027777777777773</v>
          </cell>
          <cell r="T503">
            <v>37937</v>
          </cell>
          <cell r="U503">
            <v>0.75</v>
          </cell>
          <cell r="V503">
            <v>37937</v>
          </cell>
          <cell r="W503">
            <v>0.75</v>
          </cell>
          <cell r="X503">
            <v>0.40972222222222227</v>
          </cell>
          <cell r="Y503">
            <v>0.40972222222222227</v>
          </cell>
          <cell r="AB503">
            <v>11</v>
          </cell>
          <cell r="AC503">
            <v>9</v>
          </cell>
          <cell r="AD503">
            <v>0</v>
          </cell>
          <cell r="BF503">
            <v>0</v>
          </cell>
          <cell r="BG503">
            <v>11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</row>
        <row r="504">
          <cell r="C504">
            <v>37894</v>
          </cell>
          <cell r="D504">
            <v>37970</v>
          </cell>
          <cell r="E504">
            <v>37937</v>
          </cell>
          <cell r="F504">
            <v>37937</v>
          </cell>
          <cell r="G504">
            <v>0.70833333333333337</v>
          </cell>
          <cell r="H504" t="str">
            <v>Arame de solda está enroscando</v>
          </cell>
          <cell r="I504">
            <v>0</v>
          </cell>
          <cell r="J504" t="str">
            <v>Sim</v>
          </cell>
          <cell r="K504" t="str">
            <v>Mecânica</v>
          </cell>
          <cell r="L504" t="str">
            <v>Sim</v>
          </cell>
          <cell r="M504" t="str">
            <v>Desgaste / Fadiga</v>
          </cell>
          <cell r="N504">
            <v>37937</v>
          </cell>
          <cell r="O504">
            <v>0.70833333333333337</v>
          </cell>
          <cell r="P504">
            <v>37937</v>
          </cell>
          <cell r="Q504">
            <v>0.70833333333333337</v>
          </cell>
          <cell r="T504">
            <v>37937</v>
          </cell>
          <cell r="U504">
            <v>0.79166666666666663</v>
          </cell>
          <cell r="V504">
            <v>37937</v>
          </cell>
          <cell r="W504">
            <v>0.79166666666666663</v>
          </cell>
          <cell r="X504">
            <v>8.3333333333333259E-2</v>
          </cell>
          <cell r="Y504">
            <v>8.3333333330907977E-2</v>
          </cell>
          <cell r="AB504">
            <v>11</v>
          </cell>
          <cell r="AC504">
            <v>9</v>
          </cell>
          <cell r="AD504">
            <v>0</v>
          </cell>
          <cell r="BF504">
            <v>0</v>
          </cell>
          <cell r="BG504">
            <v>11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</row>
        <row r="505">
          <cell r="C505">
            <v>37894</v>
          </cell>
          <cell r="D505">
            <v>37970</v>
          </cell>
          <cell r="E505">
            <v>37946</v>
          </cell>
          <cell r="F505">
            <v>0.59444444444444444</v>
          </cell>
          <cell r="G505" t="str">
            <v>Células de Solda Manual</v>
          </cell>
          <cell r="H505" t="str">
            <v>Barreira travada</v>
          </cell>
          <cell r="I505">
            <v>0</v>
          </cell>
          <cell r="J505" t="str">
            <v>Sim</v>
          </cell>
          <cell r="K505" t="str">
            <v>Elétrica</v>
          </cell>
          <cell r="L505" t="str">
            <v>Reparo</v>
          </cell>
          <cell r="M505" t="str">
            <v>Falha de Comando / Sistema</v>
          </cell>
          <cell r="N505">
            <v>37946</v>
          </cell>
          <cell r="O505">
            <v>0.59722222222222221</v>
          </cell>
          <cell r="P505">
            <v>0</v>
          </cell>
          <cell r="T505">
            <v>37946</v>
          </cell>
          <cell r="U505">
            <v>0.72916666666666663</v>
          </cell>
          <cell r="V505">
            <v>0</v>
          </cell>
          <cell r="W505">
            <v>0.13472222221979691</v>
          </cell>
          <cell r="X505">
            <v>0</v>
          </cell>
          <cell r="Y505">
            <v>0</v>
          </cell>
          <cell r="AB505">
            <v>11</v>
          </cell>
          <cell r="AC505">
            <v>9</v>
          </cell>
          <cell r="AD505">
            <v>0</v>
          </cell>
          <cell r="BF505">
            <v>0</v>
          </cell>
          <cell r="BG505">
            <v>11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</row>
        <row r="506">
          <cell r="C506">
            <v>37894</v>
          </cell>
          <cell r="D506">
            <v>37970</v>
          </cell>
          <cell r="E506">
            <v>37952</v>
          </cell>
          <cell r="F506">
            <v>0.90277777777777779</v>
          </cell>
          <cell r="G506" t="str">
            <v>Células de Solda Manual</v>
          </cell>
          <cell r="H506" t="str">
            <v>Bocal da tocha dos robôs desgastado</v>
          </cell>
          <cell r="I506">
            <v>0</v>
          </cell>
          <cell r="J506" t="str">
            <v>Não</v>
          </cell>
          <cell r="K506" t="str">
            <v>Mecânica</v>
          </cell>
          <cell r="L506" t="str">
            <v>Substituição do(s) Componente(s)</v>
          </cell>
          <cell r="M506" t="str">
            <v>Desgaste / Fadiga</v>
          </cell>
          <cell r="N506">
            <v>37952</v>
          </cell>
          <cell r="O506">
            <v>0.90277777777777779</v>
          </cell>
          <cell r="P506">
            <v>0</v>
          </cell>
          <cell r="T506">
            <v>37952</v>
          </cell>
          <cell r="U506">
            <v>0.92708333333333337</v>
          </cell>
          <cell r="V506">
            <v>0</v>
          </cell>
          <cell r="W506">
            <v>2.4305555557980862E-2</v>
          </cell>
          <cell r="X506">
            <v>0</v>
          </cell>
          <cell r="Y506">
            <v>0</v>
          </cell>
          <cell r="AB506">
            <v>11</v>
          </cell>
          <cell r="AC506">
            <v>9</v>
          </cell>
          <cell r="AD506">
            <v>0</v>
          </cell>
          <cell r="BF506">
            <v>0</v>
          </cell>
          <cell r="BG506">
            <v>11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</row>
        <row r="507">
          <cell r="C507">
            <v>37894</v>
          </cell>
          <cell r="D507">
            <v>37970</v>
          </cell>
          <cell r="E507">
            <v>37956</v>
          </cell>
          <cell r="F507">
            <v>0.98611111111111116</v>
          </cell>
          <cell r="G507" t="str">
            <v>Células de Solda Manual</v>
          </cell>
          <cell r="H507" t="str">
            <v>Colisão dos robôs</v>
          </cell>
          <cell r="I507">
            <v>0</v>
          </cell>
          <cell r="J507" t="str">
            <v>Sim</v>
          </cell>
          <cell r="K507" t="str">
            <v>Elétrica</v>
          </cell>
          <cell r="L507" t="str">
            <v>Substituição do(s) Componente(s)</v>
          </cell>
          <cell r="M507" t="str">
            <v>Falha Operacional</v>
          </cell>
          <cell r="N507">
            <v>37957</v>
          </cell>
          <cell r="O507">
            <v>0.29166666666666669</v>
          </cell>
          <cell r="P507">
            <v>0</v>
          </cell>
          <cell r="T507">
            <v>37957</v>
          </cell>
          <cell r="U507">
            <v>0.41666666666666669</v>
          </cell>
          <cell r="V507">
            <v>0</v>
          </cell>
          <cell r="W507">
            <v>0.18055555555313019</v>
          </cell>
          <cell r="X507">
            <v>0</v>
          </cell>
          <cell r="Y507">
            <v>0</v>
          </cell>
          <cell r="AB507">
            <v>12</v>
          </cell>
          <cell r="AC507">
            <v>9</v>
          </cell>
          <cell r="AD507">
            <v>0</v>
          </cell>
          <cell r="BF507">
            <v>0</v>
          </cell>
          <cell r="BG507">
            <v>12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</row>
        <row r="508">
          <cell r="C508">
            <v>37894</v>
          </cell>
          <cell r="I508">
            <v>0</v>
          </cell>
          <cell r="N508">
            <v>0</v>
          </cell>
          <cell r="P508">
            <v>0</v>
          </cell>
          <cell r="T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AB508">
            <v>0</v>
          </cell>
          <cell r="AC508">
            <v>9</v>
          </cell>
          <cell r="AD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</row>
        <row r="509">
          <cell r="C509">
            <v>37894</v>
          </cell>
          <cell r="D509">
            <v>37971</v>
          </cell>
          <cell r="E509">
            <v>37958</v>
          </cell>
          <cell r="F509">
            <v>0.51458333333333328</v>
          </cell>
          <cell r="G509" t="str">
            <v>Células de Solda Manual</v>
          </cell>
          <cell r="H509" t="str">
            <v>Colisão dos robôs / Mensagem de erro H20</v>
          </cell>
          <cell r="I509">
            <v>0</v>
          </cell>
          <cell r="J509" t="str">
            <v>Não</v>
          </cell>
          <cell r="K509" t="str">
            <v>Mecânica</v>
          </cell>
          <cell r="L509" t="str">
            <v>Limpeza do Equipamento / Componente</v>
          </cell>
          <cell r="M509" t="str">
            <v>Sujeira em excesso</v>
          </cell>
          <cell r="N509">
            <v>37958</v>
          </cell>
          <cell r="O509">
            <v>0.58333333333333337</v>
          </cell>
          <cell r="P509">
            <v>0</v>
          </cell>
          <cell r="T509">
            <v>37958</v>
          </cell>
          <cell r="U509">
            <v>0.60763888888888895</v>
          </cell>
          <cell r="V509">
            <v>0</v>
          </cell>
          <cell r="W509">
            <v>2.4305555557172398E-2</v>
          </cell>
          <cell r="X509">
            <v>0</v>
          </cell>
          <cell r="Y509">
            <v>0</v>
          </cell>
          <cell r="AB509">
            <v>12</v>
          </cell>
          <cell r="AC509">
            <v>9</v>
          </cell>
          <cell r="AD509">
            <v>0</v>
          </cell>
          <cell r="BF509">
            <v>0</v>
          </cell>
          <cell r="BG509">
            <v>12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</row>
        <row r="510">
          <cell r="C510">
            <v>37894</v>
          </cell>
          <cell r="D510">
            <v>37971</v>
          </cell>
          <cell r="E510">
            <v>37958</v>
          </cell>
          <cell r="F510">
            <v>0.64583333333333337</v>
          </cell>
          <cell r="G510" t="str">
            <v>Células de Solda Manual</v>
          </cell>
          <cell r="H510" t="str">
            <v>Tomadas de alimentação não funcionam</v>
          </cell>
          <cell r="I510">
            <v>0</v>
          </cell>
          <cell r="J510" t="str">
            <v>Sim</v>
          </cell>
          <cell r="K510" t="str">
            <v>Elétrica</v>
          </cell>
          <cell r="L510" t="str">
            <v>Reinicialização do Equipamento / Componente</v>
          </cell>
          <cell r="M510" t="str">
            <v>Curto-circuito</v>
          </cell>
          <cell r="N510">
            <v>37958</v>
          </cell>
          <cell r="O510">
            <v>0.64583333333333337</v>
          </cell>
          <cell r="P510">
            <v>0</v>
          </cell>
          <cell r="T510">
            <v>37958</v>
          </cell>
          <cell r="U510">
            <v>0.64930555555555558</v>
          </cell>
          <cell r="V510">
            <v>0</v>
          </cell>
          <cell r="W510">
            <v>3.4722222214137455E-3</v>
          </cell>
          <cell r="X510">
            <v>0</v>
          </cell>
          <cell r="Y510">
            <v>0</v>
          </cell>
          <cell r="AB510">
            <v>12</v>
          </cell>
          <cell r="AC510">
            <v>9</v>
          </cell>
          <cell r="AD510">
            <v>0</v>
          </cell>
          <cell r="BF510">
            <v>0</v>
          </cell>
          <cell r="BG510">
            <v>12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</row>
        <row r="511">
          <cell r="C511">
            <v>37894</v>
          </cell>
          <cell r="I511">
            <v>0</v>
          </cell>
          <cell r="N511">
            <v>0</v>
          </cell>
          <cell r="P511">
            <v>0</v>
          </cell>
          <cell r="T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AB511">
            <v>0</v>
          </cell>
          <cell r="AC511">
            <v>9</v>
          </cell>
          <cell r="AD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</row>
        <row r="512">
          <cell r="C512">
            <v>37894</v>
          </cell>
          <cell r="I512">
            <v>0</v>
          </cell>
          <cell r="N512">
            <v>0</v>
          </cell>
          <cell r="P512">
            <v>0</v>
          </cell>
          <cell r="T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AB512">
            <v>0</v>
          </cell>
          <cell r="AC512">
            <v>9</v>
          </cell>
          <cell r="AD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</row>
        <row r="513">
          <cell r="C513">
            <v>37894</v>
          </cell>
          <cell r="D513">
            <v>37971</v>
          </cell>
          <cell r="E513">
            <v>37964</v>
          </cell>
          <cell r="F513">
            <v>0.45833333333333331</v>
          </cell>
          <cell r="G513" t="str">
            <v>Equipamentos diversos</v>
          </cell>
          <cell r="H513" t="str">
            <v>Cabo de alimentação apresenta problemas</v>
          </cell>
          <cell r="I513">
            <v>0</v>
          </cell>
          <cell r="J513" t="str">
            <v>Sim</v>
          </cell>
          <cell r="K513" t="str">
            <v>Elétrica</v>
          </cell>
          <cell r="L513" t="str">
            <v>Limpeza do Equipamento / Componente</v>
          </cell>
          <cell r="M513" t="str">
            <v>Desgaste / Fadiga</v>
          </cell>
          <cell r="N513">
            <v>37964</v>
          </cell>
          <cell r="O513">
            <v>0.45833333333333331</v>
          </cell>
          <cell r="P513">
            <v>0</v>
          </cell>
          <cell r="T513">
            <v>37964</v>
          </cell>
          <cell r="U513">
            <v>0.48958333333333331</v>
          </cell>
          <cell r="V513">
            <v>0</v>
          </cell>
          <cell r="W513">
            <v>3.1250000002425338E-2</v>
          </cell>
          <cell r="X513">
            <v>0</v>
          </cell>
          <cell r="Y513">
            <v>0</v>
          </cell>
          <cell r="AB513">
            <v>12</v>
          </cell>
          <cell r="AC513">
            <v>9</v>
          </cell>
          <cell r="AD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12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</row>
        <row r="514">
          <cell r="C514">
            <v>37894</v>
          </cell>
          <cell r="I514">
            <v>0</v>
          </cell>
          <cell r="N514">
            <v>0</v>
          </cell>
          <cell r="P514">
            <v>0</v>
          </cell>
          <cell r="T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AB514">
            <v>0</v>
          </cell>
          <cell r="AC514">
            <v>9</v>
          </cell>
          <cell r="AD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</row>
        <row r="515">
          <cell r="C515">
            <v>37894</v>
          </cell>
          <cell r="D515">
            <v>37993</v>
          </cell>
          <cell r="E515">
            <v>37974</v>
          </cell>
          <cell r="F515">
            <v>0.76388888888888884</v>
          </cell>
          <cell r="G515" t="str">
            <v>Células de Solda Manual</v>
          </cell>
          <cell r="H515" t="str">
            <v>Máquina de Solda apresenta erro "H2O"</v>
          </cell>
          <cell r="I515">
            <v>0</v>
          </cell>
          <cell r="J515" t="str">
            <v>Sim</v>
          </cell>
          <cell r="K515" t="str">
            <v>Elétrica</v>
          </cell>
          <cell r="L515" t="str">
            <v>Substituição do(s) Componente(s)</v>
          </cell>
          <cell r="M515" t="str">
            <v>Falha de Comando / Sistema</v>
          </cell>
          <cell r="N515">
            <v>0</v>
          </cell>
          <cell r="O515">
            <v>0.77083333333333337</v>
          </cell>
          <cell r="P515">
            <v>0</v>
          </cell>
          <cell r="T515">
            <v>0</v>
          </cell>
          <cell r="U515">
            <v>0.83333333333333337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AB515">
            <v>0</v>
          </cell>
          <cell r="AC515">
            <v>9</v>
          </cell>
          <cell r="AD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</row>
        <row r="516">
          <cell r="C516">
            <v>37894</v>
          </cell>
          <cell r="I516">
            <v>0</v>
          </cell>
          <cell r="N516">
            <v>0</v>
          </cell>
          <cell r="P516">
            <v>0</v>
          </cell>
          <cell r="T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AB516">
            <v>0</v>
          </cell>
          <cell r="AC516">
            <v>9</v>
          </cell>
          <cell r="AD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</row>
        <row r="517">
          <cell r="C517">
            <v>37894</v>
          </cell>
          <cell r="D517">
            <v>37918</v>
          </cell>
          <cell r="E517">
            <v>37894</v>
          </cell>
          <cell r="F517">
            <v>0.625</v>
          </cell>
          <cell r="G517" t="str">
            <v>Células de Solda Automática</v>
          </cell>
          <cell r="H517" t="str">
            <v>CLP apresenta alarme e não responde ao comando em automático</v>
          </cell>
          <cell r="I517" t="str">
            <v>Corretiva</v>
          </cell>
          <cell r="J517" t="str">
            <v>Sim</v>
          </cell>
          <cell r="K517" t="str">
            <v>Elétrica</v>
          </cell>
          <cell r="L517" t="str">
            <v>Substituição do(s) Componente(s)</v>
          </cell>
          <cell r="M517" t="str">
            <v>Desgaste / Fadiga</v>
          </cell>
          <cell r="N517">
            <v>37894</v>
          </cell>
          <cell r="O517">
            <v>0.625</v>
          </cell>
          <cell r="P517">
            <v>37894</v>
          </cell>
          <cell r="Q517">
            <v>0.625</v>
          </cell>
          <cell r="T517">
            <v>37894</v>
          </cell>
          <cell r="U517">
            <v>0.68055555555555547</v>
          </cell>
          <cell r="V517">
            <v>37894</v>
          </cell>
          <cell r="W517">
            <v>0.68055555555555547</v>
          </cell>
          <cell r="X517">
            <v>5.5555555555555469E-2</v>
          </cell>
          <cell r="Y517">
            <v>5.5555555554747116E-2</v>
          </cell>
          <cell r="AB517">
            <v>9</v>
          </cell>
          <cell r="AC517">
            <v>9</v>
          </cell>
          <cell r="AD517">
            <v>0</v>
          </cell>
          <cell r="BF517">
            <v>9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</row>
        <row r="518">
          <cell r="C518">
            <v>37894</v>
          </cell>
          <cell r="D518">
            <v>37918</v>
          </cell>
          <cell r="E518">
            <v>37901</v>
          </cell>
          <cell r="F518">
            <v>0.52083333333333337</v>
          </cell>
          <cell r="G518" t="str">
            <v>Células de Solda Automática</v>
          </cell>
          <cell r="H518" t="str">
            <v>A garra de fixação do conector está soltando a peça</v>
          </cell>
          <cell r="I518" t="str">
            <v>Corretiva</v>
          </cell>
          <cell r="J518" t="str">
            <v>Sim</v>
          </cell>
          <cell r="K518" t="str">
            <v>Mecânica</v>
          </cell>
          <cell r="L518" t="str">
            <v>Regulagem do Componente</v>
          </cell>
          <cell r="M518" t="str">
            <v>Falha de Regulagem / Configuração / Dimensionamento</v>
          </cell>
          <cell r="N518">
            <v>37901</v>
          </cell>
          <cell r="O518">
            <v>0.58333333333333337</v>
          </cell>
          <cell r="P518">
            <v>37901</v>
          </cell>
          <cell r="Q518">
            <v>0.58333333333333337</v>
          </cell>
          <cell r="T518">
            <v>37901</v>
          </cell>
          <cell r="U518">
            <v>0.61111111111111105</v>
          </cell>
          <cell r="V518">
            <v>37901</v>
          </cell>
          <cell r="W518">
            <v>0.61111111111111105</v>
          </cell>
          <cell r="X518">
            <v>2.7777777777777679E-2</v>
          </cell>
          <cell r="Y518">
            <v>2.7777777776160861E-2</v>
          </cell>
          <cell r="AB518">
            <v>10</v>
          </cell>
          <cell r="AC518">
            <v>9</v>
          </cell>
          <cell r="AD518">
            <v>0</v>
          </cell>
          <cell r="BF518">
            <v>10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</row>
        <row r="519">
          <cell r="C519">
            <v>37894</v>
          </cell>
          <cell r="D519">
            <v>37918</v>
          </cell>
          <cell r="E519">
            <v>37903</v>
          </cell>
          <cell r="F519">
            <v>0.4826388888888889</v>
          </cell>
          <cell r="G519" t="str">
            <v>Células de Solda Automática</v>
          </cell>
          <cell r="H519" t="str">
            <v>Mecanismos da mesa de entrada estão frouxos</v>
          </cell>
          <cell r="I519" t="str">
            <v>Corretiva</v>
          </cell>
          <cell r="J519" t="str">
            <v>Não</v>
          </cell>
          <cell r="K519" t="str">
            <v>Mecânica</v>
          </cell>
          <cell r="L519" t="str">
            <v>Reaperto dos componentes</v>
          </cell>
          <cell r="M519" t="str">
            <v>Falha de Projeto</v>
          </cell>
          <cell r="N519">
            <v>37903</v>
          </cell>
          <cell r="O519">
            <v>0.5</v>
          </cell>
          <cell r="P519">
            <v>37903</v>
          </cell>
          <cell r="Q519">
            <v>0.5</v>
          </cell>
          <cell r="T519">
            <v>37903</v>
          </cell>
          <cell r="U519">
            <v>0.54166666666666663</v>
          </cell>
          <cell r="V519">
            <v>37903</v>
          </cell>
          <cell r="W519">
            <v>0.54166666666666663</v>
          </cell>
          <cell r="X519">
            <v>4.1666666664241347E-2</v>
          </cell>
          <cell r="Y519">
            <v>4.1666666664241347E-2</v>
          </cell>
          <cell r="AB519">
            <v>10</v>
          </cell>
          <cell r="AC519">
            <v>9</v>
          </cell>
          <cell r="AD519">
            <v>0</v>
          </cell>
          <cell r="BF519">
            <v>10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</row>
        <row r="520">
          <cell r="C520">
            <v>37894</v>
          </cell>
          <cell r="D520">
            <v>37918</v>
          </cell>
          <cell r="E520">
            <v>37905</v>
          </cell>
          <cell r="F520">
            <v>0.41666666666666669</v>
          </cell>
          <cell r="G520" t="str">
            <v>Células de Solda Automática</v>
          </cell>
          <cell r="H520" t="str">
            <v>Falha no cabo de comunicação (perda de sinal)</v>
          </cell>
          <cell r="I520" t="str">
            <v>Corretiva</v>
          </cell>
          <cell r="J520" t="str">
            <v>Sim</v>
          </cell>
          <cell r="K520" t="str">
            <v>Elétrica</v>
          </cell>
          <cell r="L520" t="str">
            <v>Correção de mau contato</v>
          </cell>
          <cell r="M520" t="str">
            <v>Vibração</v>
          </cell>
          <cell r="N520">
            <v>37905</v>
          </cell>
          <cell r="O520">
            <v>0.41666666666666669</v>
          </cell>
          <cell r="P520">
            <v>37905</v>
          </cell>
          <cell r="Q520">
            <v>0.41666666666666669</v>
          </cell>
          <cell r="T520">
            <v>37905</v>
          </cell>
          <cell r="U520">
            <v>0.46875</v>
          </cell>
          <cell r="V520">
            <v>37905</v>
          </cell>
          <cell r="W520">
            <v>0.46875</v>
          </cell>
          <cell r="X520">
            <v>5.2083333333333315E-2</v>
          </cell>
          <cell r="Y520">
            <v>5.2083333333333315E-2</v>
          </cell>
          <cell r="AB520">
            <v>10</v>
          </cell>
          <cell r="AC520">
            <v>9</v>
          </cell>
          <cell r="AD520">
            <v>0</v>
          </cell>
          <cell r="BF520">
            <v>10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</row>
        <row r="521">
          <cell r="C521">
            <v>37894</v>
          </cell>
          <cell r="D521">
            <v>37924</v>
          </cell>
          <cell r="E521">
            <v>37907</v>
          </cell>
          <cell r="F521">
            <v>0.47916666666666669</v>
          </cell>
          <cell r="G521" t="str">
            <v>Células de Solda Automática</v>
          </cell>
          <cell r="H521" t="str">
            <v>Pistão da pinça travado (Mesa A)</v>
          </cell>
          <cell r="I521" t="str">
            <v>Corretiva</v>
          </cell>
          <cell r="J521" t="str">
            <v>Sim</v>
          </cell>
          <cell r="K521" t="str">
            <v>Mecânica</v>
          </cell>
          <cell r="L521" t="str">
            <v>Limpeza e Lubrificação</v>
          </cell>
          <cell r="M521" t="str">
            <v>Sujeira em excesso</v>
          </cell>
          <cell r="N521">
            <v>37907</v>
          </cell>
          <cell r="O521">
            <v>0.47916666666666669</v>
          </cell>
          <cell r="P521">
            <v>37907</v>
          </cell>
          <cell r="Q521">
            <v>0.47916666666666669</v>
          </cell>
          <cell r="T521">
            <v>37907</v>
          </cell>
          <cell r="U521">
            <v>0.52777777777777779</v>
          </cell>
          <cell r="V521">
            <v>37907</v>
          </cell>
          <cell r="W521">
            <v>0.52777777777777779</v>
          </cell>
          <cell r="X521">
            <v>4.8611111111111105E-2</v>
          </cell>
          <cell r="Y521">
            <v>4.8611111114344852E-2</v>
          </cell>
          <cell r="AB521">
            <v>10</v>
          </cell>
          <cell r="AC521">
            <v>9</v>
          </cell>
          <cell r="AD521">
            <v>0</v>
          </cell>
          <cell r="BF521">
            <v>10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</row>
        <row r="522">
          <cell r="C522">
            <v>37894</v>
          </cell>
          <cell r="D522">
            <v>37928</v>
          </cell>
          <cell r="E522">
            <v>37915</v>
          </cell>
          <cell r="F522">
            <v>0.70833333333333337</v>
          </cell>
          <cell r="G522" t="str">
            <v>Células de Solda Automática</v>
          </cell>
          <cell r="H522" t="str">
            <v>Falha nos Sensores CLP (BOSF)</v>
          </cell>
          <cell r="I522" t="str">
            <v>Corretiva</v>
          </cell>
          <cell r="J522" t="str">
            <v>Sim</v>
          </cell>
          <cell r="K522" t="str">
            <v>Elétrica</v>
          </cell>
          <cell r="L522" t="str">
            <v>Reaperto dos componentes</v>
          </cell>
          <cell r="M522" t="str">
            <v>Vibração</v>
          </cell>
          <cell r="N522">
            <v>37915</v>
          </cell>
          <cell r="O522">
            <v>0.70833333333333337</v>
          </cell>
          <cell r="P522">
            <v>37915</v>
          </cell>
          <cell r="Q522">
            <v>0.70833333333333337</v>
          </cell>
          <cell r="T522">
            <v>37915</v>
          </cell>
          <cell r="U522">
            <v>0.73611111111111116</v>
          </cell>
          <cell r="V522">
            <v>37915</v>
          </cell>
          <cell r="W522">
            <v>0.73611111111111116</v>
          </cell>
          <cell r="X522">
            <v>2.777777777777779E-2</v>
          </cell>
          <cell r="Y522">
            <v>2.7777777776160861E-2</v>
          </cell>
          <cell r="AB522">
            <v>10</v>
          </cell>
          <cell r="AC522">
            <v>9</v>
          </cell>
          <cell r="AD522">
            <v>0</v>
          </cell>
          <cell r="BF522">
            <v>10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</row>
        <row r="523">
          <cell r="C523">
            <v>37894</v>
          </cell>
          <cell r="D523">
            <v>37928</v>
          </cell>
          <cell r="E523">
            <v>37915</v>
          </cell>
          <cell r="F523">
            <v>0.70833333333333337</v>
          </cell>
          <cell r="G523" t="str">
            <v>Células de Solda Automática</v>
          </cell>
          <cell r="H523" t="str">
            <v>Mesa parada fora de posicionamento</v>
          </cell>
          <cell r="I523" t="str">
            <v>Corretiva</v>
          </cell>
          <cell r="J523" t="str">
            <v>Sim</v>
          </cell>
          <cell r="K523" t="str">
            <v>Mecânica</v>
          </cell>
          <cell r="L523" t="str">
            <v>Regulagem do Componente</v>
          </cell>
          <cell r="M523" t="str">
            <v>Falha de Comando / Sistema</v>
          </cell>
          <cell r="N523">
            <v>37915</v>
          </cell>
          <cell r="O523">
            <v>0.70833333333333337</v>
          </cell>
          <cell r="P523">
            <v>37915</v>
          </cell>
          <cell r="Q523">
            <v>0.70833333333333337</v>
          </cell>
          <cell r="T523">
            <v>37915</v>
          </cell>
          <cell r="U523">
            <v>0.73958333333333337</v>
          </cell>
          <cell r="V523">
            <v>37915</v>
          </cell>
          <cell r="W523">
            <v>0.73958333333333337</v>
          </cell>
          <cell r="X523">
            <v>3.125E-2</v>
          </cell>
          <cell r="Y523">
            <v>3.1250000002425282E-2</v>
          </cell>
          <cell r="AB523">
            <v>10</v>
          </cell>
          <cell r="AC523">
            <v>9</v>
          </cell>
          <cell r="AD523">
            <v>0</v>
          </cell>
          <cell r="BF523">
            <v>10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</row>
        <row r="524">
          <cell r="C524">
            <v>37894</v>
          </cell>
          <cell r="D524">
            <v>37928</v>
          </cell>
          <cell r="E524">
            <v>37923</v>
          </cell>
          <cell r="F524">
            <v>0.66666666666666663</v>
          </cell>
          <cell r="G524" t="str">
            <v>Células de Solda Automática</v>
          </cell>
          <cell r="H524" t="str">
            <v>Parafuso da Fresa Danificado</v>
          </cell>
          <cell r="I524" t="str">
            <v>Corretiva</v>
          </cell>
          <cell r="J524" t="str">
            <v>Não</v>
          </cell>
          <cell r="K524" t="str">
            <v>Mecânica</v>
          </cell>
          <cell r="L524" t="str">
            <v>Reparo</v>
          </cell>
          <cell r="M524" t="str">
            <v>Desgaste / Fadiga</v>
          </cell>
          <cell r="N524">
            <v>37923</v>
          </cell>
          <cell r="O524">
            <v>0.66666666666666663</v>
          </cell>
          <cell r="P524">
            <v>37923</v>
          </cell>
          <cell r="Q524">
            <v>0.66666666666666663</v>
          </cell>
          <cell r="T524">
            <v>37923</v>
          </cell>
          <cell r="U524">
            <v>0.72916666666666663</v>
          </cell>
          <cell r="V524">
            <v>37923</v>
          </cell>
          <cell r="W524">
            <v>0.72916666666666663</v>
          </cell>
          <cell r="X524">
            <v>6.2499999997574718E-2</v>
          </cell>
          <cell r="Y524">
            <v>6.2499999997574718E-2</v>
          </cell>
          <cell r="AB524">
            <v>10</v>
          </cell>
          <cell r="AC524">
            <v>9</v>
          </cell>
          <cell r="AD524">
            <v>0</v>
          </cell>
          <cell r="BF524">
            <v>10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</row>
        <row r="525">
          <cell r="C525">
            <v>37894</v>
          </cell>
          <cell r="D525">
            <v>37971</v>
          </cell>
          <cell r="E525">
            <v>37931</v>
          </cell>
          <cell r="F525">
            <v>0.58333333333333337</v>
          </cell>
          <cell r="G525" t="str">
            <v>Células de Solda Automática</v>
          </cell>
          <cell r="H525" t="str">
            <v>Fresa não limpa o bocal de solda</v>
          </cell>
          <cell r="I525" t="str">
            <v>Corretiva</v>
          </cell>
          <cell r="J525" t="str">
            <v>Não</v>
          </cell>
          <cell r="K525" t="str">
            <v>Mecânica</v>
          </cell>
          <cell r="L525" t="str">
            <v>Sim</v>
          </cell>
          <cell r="M525" t="str">
            <v>Desgaste / Fadiga</v>
          </cell>
          <cell r="N525">
            <v>37931</v>
          </cell>
          <cell r="O525">
            <v>0.66666666666666663</v>
          </cell>
          <cell r="P525">
            <v>37931</v>
          </cell>
          <cell r="Q525">
            <v>0.66666666666666663</v>
          </cell>
          <cell r="T525">
            <v>37931</v>
          </cell>
          <cell r="U525">
            <v>0.72916666666666663</v>
          </cell>
          <cell r="V525">
            <v>37931</v>
          </cell>
          <cell r="W525">
            <v>0.72916666666666663</v>
          </cell>
          <cell r="X525">
            <v>6.25E-2</v>
          </cell>
          <cell r="Y525">
            <v>6.2499999997574718E-2</v>
          </cell>
          <cell r="AB525">
            <v>11</v>
          </cell>
          <cell r="AC525">
            <v>9</v>
          </cell>
          <cell r="AD525">
            <v>0</v>
          </cell>
          <cell r="BF525">
            <v>11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</row>
        <row r="526">
          <cell r="C526">
            <v>37894</v>
          </cell>
          <cell r="D526">
            <v>37971</v>
          </cell>
          <cell r="E526">
            <v>37932</v>
          </cell>
          <cell r="F526">
            <v>0.33333333333333331</v>
          </cell>
          <cell r="G526" t="str">
            <v>Células de Solda Automática</v>
          </cell>
          <cell r="H526" t="str">
            <v>Mesa parada fora de posicionamento</v>
          </cell>
          <cell r="I526" t="str">
            <v>Corretiva</v>
          </cell>
          <cell r="J526" t="str">
            <v>Sim</v>
          </cell>
          <cell r="K526" t="str">
            <v>Mecânica</v>
          </cell>
          <cell r="L526" t="str">
            <v>Sim</v>
          </cell>
          <cell r="M526" t="str">
            <v>Falha de Regulagem / Configuração / Dimensionamento</v>
          </cell>
          <cell r="N526">
            <v>37932</v>
          </cell>
          <cell r="O526">
            <v>0.35416666666666669</v>
          </cell>
          <cell r="P526">
            <v>37932</v>
          </cell>
          <cell r="Q526">
            <v>0.35416666666666669</v>
          </cell>
          <cell r="T526">
            <v>37932</v>
          </cell>
          <cell r="U526">
            <v>0.39583333333333331</v>
          </cell>
          <cell r="V526">
            <v>37932</v>
          </cell>
          <cell r="W526">
            <v>0.39583333333333331</v>
          </cell>
          <cell r="X526">
            <v>4.166666666666663E-2</v>
          </cell>
          <cell r="Y526">
            <v>4.1666666669091967E-2</v>
          </cell>
          <cell r="AB526">
            <v>11</v>
          </cell>
          <cell r="AC526">
            <v>9</v>
          </cell>
          <cell r="AD526">
            <v>0</v>
          </cell>
          <cell r="BF526">
            <v>11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</row>
        <row r="527">
          <cell r="C527">
            <v>37894</v>
          </cell>
          <cell r="D527">
            <v>37971</v>
          </cell>
          <cell r="E527">
            <v>37932</v>
          </cell>
          <cell r="F527">
            <v>37932</v>
          </cell>
          <cell r="G527">
            <v>0.67361111111111116</v>
          </cell>
          <cell r="H527" t="str">
            <v>O contador da esteira d eentrada entortou o pistão</v>
          </cell>
          <cell r="I527">
            <v>0</v>
          </cell>
          <cell r="J527" t="str">
            <v>Não</v>
          </cell>
          <cell r="K527" t="str">
            <v>Mecânica</v>
          </cell>
          <cell r="L527" t="str">
            <v>Não</v>
          </cell>
          <cell r="M527" t="str">
            <v>Falha de Regulagem / Configuração / Dimensionamento</v>
          </cell>
          <cell r="N527">
            <v>37932</v>
          </cell>
          <cell r="O527">
            <v>0.68055555555555547</v>
          </cell>
          <cell r="P527">
            <v>37932</v>
          </cell>
          <cell r="Q527">
            <v>0.68055555555555547</v>
          </cell>
          <cell r="T527">
            <v>37932</v>
          </cell>
          <cell r="U527">
            <v>0.71875</v>
          </cell>
          <cell r="V527">
            <v>37932</v>
          </cell>
          <cell r="W527">
            <v>0.71875</v>
          </cell>
          <cell r="X527">
            <v>3.8194444444444531E-2</v>
          </cell>
          <cell r="Y527">
            <v>3.8194444444444531E-2</v>
          </cell>
          <cell r="AB527">
            <v>11</v>
          </cell>
          <cell r="AC527">
            <v>9</v>
          </cell>
          <cell r="AD527">
            <v>0</v>
          </cell>
          <cell r="BF527">
            <v>11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</row>
        <row r="528">
          <cell r="C528">
            <v>37894</v>
          </cell>
          <cell r="D528">
            <v>37971</v>
          </cell>
          <cell r="E528">
            <v>37933</v>
          </cell>
          <cell r="F528">
            <v>37933</v>
          </cell>
          <cell r="G528">
            <v>0.83333333333333337</v>
          </cell>
          <cell r="H528" t="str">
            <v>Mesa parada fora de posicionamento</v>
          </cell>
          <cell r="I528">
            <v>0</v>
          </cell>
          <cell r="J528" t="str">
            <v>Sim</v>
          </cell>
          <cell r="K528" t="str">
            <v>Mecânica</v>
          </cell>
          <cell r="L528" t="str">
            <v>Sim</v>
          </cell>
          <cell r="M528" t="str">
            <v>Falha de Regulagem / Configuração / Dimensionamento</v>
          </cell>
          <cell r="N528">
            <v>37935</v>
          </cell>
          <cell r="O528">
            <v>0.35416666666666669</v>
          </cell>
          <cell r="P528">
            <v>0</v>
          </cell>
          <cell r="T528">
            <v>37935</v>
          </cell>
          <cell r="U528">
            <v>0.54166666666666663</v>
          </cell>
          <cell r="V528">
            <v>0</v>
          </cell>
          <cell r="W528">
            <v>1.4583333333309079</v>
          </cell>
          <cell r="X528">
            <v>0</v>
          </cell>
          <cell r="Y528">
            <v>0</v>
          </cell>
          <cell r="AB528">
            <v>11</v>
          </cell>
          <cell r="AC528">
            <v>9</v>
          </cell>
          <cell r="AD528">
            <v>0</v>
          </cell>
          <cell r="BF528">
            <v>11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</row>
        <row r="529">
          <cell r="C529">
            <v>37894</v>
          </cell>
          <cell r="I529">
            <v>0</v>
          </cell>
          <cell r="N529">
            <v>0</v>
          </cell>
          <cell r="P529">
            <v>0</v>
          </cell>
          <cell r="T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AB529">
            <v>0</v>
          </cell>
          <cell r="AC529">
            <v>9</v>
          </cell>
          <cell r="AD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</row>
        <row r="530">
          <cell r="C530">
            <v>37894</v>
          </cell>
          <cell r="D530">
            <v>37993</v>
          </cell>
          <cell r="E530">
            <v>37936</v>
          </cell>
          <cell r="F530">
            <v>0.875</v>
          </cell>
          <cell r="G530" t="str">
            <v>Células de Solda Automática</v>
          </cell>
          <cell r="H530" t="str">
            <v>Fresa com problemas</v>
          </cell>
          <cell r="I530">
            <v>0</v>
          </cell>
          <cell r="J530" t="str">
            <v>Não</v>
          </cell>
          <cell r="K530" t="str">
            <v>Mecânica</v>
          </cell>
          <cell r="L530" t="str">
            <v>Limpeza do Equipamento / Componente</v>
          </cell>
          <cell r="M530" t="str">
            <v>Sujeira em excesso</v>
          </cell>
          <cell r="N530">
            <v>0</v>
          </cell>
          <cell r="O530">
            <v>0.875</v>
          </cell>
          <cell r="P530">
            <v>0</v>
          </cell>
          <cell r="T530">
            <v>0</v>
          </cell>
          <cell r="U530">
            <v>0.90208333333333324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AB530">
            <v>0</v>
          </cell>
          <cell r="AC530">
            <v>9</v>
          </cell>
          <cell r="AD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</row>
        <row r="531">
          <cell r="C531">
            <v>37894</v>
          </cell>
          <cell r="D531">
            <v>37971</v>
          </cell>
          <cell r="E531">
            <v>37942</v>
          </cell>
          <cell r="F531">
            <v>37942</v>
          </cell>
          <cell r="G531">
            <v>0.33333333333333331</v>
          </cell>
          <cell r="H531" t="str">
            <v>Cilindro da esteira de entrada está solto</v>
          </cell>
          <cell r="I531">
            <v>0</v>
          </cell>
          <cell r="J531" t="str">
            <v>Sim</v>
          </cell>
          <cell r="K531" t="str">
            <v>Mecânica</v>
          </cell>
          <cell r="L531" t="str">
            <v>Sim</v>
          </cell>
          <cell r="M531" t="str">
            <v>Vibração</v>
          </cell>
          <cell r="N531">
            <v>37942</v>
          </cell>
          <cell r="O531">
            <v>0.34027777777777773</v>
          </cell>
          <cell r="P531">
            <v>37942</v>
          </cell>
          <cell r="Q531">
            <v>0.34027777777777773</v>
          </cell>
          <cell r="T531">
            <v>37942</v>
          </cell>
          <cell r="U531">
            <v>0.40972222222222227</v>
          </cell>
          <cell r="V531">
            <v>37942</v>
          </cell>
          <cell r="W531">
            <v>0.40972222222222227</v>
          </cell>
          <cell r="X531">
            <v>6.9444444444444531E-2</v>
          </cell>
          <cell r="Y531">
            <v>6.9444444441210729E-2</v>
          </cell>
          <cell r="AB531">
            <v>11</v>
          </cell>
          <cell r="AC531">
            <v>9</v>
          </cell>
          <cell r="AD531">
            <v>0</v>
          </cell>
          <cell r="BF531">
            <v>11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</row>
        <row r="532">
          <cell r="C532">
            <v>37894</v>
          </cell>
          <cell r="D532">
            <v>37971</v>
          </cell>
          <cell r="E532">
            <v>37943</v>
          </cell>
          <cell r="F532">
            <v>37943</v>
          </cell>
          <cell r="G532">
            <v>0.33333333333333331</v>
          </cell>
          <cell r="H532" t="str">
            <v>Sensor da esteira de entrada não funciona</v>
          </cell>
          <cell r="I532">
            <v>0</v>
          </cell>
          <cell r="J532" t="str">
            <v>Não</v>
          </cell>
          <cell r="K532" t="str">
            <v>Elétrica</v>
          </cell>
          <cell r="L532" t="str">
            <v>Não</v>
          </cell>
          <cell r="M532" t="str">
            <v>Desgaste / Fadiga</v>
          </cell>
          <cell r="N532">
            <v>37943</v>
          </cell>
          <cell r="O532">
            <v>0.33333333333333331</v>
          </cell>
          <cell r="P532">
            <v>37943</v>
          </cell>
          <cell r="Q532">
            <v>0.33333333333333331</v>
          </cell>
          <cell r="T532">
            <v>37943</v>
          </cell>
          <cell r="U532">
            <v>0.36805555555555558</v>
          </cell>
          <cell r="V532">
            <v>37943</v>
          </cell>
          <cell r="W532">
            <v>0.36805555555555558</v>
          </cell>
          <cell r="X532">
            <v>3.4722222221413801E-2</v>
          </cell>
          <cell r="Y532">
            <v>3.4722222221413801E-2</v>
          </cell>
          <cell r="AB532">
            <v>11</v>
          </cell>
          <cell r="AC532">
            <v>9</v>
          </cell>
          <cell r="AD532">
            <v>0</v>
          </cell>
          <cell r="BF532">
            <v>11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</row>
        <row r="533">
          <cell r="C533">
            <v>37894</v>
          </cell>
          <cell r="D533">
            <v>37971</v>
          </cell>
          <cell r="E533">
            <v>37943</v>
          </cell>
          <cell r="F533">
            <v>37943</v>
          </cell>
          <cell r="G533">
            <v>0.64583333333333337</v>
          </cell>
          <cell r="H533" t="str">
            <v>O robô não abre arco de solda</v>
          </cell>
          <cell r="I533">
            <v>0</v>
          </cell>
          <cell r="J533" t="str">
            <v>Sim</v>
          </cell>
          <cell r="K533" t="str">
            <v>Elétrica</v>
          </cell>
          <cell r="L533" t="str">
            <v>Sim</v>
          </cell>
          <cell r="M533" t="str">
            <v>Desgaste / Fadiga</v>
          </cell>
          <cell r="N533">
            <v>37943</v>
          </cell>
          <cell r="O533">
            <v>0.64583333333333337</v>
          </cell>
          <cell r="P533">
            <v>37943</v>
          </cell>
          <cell r="Q533">
            <v>0.64583333333333337</v>
          </cell>
          <cell r="T533">
            <v>37943</v>
          </cell>
          <cell r="U533">
            <v>0.75</v>
          </cell>
          <cell r="V533">
            <v>37943</v>
          </cell>
          <cell r="W533">
            <v>0.75</v>
          </cell>
          <cell r="X533">
            <v>0.10416666666666663</v>
          </cell>
          <cell r="Y533">
            <v>0.10416666666666663</v>
          </cell>
          <cell r="AB533">
            <v>11</v>
          </cell>
          <cell r="AC533">
            <v>9</v>
          </cell>
          <cell r="AD533">
            <v>0</v>
          </cell>
          <cell r="BF533">
            <v>11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</row>
        <row r="534">
          <cell r="C534">
            <v>37894</v>
          </cell>
          <cell r="D534">
            <v>37971</v>
          </cell>
          <cell r="E534">
            <v>37957</v>
          </cell>
          <cell r="F534">
            <v>0.33333333333333331</v>
          </cell>
          <cell r="G534" t="str">
            <v>Células de Solda Automática</v>
          </cell>
          <cell r="H534" t="str">
            <v>Colocar suporte para placa de avisos</v>
          </cell>
          <cell r="I534">
            <v>0</v>
          </cell>
          <cell r="J534" t="str">
            <v>Não</v>
          </cell>
          <cell r="K534" t="str">
            <v>Mecânica</v>
          </cell>
          <cell r="L534" t="str">
            <v>Montagem / Instalação</v>
          </cell>
          <cell r="M534" t="str">
            <v>Melhoria Técnica</v>
          </cell>
          <cell r="N534">
            <v>37957</v>
          </cell>
          <cell r="O534">
            <v>0.4375</v>
          </cell>
          <cell r="P534">
            <v>0</v>
          </cell>
          <cell r="T534">
            <v>37957</v>
          </cell>
          <cell r="U534">
            <v>0.45833333333333331</v>
          </cell>
          <cell r="V534">
            <v>0</v>
          </cell>
          <cell r="W534">
            <v>2.0833333335758653E-2</v>
          </cell>
          <cell r="X534">
            <v>0</v>
          </cell>
          <cell r="Y534">
            <v>0</v>
          </cell>
          <cell r="AB534">
            <v>12</v>
          </cell>
          <cell r="AC534">
            <v>9</v>
          </cell>
          <cell r="AD534">
            <v>0</v>
          </cell>
          <cell r="BF534">
            <v>12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</row>
        <row r="535">
          <cell r="C535">
            <v>37894</v>
          </cell>
          <cell r="D535">
            <v>37971</v>
          </cell>
          <cell r="E535">
            <v>37959</v>
          </cell>
          <cell r="F535">
            <v>0.33333333333333331</v>
          </cell>
          <cell r="G535" t="str">
            <v>Células de Solda Automática</v>
          </cell>
          <cell r="H535" t="str">
            <v>Robô de manipulação não está fechando a garra</v>
          </cell>
          <cell r="I535">
            <v>0</v>
          </cell>
          <cell r="J535" t="str">
            <v>Sim</v>
          </cell>
          <cell r="K535" t="str">
            <v>Mecânica</v>
          </cell>
          <cell r="L535" t="str">
            <v>Ajuste / Regulagem</v>
          </cell>
          <cell r="M535" t="str">
            <v>Falha de Regulagem / Configuração / Dimensionamento</v>
          </cell>
          <cell r="N535">
            <v>37959</v>
          </cell>
          <cell r="O535">
            <v>0.33333333333333331</v>
          </cell>
          <cell r="P535">
            <v>0</v>
          </cell>
          <cell r="T535">
            <v>37959</v>
          </cell>
          <cell r="U535">
            <v>0.35416666666666669</v>
          </cell>
          <cell r="V535">
            <v>0</v>
          </cell>
          <cell r="W535">
            <v>2.0833333330908033E-2</v>
          </cell>
          <cell r="X535">
            <v>0</v>
          </cell>
          <cell r="Y535">
            <v>0</v>
          </cell>
          <cell r="AB535">
            <v>12</v>
          </cell>
          <cell r="AC535">
            <v>9</v>
          </cell>
          <cell r="AD535">
            <v>0</v>
          </cell>
          <cell r="BF535">
            <v>12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</row>
        <row r="536">
          <cell r="C536">
            <v>37894</v>
          </cell>
          <cell r="D536">
            <v>37971</v>
          </cell>
          <cell r="E536">
            <v>37959</v>
          </cell>
          <cell r="F536">
            <v>0.65277777777777779</v>
          </cell>
          <cell r="G536" t="str">
            <v>Células de Solda Automática</v>
          </cell>
          <cell r="H536" t="str">
            <v>O robô não abre arco de solda</v>
          </cell>
          <cell r="I536">
            <v>0</v>
          </cell>
          <cell r="J536" t="str">
            <v>Sim</v>
          </cell>
          <cell r="K536" t="str">
            <v>Elétrica</v>
          </cell>
          <cell r="L536" t="str">
            <v>Substituição do(s) Componente(s)</v>
          </cell>
          <cell r="M536" t="str">
            <v>Desgaste / Fadiga</v>
          </cell>
          <cell r="N536">
            <v>37959</v>
          </cell>
          <cell r="O536">
            <v>0.66666666666666663</v>
          </cell>
          <cell r="P536">
            <v>0</v>
          </cell>
          <cell r="T536">
            <v>37959</v>
          </cell>
          <cell r="U536">
            <v>0.70833333333333337</v>
          </cell>
          <cell r="V536">
            <v>0</v>
          </cell>
          <cell r="W536">
            <v>5.5555555557980862E-2</v>
          </cell>
          <cell r="X536">
            <v>0</v>
          </cell>
          <cell r="Y536">
            <v>0</v>
          </cell>
          <cell r="AB536">
            <v>12</v>
          </cell>
          <cell r="AC536">
            <v>9</v>
          </cell>
          <cell r="AD536">
            <v>0</v>
          </cell>
          <cell r="BF536">
            <v>12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</row>
        <row r="537">
          <cell r="C537">
            <v>37908</v>
          </cell>
          <cell r="D537">
            <v>37924</v>
          </cell>
          <cell r="E537">
            <v>37908</v>
          </cell>
          <cell r="F537">
            <v>0.33333333333333331</v>
          </cell>
          <cell r="G537" t="str">
            <v>Perfiladora Zikeli</v>
          </cell>
          <cell r="H537" t="str">
            <v>Rolo de Entrada da Perfiladora quebrado</v>
          </cell>
          <cell r="I537" t="str">
            <v>Corretiva</v>
          </cell>
          <cell r="J537" t="str">
            <v>Sim</v>
          </cell>
          <cell r="K537" t="str">
            <v>Mecânica</v>
          </cell>
          <cell r="L537" t="str">
            <v>Reparo</v>
          </cell>
          <cell r="M537" t="str">
            <v>Falha de Regulagem / Configuração / Dimensionamento</v>
          </cell>
          <cell r="N537">
            <v>37908</v>
          </cell>
          <cell r="O537">
            <v>0.33333333333333331</v>
          </cell>
          <cell r="P537">
            <v>37908</v>
          </cell>
          <cell r="Q537">
            <v>0.33333333333333331</v>
          </cell>
          <cell r="T537">
            <v>37908</v>
          </cell>
          <cell r="U537">
            <v>0.54166666666666663</v>
          </cell>
          <cell r="V537">
            <v>37908</v>
          </cell>
          <cell r="W537">
            <v>0.54166666666666663</v>
          </cell>
          <cell r="X537">
            <v>0.20833333333333331</v>
          </cell>
          <cell r="Y537">
            <v>0.20833333333090803</v>
          </cell>
          <cell r="AB537">
            <v>10</v>
          </cell>
          <cell r="AC537">
            <v>10</v>
          </cell>
          <cell r="AD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10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</row>
        <row r="538">
          <cell r="C538">
            <v>37908</v>
          </cell>
          <cell r="I538">
            <v>0</v>
          </cell>
          <cell r="N538">
            <v>0</v>
          </cell>
          <cell r="P538">
            <v>0</v>
          </cell>
          <cell r="T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AB538">
            <v>0</v>
          </cell>
          <cell r="AC538">
            <v>10</v>
          </cell>
          <cell r="AD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</row>
        <row r="539">
          <cell r="C539">
            <v>37908</v>
          </cell>
          <cell r="D539">
            <v>37971</v>
          </cell>
          <cell r="E539">
            <v>37923</v>
          </cell>
          <cell r="F539">
            <v>0.60416666666666663</v>
          </cell>
          <cell r="G539" t="str">
            <v>Serra de Fita</v>
          </cell>
          <cell r="H539" t="str">
            <v>Máquina não liga</v>
          </cell>
          <cell r="I539">
            <v>0</v>
          </cell>
          <cell r="J539" t="str">
            <v>Sim</v>
          </cell>
          <cell r="K539" t="str">
            <v>Elétrica</v>
          </cell>
          <cell r="L539" t="str">
            <v>Substituição do(s) Componente(s)</v>
          </cell>
          <cell r="M539" t="str">
            <v>Travamento de Componente</v>
          </cell>
          <cell r="N539">
            <v>37923</v>
          </cell>
          <cell r="O539">
            <v>0.60416666666666663</v>
          </cell>
          <cell r="P539">
            <v>0</v>
          </cell>
          <cell r="T539">
            <v>37924</v>
          </cell>
          <cell r="U539">
            <v>0.72222222222222221</v>
          </cell>
          <cell r="V539">
            <v>0</v>
          </cell>
          <cell r="W539">
            <v>1.1180555555523219</v>
          </cell>
          <cell r="X539">
            <v>0</v>
          </cell>
          <cell r="Y539">
            <v>0</v>
          </cell>
          <cell r="AB539">
            <v>10</v>
          </cell>
          <cell r="AC539">
            <v>10</v>
          </cell>
          <cell r="AD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10</v>
          </cell>
          <cell r="CD539">
            <v>0</v>
          </cell>
        </row>
        <row r="540">
          <cell r="C540">
            <v>37908</v>
          </cell>
          <cell r="I540">
            <v>0</v>
          </cell>
          <cell r="N540">
            <v>0</v>
          </cell>
          <cell r="P540">
            <v>0</v>
          </cell>
          <cell r="T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AB540">
            <v>0</v>
          </cell>
          <cell r="AC540">
            <v>10</v>
          </cell>
          <cell r="AD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</row>
        <row r="541">
          <cell r="C541">
            <v>37908</v>
          </cell>
          <cell r="I541">
            <v>0</v>
          </cell>
          <cell r="N541">
            <v>0</v>
          </cell>
          <cell r="P541">
            <v>0</v>
          </cell>
          <cell r="T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AB541">
            <v>0</v>
          </cell>
          <cell r="AC541">
            <v>10</v>
          </cell>
          <cell r="AD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</row>
        <row r="542">
          <cell r="C542">
            <v>37908</v>
          </cell>
          <cell r="I542">
            <v>0</v>
          </cell>
          <cell r="N542">
            <v>0</v>
          </cell>
          <cell r="P542">
            <v>0</v>
          </cell>
          <cell r="T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AB542">
            <v>0</v>
          </cell>
          <cell r="AC542">
            <v>10</v>
          </cell>
          <cell r="AD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</row>
        <row r="543">
          <cell r="C543">
            <v>37908</v>
          </cell>
          <cell r="I543">
            <v>0</v>
          </cell>
          <cell r="N543">
            <v>0</v>
          </cell>
          <cell r="P543">
            <v>0</v>
          </cell>
          <cell r="T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AB543">
            <v>0</v>
          </cell>
          <cell r="AC543">
            <v>10</v>
          </cell>
          <cell r="AD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</row>
        <row r="544">
          <cell r="C544">
            <v>37908</v>
          </cell>
          <cell r="I544">
            <v>0</v>
          </cell>
          <cell r="N544">
            <v>0</v>
          </cell>
          <cell r="P544">
            <v>0</v>
          </cell>
          <cell r="T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AB544">
            <v>0</v>
          </cell>
          <cell r="AC544">
            <v>10</v>
          </cell>
          <cell r="AD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</row>
        <row r="545">
          <cell r="C545">
            <v>37908</v>
          </cell>
          <cell r="I545">
            <v>0</v>
          </cell>
          <cell r="N545">
            <v>0</v>
          </cell>
          <cell r="P545">
            <v>0</v>
          </cell>
          <cell r="T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AB545">
            <v>0</v>
          </cell>
          <cell r="AC545">
            <v>10</v>
          </cell>
          <cell r="AD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</row>
        <row r="546">
          <cell r="C546">
            <v>37908</v>
          </cell>
          <cell r="I546">
            <v>0</v>
          </cell>
          <cell r="N546">
            <v>0</v>
          </cell>
          <cell r="P546">
            <v>0</v>
          </cell>
          <cell r="T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AB546">
            <v>0</v>
          </cell>
          <cell r="AC546">
            <v>10</v>
          </cell>
          <cell r="AD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</row>
        <row r="547">
          <cell r="C547">
            <v>37908</v>
          </cell>
          <cell r="I547">
            <v>0</v>
          </cell>
          <cell r="N547">
            <v>0</v>
          </cell>
          <cell r="P547">
            <v>0</v>
          </cell>
          <cell r="T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AB547">
            <v>0</v>
          </cell>
          <cell r="AC547">
            <v>10</v>
          </cell>
          <cell r="AD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</row>
        <row r="548">
          <cell r="C548">
            <v>37908</v>
          </cell>
          <cell r="I548">
            <v>0</v>
          </cell>
          <cell r="N548">
            <v>0</v>
          </cell>
          <cell r="P548">
            <v>0</v>
          </cell>
          <cell r="T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AB548">
            <v>0</v>
          </cell>
          <cell r="AC548">
            <v>10</v>
          </cell>
          <cell r="AD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</row>
        <row r="549">
          <cell r="C549">
            <v>37908</v>
          </cell>
          <cell r="I549">
            <v>0</v>
          </cell>
          <cell r="N549">
            <v>0</v>
          </cell>
          <cell r="P549">
            <v>0</v>
          </cell>
          <cell r="T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AB549">
            <v>0</v>
          </cell>
          <cell r="AC549">
            <v>10</v>
          </cell>
          <cell r="AD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</row>
        <row r="550">
          <cell r="C550">
            <v>37908</v>
          </cell>
          <cell r="I550">
            <v>0</v>
          </cell>
          <cell r="N550">
            <v>0</v>
          </cell>
          <cell r="P550">
            <v>0</v>
          </cell>
          <cell r="T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AB550">
            <v>0</v>
          </cell>
          <cell r="AC550">
            <v>10</v>
          </cell>
          <cell r="AD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</row>
        <row r="551">
          <cell r="C551">
            <v>37908</v>
          </cell>
          <cell r="I551">
            <v>0</v>
          </cell>
          <cell r="N551">
            <v>0</v>
          </cell>
          <cell r="P551">
            <v>0</v>
          </cell>
          <cell r="T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AB551">
            <v>0</v>
          </cell>
          <cell r="AC551">
            <v>10</v>
          </cell>
          <cell r="AD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</row>
        <row r="552">
          <cell r="C552">
            <v>37908</v>
          </cell>
          <cell r="D552">
            <v>37971</v>
          </cell>
          <cell r="E552">
            <v>37943</v>
          </cell>
          <cell r="F552">
            <v>37943</v>
          </cell>
          <cell r="G552">
            <v>0.54166666666666663</v>
          </cell>
          <cell r="H552" t="str">
            <v>Braço superior Prensa rompido</v>
          </cell>
          <cell r="I552">
            <v>0</v>
          </cell>
          <cell r="J552" t="str">
            <v>Não</v>
          </cell>
          <cell r="K552" t="str">
            <v>Mecânica</v>
          </cell>
          <cell r="L552" t="str">
            <v>sim</v>
          </cell>
          <cell r="M552" t="str">
            <v>Vibração</v>
          </cell>
          <cell r="N552">
            <v>37943</v>
          </cell>
          <cell r="O552">
            <v>0.5625</v>
          </cell>
          <cell r="P552">
            <v>37943</v>
          </cell>
          <cell r="Q552">
            <v>0.5625</v>
          </cell>
          <cell r="T552">
            <v>37944</v>
          </cell>
          <cell r="U552">
            <v>0.52777777777777779</v>
          </cell>
          <cell r="V552">
            <v>37944</v>
          </cell>
          <cell r="W552">
            <v>0.52777777777777779</v>
          </cell>
          <cell r="X552">
            <v>0.96527777777777779</v>
          </cell>
          <cell r="Y552">
            <v>0.96527777778101154</v>
          </cell>
          <cell r="AB552">
            <v>11</v>
          </cell>
          <cell r="AC552">
            <v>10</v>
          </cell>
          <cell r="AD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11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</row>
        <row r="553">
          <cell r="C553">
            <v>37908</v>
          </cell>
          <cell r="I553">
            <v>0</v>
          </cell>
          <cell r="N553">
            <v>0</v>
          </cell>
          <cell r="P553">
            <v>0</v>
          </cell>
          <cell r="T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AB553">
            <v>0</v>
          </cell>
          <cell r="AC553">
            <v>10</v>
          </cell>
          <cell r="AD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</row>
        <row r="554">
          <cell r="C554">
            <v>37908</v>
          </cell>
          <cell r="I554">
            <v>0</v>
          </cell>
          <cell r="N554">
            <v>0</v>
          </cell>
          <cell r="P554">
            <v>0</v>
          </cell>
          <cell r="T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AB554">
            <v>0</v>
          </cell>
          <cell r="AC554">
            <v>10</v>
          </cell>
          <cell r="AD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</row>
        <row r="555">
          <cell r="C555">
            <v>37908</v>
          </cell>
          <cell r="I555">
            <v>0</v>
          </cell>
          <cell r="N555">
            <v>0</v>
          </cell>
          <cell r="P555">
            <v>0</v>
          </cell>
          <cell r="T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AB555">
            <v>0</v>
          </cell>
          <cell r="AC555">
            <v>10</v>
          </cell>
          <cell r="AD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</row>
        <row r="556">
          <cell r="C556">
            <v>37908</v>
          </cell>
          <cell r="I556">
            <v>0</v>
          </cell>
          <cell r="N556">
            <v>0</v>
          </cell>
          <cell r="P556">
            <v>0</v>
          </cell>
          <cell r="T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AB556">
            <v>0</v>
          </cell>
          <cell r="AC556">
            <v>10</v>
          </cell>
          <cell r="AD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</row>
        <row r="557">
          <cell r="C557">
            <v>37911</v>
          </cell>
          <cell r="D557">
            <v>37928</v>
          </cell>
          <cell r="E557">
            <v>37911</v>
          </cell>
          <cell r="F557">
            <v>0.25</v>
          </cell>
          <cell r="G557" t="str">
            <v>Perfiladora Fagor Largueros</v>
          </cell>
          <cell r="H557" t="str">
            <v>Cortante G70 travado</v>
          </cell>
          <cell r="I557" t="str">
            <v>Corretiva</v>
          </cell>
          <cell r="J557" t="str">
            <v>Sim</v>
          </cell>
          <cell r="K557" t="str">
            <v>Mecânica</v>
          </cell>
          <cell r="L557" t="str">
            <v>Reparo</v>
          </cell>
          <cell r="M557" t="str">
            <v>Falha de Regulagem / Configuração / Dimensionamento</v>
          </cell>
          <cell r="N557">
            <v>37911</v>
          </cell>
          <cell r="O557">
            <v>0.4375</v>
          </cell>
          <cell r="P557">
            <v>37911</v>
          </cell>
          <cell r="Q557">
            <v>0.72916666666666663</v>
          </cell>
          <cell r="R557">
            <v>37912</v>
          </cell>
          <cell r="S557">
            <v>0.29166666666666669</v>
          </cell>
          <cell r="T557">
            <v>37912</v>
          </cell>
          <cell r="U557">
            <v>0.66666666666666663</v>
          </cell>
          <cell r="V557">
            <v>0.1875</v>
          </cell>
          <cell r="W557">
            <v>0.85416666666666652</v>
          </cell>
          <cell r="X557">
            <v>0.66666666666666652</v>
          </cell>
          <cell r="Y557">
            <v>0.66666666666666652</v>
          </cell>
          <cell r="AB557">
            <v>10</v>
          </cell>
          <cell r="AC557">
            <v>10</v>
          </cell>
          <cell r="AD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10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</row>
        <row r="558">
          <cell r="C558">
            <v>37911</v>
          </cell>
          <cell r="I558">
            <v>0</v>
          </cell>
          <cell r="N558">
            <v>0</v>
          </cell>
          <cell r="P558">
            <v>0</v>
          </cell>
          <cell r="T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AB558">
            <v>0</v>
          </cell>
          <cell r="AC558">
            <v>10</v>
          </cell>
          <cell r="AD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</row>
        <row r="559">
          <cell r="C559">
            <v>37911</v>
          </cell>
          <cell r="D559">
            <v>37928</v>
          </cell>
          <cell r="E559">
            <v>37919</v>
          </cell>
          <cell r="F559">
            <v>0.25</v>
          </cell>
          <cell r="G559" t="str">
            <v>Perfiladora Fagor Largueros</v>
          </cell>
          <cell r="H559" t="str">
            <v>Guia de chapa está quebrada</v>
          </cell>
          <cell r="I559" t="str">
            <v>Corretiva</v>
          </cell>
          <cell r="J559" t="str">
            <v>Não</v>
          </cell>
          <cell r="K559" t="str">
            <v>Mecânica</v>
          </cell>
          <cell r="L559" t="str">
            <v>Reparo</v>
          </cell>
          <cell r="M559" t="str">
            <v>Falha de Regulagem / Configuração / Dimensionamento</v>
          </cell>
          <cell r="N559">
            <v>37919</v>
          </cell>
          <cell r="O559">
            <v>0.35416666666666669</v>
          </cell>
          <cell r="P559">
            <v>37919</v>
          </cell>
          <cell r="Q559">
            <v>0.35416666666666669</v>
          </cell>
          <cell r="T559">
            <v>37919</v>
          </cell>
          <cell r="U559">
            <v>0.375</v>
          </cell>
          <cell r="V559">
            <v>37919</v>
          </cell>
          <cell r="W559">
            <v>0.375</v>
          </cell>
          <cell r="X559">
            <v>2.0833333333333315E-2</v>
          </cell>
          <cell r="Y559">
            <v>2.0833333333333315E-2</v>
          </cell>
          <cell r="AB559">
            <v>10</v>
          </cell>
          <cell r="AC559">
            <v>10</v>
          </cell>
          <cell r="AD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10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</row>
        <row r="560">
          <cell r="C560">
            <v>37911</v>
          </cell>
          <cell r="D560">
            <v>37928</v>
          </cell>
          <cell r="E560">
            <v>37918</v>
          </cell>
          <cell r="F560">
            <v>0.3888888888888889</v>
          </cell>
          <cell r="G560" t="str">
            <v>Perfiladora Fagor Largueros</v>
          </cell>
          <cell r="H560" t="str">
            <v>Guia de chapa está quebrada</v>
          </cell>
          <cell r="I560" t="str">
            <v>Corretiva</v>
          </cell>
          <cell r="J560" t="str">
            <v>Não</v>
          </cell>
          <cell r="K560" t="str">
            <v>Mecânica</v>
          </cell>
          <cell r="L560" t="str">
            <v>Reparo</v>
          </cell>
          <cell r="M560" t="str">
            <v>Falha de Regulagem / Configuração / Dimensionamento</v>
          </cell>
          <cell r="N560">
            <v>37918</v>
          </cell>
          <cell r="O560">
            <v>0.39583333333333331</v>
          </cell>
          <cell r="P560">
            <v>37918</v>
          </cell>
          <cell r="Q560">
            <v>0.39583333333333331</v>
          </cell>
          <cell r="T560">
            <v>37918</v>
          </cell>
          <cell r="U560">
            <v>0.41666666666666669</v>
          </cell>
          <cell r="V560">
            <v>37918</v>
          </cell>
          <cell r="W560">
            <v>0.41666666666666669</v>
          </cell>
          <cell r="X560">
            <v>2.0833333330908033E-2</v>
          </cell>
          <cell r="Y560">
            <v>2.0833333330908033E-2</v>
          </cell>
          <cell r="AB560">
            <v>10</v>
          </cell>
          <cell r="AC560">
            <v>10</v>
          </cell>
          <cell r="AD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10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</row>
        <row r="561">
          <cell r="C561">
            <v>37911</v>
          </cell>
          <cell r="D561">
            <v>37971</v>
          </cell>
          <cell r="E561">
            <v>37928</v>
          </cell>
          <cell r="F561">
            <v>37928</v>
          </cell>
          <cell r="G561">
            <v>0.25</v>
          </cell>
          <cell r="H561" t="str">
            <v>Suporte do Sensor da passagem 01 está amassado</v>
          </cell>
          <cell r="I561">
            <v>0</v>
          </cell>
          <cell r="J561" t="str">
            <v>Não</v>
          </cell>
          <cell r="K561" t="str">
            <v>Mecânica</v>
          </cell>
          <cell r="L561" t="str">
            <v>Não</v>
          </cell>
          <cell r="M561" t="str">
            <v>Falha de Montagem / Preparação</v>
          </cell>
          <cell r="N561">
            <v>37928</v>
          </cell>
          <cell r="O561">
            <v>0.4375</v>
          </cell>
          <cell r="P561">
            <v>37928</v>
          </cell>
          <cell r="Q561">
            <v>0.4375</v>
          </cell>
          <cell r="T561">
            <v>37928</v>
          </cell>
          <cell r="U561">
            <v>0.47916666666666669</v>
          </cell>
          <cell r="V561">
            <v>37928</v>
          </cell>
          <cell r="W561">
            <v>0.47916666666666669</v>
          </cell>
          <cell r="X561">
            <v>4.1666666664241347E-2</v>
          </cell>
          <cell r="Y561">
            <v>4.1666666664241347E-2</v>
          </cell>
          <cell r="AB561">
            <v>11</v>
          </cell>
          <cell r="AC561">
            <v>10</v>
          </cell>
          <cell r="AD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11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</row>
        <row r="562">
          <cell r="C562">
            <v>37911</v>
          </cell>
          <cell r="D562">
            <v>37971</v>
          </cell>
          <cell r="E562">
            <v>37957</v>
          </cell>
          <cell r="F562">
            <v>0.70138888888888884</v>
          </cell>
          <cell r="G562" t="str">
            <v>Perfiladora Fagor Largueros</v>
          </cell>
          <cell r="H562" t="str">
            <v>Suporte dos sensores de avanço da perfiladora está quebrado</v>
          </cell>
          <cell r="I562">
            <v>0</v>
          </cell>
          <cell r="J562" t="str">
            <v>Sim</v>
          </cell>
          <cell r="K562" t="str">
            <v>Mecânica</v>
          </cell>
          <cell r="L562" t="str">
            <v>Reparo</v>
          </cell>
          <cell r="M562" t="str">
            <v>Defeito de Fabricação</v>
          </cell>
          <cell r="N562">
            <v>37957</v>
          </cell>
          <cell r="O562">
            <v>0.70138888888888884</v>
          </cell>
          <cell r="P562">
            <v>0</v>
          </cell>
          <cell r="T562">
            <v>37957</v>
          </cell>
          <cell r="U562">
            <v>0.71875</v>
          </cell>
          <cell r="V562">
            <v>0</v>
          </cell>
          <cell r="W562">
            <v>1.736111111111116E-2</v>
          </cell>
          <cell r="X562">
            <v>0</v>
          </cell>
          <cell r="Y562">
            <v>0</v>
          </cell>
          <cell r="AB562">
            <v>12</v>
          </cell>
          <cell r="AC562">
            <v>10</v>
          </cell>
          <cell r="AD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12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</row>
        <row r="563">
          <cell r="C563">
            <v>37911</v>
          </cell>
          <cell r="I563">
            <v>0</v>
          </cell>
          <cell r="N563">
            <v>0</v>
          </cell>
          <cell r="P563">
            <v>0</v>
          </cell>
          <cell r="T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AB563">
            <v>0</v>
          </cell>
          <cell r="AC563">
            <v>10</v>
          </cell>
          <cell r="AD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</row>
        <row r="564">
          <cell r="C564">
            <v>37911</v>
          </cell>
          <cell r="I564">
            <v>0</v>
          </cell>
          <cell r="N564">
            <v>0</v>
          </cell>
          <cell r="P564">
            <v>0</v>
          </cell>
          <cell r="T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AB564">
            <v>0</v>
          </cell>
          <cell r="AC564">
            <v>10</v>
          </cell>
          <cell r="AD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</row>
        <row r="565">
          <cell r="C565">
            <v>37911</v>
          </cell>
          <cell r="I565">
            <v>0</v>
          </cell>
          <cell r="N565">
            <v>0</v>
          </cell>
          <cell r="P565">
            <v>0</v>
          </cell>
          <cell r="T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AB565">
            <v>0</v>
          </cell>
          <cell r="AC565">
            <v>10</v>
          </cell>
          <cell r="AD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</row>
        <row r="566">
          <cell r="C566">
            <v>37911</v>
          </cell>
          <cell r="I566">
            <v>0</v>
          </cell>
          <cell r="N566">
            <v>0</v>
          </cell>
          <cell r="P566">
            <v>0</v>
          </cell>
          <cell r="T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AB566">
            <v>0</v>
          </cell>
          <cell r="AC566">
            <v>10</v>
          </cell>
          <cell r="AD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</row>
        <row r="567">
          <cell r="C567">
            <v>37911</v>
          </cell>
          <cell r="I567">
            <v>0</v>
          </cell>
          <cell r="N567">
            <v>0</v>
          </cell>
          <cell r="P567">
            <v>0</v>
          </cell>
          <cell r="T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AB567">
            <v>0</v>
          </cell>
          <cell r="AC567">
            <v>10</v>
          </cell>
          <cell r="AD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</row>
        <row r="568">
          <cell r="C568">
            <v>37911</v>
          </cell>
          <cell r="D568">
            <v>38008</v>
          </cell>
          <cell r="E568">
            <v>37998</v>
          </cell>
          <cell r="F568">
            <v>0.91666666666666663</v>
          </cell>
          <cell r="G568" t="str">
            <v>Perfiladora Fagor Largueros</v>
          </cell>
          <cell r="H568" t="str">
            <v>Regulador lateral solto</v>
          </cell>
          <cell r="I568">
            <v>0</v>
          </cell>
          <cell r="J568" t="str">
            <v>Sim</v>
          </cell>
          <cell r="K568" t="str">
            <v>Mecânica</v>
          </cell>
          <cell r="L568" t="str">
            <v>Reparo</v>
          </cell>
          <cell r="M568" t="str">
            <v>Falha de Ajuste / Parâmetros</v>
          </cell>
          <cell r="N568">
            <v>0</v>
          </cell>
          <cell r="P568">
            <v>0</v>
          </cell>
          <cell r="T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AB568">
            <v>0</v>
          </cell>
          <cell r="AC568">
            <v>10</v>
          </cell>
          <cell r="AD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</row>
        <row r="569">
          <cell r="C569">
            <v>37911</v>
          </cell>
          <cell r="I569">
            <v>0</v>
          </cell>
          <cell r="N569">
            <v>0</v>
          </cell>
          <cell r="P569">
            <v>0</v>
          </cell>
          <cell r="T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AB569">
            <v>0</v>
          </cell>
          <cell r="AC569">
            <v>10</v>
          </cell>
          <cell r="AD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</row>
        <row r="570">
          <cell r="C570">
            <v>37911</v>
          </cell>
          <cell r="I570">
            <v>0</v>
          </cell>
          <cell r="N570">
            <v>0</v>
          </cell>
          <cell r="P570">
            <v>0</v>
          </cell>
          <cell r="T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AB570">
            <v>0</v>
          </cell>
          <cell r="AC570">
            <v>10</v>
          </cell>
          <cell r="AD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</row>
        <row r="571">
          <cell r="C571">
            <v>37911</v>
          </cell>
          <cell r="I571">
            <v>0</v>
          </cell>
          <cell r="N571">
            <v>0</v>
          </cell>
          <cell r="P571">
            <v>0</v>
          </cell>
          <cell r="T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AB571">
            <v>0</v>
          </cell>
          <cell r="AC571">
            <v>10</v>
          </cell>
          <cell r="AD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</row>
        <row r="572">
          <cell r="C572">
            <v>37911</v>
          </cell>
          <cell r="I572">
            <v>0</v>
          </cell>
          <cell r="N572">
            <v>0</v>
          </cell>
          <cell r="P572">
            <v>0</v>
          </cell>
          <cell r="T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AB572">
            <v>0</v>
          </cell>
          <cell r="AC572">
            <v>10</v>
          </cell>
          <cell r="AD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</row>
        <row r="573">
          <cell r="C573">
            <v>37911</v>
          </cell>
          <cell r="I573">
            <v>0</v>
          </cell>
          <cell r="N573">
            <v>0</v>
          </cell>
          <cell r="P573">
            <v>0</v>
          </cell>
          <cell r="T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AB573">
            <v>0</v>
          </cell>
          <cell r="AC573">
            <v>10</v>
          </cell>
          <cell r="AD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</row>
        <row r="574">
          <cell r="C574">
            <v>37911</v>
          </cell>
          <cell r="I574">
            <v>0</v>
          </cell>
          <cell r="N574">
            <v>0</v>
          </cell>
          <cell r="P574">
            <v>0</v>
          </cell>
          <cell r="T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AB574">
            <v>0</v>
          </cell>
          <cell r="AC574">
            <v>10</v>
          </cell>
          <cell r="AD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</row>
        <row r="575">
          <cell r="C575">
            <v>37911</v>
          </cell>
          <cell r="I575">
            <v>0</v>
          </cell>
          <cell r="N575">
            <v>0</v>
          </cell>
          <cell r="P575">
            <v>0</v>
          </cell>
          <cell r="T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AB575">
            <v>0</v>
          </cell>
          <cell r="AC575">
            <v>10</v>
          </cell>
          <cell r="AD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</row>
        <row r="576">
          <cell r="C576">
            <v>37911</v>
          </cell>
          <cell r="I576">
            <v>0</v>
          </cell>
          <cell r="N576">
            <v>0</v>
          </cell>
          <cell r="P576">
            <v>0</v>
          </cell>
          <cell r="T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AB576">
            <v>0</v>
          </cell>
          <cell r="AC576">
            <v>10</v>
          </cell>
          <cell r="AD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</row>
        <row r="577">
          <cell r="C577">
            <v>37938</v>
          </cell>
          <cell r="D577">
            <v>37971</v>
          </cell>
          <cell r="E577">
            <v>37937</v>
          </cell>
          <cell r="F577">
            <v>37937</v>
          </cell>
          <cell r="G577">
            <v>0.70833333333333337</v>
          </cell>
          <cell r="H577" t="str">
            <v>Pinça do robô de manipulação de madeira está rompida</v>
          </cell>
          <cell r="I577">
            <v>0</v>
          </cell>
          <cell r="J577" t="str">
            <v>Sim</v>
          </cell>
          <cell r="K577" t="str">
            <v>Mecânica</v>
          </cell>
          <cell r="L577" t="str">
            <v>Sim</v>
          </cell>
          <cell r="M577" t="str">
            <v>Defeito de Fabricação</v>
          </cell>
          <cell r="N577">
            <v>37937</v>
          </cell>
          <cell r="O577">
            <v>0.71180555555555547</v>
          </cell>
          <cell r="P577">
            <v>37937</v>
          </cell>
          <cell r="Q577">
            <v>0.71180555555555547</v>
          </cell>
          <cell r="T577">
            <v>37937</v>
          </cell>
          <cell r="U577">
            <v>0.73958333333333337</v>
          </cell>
          <cell r="V577">
            <v>37937</v>
          </cell>
          <cell r="W577">
            <v>0.73958333333333337</v>
          </cell>
          <cell r="X577">
            <v>2.7777777777777901E-2</v>
          </cell>
          <cell r="Y577">
            <v>2.7777777780203183E-2</v>
          </cell>
          <cell r="AB577">
            <v>11</v>
          </cell>
          <cell r="AC577">
            <v>11</v>
          </cell>
          <cell r="AD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11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</row>
        <row r="578">
          <cell r="C578">
            <v>37938</v>
          </cell>
          <cell r="D578">
            <v>37971</v>
          </cell>
          <cell r="E578">
            <v>37938</v>
          </cell>
          <cell r="F578">
            <v>0.78472222222222221</v>
          </cell>
          <cell r="G578" t="str">
            <v>Linha de Pintura 3,2m</v>
          </cell>
          <cell r="H578" t="str">
            <v>Mesa N° 02 do robô está travada</v>
          </cell>
          <cell r="I578">
            <v>0</v>
          </cell>
          <cell r="J578" t="str">
            <v>Sim</v>
          </cell>
          <cell r="K578" t="str">
            <v>Elétrica</v>
          </cell>
          <cell r="L578" t="str">
            <v>Correção de mau contato</v>
          </cell>
          <cell r="M578" t="str">
            <v>Mau contato</v>
          </cell>
          <cell r="N578">
            <v>37938</v>
          </cell>
          <cell r="O578">
            <v>0.79166666666666663</v>
          </cell>
          <cell r="P578">
            <v>0</v>
          </cell>
          <cell r="T578">
            <v>37938</v>
          </cell>
          <cell r="U578">
            <v>0.80555555555555547</v>
          </cell>
          <cell r="V578">
            <v>0</v>
          </cell>
          <cell r="W578">
            <v>2.0833333332524906E-2</v>
          </cell>
          <cell r="X578">
            <v>0</v>
          </cell>
          <cell r="Y578">
            <v>0</v>
          </cell>
          <cell r="AB578">
            <v>11</v>
          </cell>
          <cell r="AC578">
            <v>11</v>
          </cell>
          <cell r="AD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11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</row>
        <row r="579">
          <cell r="C579">
            <v>37938</v>
          </cell>
          <cell r="D579">
            <v>37971</v>
          </cell>
          <cell r="E579">
            <v>37938</v>
          </cell>
          <cell r="F579">
            <v>0.57291666666666663</v>
          </cell>
          <cell r="G579" t="str">
            <v>Linha de Pintura 3,2m</v>
          </cell>
          <cell r="H579" t="str">
            <v>Cabo de aço que sustenta os cabos elétricos acima da garra do robô está rompido</v>
          </cell>
          <cell r="I579">
            <v>0</v>
          </cell>
          <cell r="J579" t="str">
            <v>Não</v>
          </cell>
          <cell r="K579" t="str">
            <v>Mecânica</v>
          </cell>
          <cell r="L579" t="str">
            <v>Substituição do(s) Componente(s)</v>
          </cell>
          <cell r="M579" t="str">
            <v>Desgaste / Fadiga</v>
          </cell>
          <cell r="N579">
            <v>37939</v>
          </cell>
          <cell r="O579">
            <v>0.35416666666666669</v>
          </cell>
          <cell r="P579">
            <v>0</v>
          </cell>
          <cell r="T579">
            <v>37939</v>
          </cell>
          <cell r="U579">
            <v>0.41666666666666669</v>
          </cell>
          <cell r="V579">
            <v>0</v>
          </cell>
          <cell r="W579">
            <v>6.2499999997574662E-2</v>
          </cell>
          <cell r="X579">
            <v>0</v>
          </cell>
          <cell r="Y579">
            <v>0</v>
          </cell>
          <cell r="AB579">
            <v>11</v>
          </cell>
          <cell r="AC579">
            <v>11</v>
          </cell>
          <cell r="AD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11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</row>
        <row r="580">
          <cell r="C580">
            <v>37938</v>
          </cell>
          <cell r="D580">
            <v>37971</v>
          </cell>
          <cell r="E580">
            <v>37947</v>
          </cell>
          <cell r="F580">
            <v>0.56944444444444442</v>
          </cell>
          <cell r="G580" t="str">
            <v>Linha de Pintura 3,2m</v>
          </cell>
          <cell r="H580" t="str">
            <v>O fio do Aspirador escapou do plug da tomada</v>
          </cell>
          <cell r="I580">
            <v>0</v>
          </cell>
          <cell r="J580" t="str">
            <v>Não</v>
          </cell>
          <cell r="K580" t="str">
            <v>Elétrica</v>
          </cell>
          <cell r="L580" t="str">
            <v>Substituição do(s) Componente(s)</v>
          </cell>
          <cell r="M580" t="str">
            <v>Falha Operacional</v>
          </cell>
          <cell r="N580">
            <v>37947</v>
          </cell>
          <cell r="O580">
            <v>0.56944444444444442</v>
          </cell>
          <cell r="P580">
            <v>0</v>
          </cell>
          <cell r="T580">
            <v>37947</v>
          </cell>
          <cell r="U580">
            <v>0.59027777777777779</v>
          </cell>
          <cell r="V580">
            <v>0</v>
          </cell>
          <cell r="W580">
            <v>2.0833333336567117E-2</v>
          </cell>
          <cell r="X580">
            <v>0</v>
          </cell>
          <cell r="Y580">
            <v>0</v>
          </cell>
          <cell r="AB580">
            <v>11</v>
          </cell>
          <cell r="AC580">
            <v>11</v>
          </cell>
          <cell r="AD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11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</row>
        <row r="581">
          <cell r="C581">
            <v>37938</v>
          </cell>
          <cell r="D581">
            <v>37971</v>
          </cell>
          <cell r="E581">
            <v>37947</v>
          </cell>
          <cell r="F581">
            <v>0.5708333333333333</v>
          </cell>
          <cell r="G581" t="str">
            <v>Linha de Pintura 3,2m</v>
          </cell>
          <cell r="H581" t="str">
            <v>Vazamento de ar comprimido em excesso</v>
          </cell>
          <cell r="I581">
            <v>0</v>
          </cell>
          <cell r="J581" t="str">
            <v>Sim</v>
          </cell>
          <cell r="K581" t="str">
            <v>Mecânica</v>
          </cell>
          <cell r="L581" t="str">
            <v>Reparo</v>
          </cell>
          <cell r="M581" t="str">
            <v>Desgaste / Fadiga</v>
          </cell>
          <cell r="N581">
            <v>37947</v>
          </cell>
          <cell r="O581">
            <v>0.58333333333333337</v>
          </cell>
          <cell r="P581">
            <v>0</v>
          </cell>
          <cell r="T581">
            <v>37947</v>
          </cell>
          <cell r="U581">
            <v>0.60416666666666663</v>
          </cell>
          <cell r="V581">
            <v>0</v>
          </cell>
          <cell r="W581">
            <v>3.3333333330908044E-2</v>
          </cell>
          <cell r="X581">
            <v>0</v>
          </cell>
          <cell r="Y581">
            <v>0</v>
          </cell>
          <cell r="AB581">
            <v>11</v>
          </cell>
          <cell r="AC581">
            <v>11</v>
          </cell>
          <cell r="AD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11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</row>
        <row r="582">
          <cell r="C582">
            <v>37938</v>
          </cell>
          <cell r="D582">
            <v>37971</v>
          </cell>
          <cell r="E582">
            <v>37950</v>
          </cell>
          <cell r="F582">
            <v>37950</v>
          </cell>
          <cell r="G582">
            <v>0.40277777777777773</v>
          </cell>
          <cell r="H582" t="str">
            <v>Filtro de ar não está permitindo regulagem</v>
          </cell>
          <cell r="I582">
            <v>0</v>
          </cell>
          <cell r="J582" t="str">
            <v>Não</v>
          </cell>
          <cell r="K582" t="str">
            <v>Mecânica</v>
          </cell>
          <cell r="L582" t="str">
            <v>Não</v>
          </cell>
          <cell r="M582" t="str">
            <v>Falha Operacional</v>
          </cell>
          <cell r="N582">
            <v>37950</v>
          </cell>
          <cell r="O582">
            <v>0.40625</v>
          </cell>
          <cell r="P582">
            <v>37950</v>
          </cell>
          <cell r="Q582">
            <v>0.40625</v>
          </cell>
          <cell r="T582">
            <v>37950</v>
          </cell>
          <cell r="U582">
            <v>0.43055555555555558</v>
          </cell>
          <cell r="V582">
            <v>37950</v>
          </cell>
          <cell r="W582">
            <v>0.43055555555555558</v>
          </cell>
          <cell r="X582">
            <v>2.4305555554747116E-2</v>
          </cell>
          <cell r="Y582">
            <v>2.4305555554747116E-2</v>
          </cell>
          <cell r="AB582">
            <v>11</v>
          </cell>
          <cell r="AC582">
            <v>11</v>
          </cell>
          <cell r="AD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11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</row>
        <row r="583">
          <cell r="C583">
            <v>37938</v>
          </cell>
          <cell r="D583">
            <v>37971</v>
          </cell>
          <cell r="E583">
            <v>37950</v>
          </cell>
          <cell r="F583">
            <v>37950</v>
          </cell>
          <cell r="G583">
            <v>0.4375</v>
          </cell>
          <cell r="H583" t="str">
            <v>Máquina de embalar com um pedaço de fita travado</v>
          </cell>
          <cell r="I583">
            <v>0</v>
          </cell>
          <cell r="J583" t="str">
            <v>Sim</v>
          </cell>
          <cell r="K583" t="str">
            <v>Mecânica</v>
          </cell>
          <cell r="L583" t="str">
            <v>Sim</v>
          </cell>
          <cell r="M583" t="str">
            <v>Falha Operacional</v>
          </cell>
          <cell r="N583">
            <v>37950</v>
          </cell>
          <cell r="O583">
            <v>0.44444444444444442</v>
          </cell>
          <cell r="P583">
            <v>37950</v>
          </cell>
          <cell r="Q583">
            <v>0.44444444444444442</v>
          </cell>
          <cell r="T583">
            <v>37950</v>
          </cell>
          <cell r="U583">
            <v>0.45833333333333331</v>
          </cell>
          <cell r="V583">
            <v>37950</v>
          </cell>
          <cell r="W583">
            <v>0.45833333333333331</v>
          </cell>
          <cell r="X583">
            <v>1.3888888888888895E-2</v>
          </cell>
          <cell r="Y583">
            <v>1.3888888891314233E-2</v>
          </cell>
          <cell r="AB583">
            <v>11</v>
          </cell>
          <cell r="AC583">
            <v>11</v>
          </cell>
          <cell r="AD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11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</row>
        <row r="584">
          <cell r="C584">
            <v>37938</v>
          </cell>
          <cell r="D584">
            <v>37971</v>
          </cell>
          <cell r="E584">
            <v>37952</v>
          </cell>
          <cell r="F584">
            <v>0.47569444444444442</v>
          </cell>
          <cell r="G584" t="str">
            <v>Linha de Pintura 3,2m</v>
          </cell>
          <cell r="H584" t="str">
            <v>Queimador do tanque de fosfato não funciona</v>
          </cell>
          <cell r="I584">
            <v>0</v>
          </cell>
          <cell r="J584" t="str">
            <v>Sim</v>
          </cell>
          <cell r="K584" t="str">
            <v>Elétrica</v>
          </cell>
          <cell r="L584" t="str">
            <v>Ajuste / Regulagem</v>
          </cell>
          <cell r="M584" t="str">
            <v>Falha de Projeto</v>
          </cell>
          <cell r="N584">
            <v>37952</v>
          </cell>
          <cell r="O584">
            <v>0.5</v>
          </cell>
          <cell r="P584">
            <v>0</v>
          </cell>
          <cell r="Q584">
            <v>1</v>
          </cell>
          <cell r="R584">
            <v>37953</v>
          </cell>
          <cell r="S584">
            <v>0.25</v>
          </cell>
          <cell r="T584">
            <v>37953</v>
          </cell>
          <cell r="U584">
            <v>0.45833333333333331</v>
          </cell>
          <cell r="V584">
            <v>0</v>
          </cell>
          <cell r="W584">
            <v>0.73263888888888884</v>
          </cell>
          <cell r="X584">
            <v>0</v>
          </cell>
          <cell r="Y584">
            <v>0</v>
          </cell>
          <cell r="AB584">
            <v>11</v>
          </cell>
          <cell r="AC584">
            <v>11</v>
          </cell>
          <cell r="AD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11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</row>
        <row r="585">
          <cell r="C585">
            <v>37938</v>
          </cell>
          <cell r="D585">
            <v>37971</v>
          </cell>
          <cell r="E585">
            <v>37953</v>
          </cell>
          <cell r="F585">
            <v>0.53819444444444442</v>
          </cell>
          <cell r="G585" t="str">
            <v>Linha de Pintura 3,2m</v>
          </cell>
          <cell r="H585" t="str">
            <v>Transportador apresentou ruído estranho e apresentou a mensagem de "corrente travada"</v>
          </cell>
          <cell r="I585">
            <v>0</v>
          </cell>
          <cell r="J585" t="str">
            <v>Sim</v>
          </cell>
          <cell r="K585" t="str">
            <v>Mecânica</v>
          </cell>
          <cell r="L585" t="str">
            <v>Reparo</v>
          </cell>
          <cell r="M585" t="str">
            <v>Desgaste / Fadiga</v>
          </cell>
          <cell r="N585">
            <v>37953</v>
          </cell>
          <cell r="O585">
            <v>0.54166666666666663</v>
          </cell>
          <cell r="P585">
            <v>0</v>
          </cell>
          <cell r="T585">
            <v>37954</v>
          </cell>
          <cell r="U585">
            <v>0.79166666666666663</v>
          </cell>
          <cell r="V585">
            <v>0</v>
          </cell>
          <cell r="W585">
            <v>1.2534722222197971</v>
          </cell>
          <cell r="X585">
            <v>0</v>
          </cell>
          <cell r="Y585">
            <v>0</v>
          </cell>
          <cell r="AB585">
            <v>11</v>
          </cell>
          <cell r="AC585">
            <v>11</v>
          </cell>
          <cell r="AD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11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</row>
        <row r="586">
          <cell r="C586">
            <v>37938</v>
          </cell>
          <cell r="D586">
            <v>37993</v>
          </cell>
          <cell r="E586">
            <v>37960</v>
          </cell>
          <cell r="F586">
            <v>0.34722222222222227</v>
          </cell>
          <cell r="G586" t="str">
            <v>Linha de Pintura 3,2m</v>
          </cell>
          <cell r="H586" t="str">
            <v>Corrente transportadora com defeito</v>
          </cell>
          <cell r="I586">
            <v>0</v>
          </cell>
          <cell r="J586" t="str">
            <v>Sim</v>
          </cell>
          <cell r="K586" t="str">
            <v>Mecânica</v>
          </cell>
          <cell r="L586" t="str">
            <v>Ajuste / Regulagem</v>
          </cell>
          <cell r="M586" t="str">
            <v>Desgaste / Fadiga</v>
          </cell>
          <cell r="N586">
            <v>0</v>
          </cell>
          <cell r="O586">
            <v>0.35416666666666669</v>
          </cell>
          <cell r="P586">
            <v>0</v>
          </cell>
          <cell r="T586">
            <v>0</v>
          </cell>
          <cell r="U586">
            <v>0.625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AB586">
            <v>0</v>
          </cell>
          <cell r="AC586">
            <v>11</v>
          </cell>
          <cell r="AD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</row>
        <row r="587">
          <cell r="C587">
            <v>37938</v>
          </cell>
          <cell r="D587">
            <v>37977</v>
          </cell>
          <cell r="E587">
            <v>37965</v>
          </cell>
          <cell r="F587">
            <v>0.61458333333333337</v>
          </cell>
          <cell r="G587" t="str">
            <v>Linha de Pintura 3,2m</v>
          </cell>
          <cell r="H587" t="str">
            <v>Sensor da garra não aciona</v>
          </cell>
          <cell r="I587">
            <v>0</v>
          </cell>
          <cell r="J587" t="str">
            <v>Sim</v>
          </cell>
          <cell r="K587" t="str">
            <v>Elétrica</v>
          </cell>
          <cell r="L587" t="str">
            <v>Reaperto dos componentes</v>
          </cell>
          <cell r="M587" t="str">
            <v>Vibração</v>
          </cell>
          <cell r="N587">
            <v>37965</v>
          </cell>
          <cell r="O587">
            <v>0.625</v>
          </cell>
          <cell r="P587">
            <v>0</v>
          </cell>
          <cell r="T587">
            <v>37965</v>
          </cell>
          <cell r="U587">
            <v>0.63888888888888895</v>
          </cell>
          <cell r="V587">
            <v>0</v>
          </cell>
          <cell r="W587">
            <v>2.4305555557172398E-2</v>
          </cell>
          <cell r="X587">
            <v>0</v>
          </cell>
          <cell r="Y587">
            <v>0</v>
          </cell>
          <cell r="AB587">
            <v>12</v>
          </cell>
          <cell r="AC587">
            <v>11</v>
          </cell>
          <cell r="AD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12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</row>
        <row r="588">
          <cell r="C588">
            <v>37938</v>
          </cell>
          <cell r="D588">
            <v>37993</v>
          </cell>
          <cell r="E588">
            <v>37972</v>
          </cell>
          <cell r="F588">
            <v>0.27083333333333331</v>
          </cell>
          <cell r="G588" t="str">
            <v>Linha de Pintura 3,2m</v>
          </cell>
          <cell r="H588" t="str">
            <v>Robô não se movimenta</v>
          </cell>
          <cell r="I588">
            <v>0</v>
          </cell>
          <cell r="J588" t="str">
            <v>Sim</v>
          </cell>
          <cell r="K588" t="str">
            <v>Elétrica</v>
          </cell>
          <cell r="L588" t="str">
            <v>Correção de mau contato</v>
          </cell>
          <cell r="M588" t="str">
            <v>Mau contato</v>
          </cell>
          <cell r="N588">
            <v>0</v>
          </cell>
          <cell r="O588">
            <v>0.27083333333333331</v>
          </cell>
          <cell r="P588">
            <v>0</v>
          </cell>
          <cell r="T588">
            <v>0</v>
          </cell>
          <cell r="U588">
            <v>0.56944444444444442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AB588">
            <v>0</v>
          </cell>
          <cell r="AC588">
            <v>11</v>
          </cell>
          <cell r="AD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</row>
        <row r="589">
          <cell r="C589">
            <v>37938</v>
          </cell>
          <cell r="D589">
            <v>37993</v>
          </cell>
          <cell r="E589">
            <v>37984</v>
          </cell>
          <cell r="F589">
            <v>0.33333333333333331</v>
          </cell>
          <cell r="G589" t="str">
            <v>Linha de Pintura 3,2m</v>
          </cell>
          <cell r="H589" t="str">
            <v>Suporte para apoio das gancheiras está fora de posição</v>
          </cell>
          <cell r="I589">
            <v>0</v>
          </cell>
          <cell r="J589" t="str">
            <v>Sim</v>
          </cell>
          <cell r="K589" t="str">
            <v>Mecânica</v>
          </cell>
          <cell r="L589" t="str">
            <v>Ajuste / Regulagem</v>
          </cell>
          <cell r="M589" t="str">
            <v>Sobrecarga</v>
          </cell>
          <cell r="N589">
            <v>0</v>
          </cell>
          <cell r="O589">
            <v>0.34027777777777773</v>
          </cell>
          <cell r="P589">
            <v>0</v>
          </cell>
          <cell r="T589">
            <v>0</v>
          </cell>
          <cell r="U589">
            <v>0.41666666666666669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AB589">
            <v>0</v>
          </cell>
          <cell r="AC589">
            <v>11</v>
          </cell>
          <cell r="AD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</row>
        <row r="590">
          <cell r="C590">
            <v>37938</v>
          </cell>
          <cell r="D590">
            <v>37993</v>
          </cell>
          <cell r="E590">
            <v>37984</v>
          </cell>
          <cell r="F590">
            <v>0.59027777777777779</v>
          </cell>
          <cell r="G590" t="str">
            <v>Linha de Pintura 3,2m</v>
          </cell>
          <cell r="H590" t="str">
            <v>Sistema de emergência da mesa Nº 02 do robô acionado</v>
          </cell>
          <cell r="I590">
            <v>0</v>
          </cell>
          <cell r="J590" t="str">
            <v>Sim</v>
          </cell>
          <cell r="K590" t="str">
            <v>Elétrica</v>
          </cell>
          <cell r="L590" t="str">
            <v>Ajuste / Regulagem</v>
          </cell>
          <cell r="M590" t="str">
            <v>Falha de Comando / Sistema</v>
          </cell>
          <cell r="N590">
            <v>0</v>
          </cell>
          <cell r="O590">
            <v>0.59027777777777779</v>
          </cell>
          <cell r="P590">
            <v>0</v>
          </cell>
          <cell r="T590">
            <v>0</v>
          </cell>
          <cell r="U590">
            <v>0.60416666666666663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AB590">
            <v>0</v>
          </cell>
          <cell r="AC590">
            <v>11</v>
          </cell>
          <cell r="AD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</row>
        <row r="591">
          <cell r="C591">
            <v>37938</v>
          </cell>
          <cell r="D591">
            <v>37993</v>
          </cell>
          <cell r="E591">
            <v>37984</v>
          </cell>
          <cell r="F591">
            <v>0.75</v>
          </cell>
          <cell r="G591" t="str">
            <v>Linha de Pintura 3,2m</v>
          </cell>
          <cell r="H591" t="str">
            <v>Timer do lubrificador da corrente transportadora inadequado</v>
          </cell>
          <cell r="I591">
            <v>0</v>
          </cell>
          <cell r="J591" t="str">
            <v>Não</v>
          </cell>
          <cell r="K591" t="str">
            <v>Elétrica</v>
          </cell>
          <cell r="L591" t="str">
            <v>Desligamento do Componente</v>
          </cell>
          <cell r="M591" t="str">
            <v>Falha de Regulagem / Configuração / Dimensionamento</v>
          </cell>
          <cell r="N591">
            <v>0</v>
          </cell>
          <cell r="O591">
            <v>0.75</v>
          </cell>
          <cell r="P591">
            <v>0</v>
          </cell>
          <cell r="T591">
            <v>0</v>
          </cell>
          <cell r="U591">
            <v>0.77083333333333337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AB591">
            <v>0</v>
          </cell>
          <cell r="AC591">
            <v>11</v>
          </cell>
          <cell r="AD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</row>
        <row r="592">
          <cell r="C592">
            <v>37938</v>
          </cell>
          <cell r="I592">
            <v>0</v>
          </cell>
          <cell r="N592">
            <v>0</v>
          </cell>
          <cell r="P592">
            <v>0</v>
          </cell>
          <cell r="T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AB592">
            <v>0</v>
          </cell>
          <cell r="AC592">
            <v>11</v>
          </cell>
          <cell r="AD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</row>
        <row r="593">
          <cell r="C593">
            <v>37938</v>
          </cell>
          <cell r="I593">
            <v>0</v>
          </cell>
          <cell r="N593">
            <v>0</v>
          </cell>
          <cell r="P593">
            <v>0</v>
          </cell>
          <cell r="T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AB593">
            <v>0</v>
          </cell>
          <cell r="AC593">
            <v>11</v>
          </cell>
          <cell r="AD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</row>
        <row r="594">
          <cell r="C594">
            <v>37938</v>
          </cell>
          <cell r="I594">
            <v>0</v>
          </cell>
          <cell r="N594">
            <v>0</v>
          </cell>
          <cell r="P594">
            <v>0</v>
          </cell>
          <cell r="T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AB594">
            <v>0</v>
          </cell>
          <cell r="AC594">
            <v>11</v>
          </cell>
          <cell r="AD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</row>
        <row r="595">
          <cell r="C595">
            <v>37938</v>
          </cell>
          <cell r="D595">
            <v>38008</v>
          </cell>
          <cell r="E595">
            <v>38001</v>
          </cell>
          <cell r="F595">
            <v>0.26944444444444443</v>
          </cell>
          <cell r="G595" t="str">
            <v>Linha de Pintura 3,2m</v>
          </cell>
          <cell r="H595" t="str">
            <v>Engate rápido da Pistola de pintura líquida quebrado</v>
          </cell>
          <cell r="I595">
            <v>0</v>
          </cell>
          <cell r="J595" t="str">
            <v>Não</v>
          </cell>
          <cell r="K595" t="str">
            <v>Mecânica</v>
          </cell>
          <cell r="L595" t="str">
            <v>Substituição do(s) Componente(s)</v>
          </cell>
          <cell r="M595" t="str">
            <v>Desgaste / Fadiga</v>
          </cell>
          <cell r="N595">
            <v>0</v>
          </cell>
          <cell r="O595">
            <v>0.27083333333333331</v>
          </cell>
          <cell r="P595">
            <v>0</v>
          </cell>
          <cell r="T595">
            <v>0</v>
          </cell>
          <cell r="U595">
            <v>0.29166666666666669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AB595">
            <v>0</v>
          </cell>
          <cell r="AC595">
            <v>11</v>
          </cell>
          <cell r="AD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</row>
        <row r="596">
          <cell r="C596">
            <v>37938</v>
          </cell>
          <cell r="I596">
            <v>0</v>
          </cell>
          <cell r="N596">
            <v>0</v>
          </cell>
          <cell r="P596">
            <v>0</v>
          </cell>
          <cell r="T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AB596">
            <v>0</v>
          </cell>
          <cell r="AC596">
            <v>11</v>
          </cell>
          <cell r="AD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</row>
        <row r="597">
          <cell r="C597">
            <v>37950</v>
          </cell>
          <cell r="D597">
            <v>37971</v>
          </cell>
          <cell r="E597">
            <v>37964</v>
          </cell>
          <cell r="F597">
            <v>0.27083333333333331</v>
          </cell>
          <cell r="G597" t="str">
            <v>Perfiladora Gasparini</v>
          </cell>
          <cell r="H597" t="str">
            <v>Mangueira de Lubrificação furada</v>
          </cell>
          <cell r="I597">
            <v>0</v>
          </cell>
          <cell r="J597" t="str">
            <v>Sim</v>
          </cell>
          <cell r="K597" t="str">
            <v>Mecânica</v>
          </cell>
          <cell r="L597" t="str">
            <v>Reparo</v>
          </cell>
          <cell r="M597" t="str">
            <v>Falha Operacional</v>
          </cell>
          <cell r="N597">
            <v>37964</v>
          </cell>
          <cell r="O597">
            <v>0.27083333333333331</v>
          </cell>
          <cell r="P597">
            <v>0</v>
          </cell>
          <cell r="T597">
            <v>37964</v>
          </cell>
          <cell r="U597">
            <v>0.29166666666666669</v>
          </cell>
          <cell r="V597">
            <v>0</v>
          </cell>
          <cell r="W597">
            <v>2.0833333330908033E-2</v>
          </cell>
          <cell r="X597">
            <v>0</v>
          </cell>
          <cell r="Y597">
            <v>0</v>
          </cell>
          <cell r="AB597">
            <v>12</v>
          </cell>
          <cell r="AC597">
            <v>11</v>
          </cell>
          <cell r="AD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12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</row>
        <row r="598">
          <cell r="C598">
            <v>37950</v>
          </cell>
          <cell r="D598">
            <v>37993</v>
          </cell>
          <cell r="E598">
            <v>37973</v>
          </cell>
          <cell r="F598">
            <v>0.29166666666666669</v>
          </cell>
          <cell r="G598" t="str">
            <v>Perfiladora Gasparini</v>
          </cell>
          <cell r="H598" t="str">
            <v>Máquina não liga - Alarme 37</v>
          </cell>
          <cell r="I598">
            <v>0</v>
          </cell>
          <cell r="J598" t="str">
            <v>Sim</v>
          </cell>
          <cell r="K598" t="str">
            <v>Elétrica</v>
          </cell>
          <cell r="L598" t="str">
            <v>Reinicialização do Equipamento / Componente</v>
          </cell>
          <cell r="M598" t="str">
            <v>Travamento de Componente</v>
          </cell>
          <cell r="N598">
            <v>0</v>
          </cell>
          <cell r="O598">
            <v>0.29166666666666669</v>
          </cell>
          <cell r="P598">
            <v>0</v>
          </cell>
          <cell r="T598">
            <v>0</v>
          </cell>
          <cell r="U598">
            <v>0.31805555555555554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AB598">
            <v>0</v>
          </cell>
          <cell r="AC598">
            <v>11</v>
          </cell>
          <cell r="AD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</row>
        <row r="599">
          <cell r="C599">
            <v>37950</v>
          </cell>
          <cell r="D599">
            <v>38008</v>
          </cell>
          <cell r="E599">
            <v>37992</v>
          </cell>
          <cell r="F599">
            <v>0.48958333333333331</v>
          </cell>
          <cell r="G599" t="str">
            <v>Perfiladora Gasparini</v>
          </cell>
          <cell r="H599" t="str">
            <v>Excesso de fluxo de lubrificante de chapa</v>
          </cell>
          <cell r="I599">
            <v>0</v>
          </cell>
          <cell r="J599" t="str">
            <v>Não</v>
          </cell>
          <cell r="K599" t="str">
            <v>Mecânica</v>
          </cell>
          <cell r="L599" t="str">
            <v>Ajuste / Regulagem</v>
          </cell>
          <cell r="M599" t="str">
            <v>Falha de Ajuste / Parâmetros</v>
          </cell>
          <cell r="N599">
            <v>0</v>
          </cell>
          <cell r="O599">
            <v>0.48958333333333331</v>
          </cell>
          <cell r="P599">
            <v>0</v>
          </cell>
          <cell r="T599">
            <v>0</v>
          </cell>
          <cell r="U599">
            <v>0.5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AB599">
            <v>0</v>
          </cell>
          <cell r="AC599">
            <v>11</v>
          </cell>
          <cell r="AD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</row>
        <row r="600">
          <cell r="C600">
            <v>37950</v>
          </cell>
          <cell r="D600">
            <v>38008</v>
          </cell>
          <cell r="E600">
            <v>37994</v>
          </cell>
          <cell r="F600">
            <v>0.25</v>
          </cell>
          <cell r="G600" t="str">
            <v>Perfiladora Gasparini</v>
          </cell>
          <cell r="H600" t="str">
            <v>Tesoura cortando fora do tempo</v>
          </cell>
          <cell r="I600">
            <v>0</v>
          </cell>
          <cell r="N600">
            <v>0</v>
          </cell>
          <cell r="P600">
            <v>0</v>
          </cell>
          <cell r="T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AB600">
            <v>0</v>
          </cell>
          <cell r="AC600">
            <v>11</v>
          </cell>
          <cell r="AD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</row>
        <row r="601">
          <cell r="C601">
            <v>37950</v>
          </cell>
          <cell r="I601">
            <v>0</v>
          </cell>
          <cell r="N601">
            <v>0</v>
          </cell>
          <cell r="P601">
            <v>0</v>
          </cell>
          <cell r="T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AB601">
            <v>0</v>
          </cell>
          <cell r="AC601">
            <v>11</v>
          </cell>
          <cell r="AD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</row>
        <row r="602">
          <cell r="C602">
            <v>37950</v>
          </cell>
          <cell r="I602">
            <v>0</v>
          </cell>
          <cell r="N602">
            <v>0</v>
          </cell>
          <cell r="P602">
            <v>0</v>
          </cell>
          <cell r="T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AB602">
            <v>0</v>
          </cell>
          <cell r="AC602">
            <v>11</v>
          </cell>
          <cell r="AD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</row>
        <row r="603">
          <cell r="C603">
            <v>37950</v>
          </cell>
          <cell r="I603">
            <v>0</v>
          </cell>
          <cell r="N603">
            <v>0</v>
          </cell>
          <cell r="P603">
            <v>0</v>
          </cell>
          <cell r="T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AB603">
            <v>0</v>
          </cell>
          <cell r="AC603">
            <v>11</v>
          </cell>
          <cell r="AD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</row>
        <row r="604">
          <cell r="C604">
            <v>37950</v>
          </cell>
          <cell r="I604">
            <v>0</v>
          </cell>
          <cell r="N604">
            <v>0</v>
          </cell>
          <cell r="P604">
            <v>0</v>
          </cell>
          <cell r="T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AB604">
            <v>0</v>
          </cell>
          <cell r="AC604">
            <v>11</v>
          </cell>
          <cell r="AD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</row>
        <row r="605">
          <cell r="C605">
            <v>37950</v>
          </cell>
          <cell r="I605">
            <v>0</v>
          </cell>
          <cell r="N605">
            <v>0</v>
          </cell>
          <cell r="P605">
            <v>0</v>
          </cell>
          <cell r="T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AB605">
            <v>0</v>
          </cell>
          <cell r="AC605">
            <v>11</v>
          </cell>
          <cell r="AD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</row>
        <row r="606">
          <cell r="C606">
            <v>37950</v>
          </cell>
          <cell r="I606">
            <v>0</v>
          </cell>
          <cell r="N606">
            <v>0</v>
          </cell>
          <cell r="P606">
            <v>0</v>
          </cell>
          <cell r="T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AB606">
            <v>0</v>
          </cell>
          <cell r="AC606">
            <v>11</v>
          </cell>
          <cell r="AD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</row>
        <row r="607">
          <cell r="C607">
            <v>37950</v>
          </cell>
          <cell r="I607">
            <v>0</v>
          </cell>
          <cell r="N607">
            <v>0</v>
          </cell>
          <cell r="P607">
            <v>0</v>
          </cell>
          <cell r="T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AB607">
            <v>0</v>
          </cell>
          <cell r="AC607">
            <v>11</v>
          </cell>
          <cell r="AD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</row>
        <row r="608">
          <cell r="C608">
            <v>37950</v>
          </cell>
          <cell r="I608">
            <v>0</v>
          </cell>
          <cell r="N608">
            <v>0</v>
          </cell>
          <cell r="P608">
            <v>0</v>
          </cell>
          <cell r="T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AB608">
            <v>0</v>
          </cell>
          <cell r="AC608">
            <v>11</v>
          </cell>
          <cell r="AD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</row>
        <row r="609">
          <cell r="C609">
            <v>37950</v>
          </cell>
          <cell r="I609">
            <v>0</v>
          </cell>
          <cell r="N609">
            <v>0</v>
          </cell>
          <cell r="P609">
            <v>0</v>
          </cell>
          <cell r="T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AB609">
            <v>0</v>
          </cell>
          <cell r="AC609">
            <v>11</v>
          </cell>
          <cell r="AD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</row>
        <row r="610">
          <cell r="C610">
            <v>37950</v>
          </cell>
          <cell r="I610">
            <v>0</v>
          </cell>
          <cell r="N610">
            <v>0</v>
          </cell>
          <cell r="P610">
            <v>0</v>
          </cell>
          <cell r="T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AB610">
            <v>0</v>
          </cell>
          <cell r="AC610">
            <v>11</v>
          </cell>
          <cell r="AD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</row>
        <row r="611">
          <cell r="C611">
            <v>37950</v>
          </cell>
          <cell r="I611">
            <v>0</v>
          </cell>
          <cell r="N611">
            <v>0</v>
          </cell>
          <cell r="P611">
            <v>0</v>
          </cell>
          <cell r="T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AB611">
            <v>0</v>
          </cell>
          <cell r="AC611">
            <v>11</v>
          </cell>
          <cell r="AD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</row>
        <row r="612">
          <cell r="C612">
            <v>37950</v>
          </cell>
          <cell r="I612">
            <v>0</v>
          </cell>
          <cell r="N612">
            <v>0</v>
          </cell>
          <cell r="P612">
            <v>0</v>
          </cell>
          <cell r="T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AB612">
            <v>0</v>
          </cell>
          <cell r="AC612">
            <v>11</v>
          </cell>
          <cell r="AD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</row>
        <row r="613">
          <cell r="C613">
            <v>37950</v>
          </cell>
          <cell r="I613">
            <v>0</v>
          </cell>
          <cell r="N613">
            <v>0</v>
          </cell>
          <cell r="P613">
            <v>0</v>
          </cell>
          <cell r="T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AB613">
            <v>0</v>
          </cell>
          <cell r="AC613">
            <v>11</v>
          </cell>
          <cell r="AD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</row>
        <row r="614">
          <cell r="C614">
            <v>37950</v>
          </cell>
          <cell r="I614">
            <v>0</v>
          </cell>
          <cell r="N614">
            <v>0</v>
          </cell>
          <cell r="P614">
            <v>0</v>
          </cell>
          <cell r="T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AB614">
            <v>0</v>
          </cell>
          <cell r="AC614">
            <v>11</v>
          </cell>
          <cell r="AD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</row>
        <row r="615">
          <cell r="C615">
            <v>37950</v>
          </cell>
          <cell r="I615">
            <v>0</v>
          </cell>
          <cell r="N615">
            <v>0</v>
          </cell>
          <cell r="P615">
            <v>0</v>
          </cell>
          <cell r="T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AB615">
            <v>0</v>
          </cell>
          <cell r="AC615">
            <v>11</v>
          </cell>
          <cell r="AD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</row>
        <row r="616">
          <cell r="C616">
            <v>37950</v>
          </cell>
          <cell r="I616">
            <v>0</v>
          </cell>
          <cell r="N616">
            <v>0</v>
          </cell>
          <cell r="P616">
            <v>0</v>
          </cell>
          <cell r="T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AB616">
            <v>0</v>
          </cell>
          <cell r="AC616">
            <v>11</v>
          </cell>
          <cell r="AD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</row>
        <row r="617">
          <cell r="C617">
            <v>37950</v>
          </cell>
          <cell r="D617">
            <v>37971</v>
          </cell>
          <cell r="E617">
            <v>37956</v>
          </cell>
          <cell r="F617">
            <v>0.52430555555555558</v>
          </cell>
          <cell r="G617" t="str">
            <v>Perfiladora Fagor Largueros</v>
          </cell>
          <cell r="H617" t="str">
            <v>Motor do eixo está com problemas</v>
          </cell>
          <cell r="I617">
            <v>0</v>
          </cell>
          <cell r="J617" t="str">
            <v>Sim</v>
          </cell>
          <cell r="K617" t="str">
            <v>Mecânica</v>
          </cell>
          <cell r="L617" t="str">
            <v>Destravamento dos Componentes</v>
          </cell>
          <cell r="M617" t="str">
            <v>Falha de Montagem / Preparação</v>
          </cell>
          <cell r="N617">
            <v>37956</v>
          </cell>
          <cell r="O617">
            <v>0.52777777777777779</v>
          </cell>
          <cell r="P617">
            <v>0</v>
          </cell>
          <cell r="T617">
            <v>37956</v>
          </cell>
          <cell r="U617">
            <v>0.55555555555555558</v>
          </cell>
          <cell r="V617">
            <v>3.4722222222222099E-3</v>
          </cell>
          <cell r="W617">
            <v>3.1249999999191536E-2</v>
          </cell>
          <cell r="X617">
            <v>0</v>
          </cell>
          <cell r="Y617">
            <v>0</v>
          </cell>
          <cell r="AB617">
            <v>12</v>
          </cell>
          <cell r="AC617">
            <v>11</v>
          </cell>
          <cell r="AD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12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</row>
        <row r="618">
          <cell r="C618">
            <v>37950</v>
          </cell>
          <cell r="D618">
            <v>37972</v>
          </cell>
          <cell r="E618">
            <v>37964</v>
          </cell>
          <cell r="F618">
            <v>0.58333333333333337</v>
          </cell>
          <cell r="G618" t="str">
            <v>Células de Solda Automática</v>
          </cell>
          <cell r="H618" t="str">
            <v>Máquina não liga</v>
          </cell>
          <cell r="I618">
            <v>0</v>
          </cell>
          <cell r="J618" t="str">
            <v>Sim</v>
          </cell>
          <cell r="K618" t="str">
            <v>Elétrica</v>
          </cell>
          <cell r="L618" t="str">
            <v>Reparo</v>
          </cell>
          <cell r="M618" t="str">
            <v>Desgaste / Fadiga</v>
          </cell>
          <cell r="N618">
            <v>37964</v>
          </cell>
          <cell r="O618">
            <v>0.59722222222222221</v>
          </cell>
          <cell r="P618">
            <v>0</v>
          </cell>
          <cell r="T618">
            <v>37964</v>
          </cell>
          <cell r="U618">
            <v>0.61111111111111105</v>
          </cell>
          <cell r="V618">
            <v>0</v>
          </cell>
          <cell r="W618">
            <v>2.7777777776160861E-2</v>
          </cell>
          <cell r="X618">
            <v>0</v>
          </cell>
          <cell r="Y618">
            <v>0</v>
          </cell>
          <cell r="AB618">
            <v>12</v>
          </cell>
          <cell r="AC618">
            <v>11</v>
          </cell>
          <cell r="AD618">
            <v>0</v>
          </cell>
          <cell r="BF618">
            <v>12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</row>
        <row r="619">
          <cell r="C619">
            <v>37950</v>
          </cell>
          <cell r="D619">
            <v>37972</v>
          </cell>
          <cell r="E619">
            <v>37965</v>
          </cell>
          <cell r="F619">
            <v>0.90277777777777779</v>
          </cell>
          <cell r="G619" t="str">
            <v>Células de Solda Automática</v>
          </cell>
          <cell r="H619" t="str">
            <v>A fresa de limpeza da tocha não pára de jogar óleo (anti-respingos)</v>
          </cell>
          <cell r="I619">
            <v>0</v>
          </cell>
          <cell r="J619" t="str">
            <v>Não</v>
          </cell>
          <cell r="K619" t="str">
            <v>Mecânica</v>
          </cell>
          <cell r="L619" t="str">
            <v>Destravamento dos Componentes</v>
          </cell>
          <cell r="M619" t="str">
            <v>Falha de Comando / Sistema</v>
          </cell>
          <cell r="N619">
            <v>37965</v>
          </cell>
          <cell r="O619">
            <v>0.90625</v>
          </cell>
          <cell r="P619">
            <v>0</v>
          </cell>
          <cell r="T619">
            <v>37965</v>
          </cell>
          <cell r="U619">
            <v>0.92361111111111116</v>
          </cell>
          <cell r="V619">
            <v>0</v>
          </cell>
          <cell r="W619">
            <v>1.7361111109494232E-2</v>
          </cell>
          <cell r="X619">
            <v>0</v>
          </cell>
          <cell r="Y619">
            <v>0</v>
          </cell>
          <cell r="AB619">
            <v>12</v>
          </cell>
          <cell r="AC619">
            <v>11</v>
          </cell>
          <cell r="AD619">
            <v>0</v>
          </cell>
          <cell r="BF619">
            <v>12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</row>
        <row r="620">
          <cell r="C620">
            <v>37950</v>
          </cell>
          <cell r="I620">
            <v>0</v>
          </cell>
          <cell r="N620">
            <v>0</v>
          </cell>
          <cell r="P620">
            <v>0</v>
          </cell>
          <cell r="T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AB620">
            <v>0</v>
          </cell>
          <cell r="AC620">
            <v>11</v>
          </cell>
          <cell r="AD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</row>
        <row r="621">
          <cell r="C621">
            <v>37950</v>
          </cell>
          <cell r="D621">
            <v>37972</v>
          </cell>
          <cell r="E621">
            <v>37967</v>
          </cell>
          <cell r="F621">
            <v>0.25</v>
          </cell>
          <cell r="G621" t="str">
            <v>Células de Solda Automática</v>
          </cell>
          <cell r="H621" t="str">
            <v>Mangueira de ar furada</v>
          </cell>
          <cell r="I621">
            <v>0</v>
          </cell>
          <cell r="J621" t="str">
            <v>Sim</v>
          </cell>
          <cell r="K621" t="str">
            <v>Mecânica</v>
          </cell>
          <cell r="L621" t="str">
            <v>Substituição do(s) Componente(s)</v>
          </cell>
          <cell r="M621" t="str">
            <v>Falha Operacional</v>
          </cell>
          <cell r="N621">
            <v>37967</v>
          </cell>
          <cell r="O621">
            <v>0.27083333333333331</v>
          </cell>
          <cell r="P621">
            <v>0</v>
          </cell>
          <cell r="T621">
            <v>37967</v>
          </cell>
          <cell r="U621">
            <v>0.3125</v>
          </cell>
          <cell r="V621">
            <v>0</v>
          </cell>
          <cell r="W621">
            <v>6.25E-2</v>
          </cell>
          <cell r="X621">
            <v>0</v>
          </cell>
          <cell r="Y621">
            <v>0</v>
          </cell>
          <cell r="AB621">
            <v>12</v>
          </cell>
          <cell r="AC621">
            <v>11</v>
          </cell>
          <cell r="AD621">
            <v>0</v>
          </cell>
          <cell r="BF621">
            <v>12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</row>
        <row r="622">
          <cell r="C622">
            <v>37950</v>
          </cell>
          <cell r="I622">
            <v>0</v>
          </cell>
          <cell r="N622">
            <v>0</v>
          </cell>
          <cell r="P622">
            <v>0</v>
          </cell>
          <cell r="T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AB622">
            <v>0</v>
          </cell>
          <cell r="AC622">
            <v>11</v>
          </cell>
          <cell r="AD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</row>
        <row r="623">
          <cell r="C623">
            <v>37950</v>
          </cell>
          <cell r="D623">
            <v>37977</v>
          </cell>
          <cell r="E623">
            <v>37962</v>
          </cell>
          <cell r="F623">
            <v>0.69444444444444453</v>
          </cell>
          <cell r="G623" t="str">
            <v>Células de Solda Automática</v>
          </cell>
          <cell r="H623" t="str">
            <v>Came de segurança da divisória de proteção está mal fixado</v>
          </cell>
          <cell r="I623">
            <v>0</v>
          </cell>
          <cell r="J623" t="str">
            <v>Não</v>
          </cell>
          <cell r="K623" t="str">
            <v>Mecânica</v>
          </cell>
          <cell r="L623" t="str">
            <v>Montagem / Instalação</v>
          </cell>
          <cell r="M623" t="str">
            <v>Falha de Montagem / Preparação</v>
          </cell>
          <cell r="N623">
            <v>37962</v>
          </cell>
          <cell r="O623">
            <v>0.69444444444444453</v>
          </cell>
          <cell r="P623">
            <v>0</v>
          </cell>
          <cell r="T623">
            <v>37962</v>
          </cell>
          <cell r="U623">
            <v>0.70833333333333337</v>
          </cell>
          <cell r="V623">
            <v>0</v>
          </cell>
          <cell r="W623">
            <v>1.3888888891314122E-2</v>
          </cell>
          <cell r="X623">
            <v>0</v>
          </cell>
          <cell r="Y623">
            <v>0</v>
          </cell>
          <cell r="AB623">
            <v>12</v>
          </cell>
          <cell r="AC623">
            <v>11</v>
          </cell>
          <cell r="AD623">
            <v>0</v>
          </cell>
          <cell r="BF623">
            <v>12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</row>
        <row r="624">
          <cell r="C624">
            <v>37950</v>
          </cell>
          <cell r="D624">
            <v>37977</v>
          </cell>
          <cell r="E624">
            <v>37962</v>
          </cell>
          <cell r="F624">
            <v>0.66666666666666663</v>
          </cell>
          <cell r="G624" t="str">
            <v>Células de Solda Automática</v>
          </cell>
          <cell r="H624" t="str">
            <v>Sensor de impacto com problema (robô n.04)</v>
          </cell>
          <cell r="I624">
            <v>0</v>
          </cell>
          <cell r="J624" t="str">
            <v>Não</v>
          </cell>
          <cell r="K624" t="str">
            <v>Elétrica</v>
          </cell>
          <cell r="L624" t="str">
            <v>Substituição do(s) Componente(s)</v>
          </cell>
          <cell r="M624" t="str">
            <v>Falha Operacional</v>
          </cell>
          <cell r="N624">
            <v>37962</v>
          </cell>
          <cell r="O624">
            <v>0.66666666666666663</v>
          </cell>
          <cell r="P624">
            <v>0</v>
          </cell>
          <cell r="Q624">
            <v>0.66666666666666663</v>
          </cell>
          <cell r="R624">
            <v>37971</v>
          </cell>
          <cell r="S624">
            <v>0.58333333333333337</v>
          </cell>
          <cell r="T624">
            <v>37971</v>
          </cell>
          <cell r="U624">
            <v>0.625</v>
          </cell>
          <cell r="V624">
            <v>0</v>
          </cell>
          <cell r="W624">
            <v>4.166666666666663E-2</v>
          </cell>
          <cell r="X624">
            <v>0</v>
          </cell>
          <cell r="Y624">
            <v>0</v>
          </cell>
          <cell r="AB624">
            <v>12</v>
          </cell>
          <cell r="AC624">
            <v>11</v>
          </cell>
          <cell r="AD624">
            <v>0</v>
          </cell>
          <cell r="BF624">
            <v>12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</row>
        <row r="625">
          <cell r="C625">
            <v>37950</v>
          </cell>
          <cell r="D625">
            <v>37972</v>
          </cell>
          <cell r="E625">
            <v>37967</v>
          </cell>
          <cell r="F625">
            <v>0.85416666666666663</v>
          </cell>
          <cell r="G625" t="str">
            <v>Células de Solda Automática</v>
          </cell>
          <cell r="H625" t="str">
            <v>Fresa não limpa o bocal de solda</v>
          </cell>
          <cell r="I625">
            <v>0</v>
          </cell>
          <cell r="J625" t="str">
            <v>Não</v>
          </cell>
          <cell r="K625" t="str">
            <v>Mecânica</v>
          </cell>
          <cell r="L625" t="str">
            <v>Substituição do(s) Componente(s)</v>
          </cell>
          <cell r="M625" t="str">
            <v>Falha de Comando / Sistema</v>
          </cell>
          <cell r="N625">
            <v>37967</v>
          </cell>
          <cell r="O625">
            <v>0.85763888888888884</v>
          </cell>
          <cell r="P625">
            <v>0</v>
          </cell>
          <cell r="T625">
            <v>37967</v>
          </cell>
          <cell r="U625">
            <v>0.87152777777777779</v>
          </cell>
          <cell r="V625">
            <v>0</v>
          </cell>
          <cell r="W625">
            <v>1.3888888892122697E-2</v>
          </cell>
          <cell r="X625">
            <v>0</v>
          </cell>
          <cell r="Y625">
            <v>0</v>
          </cell>
          <cell r="AB625">
            <v>12</v>
          </cell>
          <cell r="AC625">
            <v>11</v>
          </cell>
          <cell r="AD625">
            <v>0</v>
          </cell>
          <cell r="BF625">
            <v>12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</row>
        <row r="626">
          <cell r="C626">
            <v>37950</v>
          </cell>
          <cell r="D626">
            <v>37993</v>
          </cell>
          <cell r="E626">
            <v>37979</v>
          </cell>
          <cell r="F626">
            <v>0.66666666666666663</v>
          </cell>
          <cell r="G626" t="str">
            <v>Células de Solda Automática</v>
          </cell>
          <cell r="H626" t="str">
            <v>Alarme no CLP (BUSF): falha de comunicação da mesa com o CLP</v>
          </cell>
          <cell r="I626">
            <v>0</v>
          </cell>
          <cell r="J626" t="str">
            <v>Sim</v>
          </cell>
          <cell r="K626" t="str">
            <v>Elétrica</v>
          </cell>
          <cell r="L626" t="str">
            <v>Correção de mau contato</v>
          </cell>
          <cell r="M626" t="str">
            <v>Mau contato</v>
          </cell>
          <cell r="N626">
            <v>0</v>
          </cell>
          <cell r="O626">
            <v>0.66666666666666663</v>
          </cell>
          <cell r="P626">
            <v>0</v>
          </cell>
          <cell r="T626">
            <v>0</v>
          </cell>
          <cell r="U626">
            <v>0.68194444444444446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AB626">
            <v>0</v>
          </cell>
          <cell r="AC626">
            <v>11</v>
          </cell>
          <cell r="AD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</row>
        <row r="627">
          <cell r="C627">
            <v>37950</v>
          </cell>
          <cell r="D627">
            <v>37993</v>
          </cell>
          <cell r="E627">
            <v>37970</v>
          </cell>
          <cell r="F627">
            <v>0.27777777777777779</v>
          </cell>
          <cell r="G627" t="str">
            <v>Perfiladora Fagor Largueros</v>
          </cell>
          <cell r="H627" t="str">
            <v>Máquina não funciona no comando do robô</v>
          </cell>
          <cell r="I627">
            <v>0</v>
          </cell>
          <cell r="J627" t="str">
            <v>Não</v>
          </cell>
          <cell r="K627" t="str">
            <v>Elétrica</v>
          </cell>
          <cell r="L627" t="str">
            <v>Mesmo após acompanhamento do funcionamento, o problema não foi detectado</v>
          </cell>
          <cell r="M627" t="str">
            <v>Falha de Comando / Sistema</v>
          </cell>
          <cell r="N627">
            <v>0</v>
          </cell>
          <cell r="O627">
            <v>0.29166666666666669</v>
          </cell>
          <cell r="P627">
            <v>0</v>
          </cell>
          <cell r="T627">
            <v>0</v>
          </cell>
          <cell r="U627">
            <v>0.34722222222222227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AB627">
            <v>0</v>
          </cell>
          <cell r="AC627">
            <v>11</v>
          </cell>
          <cell r="AD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</row>
        <row r="628">
          <cell r="C628">
            <v>37950</v>
          </cell>
          <cell r="I628">
            <v>0</v>
          </cell>
          <cell r="N628">
            <v>0</v>
          </cell>
          <cell r="P628">
            <v>0</v>
          </cell>
          <cell r="T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AB628">
            <v>0</v>
          </cell>
          <cell r="AC628">
            <v>11</v>
          </cell>
          <cell r="AD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</row>
        <row r="629">
          <cell r="C629">
            <v>37950</v>
          </cell>
          <cell r="D629">
            <v>37993</v>
          </cell>
          <cell r="E629">
            <v>37909</v>
          </cell>
          <cell r="F629">
            <v>0.38263888888888892</v>
          </cell>
          <cell r="G629" t="str">
            <v>Células de Solda Automática</v>
          </cell>
          <cell r="H629" t="str">
            <v>Vazamento de água na conexão de refrigeração da tocha</v>
          </cell>
          <cell r="I629">
            <v>0</v>
          </cell>
          <cell r="J629" t="str">
            <v>Sim</v>
          </cell>
          <cell r="K629" t="str">
            <v>Mecânica</v>
          </cell>
          <cell r="L629" t="str">
            <v>Contenção do vazamento</v>
          </cell>
          <cell r="M629" t="str">
            <v>Desgaste / Fadiga</v>
          </cell>
          <cell r="N629">
            <v>0</v>
          </cell>
          <cell r="O629">
            <v>0.41666666666666669</v>
          </cell>
          <cell r="P629">
            <v>0</v>
          </cell>
          <cell r="T629">
            <v>0</v>
          </cell>
          <cell r="U629">
            <v>0.45833333333333331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AB629">
            <v>0</v>
          </cell>
          <cell r="AC629">
            <v>11</v>
          </cell>
          <cell r="AD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</row>
        <row r="630">
          <cell r="C630">
            <v>37950</v>
          </cell>
          <cell r="D630">
            <v>37972</v>
          </cell>
          <cell r="E630">
            <v>37970</v>
          </cell>
          <cell r="F630">
            <v>0.54166666666666663</v>
          </cell>
          <cell r="G630" t="str">
            <v>Células de Solda Automática</v>
          </cell>
          <cell r="H630" t="str">
            <v>Cilindro de contagem na esteira está quebrado</v>
          </cell>
          <cell r="I630">
            <v>0</v>
          </cell>
          <cell r="J630" t="str">
            <v>Não</v>
          </cell>
          <cell r="K630" t="str">
            <v>Mecânica</v>
          </cell>
          <cell r="L630" t="str">
            <v>Reparo</v>
          </cell>
          <cell r="M630" t="str">
            <v>Falha Operacional</v>
          </cell>
          <cell r="N630">
            <v>37970</v>
          </cell>
          <cell r="O630">
            <v>0.62847222222222221</v>
          </cell>
          <cell r="P630">
            <v>0</v>
          </cell>
          <cell r="T630">
            <v>37970</v>
          </cell>
          <cell r="U630">
            <v>0.66666666666666663</v>
          </cell>
          <cell r="V630">
            <v>0</v>
          </cell>
          <cell r="W630">
            <v>3.8194444442019138E-2</v>
          </cell>
          <cell r="X630">
            <v>0</v>
          </cell>
          <cell r="Y630">
            <v>0</v>
          </cell>
          <cell r="AB630">
            <v>12</v>
          </cell>
          <cell r="AC630">
            <v>11</v>
          </cell>
          <cell r="AD630">
            <v>0</v>
          </cell>
          <cell r="BF630">
            <v>12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</row>
        <row r="631">
          <cell r="C631">
            <v>37950</v>
          </cell>
          <cell r="D631">
            <v>37993</v>
          </cell>
          <cell r="E631">
            <v>37972</v>
          </cell>
          <cell r="F631">
            <v>0.27430555555555552</v>
          </cell>
          <cell r="G631" t="str">
            <v>Células de Solda Automática</v>
          </cell>
          <cell r="H631" t="str">
            <v>Cilindro da esfera alimentadora</v>
          </cell>
          <cell r="I631">
            <v>0</v>
          </cell>
          <cell r="J631" t="str">
            <v>Sim</v>
          </cell>
          <cell r="K631" t="str">
            <v>Mecânica</v>
          </cell>
          <cell r="L631" t="str">
            <v>Substituição do(s) Componente(s)</v>
          </cell>
          <cell r="M631" t="str">
            <v>Falha de Regulagem / Configuração / Dimensionamento</v>
          </cell>
          <cell r="N631">
            <v>0</v>
          </cell>
          <cell r="O631">
            <v>0.375</v>
          </cell>
          <cell r="P631">
            <v>0</v>
          </cell>
          <cell r="T631">
            <v>0</v>
          </cell>
          <cell r="U631">
            <v>0.4375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AB631">
            <v>0</v>
          </cell>
          <cell r="AC631">
            <v>11</v>
          </cell>
          <cell r="AD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</row>
        <row r="632">
          <cell r="C632">
            <v>37950</v>
          </cell>
          <cell r="D632">
            <v>37993</v>
          </cell>
          <cell r="E632">
            <v>38345</v>
          </cell>
          <cell r="F632">
            <v>0.5625</v>
          </cell>
          <cell r="G632" t="str">
            <v>Células de Solda Automática</v>
          </cell>
          <cell r="H632" t="str">
            <v>Motor Power do robô de Manipulação não está acionando</v>
          </cell>
          <cell r="I632">
            <v>0</v>
          </cell>
          <cell r="J632" t="str">
            <v>Sim</v>
          </cell>
          <cell r="K632" t="str">
            <v>Elétrica</v>
          </cell>
          <cell r="L632" t="str">
            <v>Substituição do(s) Componente(s)</v>
          </cell>
          <cell r="M632" t="str">
            <v>Falha de Comando / Sistema</v>
          </cell>
          <cell r="N632">
            <v>0</v>
          </cell>
          <cell r="O632">
            <v>0.61111111111111105</v>
          </cell>
          <cell r="P632">
            <v>0</v>
          </cell>
          <cell r="T632">
            <v>0</v>
          </cell>
          <cell r="U632">
            <v>0.62430555555555556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AB632">
            <v>0</v>
          </cell>
          <cell r="AC632">
            <v>11</v>
          </cell>
          <cell r="AD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</row>
        <row r="633">
          <cell r="C633">
            <v>37950</v>
          </cell>
          <cell r="D633">
            <v>37993</v>
          </cell>
          <cell r="E633">
            <v>37984</v>
          </cell>
          <cell r="F633">
            <v>0.29166666666666669</v>
          </cell>
          <cell r="G633" t="str">
            <v>Células de Solda Automática</v>
          </cell>
          <cell r="H633" t="str">
            <v>Cabo de Comunicação BUSF rompido</v>
          </cell>
          <cell r="I633">
            <v>0</v>
          </cell>
          <cell r="J633" t="str">
            <v>Sim</v>
          </cell>
          <cell r="K633" t="str">
            <v>Elétrica</v>
          </cell>
          <cell r="L633" t="str">
            <v>Reparo</v>
          </cell>
          <cell r="M633" t="str">
            <v>Desgaste / Fadiga</v>
          </cell>
          <cell r="N633">
            <v>0</v>
          </cell>
          <cell r="O633">
            <v>0.29166666666666669</v>
          </cell>
          <cell r="P633">
            <v>0</v>
          </cell>
          <cell r="T633">
            <v>0</v>
          </cell>
          <cell r="U633">
            <v>0.33333333333333331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AB633">
            <v>0</v>
          </cell>
          <cell r="AC633">
            <v>11</v>
          </cell>
          <cell r="AD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</row>
        <row r="634">
          <cell r="C634">
            <v>37950</v>
          </cell>
          <cell r="D634">
            <v>37993</v>
          </cell>
          <cell r="E634">
            <v>37984</v>
          </cell>
          <cell r="F634">
            <v>0.3923611111111111</v>
          </cell>
          <cell r="G634" t="str">
            <v>Células de Solda Automática</v>
          </cell>
          <cell r="H634" t="str">
            <v>Falha no sensor ao depositar o conector Esquerdo</v>
          </cell>
          <cell r="I634">
            <v>0</v>
          </cell>
          <cell r="J634" t="str">
            <v>Sim</v>
          </cell>
          <cell r="K634" t="str">
            <v>Elétrica</v>
          </cell>
          <cell r="L634" t="str">
            <v>Regulagem do Componente</v>
          </cell>
          <cell r="M634" t="str">
            <v>Falha de Comando / Sistema</v>
          </cell>
          <cell r="N634">
            <v>0</v>
          </cell>
          <cell r="O634">
            <v>0.39583333333333331</v>
          </cell>
          <cell r="P634">
            <v>0</v>
          </cell>
          <cell r="T634">
            <v>0</v>
          </cell>
          <cell r="U634">
            <v>0.41666666666666669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AB634">
            <v>0</v>
          </cell>
          <cell r="AC634">
            <v>11</v>
          </cell>
          <cell r="AD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</row>
        <row r="635">
          <cell r="C635">
            <v>37950</v>
          </cell>
          <cell r="D635">
            <v>37993</v>
          </cell>
          <cell r="E635">
            <v>37992</v>
          </cell>
          <cell r="F635">
            <v>0.4236111111111111</v>
          </cell>
          <cell r="G635" t="str">
            <v>Células de Solda Automática</v>
          </cell>
          <cell r="H635" t="str">
            <v>Problema no Cabo de Comunicação BUSF</v>
          </cell>
          <cell r="I635">
            <v>0</v>
          </cell>
          <cell r="J635" t="str">
            <v>Sim</v>
          </cell>
          <cell r="K635" t="str">
            <v>Elétrica</v>
          </cell>
          <cell r="L635" t="str">
            <v>Substituição do(s) Componente(s)</v>
          </cell>
          <cell r="M635" t="str">
            <v>Desgaste / Fadiga</v>
          </cell>
          <cell r="N635">
            <v>0</v>
          </cell>
          <cell r="O635">
            <v>0.44791666666666669</v>
          </cell>
          <cell r="P635">
            <v>0</v>
          </cell>
          <cell r="T635">
            <v>0</v>
          </cell>
          <cell r="U635">
            <v>0.46527777777777773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AB635">
            <v>0</v>
          </cell>
          <cell r="AC635">
            <v>11</v>
          </cell>
          <cell r="AD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</row>
        <row r="636">
          <cell r="C636">
            <v>37950</v>
          </cell>
          <cell r="D636">
            <v>37993</v>
          </cell>
          <cell r="E636">
            <v>37992</v>
          </cell>
          <cell r="F636">
            <v>0.52777777777777779</v>
          </cell>
          <cell r="G636" t="str">
            <v>Células de Solda Automática</v>
          </cell>
          <cell r="H636" t="str">
            <v>Problema no Cabo de Comunicação BUSF</v>
          </cell>
          <cell r="I636">
            <v>0</v>
          </cell>
          <cell r="J636" t="str">
            <v>Sim</v>
          </cell>
          <cell r="K636" t="str">
            <v>Elétrica</v>
          </cell>
          <cell r="N636">
            <v>0</v>
          </cell>
          <cell r="P636">
            <v>0</v>
          </cell>
          <cell r="T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AB636">
            <v>0</v>
          </cell>
          <cell r="AC636">
            <v>11</v>
          </cell>
          <cell r="AD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</row>
        <row r="637">
          <cell r="C637">
            <v>37953</v>
          </cell>
          <cell r="D637">
            <v>37971</v>
          </cell>
          <cell r="E637">
            <v>37953</v>
          </cell>
          <cell r="F637">
            <v>0.34027777777777773</v>
          </cell>
          <cell r="G637" t="str">
            <v>Linha de Pintura 15m</v>
          </cell>
          <cell r="H637" t="str">
            <v>Anomalia no Variador V2</v>
          </cell>
          <cell r="I637">
            <v>0</v>
          </cell>
          <cell r="J637" t="str">
            <v>Sim</v>
          </cell>
          <cell r="K637" t="str">
            <v>Elétrica</v>
          </cell>
          <cell r="L637" t="str">
            <v>Destravamento dos Componentes</v>
          </cell>
          <cell r="M637" t="str">
            <v>Sobrecarga</v>
          </cell>
          <cell r="N637">
            <v>37953</v>
          </cell>
          <cell r="O637">
            <v>0.35416666666666669</v>
          </cell>
          <cell r="P637">
            <v>0</v>
          </cell>
          <cell r="T637">
            <v>37953</v>
          </cell>
          <cell r="U637">
            <v>0.375</v>
          </cell>
          <cell r="V637">
            <v>1.3888888888888951E-2</v>
          </cell>
          <cell r="W637">
            <v>3.4722222222222265E-2</v>
          </cell>
          <cell r="X637">
            <v>0</v>
          </cell>
          <cell r="Y637">
            <v>0</v>
          </cell>
          <cell r="AB637">
            <v>11</v>
          </cell>
          <cell r="AC637">
            <v>11</v>
          </cell>
          <cell r="AD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11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</row>
        <row r="638">
          <cell r="C638">
            <v>37953</v>
          </cell>
          <cell r="D638">
            <v>37971</v>
          </cell>
          <cell r="E638">
            <v>37953</v>
          </cell>
          <cell r="F638">
            <v>0.84375</v>
          </cell>
          <cell r="G638" t="str">
            <v>Linha de Pintura 15m</v>
          </cell>
          <cell r="H638" t="str">
            <v>Linha Travada</v>
          </cell>
          <cell r="I638">
            <v>0</v>
          </cell>
          <cell r="J638" t="str">
            <v>Sim</v>
          </cell>
          <cell r="K638" t="str">
            <v>Mecânica</v>
          </cell>
          <cell r="L638" t="str">
            <v>Destravamento dos Componentes</v>
          </cell>
          <cell r="M638" t="str">
            <v>Falha de Comando / Sistema</v>
          </cell>
          <cell r="N638">
            <v>37953</v>
          </cell>
          <cell r="O638">
            <v>0.84375</v>
          </cell>
          <cell r="P638">
            <v>0</v>
          </cell>
          <cell r="T638">
            <v>37953</v>
          </cell>
          <cell r="U638">
            <v>0.88541666666666663</v>
          </cell>
          <cell r="V638">
            <v>0</v>
          </cell>
          <cell r="W638">
            <v>4.1666666664241347E-2</v>
          </cell>
          <cell r="X638">
            <v>0</v>
          </cell>
          <cell r="Y638">
            <v>0</v>
          </cell>
          <cell r="AB638">
            <v>11</v>
          </cell>
          <cell r="AC638">
            <v>11</v>
          </cell>
          <cell r="AD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11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</row>
        <row r="639">
          <cell r="C639">
            <v>37953</v>
          </cell>
          <cell r="D639">
            <v>37971</v>
          </cell>
          <cell r="E639">
            <v>37958</v>
          </cell>
          <cell r="F639">
            <v>0.52083333333333337</v>
          </cell>
          <cell r="G639" t="str">
            <v>Linha de Pintura 15m</v>
          </cell>
          <cell r="H639" t="str">
            <v>Nível baixo na bomba do fosfato</v>
          </cell>
          <cell r="I639">
            <v>0</v>
          </cell>
          <cell r="J639" t="str">
            <v>Sim</v>
          </cell>
          <cell r="K639" t="str">
            <v>Elétrica</v>
          </cell>
          <cell r="L639" t="str">
            <v>Ajuste / Regulagem</v>
          </cell>
          <cell r="M639" t="str">
            <v>Falha Operacional</v>
          </cell>
          <cell r="N639">
            <v>37958</v>
          </cell>
          <cell r="O639">
            <v>0.52083333333333337</v>
          </cell>
          <cell r="P639">
            <v>0</v>
          </cell>
          <cell r="T639">
            <v>37958</v>
          </cell>
          <cell r="U639">
            <v>0.52430555555555558</v>
          </cell>
          <cell r="V639">
            <v>0</v>
          </cell>
          <cell r="W639">
            <v>3.4722222214137455E-3</v>
          </cell>
          <cell r="X639">
            <v>0</v>
          </cell>
          <cell r="Y639">
            <v>0</v>
          </cell>
          <cell r="AB639">
            <v>12</v>
          </cell>
          <cell r="AC639">
            <v>11</v>
          </cell>
          <cell r="AD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12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</row>
        <row r="640">
          <cell r="C640">
            <v>37953</v>
          </cell>
          <cell r="D640">
            <v>37971</v>
          </cell>
          <cell r="E640">
            <v>37957</v>
          </cell>
          <cell r="F640">
            <v>0.91666666666666663</v>
          </cell>
          <cell r="G640" t="str">
            <v>Linha de Pintura 15m</v>
          </cell>
          <cell r="H640" t="str">
            <v>Vazamento no reservatório do fosfato</v>
          </cell>
          <cell r="I640">
            <v>0</v>
          </cell>
          <cell r="J640" t="str">
            <v>Não</v>
          </cell>
          <cell r="K640" t="str">
            <v>Mecânica</v>
          </cell>
          <cell r="L640" t="str">
            <v>Contenção do vazamento</v>
          </cell>
          <cell r="M640" t="str">
            <v>Falha de Montagem / Preparação</v>
          </cell>
          <cell r="N640">
            <v>37957</v>
          </cell>
          <cell r="O640">
            <v>0.91666666666666663</v>
          </cell>
          <cell r="P640">
            <v>0</v>
          </cell>
          <cell r="T640">
            <v>37957</v>
          </cell>
          <cell r="U640">
            <v>0.95833333333333337</v>
          </cell>
          <cell r="V640">
            <v>0</v>
          </cell>
          <cell r="W640">
            <v>4.1666666669092023E-2</v>
          </cell>
          <cell r="X640">
            <v>0</v>
          </cell>
          <cell r="Y640">
            <v>0</v>
          </cell>
          <cell r="AB640">
            <v>12</v>
          </cell>
          <cell r="AC640">
            <v>11</v>
          </cell>
          <cell r="AD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12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</row>
        <row r="641">
          <cell r="C641">
            <v>37953</v>
          </cell>
          <cell r="I641">
            <v>0</v>
          </cell>
          <cell r="N641">
            <v>0</v>
          </cell>
          <cell r="P641">
            <v>0</v>
          </cell>
          <cell r="T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AB641">
            <v>0</v>
          </cell>
          <cell r="AC641">
            <v>11</v>
          </cell>
          <cell r="AD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</row>
        <row r="642">
          <cell r="C642">
            <v>37953</v>
          </cell>
          <cell r="D642">
            <v>37971</v>
          </cell>
          <cell r="E642">
            <v>37957</v>
          </cell>
          <cell r="F642">
            <v>0.85416666666666663</v>
          </cell>
          <cell r="G642" t="str">
            <v>Linha de Pintura 8,5m</v>
          </cell>
          <cell r="H642" t="str">
            <v>Linha Travada</v>
          </cell>
          <cell r="I642">
            <v>0</v>
          </cell>
          <cell r="J642" t="str">
            <v>Sim</v>
          </cell>
          <cell r="K642" t="str">
            <v>Mecânica</v>
          </cell>
          <cell r="L642" t="str">
            <v>Destravamento dos Componentes</v>
          </cell>
          <cell r="M642" t="str">
            <v>Falha de Comando / Sistema</v>
          </cell>
          <cell r="N642">
            <v>37957</v>
          </cell>
          <cell r="O642">
            <v>0.85416666666666663</v>
          </cell>
          <cell r="P642">
            <v>0</v>
          </cell>
          <cell r="T642">
            <v>37957</v>
          </cell>
          <cell r="U642">
            <v>0.875</v>
          </cell>
          <cell r="V642">
            <v>0</v>
          </cell>
          <cell r="W642">
            <v>2.083333333333337E-2</v>
          </cell>
          <cell r="X642">
            <v>0</v>
          </cell>
          <cell r="Y642">
            <v>0</v>
          </cell>
          <cell r="AB642">
            <v>12</v>
          </cell>
          <cell r="AC642">
            <v>11</v>
          </cell>
          <cell r="AD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12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</row>
        <row r="643">
          <cell r="C643">
            <v>37953</v>
          </cell>
          <cell r="D643">
            <v>37971</v>
          </cell>
          <cell r="E643">
            <v>37959</v>
          </cell>
          <cell r="F643">
            <v>0.375</v>
          </cell>
          <cell r="G643" t="str">
            <v>Linha de Pintura 15m</v>
          </cell>
          <cell r="H643" t="str">
            <v>Mangueira da Pistola Manual danificada</v>
          </cell>
          <cell r="I643">
            <v>0</v>
          </cell>
          <cell r="J643" t="str">
            <v>Não</v>
          </cell>
          <cell r="K643" t="str">
            <v>Mecânica</v>
          </cell>
          <cell r="L643" t="str">
            <v>Substituição do(s) Componente(s)</v>
          </cell>
          <cell r="M643" t="str">
            <v>Desgaste / Fadiga</v>
          </cell>
          <cell r="N643">
            <v>37959</v>
          </cell>
          <cell r="O643">
            <v>0.37847222222222227</v>
          </cell>
          <cell r="P643">
            <v>0</v>
          </cell>
          <cell r="T643">
            <v>37959</v>
          </cell>
          <cell r="U643">
            <v>0.3923611111111111</v>
          </cell>
          <cell r="V643">
            <v>0</v>
          </cell>
          <cell r="W643">
            <v>1.3888888887271966E-2</v>
          </cell>
          <cell r="X643">
            <v>0</v>
          </cell>
          <cell r="Y643">
            <v>0</v>
          </cell>
          <cell r="AB643">
            <v>12</v>
          </cell>
          <cell r="AC643">
            <v>11</v>
          </cell>
          <cell r="AD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12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</row>
        <row r="644">
          <cell r="C644">
            <v>37953</v>
          </cell>
          <cell r="D644">
            <v>37971</v>
          </cell>
          <cell r="E644">
            <v>37959</v>
          </cell>
          <cell r="F644">
            <v>0.67361111111111116</v>
          </cell>
          <cell r="G644" t="str">
            <v>Linha de Pintura 15m</v>
          </cell>
          <cell r="H644" t="str">
            <v>Elevador fora do nível</v>
          </cell>
          <cell r="I644">
            <v>0</v>
          </cell>
          <cell r="J644" t="str">
            <v>Sim</v>
          </cell>
          <cell r="K644" t="str">
            <v>Elétrica</v>
          </cell>
          <cell r="L644" t="str">
            <v>Ajuste / Regulagem</v>
          </cell>
          <cell r="M644" t="str">
            <v>Falha de Comando / Sistema</v>
          </cell>
          <cell r="N644">
            <v>37959</v>
          </cell>
          <cell r="O644">
            <v>0.68055555555555547</v>
          </cell>
          <cell r="P644">
            <v>0</v>
          </cell>
          <cell r="T644">
            <v>37959</v>
          </cell>
          <cell r="U644">
            <v>0.70138888888888884</v>
          </cell>
          <cell r="V644">
            <v>0</v>
          </cell>
          <cell r="W644">
            <v>2.7777777779394608E-2</v>
          </cell>
          <cell r="X644">
            <v>0</v>
          </cell>
          <cell r="Y644">
            <v>0</v>
          </cell>
          <cell r="AB644">
            <v>12</v>
          </cell>
          <cell r="AC644">
            <v>11</v>
          </cell>
          <cell r="AD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12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</row>
        <row r="645">
          <cell r="C645">
            <v>37953</v>
          </cell>
          <cell r="D645">
            <v>37971</v>
          </cell>
          <cell r="E645">
            <v>37959</v>
          </cell>
          <cell r="F645">
            <v>0.68402777777777779</v>
          </cell>
          <cell r="G645" t="str">
            <v>Linha de Pintura 15m</v>
          </cell>
          <cell r="H645" t="str">
            <v>Bastidor Travado</v>
          </cell>
          <cell r="I645">
            <v>0</v>
          </cell>
          <cell r="J645" t="str">
            <v>Sim</v>
          </cell>
          <cell r="K645" t="str">
            <v>Mecânica</v>
          </cell>
          <cell r="L645" t="str">
            <v>Destravamento dos Componentes</v>
          </cell>
          <cell r="M645" t="str">
            <v>Travamento de Componente</v>
          </cell>
          <cell r="N645">
            <v>37959</v>
          </cell>
          <cell r="O645">
            <v>0.6875</v>
          </cell>
          <cell r="P645">
            <v>0</v>
          </cell>
          <cell r="T645">
            <v>37959</v>
          </cell>
          <cell r="U645">
            <v>0.69444444444444453</v>
          </cell>
          <cell r="V645">
            <v>0</v>
          </cell>
          <cell r="W645">
            <v>1.0416666667475094E-2</v>
          </cell>
          <cell r="X645">
            <v>0</v>
          </cell>
          <cell r="Y645">
            <v>0</v>
          </cell>
          <cell r="AB645">
            <v>12</v>
          </cell>
          <cell r="AC645">
            <v>11</v>
          </cell>
          <cell r="AD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12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</row>
        <row r="646">
          <cell r="C646">
            <v>37953</v>
          </cell>
          <cell r="D646">
            <v>37971</v>
          </cell>
          <cell r="E646">
            <v>37960</v>
          </cell>
          <cell r="F646">
            <v>0.86111111111111116</v>
          </cell>
          <cell r="G646" t="str">
            <v>Linha de Pintura 8,5m</v>
          </cell>
          <cell r="H646" t="str">
            <v>Vazamento de ar comprimido em excesso</v>
          </cell>
          <cell r="I646">
            <v>0</v>
          </cell>
          <cell r="J646" t="str">
            <v>Não</v>
          </cell>
          <cell r="K646" t="str">
            <v>Mecânica</v>
          </cell>
          <cell r="L646" t="str">
            <v>Contenção do vazamento</v>
          </cell>
          <cell r="M646" t="str">
            <v>Defeito de Fabricação</v>
          </cell>
          <cell r="N646">
            <v>37960</v>
          </cell>
          <cell r="O646">
            <v>0.875</v>
          </cell>
          <cell r="P646">
            <v>0</v>
          </cell>
          <cell r="T646">
            <v>37960</v>
          </cell>
          <cell r="U646">
            <v>0.93055555555555547</v>
          </cell>
          <cell r="V646">
            <v>0</v>
          </cell>
          <cell r="W646">
            <v>5.5555555554747116E-2</v>
          </cell>
          <cell r="X646">
            <v>0</v>
          </cell>
          <cell r="Y646">
            <v>0</v>
          </cell>
          <cell r="AB646">
            <v>12</v>
          </cell>
          <cell r="AC646">
            <v>11</v>
          </cell>
          <cell r="AD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12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</row>
        <row r="647">
          <cell r="C647">
            <v>37953</v>
          </cell>
          <cell r="D647">
            <v>37971</v>
          </cell>
          <cell r="E647">
            <v>37963</v>
          </cell>
          <cell r="F647">
            <v>0.65277777777777779</v>
          </cell>
          <cell r="G647" t="str">
            <v>Linha de Pintura 8,5m</v>
          </cell>
          <cell r="H647" t="str">
            <v>Exaustor não funciona</v>
          </cell>
          <cell r="I647">
            <v>0</v>
          </cell>
          <cell r="J647" t="str">
            <v>Sim</v>
          </cell>
          <cell r="K647" t="str">
            <v>Elétrica</v>
          </cell>
          <cell r="L647" t="str">
            <v>Substituição do(s) Componente(s)</v>
          </cell>
          <cell r="M647" t="str">
            <v>Sobrecarga</v>
          </cell>
          <cell r="N647">
            <v>37963</v>
          </cell>
          <cell r="O647">
            <v>0.65277777777777779</v>
          </cell>
          <cell r="P647">
            <v>0</v>
          </cell>
          <cell r="T647">
            <v>37963</v>
          </cell>
          <cell r="U647">
            <v>0.67361111111111116</v>
          </cell>
          <cell r="V647">
            <v>0</v>
          </cell>
          <cell r="W647">
            <v>2.0833333331716442E-2</v>
          </cell>
          <cell r="X647">
            <v>0</v>
          </cell>
          <cell r="Y647">
            <v>0</v>
          </cell>
          <cell r="AB647">
            <v>12</v>
          </cell>
          <cell r="AC647">
            <v>11</v>
          </cell>
          <cell r="AD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12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</row>
        <row r="648">
          <cell r="C648">
            <v>37953</v>
          </cell>
          <cell r="I648">
            <v>0</v>
          </cell>
          <cell r="N648">
            <v>0</v>
          </cell>
          <cell r="P648">
            <v>0</v>
          </cell>
          <cell r="T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AB648">
            <v>0</v>
          </cell>
          <cell r="AC648">
            <v>11</v>
          </cell>
          <cell r="AD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</row>
        <row r="649">
          <cell r="C649">
            <v>37953</v>
          </cell>
          <cell r="I649">
            <v>0</v>
          </cell>
          <cell r="N649">
            <v>0</v>
          </cell>
          <cell r="P649">
            <v>0</v>
          </cell>
          <cell r="T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AB649">
            <v>0</v>
          </cell>
          <cell r="AC649">
            <v>11</v>
          </cell>
          <cell r="AD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</row>
        <row r="650">
          <cell r="C650">
            <v>37953</v>
          </cell>
          <cell r="I650">
            <v>0</v>
          </cell>
          <cell r="N650">
            <v>0</v>
          </cell>
          <cell r="P650">
            <v>0</v>
          </cell>
          <cell r="T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AB650">
            <v>0</v>
          </cell>
          <cell r="AC650">
            <v>11</v>
          </cell>
          <cell r="AD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</row>
        <row r="651">
          <cell r="C651">
            <v>37953</v>
          </cell>
          <cell r="I651">
            <v>0</v>
          </cell>
          <cell r="N651">
            <v>0</v>
          </cell>
          <cell r="P651">
            <v>0</v>
          </cell>
          <cell r="T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AB651">
            <v>0</v>
          </cell>
          <cell r="AC651">
            <v>11</v>
          </cell>
          <cell r="AD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</row>
        <row r="652">
          <cell r="C652">
            <v>37953</v>
          </cell>
          <cell r="I652">
            <v>0</v>
          </cell>
          <cell r="N652">
            <v>0</v>
          </cell>
          <cell r="P652">
            <v>0</v>
          </cell>
          <cell r="T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AB652">
            <v>0</v>
          </cell>
          <cell r="AC652">
            <v>11</v>
          </cell>
          <cell r="AD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</row>
        <row r="653">
          <cell r="C653">
            <v>37953</v>
          </cell>
          <cell r="I653">
            <v>0</v>
          </cell>
          <cell r="N653">
            <v>0</v>
          </cell>
          <cell r="P653">
            <v>0</v>
          </cell>
          <cell r="T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AB653">
            <v>0</v>
          </cell>
          <cell r="AC653">
            <v>11</v>
          </cell>
          <cell r="AD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</row>
        <row r="654">
          <cell r="C654">
            <v>37953</v>
          </cell>
          <cell r="I654">
            <v>0</v>
          </cell>
          <cell r="N654">
            <v>0</v>
          </cell>
          <cell r="P654">
            <v>0</v>
          </cell>
          <cell r="T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AB654">
            <v>0</v>
          </cell>
          <cell r="AC654">
            <v>11</v>
          </cell>
          <cell r="AD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</row>
        <row r="655">
          <cell r="C655">
            <v>37953</v>
          </cell>
          <cell r="I655">
            <v>0</v>
          </cell>
          <cell r="N655">
            <v>0</v>
          </cell>
          <cell r="P655">
            <v>0</v>
          </cell>
          <cell r="T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AB655">
            <v>0</v>
          </cell>
          <cell r="AC655">
            <v>11</v>
          </cell>
          <cell r="AD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</row>
        <row r="656">
          <cell r="C656">
            <v>37953</v>
          </cell>
          <cell r="I656">
            <v>0</v>
          </cell>
          <cell r="N656">
            <v>0</v>
          </cell>
          <cell r="P656">
            <v>0</v>
          </cell>
          <cell r="T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AB656">
            <v>0</v>
          </cell>
          <cell r="AC656">
            <v>11</v>
          </cell>
          <cell r="AD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</row>
        <row r="657">
          <cell r="C657">
            <v>37963</v>
          </cell>
          <cell r="D657">
            <v>37971</v>
          </cell>
          <cell r="E657">
            <v>37963</v>
          </cell>
          <cell r="F657">
            <v>0.41666666666666669</v>
          </cell>
          <cell r="G657" t="str">
            <v>Linha de Pintura 8,5m</v>
          </cell>
          <cell r="H657" t="str">
            <v>Vazamento de ar comprimido em excesso</v>
          </cell>
          <cell r="I657">
            <v>0</v>
          </cell>
          <cell r="J657" t="str">
            <v>Não</v>
          </cell>
          <cell r="K657" t="str">
            <v>Mecânica</v>
          </cell>
          <cell r="L657" t="str">
            <v>Contenção do vazamento</v>
          </cell>
          <cell r="M657" t="str">
            <v>Defeito de Fabricação</v>
          </cell>
          <cell r="N657">
            <v>37963</v>
          </cell>
          <cell r="O657">
            <v>0.41666666666666669</v>
          </cell>
          <cell r="P657">
            <v>0</v>
          </cell>
          <cell r="T657">
            <v>37963</v>
          </cell>
          <cell r="U657">
            <v>0.5625</v>
          </cell>
          <cell r="V657">
            <v>0</v>
          </cell>
          <cell r="W657">
            <v>0.14583333333333331</v>
          </cell>
          <cell r="X657">
            <v>0</v>
          </cell>
          <cell r="Y657">
            <v>0</v>
          </cell>
          <cell r="AB657">
            <v>12</v>
          </cell>
          <cell r="AC657">
            <v>12</v>
          </cell>
          <cell r="AD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12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</row>
        <row r="658">
          <cell r="C658">
            <v>37963</v>
          </cell>
          <cell r="D658">
            <v>37971</v>
          </cell>
          <cell r="E658">
            <v>37962</v>
          </cell>
          <cell r="F658">
            <v>0.41666666666666669</v>
          </cell>
          <cell r="G658" t="str">
            <v>Linha de Pintura 8,5m</v>
          </cell>
          <cell r="H658" t="str">
            <v>Problemas nos módulos 03 e 06</v>
          </cell>
          <cell r="I658">
            <v>0</v>
          </cell>
          <cell r="J658" t="str">
            <v>Não</v>
          </cell>
          <cell r="K658" t="str">
            <v>Elétrica</v>
          </cell>
          <cell r="L658" t="str">
            <v>Substituição do(s) Componente(s)</v>
          </cell>
          <cell r="M658" t="str">
            <v>Curto-circuito</v>
          </cell>
          <cell r="N658">
            <v>37962</v>
          </cell>
          <cell r="O658">
            <v>0.41666666666666669</v>
          </cell>
          <cell r="P658">
            <v>0</v>
          </cell>
          <cell r="T658">
            <v>37962</v>
          </cell>
          <cell r="U658">
            <v>0.4375</v>
          </cell>
          <cell r="V658">
            <v>0</v>
          </cell>
          <cell r="W658">
            <v>2.0833333333333315E-2</v>
          </cell>
          <cell r="X658">
            <v>0</v>
          </cell>
          <cell r="Y658">
            <v>0</v>
          </cell>
          <cell r="AB658">
            <v>12</v>
          </cell>
          <cell r="AC658">
            <v>12</v>
          </cell>
          <cell r="AD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12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</row>
        <row r="659">
          <cell r="C659">
            <v>37963</v>
          </cell>
          <cell r="D659">
            <v>37993</v>
          </cell>
          <cell r="E659">
            <v>37965</v>
          </cell>
          <cell r="F659">
            <v>0.58333333333333337</v>
          </cell>
          <cell r="G659" t="str">
            <v>Linha de Pintura 8,5m</v>
          </cell>
          <cell r="H659" t="str">
            <v>Anomalia no parô 03</v>
          </cell>
          <cell r="I659">
            <v>0</v>
          </cell>
          <cell r="J659" t="str">
            <v>Sim</v>
          </cell>
          <cell r="K659" t="str">
            <v>Elétrica</v>
          </cell>
          <cell r="L659" t="str">
            <v>Ajuste / Regulagem</v>
          </cell>
          <cell r="M659" t="str">
            <v>Falha de Regulagem / Configuração / Dimensionamento</v>
          </cell>
          <cell r="N659">
            <v>0</v>
          </cell>
          <cell r="O659">
            <v>0.58680555555555558</v>
          </cell>
          <cell r="P659">
            <v>0</v>
          </cell>
          <cell r="T659">
            <v>0</v>
          </cell>
          <cell r="U659">
            <v>0.625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AB659">
            <v>0</v>
          </cell>
          <cell r="AC659">
            <v>12</v>
          </cell>
          <cell r="AD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</row>
        <row r="660">
          <cell r="C660">
            <v>37963</v>
          </cell>
          <cell r="D660">
            <v>37977</v>
          </cell>
          <cell r="E660">
            <v>37965</v>
          </cell>
          <cell r="F660">
            <v>0.66666666666666663</v>
          </cell>
          <cell r="G660" t="str">
            <v>Linha de Pintura 8,5m</v>
          </cell>
          <cell r="H660" t="str">
            <v>Anomalia na Descarga</v>
          </cell>
          <cell r="I660">
            <v>0</v>
          </cell>
          <cell r="J660" t="str">
            <v>Sim</v>
          </cell>
          <cell r="K660" t="str">
            <v>Elétrica</v>
          </cell>
          <cell r="L660" t="str">
            <v>Reaperto dos componentes</v>
          </cell>
          <cell r="M660" t="str">
            <v>Vibração</v>
          </cell>
          <cell r="N660">
            <v>37965</v>
          </cell>
          <cell r="O660">
            <v>0.6875</v>
          </cell>
          <cell r="P660">
            <v>0</v>
          </cell>
          <cell r="T660">
            <v>37965</v>
          </cell>
          <cell r="U660">
            <v>0.70833333333333337</v>
          </cell>
          <cell r="V660">
            <v>0</v>
          </cell>
          <cell r="W660">
            <v>4.1666666669092023E-2</v>
          </cell>
          <cell r="X660">
            <v>0</v>
          </cell>
          <cell r="Y660">
            <v>0</v>
          </cell>
          <cell r="AB660">
            <v>12</v>
          </cell>
          <cell r="AC660">
            <v>12</v>
          </cell>
          <cell r="AD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12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</row>
        <row r="661">
          <cell r="C661">
            <v>37963</v>
          </cell>
          <cell r="D661">
            <v>37972</v>
          </cell>
          <cell r="E661">
            <v>37965</v>
          </cell>
          <cell r="F661">
            <v>0.83333333333333337</v>
          </cell>
          <cell r="G661" t="str">
            <v>Linha de Pintura 8,5m</v>
          </cell>
          <cell r="H661" t="str">
            <v>Linha Travada</v>
          </cell>
          <cell r="I661">
            <v>0</v>
          </cell>
          <cell r="J661" t="str">
            <v>Sim</v>
          </cell>
          <cell r="K661" t="str">
            <v>Mecânica</v>
          </cell>
          <cell r="L661" t="str">
            <v>Destravamento dos Componentes</v>
          </cell>
          <cell r="M661" t="str">
            <v>Falha de Comando / Sistema</v>
          </cell>
          <cell r="N661">
            <v>37965</v>
          </cell>
          <cell r="O661">
            <v>0.84375</v>
          </cell>
          <cell r="P661">
            <v>0</v>
          </cell>
          <cell r="Q661">
            <v>1</v>
          </cell>
          <cell r="R661">
            <v>37966</v>
          </cell>
          <cell r="S661">
            <v>0.25</v>
          </cell>
          <cell r="T661">
            <v>37966</v>
          </cell>
          <cell r="U661">
            <v>0.3125</v>
          </cell>
          <cell r="V661">
            <v>0</v>
          </cell>
          <cell r="W661">
            <v>0.22916666666666663</v>
          </cell>
          <cell r="X661">
            <v>0</v>
          </cell>
          <cell r="Y661">
            <v>0</v>
          </cell>
          <cell r="AB661">
            <v>12</v>
          </cell>
          <cell r="AC661">
            <v>12</v>
          </cell>
          <cell r="AD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12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</row>
        <row r="662">
          <cell r="C662">
            <v>37963</v>
          </cell>
          <cell r="D662">
            <v>37993</v>
          </cell>
          <cell r="E662">
            <v>37971</v>
          </cell>
          <cell r="F662">
            <v>0.25</v>
          </cell>
          <cell r="G662" t="str">
            <v>Linha de Pintura 8,5m</v>
          </cell>
          <cell r="H662" t="str">
            <v>Vazamento no sistema de exaustão</v>
          </cell>
          <cell r="I662">
            <v>0</v>
          </cell>
          <cell r="J662" t="str">
            <v>Sim</v>
          </cell>
          <cell r="K662" t="str">
            <v>Mecânica</v>
          </cell>
          <cell r="L662" t="str">
            <v>Soldagem da Caixa do Pulmão</v>
          </cell>
          <cell r="M662" t="str">
            <v>Defeito de Fabricação</v>
          </cell>
          <cell r="N662">
            <v>0</v>
          </cell>
          <cell r="O662">
            <v>0.27083333333333331</v>
          </cell>
          <cell r="P662">
            <v>0</v>
          </cell>
          <cell r="T662">
            <v>0</v>
          </cell>
          <cell r="U662">
            <v>0.33333333333333331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AB662">
            <v>0</v>
          </cell>
          <cell r="AC662">
            <v>12</v>
          </cell>
          <cell r="AD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</row>
        <row r="663">
          <cell r="C663">
            <v>37963</v>
          </cell>
          <cell r="D663">
            <v>37993</v>
          </cell>
          <cell r="E663">
            <v>37974</v>
          </cell>
          <cell r="F663">
            <v>0.25</v>
          </cell>
          <cell r="G663" t="str">
            <v>Linha de Pintura 8,5m</v>
          </cell>
          <cell r="H663" t="str">
            <v>Vazamento no sistema de exaustão</v>
          </cell>
          <cell r="I663">
            <v>0</v>
          </cell>
          <cell r="J663" t="str">
            <v>Sim</v>
          </cell>
          <cell r="K663" t="str">
            <v>Mecânica</v>
          </cell>
          <cell r="L663" t="str">
            <v>Soldagem da Caixa do Pulmão</v>
          </cell>
          <cell r="M663" t="str">
            <v>Falha de Projeto</v>
          </cell>
          <cell r="N663">
            <v>0</v>
          </cell>
          <cell r="O663">
            <v>0.25</v>
          </cell>
          <cell r="P663">
            <v>0</v>
          </cell>
          <cell r="T663">
            <v>0</v>
          </cell>
          <cell r="U663">
            <v>0.30555555555555552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AB663">
            <v>0</v>
          </cell>
          <cell r="AC663">
            <v>12</v>
          </cell>
          <cell r="AD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</row>
        <row r="664">
          <cell r="C664">
            <v>37963</v>
          </cell>
          <cell r="I664">
            <v>0</v>
          </cell>
          <cell r="N664">
            <v>0</v>
          </cell>
          <cell r="P664">
            <v>0</v>
          </cell>
          <cell r="T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AB664">
            <v>0</v>
          </cell>
          <cell r="AC664">
            <v>12</v>
          </cell>
          <cell r="AD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</row>
        <row r="665">
          <cell r="C665">
            <v>37963</v>
          </cell>
          <cell r="I665">
            <v>0</v>
          </cell>
          <cell r="N665">
            <v>0</v>
          </cell>
          <cell r="P665">
            <v>0</v>
          </cell>
          <cell r="T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AB665">
            <v>0</v>
          </cell>
          <cell r="AC665">
            <v>12</v>
          </cell>
          <cell r="AD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</row>
        <row r="666">
          <cell r="C666">
            <v>37963</v>
          </cell>
          <cell r="I666">
            <v>0</v>
          </cell>
          <cell r="N666">
            <v>0</v>
          </cell>
          <cell r="P666">
            <v>0</v>
          </cell>
          <cell r="T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AB666">
            <v>0</v>
          </cell>
          <cell r="AC666">
            <v>12</v>
          </cell>
          <cell r="AD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</row>
        <row r="667">
          <cell r="C667">
            <v>37963</v>
          </cell>
          <cell r="I667">
            <v>0</v>
          </cell>
          <cell r="N667">
            <v>0</v>
          </cell>
          <cell r="P667">
            <v>0</v>
          </cell>
          <cell r="T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AB667">
            <v>0</v>
          </cell>
          <cell r="AC667">
            <v>12</v>
          </cell>
          <cell r="AD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</row>
        <row r="668">
          <cell r="C668">
            <v>37963</v>
          </cell>
          <cell r="I668">
            <v>0</v>
          </cell>
          <cell r="N668">
            <v>0</v>
          </cell>
          <cell r="P668">
            <v>0</v>
          </cell>
          <cell r="T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AB668">
            <v>0</v>
          </cell>
          <cell r="AC668">
            <v>12</v>
          </cell>
          <cell r="AD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</row>
        <row r="669">
          <cell r="C669">
            <v>37963</v>
          </cell>
          <cell r="D669">
            <v>37993</v>
          </cell>
          <cell r="E669">
            <v>37991</v>
          </cell>
          <cell r="F669">
            <v>0.33333333333333331</v>
          </cell>
          <cell r="G669" t="str">
            <v>Linha de Pintura 8,5m</v>
          </cell>
          <cell r="H669" t="str">
            <v>Pistola manual apresenta mau contato no cabo</v>
          </cell>
          <cell r="I669">
            <v>0</v>
          </cell>
          <cell r="J669" t="str">
            <v>Não</v>
          </cell>
          <cell r="K669" t="str">
            <v>Elétrica</v>
          </cell>
          <cell r="L669" t="str">
            <v>Correção de mau contato</v>
          </cell>
          <cell r="M669" t="str">
            <v>Mau contato</v>
          </cell>
          <cell r="N669">
            <v>0</v>
          </cell>
          <cell r="O669">
            <v>0.33333333333333331</v>
          </cell>
          <cell r="P669">
            <v>0</v>
          </cell>
          <cell r="T669">
            <v>0</v>
          </cell>
          <cell r="U669">
            <v>0.375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AB669">
            <v>0</v>
          </cell>
          <cell r="AC669">
            <v>12</v>
          </cell>
          <cell r="AD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</row>
        <row r="670">
          <cell r="C670">
            <v>37963</v>
          </cell>
          <cell r="I670">
            <v>0</v>
          </cell>
          <cell r="N670">
            <v>0</v>
          </cell>
          <cell r="P670">
            <v>0</v>
          </cell>
          <cell r="T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AB670">
            <v>0</v>
          </cell>
          <cell r="AC670">
            <v>12</v>
          </cell>
          <cell r="AD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</row>
        <row r="671">
          <cell r="C671">
            <v>37963</v>
          </cell>
          <cell r="I671">
            <v>0</v>
          </cell>
          <cell r="N671">
            <v>0</v>
          </cell>
          <cell r="P671">
            <v>0</v>
          </cell>
          <cell r="T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AB671">
            <v>0</v>
          </cell>
          <cell r="AC671">
            <v>12</v>
          </cell>
          <cell r="AD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</row>
        <row r="672">
          <cell r="C672">
            <v>37963</v>
          </cell>
          <cell r="D672">
            <v>37993</v>
          </cell>
          <cell r="E672">
            <v>37992</v>
          </cell>
          <cell r="F672">
            <v>0.375</v>
          </cell>
          <cell r="G672" t="str">
            <v>Linha de Pintura 8,5m</v>
          </cell>
          <cell r="H672" t="str">
            <v>Cabo da pistola manual rompido</v>
          </cell>
          <cell r="I672">
            <v>0</v>
          </cell>
          <cell r="J672" t="str">
            <v>Não</v>
          </cell>
          <cell r="K672" t="str">
            <v>Elétrica</v>
          </cell>
          <cell r="L672" t="str">
            <v>Reparo</v>
          </cell>
          <cell r="M672" t="str">
            <v>Falha Operacional</v>
          </cell>
          <cell r="N672">
            <v>0</v>
          </cell>
          <cell r="O672">
            <v>0.375</v>
          </cell>
          <cell r="P672">
            <v>0</v>
          </cell>
          <cell r="T672">
            <v>0</v>
          </cell>
          <cell r="U672">
            <v>0.41180555555555554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AB672">
            <v>0</v>
          </cell>
          <cell r="AC672">
            <v>12</v>
          </cell>
          <cell r="AD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</row>
        <row r="673">
          <cell r="C673">
            <v>37963</v>
          </cell>
          <cell r="I673">
            <v>0</v>
          </cell>
          <cell r="N673">
            <v>0</v>
          </cell>
          <cell r="P673">
            <v>0</v>
          </cell>
          <cell r="T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AB673">
            <v>0</v>
          </cell>
          <cell r="AC673">
            <v>12</v>
          </cell>
          <cell r="AD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</row>
        <row r="674">
          <cell r="C674">
            <v>37963</v>
          </cell>
          <cell r="I674">
            <v>0</v>
          </cell>
          <cell r="N674">
            <v>0</v>
          </cell>
          <cell r="P674">
            <v>0</v>
          </cell>
          <cell r="T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AB674">
            <v>0</v>
          </cell>
          <cell r="AC674">
            <v>12</v>
          </cell>
          <cell r="AD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</row>
        <row r="675">
          <cell r="C675">
            <v>37963</v>
          </cell>
          <cell r="I675">
            <v>0</v>
          </cell>
          <cell r="N675">
            <v>0</v>
          </cell>
          <cell r="P675">
            <v>0</v>
          </cell>
          <cell r="T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AB675">
            <v>0</v>
          </cell>
          <cell r="AC675">
            <v>12</v>
          </cell>
          <cell r="AD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</row>
        <row r="676">
          <cell r="C676">
            <v>37963</v>
          </cell>
          <cell r="I676">
            <v>0</v>
          </cell>
          <cell r="N676">
            <v>0</v>
          </cell>
          <cell r="P676">
            <v>0</v>
          </cell>
          <cell r="T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AB676">
            <v>0</v>
          </cell>
          <cell r="AC676">
            <v>12</v>
          </cell>
          <cell r="AD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</row>
        <row r="677">
          <cell r="C677">
            <v>37963</v>
          </cell>
          <cell r="I677">
            <v>0</v>
          </cell>
          <cell r="N677">
            <v>0</v>
          </cell>
          <cell r="P677">
            <v>0</v>
          </cell>
          <cell r="T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AB677">
            <v>0</v>
          </cell>
          <cell r="AC677">
            <v>12</v>
          </cell>
          <cell r="AD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</row>
        <row r="678">
          <cell r="C678">
            <v>37963</v>
          </cell>
          <cell r="I678">
            <v>0</v>
          </cell>
          <cell r="N678">
            <v>0</v>
          </cell>
          <cell r="P678">
            <v>0</v>
          </cell>
          <cell r="T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AB678">
            <v>0</v>
          </cell>
          <cell r="AC678">
            <v>12</v>
          </cell>
          <cell r="AD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</row>
        <row r="679">
          <cell r="C679">
            <v>37963</v>
          </cell>
          <cell r="D679">
            <v>37977</v>
          </cell>
          <cell r="E679">
            <v>37966</v>
          </cell>
          <cell r="F679">
            <v>0.85416666666666663</v>
          </cell>
          <cell r="G679" t="str">
            <v>Linha de Pintura 15m</v>
          </cell>
          <cell r="H679" t="str">
            <v>Exaustor não funciona</v>
          </cell>
          <cell r="I679">
            <v>0</v>
          </cell>
          <cell r="J679" t="str">
            <v>Sim</v>
          </cell>
          <cell r="K679" t="str">
            <v>Elétrica</v>
          </cell>
          <cell r="L679" t="str">
            <v>Substituição do(s) Componente(s)</v>
          </cell>
          <cell r="M679" t="str">
            <v>Sobrecarga</v>
          </cell>
          <cell r="N679">
            <v>37966</v>
          </cell>
          <cell r="O679">
            <v>0.86111111111111116</v>
          </cell>
          <cell r="P679">
            <v>0</v>
          </cell>
          <cell r="T679">
            <v>37966</v>
          </cell>
          <cell r="U679">
            <v>0.86805555555555547</v>
          </cell>
          <cell r="V679">
            <v>0</v>
          </cell>
          <cell r="W679">
            <v>1.3888888888080486E-2</v>
          </cell>
          <cell r="X679">
            <v>0</v>
          </cell>
          <cell r="Y679">
            <v>0</v>
          </cell>
          <cell r="AB679">
            <v>12</v>
          </cell>
          <cell r="AC679">
            <v>12</v>
          </cell>
          <cell r="AD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12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</row>
        <row r="680">
          <cell r="C680">
            <v>37963</v>
          </cell>
          <cell r="D680">
            <v>37993</v>
          </cell>
          <cell r="E680">
            <v>37965</v>
          </cell>
          <cell r="F680">
            <v>0.43333333333333335</v>
          </cell>
          <cell r="G680" t="str">
            <v>Linha de Pintura 15m</v>
          </cell>
          <cell r="H680" t="str">
            <v>Elevador fora do nível</v>
          </cell>
          <cell r="I680">
            <v>0</v>
          </cell>
          <cell r="J680" t="str">
            <v>Não</v>
          </cell>
          <cell r="K680" t="str">
            <v>Elétrica</v>
          </cell>
          <cell r="L680" t="str">
            <v>Ajuste / Regulagem</v>
          </cell>
          <cell r="M680" t="str">
            <v>Falha de Comando / Sistema</v>
          </cell>
          <cell r="N680">
            <v>0</v>
          </cell>
          <cell r="O680">
            <v>0.4375</v>
          </cell>
          <cell r="P680">
            <v>0</v>
          </cell>
          <cell r="T680">
            <v>0</v>
          </cell>
          <cell r="U680">
            <v>0.4513888888888889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AB680">
            <v>0</v>
          </cell>
          <cell r="AC680">
            <v>12</v>
          </cell>
          <cell r="AD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</row>
        <row r="681">
          <cell r="C681">
            <v>37963</v>
          </cell>
          <cell r="D681">
            <v>37977</v>
          </cell>
          <cell r="E681">
            <v>37966</v>
          </cell>
          <cell r="F681">
            <v>0.79166666666666663</v>
          </cell>
          <cell r="G681" t="str">
            <v>Linha de Pintura 15m</v>
          </cell>
          <cell r="H681" t="str">
            <v>Pistola de Líquido parada</v>
          </cell>
          <cell r="I681">
            <v>0</v>
          </cell>
          <cell r="J681" t="str">
            <v>Não</v>
          </cell>
          <cell r="K681" t="str">
            <v>Mecânica</v>
          </cell>
          <cell r="L681" t="str">
            <v>Substituição do(s) Componente(s)</v>
          </cell>
          <cell r="M681" t="str">
            <v>Falha Operacional</v>
          </cell>
          <cell r="N681">
            <v>37966</v>
          </cell>
          <cell r="O681">
            <v>0.79166666666666663</v>
          </cell>
          <cell r="P681">
            <v>0</v>
          </cell>
          <cell r="T681">
            <v>37966</v>
          </cell>
          <cell r="U681">
            <v>0.81944444444444453</v>
          </cell>
          <cell r="V681">
            <v>0</v>
          </cell>
          <cell r="W681">
            <v>2.7777777778586255E-2</v>
          </cell>
          <cell r="X681">
            <v>0</v>
          </cell>
          <cell r="Y681">
            <v>0</v>
          </cell>
          <cell r="AB681">
            <v>12</v>
          </cell>
          <cell r="AC681">
            <v>12</v>
          </cell>
          <cell r="AD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12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</row>
        <row r="682">
          <cell r="C682">
            <v>37963</v>
          </cell>
          <cell r="D682">
            <v>37977</v>
          </cell>
          <cell r="E682">
            <v>37967</v>
          </cell>
          <cell r="F682">
            <v>0.45833333333333331</v>
          </cell>
          <cell r="G682" t="str">
            <v>Linha de Pintura 15m</v>
          </cell>
          <cell r="H682" t="str">
            <v>Pistola no. 07 com problema no Venturi</v>
          </cell>
          <cell r="I682">
            <v>0</v>
          </cell>
          <cell r="J682" t="str">
            <v>Sim</v>
          </cell>
          <cell r="K682" t="str">
            <v>Mecânica</v>
          </cell>
          <cell r="L682" t="str">
            <v>Substituição do(s) Componente(s)</v>
          </cell>
          <cell r="M682" t="str">
            <v>Desgaste / Fadiga</v>
          </cell>
          <cell r="N682">
            <v>37967</v>
          </cell>
          <cell r="O682">
            <v>0.45833333333333331</v>
          </cell>
          <cell r="P682">
            <v>0</v>
          </cell>
          <cell r="T682">
            <v>37967</v>
          </cell>
          <cell r="U682">
            <v>0.46875</v>
          </cell>
          <cell r="V682">
            <v>0</v>
          </cell>
          <cell r="W682">
            <v>1.0416666666666685E-2</v>
          </cell>
          <cell r="X682">
            <v>0</v>
          </cell>
          <cell r="Y682">
            <v>0</v>
          </cell>
          <cell r="AB682">
            <v>12</v>
          </cell>
          <cell r="AC682">
            <v>12</v>
          </cell>
          <cell r="AD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12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</row>
        <row r="683">
          <cell r="C683">
            <v>37963</v>
          </cell>
          <cell r="E683">
            <v>37971</v>
          </cell>
          <cell r="F683">
            <v>0.84375</v>
          </cell>
          <cell r="G683" t="str">
            <v>Linha de Pintura 8,5m</v>
          </cell>
          <cell r="H683" t="str">
            <v>Exaustor não funciona</v>
          </cell>
          <cell r="I683">
            <v>0</v>
          </cell>
          <cell r="J683" t="str">
            <v>Sim</v>
          </cell>
          <cell r="K683" t="str">
            <v>Elétrica</v>
          </cell>
          <cell r="L683" t="str">
            <v>Substituição do(s) Componente(s)</v>
          </cell>
          <cell r="M683" t="str">
            <v>Sobrecarga</v>
          </cell>
          <cell r="N683">
            <v>0</v>
          </cell>
          <cell r="P683">
            <v>0</v>
          </cell>
          <cell r="T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AB683">
            <v>0</v>
          </cell>
          <cell r="AC683">
            <v>12</v>
          </cell>
          <cell r="AD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1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</row>
        <row r="684">
          <cell r="C684">
            <v>37963</v>
          </cell>
          <cell r="D684">
            <v>37993</v>
          </cell>
          <cell r="E684">
            <v>37972</v>
          </cell>
          <cell r="F684">
            <v>0.29166666666666669</v>
          </cell>
          <cell r="G684" t="str">
            <v>Linha de Pintura 15m</v>
          </cell>
          <cell r="H684" t="str">
            <v>Prendedor do braço da pistola 13 quebrado conforme regulagem</v>
          </cell>
          <cell r="I684">
            <v>0</v>
          </cell>
          <cell r="J684" t="str">
            <v>Não</v>
          </cell>
          <cell r="K684" t="str">
            <v>Mecânica</v>
          </cell>
          <cell r="L684" t="str">
            <v>Substituição do(s) Componente(s)</v>
          </cell>
          <cell r="M684" t="str">
            <v>Defeito de Fabricação</v>
          </cell>
          <cell r="N684">
            <v>0</v>
          </cell>
          <cell r="O684">
            <v>0.30208333333333331</v>
          </cell>
          <cell r="P684">
            <v>0</v>
          </cell>
          <cell r="T684">
            <v>0</v>
          </cell>
          <cell r="U684">
            <v>0.34722222222222227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AB684">
            <v>0</v>
          </cell>
          <cell r="AC684">
            <v>12</v>
          </cell>
          <cell r="AD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</row>
        <row r="685">
          <cell r="C685">
            <v>37963</v>
          </cell>
          <cell r="D685">
            <v>37993</v>
          </cell>
          <cell r="E685">
            <v>37973</v>
          </cell>
          <cell r="F685">
            <v>0.38194444444444442</v>
          </cell>
          <cell r="G685" t="str">
            <v>Linha de Pintura 15m</v>
          </cell>
          <cell r="H685" t="str">
            <v>Elevador fora do nível</v>
          </cell>
          <cell r="I685">
            <v>0</v>
          </cell>
          <cell r="J685" t="str">
            <v>Não</v>
          </cell>
          <cell r="K685" t="str">
            <v>Elétrica</v>
          </cell>
          <cell r="L685" t="str">
            <v>Ajuste / Regulagem</v>
          </cell>
          <cell r="M685" t="str">
            <v>Falha de Comando / Sistema</v>
          </cell>
          <cell r="N685">
            <v>0</v>
          </cell>
          <cell r="O685">
            <v>0.38194444444444442</v>
          </cell>
          <cell r="P685">
            <v>0</v>
          </cell>
          <cell r="T685">
            <v>0</v>
          </cell>
          <cell r="U685">
            <v>0.3888888888888889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AB685">
            <v>0</v>
          </cell>
          <cell r="AC685">
            <v>12</v>
          </cell>
          <cell r="AD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</row>
        <row r="686">
          <cell r="C686">
            <v>37963</v>
          </cell>
          <cell r="D686">
            <v>37993</v>
          </cell>
          <cell r="E686">
            <v>37973</v>
          </cell>
          <cell r="F686">
            <v>0.72916666666666663</v>
          </cell>
          <cell r="G686" t="str">
            <v>Linha de Pintura 8,5m</v>
          </cell>
          <cell r="H686" t="str">
            <v>Bastidor Travado</v>
          </cell>
          <cell r="I686">
            <v>0</v>
          </cell>
          <cell r="J686" t="str">
            <v>Não</v>
          </cell>
          <cell r="K686" t="str">
            <v>Mecânica</v>
          </cell>
          <cell r="L686" t="str">
            <v>Destravamento dos Componentes</v>
          </cell>
          <cell r="M686" t="str">
            <v>Falha de Comando / Sistema</v>
          </cell>
          <cell r="N686">
            <v>0</v>
          </cell>
          <cell r="O686">
            <v>0.73263888888888884</v>
          </cell>
          <cell r="P686">
            <v>0</v>
          </cell>
          <cell r="T686">
            <v>0</v>
          </cell>
          <cell r="U686">
            <v>0.74305555555555547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AB686">
            <v>0</v>
          </cell>
          <cell r="AC686">
            <v>12</v>
          </cell>
          <cell r="AD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</row>
        <row r="687">
          <cell r="C687">
            <v>37963</v>
          </cell>
          <cell r="D687">
            <v>37993</v>
          </cell>
          <cell r="E687">
            <v>37974</v>
          </cell>
          <cell r="F687">
            <v>0.60416666666666663</v>
          </cell>
          <cell r="G687" t="str">
            <v>Linha de Pintura 15m</v>
          </cell>
          <cell r="H687" t="str">
            <v>Bomba do Enxágüe 02 travada</v>
          </cell>
          <cell r="I687">
            <v>0</v>
          </cell>
          <cell r="J687" t="str">
            <v>Não</v>
          </cell>
          <cell r="K687" t="str">
            <v>Mecânica</v>
          </cell>
          <cell r="L687" t="str">
            <v>Mesmo após acompanhamento do funcionamento, o problema não foi detectado</v>
          </cell>
          <cell r="M687" t="str">
            <v>Falha Operacional</v>
          </cell>
          <cell r="N687">
            <v>0</v>
          </cell>
          <cell r="O687">
            <v>0.60763888888888895</v>
          </cell>
          <cell r="P687">
            <v>0</v>
          </cell>
          <cell r="T687">
            <v>0</v>
          </cell>
          <cell r="U687">
            <v>0.61805555555555558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AB687">
            <v>0</v>
          </cell>
          <cell r="AC687">
            <v>12</v>
          </cell>
          <cell r="AD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</row>
        <row r="688">
          <cell r="C688">
            <v>37963</v>
          </cell>
          <cell r="D688">
            <v>37993</v>
          </cell>
          <cell r="E688">
            <v>37974</v>
          </cell>
          <cell r="F688">
            <v>0.66666666666666663</v>
          </cell>
          <cell r="G688" t="str">
            <v>Linha de Pintura 15m</v>
          </cell>
          <cell r="H688" t="str">
            <v>Linha Travada</v>
          </cell>
          <cell r="I688">
            <v>0</v>
          </cell>
          <cell r="J688" t="str">
            <v>Sim</v>
          </cell>
          <cell r="K688" t="str">
            <v>Elétrica</v>
          </cell>
          <cell r="L688" t="str">
            <v>Mesmo após acompanhamento do funcionamento, o problema não foi detectado</v>
          </cell>
          <cell r="M688" t="str">
            <v>Falha Operacional</v>
          </cell>
          <cell r="N688">
            <v>0</v>
          </cell>
          <cell r="O688">
            <v>0.68055555555555547</v>
          </cell>
          <cell r="P688">
            <v>0</v>
          </cell>
          <cell r="T688">
            <v>0</v>
          </cell>
          <cell r="U688">
            <v>0.6875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AB688">
            <v>0</v>
          </cell>
          <cell r="AC688">
            <v>12</v>
          </cell>
          <cell r="AD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</row>
        <row r="689">
          <cell r="C689">
            <v>37963</v>
          </cell>
          <cell r="D689">
            <v>37993</v>
          </cell>
          <cell r="E689">
            <v>37978</v>
          </cell>
          <cell r="F689">
            <v>0.70833333333333337</v>
          </cell>
          <cell r="G689" t="str">
            <v>Linha de Pintura 15m</v>
          </cell>
          <cell r="H689" t="str">
            <v>Linha Travada</v>
          </cell>
          <cell r="I689">
            <v>0</v>
          </cell>
          <cell r="J689" t="str">
            <v>Sim</v>
          </cell>
          <cell r="K689" t="str">
            <v>Elétrica</v>
          </cell>
          <cell r="L689" t="str">
            <v>Recontagem dos bastidores nos estoques e correção</v>
          </cell>
          <cell r="M689" t="str">
            <v>Falha Operacional</v>
          </cell>
          <cell r="N689">
            <v>0</v>
          </cell>
          <cell r="O689">
            <v>0.70833333333333337</v>
          </cell>
          <cell r="P689">
            <v>0</v>
          </cell>
          <cell r="T689">
            <v>0</v>
          </cell>
          <cell r="U689">
            <v>0.77430555555555547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AB689">
            <v>0</v>
          </cell>
          <cell r="AC689">
            <v>12</v>
          </cell>
          <cell r="AD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</row>
        <row r="690">
          <cell r="C690">
            <v>37963</v>
          </cell>
          <cell r="I690">
            <v>0</v>
          </cell>
          <cell r="N690">
            <v>0</v>
          </cell>
          <cell r="P690">
            <v>0</v>
          </cell>
          <cell r="T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AB690">
            <v>0</v>
          </cell>
          <cell r="AC690">
            <v>12</v>
          </cell>
          <cell r="AD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</row>
        <row r="691">
          <cell r="C691">
            <v>37963</v>
          </cell>
          <cell r="I691">
            <v>0</v>
          </cell>
          <cell r="N691">
            <v>0</v>
          </cell>
          <cell r="P691">
            <v>0</v>
          </cell>
          <cell r="T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AB691">
            <v>0</v>
          </cell>
          <cell r="AC691">
            <v>12</v>
          </cell>
          <cell r="AD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</row>
        <row r="692">
          <cell r="C692">
            <v>37963</v>
          </cell>
          <cell r="D692">
            <v>37993</v>
          </cell>
          <cell r="E692">
            <v>37985</v>
          </cell>
          <cell r="F692">
            <v>0.58333333333333337</v>
          </cell>
          <cell r="G692" t="str">
            <v>Linha de Pintura 15m</v>
          </cell>
          <cell r="H692" t="str">
            <v>Parôs 03 e 11 não estão liberando</v>
          </cell>
          <cell r="I692">
            <v>0</v>
          </cell>
          <cell r="J692" t="str">
            <v>Sim</v>
          </cell>
          <cell r="K692" t="str">
            <v>Elétrica</v>
          </cell>
          <cell r="L692" t="str">
            <v>Recontagem dos bastidores nos estoques e correção</v>
          </cell>
          <cell r="M692" t="str">
            <v>Falha Operacional</v>
          </cell>
          <cell r="N692">
            <v>0</v>
          </cell>
          <cell r="O692">
            <v>0.58333333333333337</v>
          </cell>
          <cell r="P692">
            <v>0</v>
          </cell>
          <cell r="T692">
            <v>0</v>
          </cell>
          <cell r="U692">
            <v>0.66666666666666663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AB692">
            <v>0</v>
          </cell>
          <cell r="AC692">
            <v>12</v>
          </cell>
          <cell r="AD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</row>
        <row r="693">
          <cell r="C693">
            <v>37963</v>
          </cell>
          <cell r="I693">
            <v>0</v>
          </cell>
          <cell r="N693">
            <v>0</v>
          </cell>
          <cell r="P693">
            <v>0</v>
          </cell>
          <cell r="T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AB693">
            <v>0</v>
          </cell>
          <cell r="AC693">
            <v>12</v>
          </cell>
          <cell r="AD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</row>
        <row r="694">
          <cell r="C694">
            <v>37963</v>
          </cell>
          <cell r="I694">
            <v>0</v>
          </cell>
          <cell r="N694">
            <v>0</v>
          </cell>
          <cell r="P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AB694">
            <v>0</v>
          </cell>
          <cell r="AC694">
            <v>12</v>
          </cell>
          <cell r="AD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</row>
        <row r="695">
          <cell r="C695">
            <v>37963</v>
          </cell>
          <cell r="I695">
            <v>0</v>
          </cell>
          <cell r="N695">
            <v>0</v>
          </cell>
          <cell r="P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AB695">
            <v>0</v>
          </cell>
          <cell r="AC695">
            <v>12</v>
          </cell>
          <cell r="AD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</row>
        <row r="696">
          <cell r="C696">
            <v>37963</v>
          </cell>
          <cell r="I696">
            <v>0</v>
          </cell>
          <cell r="N696">
            <v>0</v>
          </cell>
          <cell r="P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AB696">
            <v>0</v>
          </cell>
          <cell r="AC696">
            <v>12</v>
          </cell>
          <cell r="AD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</row>
        <row r="697">
          <cell r="C697">
            <v>37963</v>
          </cell>
          <cell r="I697">
            <v>0</v>
          </cell>
          <cell r="N697">
            <v>0</v>
          </cell>
          <cell r="P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AB697">
            <v>0</v>
          </cell>
          <cell r="AC697">
            <v>12</v>
          </cell>
          <cell r="AD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</row>
        <row r="698">
          <cell r="C698">
            <v>37963</v>
          </cell>
          <cell r="I698">
            <v>0</v>
          </cell>
          <cell r="N698">
            <v>0</v>
          </cell>
          <cell r="P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AB698">
            <v>0</v>
          </cell>
          <cell r="AC698">
            <v>12</v>
          </cell>
          <cell r="AD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</row>
        <row r="699">
          <cell r="C699">
            <v>37963</v>
          </cell>
          <cell r="D699" t="str">
            <v>,0,</v>
          </cell>
          <cell r="E699">
            <v>37985</v>
          </cell>
          <cell r="F699">
            <v>0.38541666666666669</v>
          </cell>
          <cell r="G699" t="str">
            <v>Linha de Pintura 3,2m</v>
          </cell>
          <cell r="H699" t="str">
            <v>Pinça quebrada</v>
          </cell>
          <cell r="I699">
            <v>0</v>
          </cell>
          <cell r="J699" t="str">
            <v>Sim</v>
          </cell>
          <cell r="K699" t="str">
            <v>Mecânica</v>
          </cell>
          <cell r="L699" t="str">
            <v>Substituição do(s) Componente(s)</v>
          </cell>
          <cell r="M699" t="str">
            <v>Desgaste / Fadiga</v>
          </cell>
          <cell r="N699">
            <v>0</v>
          </cell>
          <cell r="O699">
            <v>0.3888888888888889</v>
          </cell>
          <cell r="P699">
            <v>0</v>
          </cell>
          <cell r="T699">
            <v>0</v>
          </cell>
          <cell r="U699">
            <v>0.42708333333333331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AB699">
            <v>0</v>
          </cell>
          <cell r="AC699">
            <v>12</v>
          </cell>
          <cell r="AD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</row>
        <row r="700">
          <cell r="C700">
            <v>37963</v>
          </cell>
          <cell r="I700">
            <v>0</v>
          </cell>
          <cell r="N700">
            <v>0</v>
          </cell>
          <cell r="P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AB700">
            <v>0</v>
          </cell>
          <cell r="AC700">
            <v>12</v>
          </cell>
          <cell r="AD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</row>
        <row r="701">
          <cell r="C701">
            <v>37963</v>
          </cell>
          <cell r="I701">
            <v>0</v>
          </cell>
          <cell r="N701">
            <v>0</v>
          </cell>
          <cell r="P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AB701">
            <v>0</v>
          </cell>
          <cell r="AC701">
            <v>12</v>
          </cell>
          <cell r="AD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</row>
        <row r="702">
          <cell r="C702">
            <v>37963</v>
          </cell>
          <cell r="I702">
            <v>0</v>
          </cell>
          <cell r="N702">
            <v>0</v>
          </cell>
          <cell r="P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AB702">
            <v>0</v>
          </cell>
          <cell r="AC702">
            <v>12</v>
          </cell>
          <cell r="AD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</row>
        <row r="703">
          <cell r="C703">
            <v>37963</v>
          </cell>
          <cell r="I703">
            <v>0</v>
          </cell>
          <cell r="N703">
            <v>0</v>
          </cell>
          <cell r="P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AB703">
            <v>0</v>
          </cell>
          <cell r="AC703">
            <v>12</v>
          </cell>
          <cell r="AD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</row>
        <row r="704">
          <cell r="C704">
            <v>37963</v>
          </cell>
          <cell r="I704">
            <v>0</v>
          </cell>
          <cell r="N704">
            <v>0</v>
          </cell>
          <cell r="P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AB704">
            <v>0</v>
          </cell>
          <cell r="AC704">
            <v>12</v>
          </cell>
          <cell r="AD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</row>
        <row r="705">
          <cell r="C705">
            <v>37963</v>
          </cell>
          <cell r="I705">
            <v>0</v>
          </cell>
          <cell r="N705">
            <v>0</v>
          </cell>
          <cell r="P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AB705">
            <v>0</v>
          </cell>
          <cell r="AC705">
            <v>12</v>
          </cell>
          <cell r="AD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</row>
        <row r="706">
          <cell r="C706">
            <v>37963</v>
          </cell>
          <cell r="I706">
            <v>0</v>
          </cell>
          <cell r="N706">
            <v>0</v>
          </cell>
          <cell r="P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AB706">
            <v>0</v>
          </cell>
          <cell r="AC706">
            <v>12</v>
          </cell>
          <cell r="AD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</row>
        <row r="707">
          <cell r="C707">
            <v>37963</v>
          </cell>
          <cell r="I707">
            <v>0</v>
          </cell>
          <cell r="N707">
            <v>0</v>
          </cell>
          <cell r="P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AB707">
            <v>0</v>
          </cell>
          <cell r="AC707">
            <v>12</v>
          </cell>
          <cell r="AD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</row>
        <row r="708">
          <cell r="C708">
            <v>37963</v>
          </cell>
          <cell r="I708">
            <v>0</v>
          </cell>
          <cell r="N708">
            <v>0</v>
          </cell>
          <cell r="P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AB708">
            <v>0</v>
          </cell>
          <cell r="AC708">
            <v>12</v>
          </cell>
          <cell r="AD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</row>
        <row r="709">
          <cell r="C709">
            <v>37963</v>
          </cell>
          <cell r="I709">
            <v>0</v>
          </cell>
          <cell r="N709">
            <v>0</v>
          </cell>
          <cell r="P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AB709">
            <v>0</v>
          </cell>
          <cell r="AC709">
            <v>12</v>
          </cell>
          <cell r="AD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</row>
        <row r="710">
          <cell r="C710">
            <v>37963</v>
          </cell>
          <cell r="I710">
            <v>0</v>
          </cell>
          <cell r="N710">
            <v>0</v>
          </cell>
          <cell r="P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AB710">
            <v>0</v>
          </cell>
          <cell r="AC710">
            <v>12</v>
          </cell>
          <cell r="AD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</row>
        <row r="711">
          <cell r="C711">
            <v>37963</v>
          </cell>
          <cell r="I711">
            <v>0</v>
          </cell>
          <cell r="N711">
            <v>0</v>
          </cell>
          <cell r="P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AB711">
            <v>0</v>
          </cell>
          <cell r="AC711">
            <v>12</v>
          </cell>
          <cell r="AD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</row>
        <row r="712">
          <cell r="C712">
            <v>37963</v>
          </cell>
          <cell r="I712">
            <v>0</v>
          </cell>
          <cell r="N712">
            <v>0</v>
          </cell>
          <cell r="P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AB712">
            <v>0</v>
          </cell>
          <cell r="AC712">
            <v>12</v>
          </cell>
          <cell r="AD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</row>
        <row r="713">
          <cell r="C713">
            <v>37963</v>
          </cell>
          <cell r="I713">
            <v>0</v>
          </cell>
          <cell r="N713">
            <v>0</v>
          </cell>
          <cell r="P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AB713">
            <v>0</v>
          </cell>
          <cell r="AC713">
            <v>12</v>
          </cell>
          <cell r="AD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</row>
        <row r="714">
          <cell r="C714">
            <v>37963</v>
          </cell>
          <cell r="I714">
            <v>0</v>
          </cell>
          <cell r="N714">
            <v>0</v>
          </cell>
          <cell r="P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AB714">
            <v>0</v>
          </cell>
          <cell r="AC714">
            <v>12</v>
          </cell>
          <cell r="AD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</row>
        <row r="715">
          <cell r="C715">
            <v>37963</v>
          </cell>
          <cell r="I715">
            <v>0</v>
          </cell>
          <cell r="N715">
            <v>0</v>
          </cell>
          <cell r="P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AB715">
            <v>0</v>
          </cell>
          <cell r="AC715">
            <v>12</v>
          </cell>
          <cell r="AD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</row>
        <row r="716">
          <cell r="C716">
            <v>37963</v>
          </cell>
          <cell r="I716">
            <v>0</v>
          </cell>
          <cell r="N716">
            <v>0</v>
          </cell>
          <cell r="P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AB716">
            <v>0</v>
          </cell>
          <cell r="AC716">
            <v>12</v>
          </cell>
          <cell r="AD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Nome</v>
          </cell>
          <cell r="B2" t="str">
            <v>Descrição</v>
          </cell>
          <cell r="C2" t="str">
            <v>Apelido</v>
          </cell>
          <cell r="D2" t="str">
            <v>Centro Custo</v>
          </cell>
          <cell r="E2" t="str">
            <v>Código SAP</v>
          </cell>
        </row>
        <row r="3">
          <cell r="A3" t="str">
            <v>Cabine de Pintura 15m</v>
          </cell>
          <cell r="B3" t="str">
            <v>Linha de Pintura Colunas (Até 15 m)</v>
          </cell>
          <cell r="C3" t="str">
            <v>Picasso</v>
          </cell>
          <cell r="D3" t="str">
            <v>EI32205803</v>
          </cell>
          <cell r="E3">
            <v>5803</v>
          </cell>
        </row>
        <row r="4">
          <cell r="A4" t="str">
            <v>Cabine de Pintura 3,2m</v>
          </cell>
          <cell r="B4" t="str">
            <v>Linha de Pintura Longarinas (Até 3,2 m)</v>
          </cell>
          <cell r="C4" t="str">
            <v>Dalí</v>
          </cell>
          <cell r="D4" t="str">
            <v>EI32205802</v>
          </cell>
          <cell r="E4">
            <v>5802</v>
          </cell>
        </row>
        <row r="5">
          <cell r="A5" t="str">
            <v>Cabine de Pintura 8,5m</v>
          </cell>
          <cell r="B5" t="str">
            <v>Linha de Pintura Produtos Gerais (Até 8,5 m)</v>
          </cell>
          <cell r="C5" t="str">
            <v>Goya</v>
          </cell>
          <cell r="D5" t="str">
            <v>EI32205801</v>
          </cell>
          <cell r="E5">
            <v>5801</v>
          </cell>
        </row>
        <row r="6">
          <cell r="A6" t="str">
            <v>Dobradeira Sorg</v>
          </cell>
          <cell r="B6" t="str">
            <v>Dobradeira Sorg</v>
          </cell>
          <cell r="D6" t="str">
            <v>EI32105201</v>
          </cell>
          <cell r="E6">
            <v>5201</v>
          </cell>
        </row>
        <row r="7">
          <cell r="A7" t="str">
            <v>Empilhadeira Elétrica</v>
          </cell>
          <cell r="B7" t="str">
            <v>Chefia e Movimentação</v>
          </cell>
          <cell r="D7" t="str">
            <v>EI32000000</v>
          </cell>
          <cell r="E7" t="str">
            <v>EI32000000</v>
          </cell>
        </row>
        <row r="8">
          <cell r="A8" t="str">
            <v>Esmerilhadeira</v>
          </cell>
          <cell r="B8" t="str">
            <v>Solda Manual</v>
          </cell>
          <cell r="D8" t="str">
            <v>EI32305701</v>
          </cell>
          <cell r="E8">
            <v>5701</v>
          </cell>
        </row>
        <row r="9">
          <cell r="A9" t="str">
            <v>Fresadora Universal</v>
          </cell>
          <cell r="B9" t="str">
            <v>Ferramentaria (Máquinas diversas)</v>
          </cell>
          <cell r="D9" t="str">
            <v>EI34000000</v>
          </cell>
          <cell r="E9" t="str">
            <v>EI34000000</v>
          </cell>
        </row>
        <row r="10">
          <cell r="A10" t="str">
            <v>Furadeira de Coluna</v>
          </cell>
          <cell r="B10" t="str">
            <v>Ferramentaria (Máquinas diversas)</v>
          </cell>
          <cell r="D10" t="str">
            <v>EI34000000</v>
          </cell>
          <cell r="E10" t="str">
            <v>EI34000000</v>
          </cell>
        </row>
        <row r="11">
          <cell r="A11" t="str">
            <v>Guilhotina Sorg</v>
          </cell>
          <cell r="B11" t="str">
            <v>Guilhotina Sorg</v>
          </cell>
          <cell r="D11" t="str">
            <v>EI32105402</v>
          </cell>
          <cell r="E11">
            <v>5402</v>
          </cell>
        </row>
        <row r="12">
          <cell r="A12" t="str">
            <v>Máquina de Embalar</v>
          </cell>
          <cell r="B12" t="str">
            <v>Pintura</v>
          </cell>
          <cell r="D12" t="str">
            <v>EI32200000</v>
          </cell>
        </row>
        <row r="13">
          <cell r="A13" t="str">
            <v>Máquina de Solda MIG</v>
          </cell>
          <cell r="B13" t="str">
            <v>Solda Manual</v>
          </cell>
          <cell r="D13" t="str">
            <v>EI32305700</v>
          </cell>
          <cell r="E13">
            <v>5700</v>
          </cell>
        </row>
        <row r="14">
          <cell r="A14" t="str">
            <v>Perfiladora Dimeco Conectores</v>
          </cell>
          <cell r="B14" t="str">
            <v>Perfiladora Dimeco Conectores + Prensa Jundiaí 200t com Alimentador</v>
          </cell>
          <cell r="C14" t="str">
            <v>Picún</v>
          </cell>
          <cell r="D14" t="str">
            <v>EI32105311</v>
          </cell>
          <cell r="E14">
            <v>5311</v>
          </cell>
        </row>
        <row r="15">
          <cell r="A15" t="str">
            <v>Perfiladora Dimeco Travesaños</v>
          </cell>
          <cell r="B15" t="str">
            <v>Perfiladora Dimeco Travesaños</v>
          </cell>
          <cell r="C15" t="str">
            <v>Pravia</v>
          </cell>
          <cell r="D15" t="str">
            <v>EI32105112</v>
          </cell>
          <cell r="E15">
            <v>5112</v>
          </cell>
        </row>
        <row r="16">
          <cell r="A16" t="str">
            <v>Perfiladora Fagor Largueros</v>
          </cell>
          <cell r="B16" t="str">
            <v>Perfiladora Fagor Largueros</v>
          </cell>
          <cell r="C16" t="str">
            <v>Asturias</v>
          </cell>
          <cell r="D16" t="str">
            <v>EI32105113</v>
          </cell>
          <cell r="E16">
            <v>5113</v>
          </cell>
        </row>
        <row r="17">
          <cell r="A17" t="str">
            <v>Perfiladora Fagor Montantes</v>
          </cell>
          <cell r="B17" t="str">
            <v>Perfiladora Fagor Montantes</v>
          </cell>
          <cell r="C17" t="str">
            <v>Iberia</v>
          </cell>
          <cell r="D17" t="str">
            <v>EI32105102</v>
          </cell>
          <cell r="E17">
            <v>5102</v>
          </cell>
        </row>
        <row r="18">
          <cell r="A18" t="str">
            <v>Perfiladora Gasparini</v>
          </cell>
          <cell r="B18" t="str">
            <v>Perfiladora de Colunas Gasparini</v>
          </cell>
          <cell r="C18" t="str">
            <v>Filippo</v>
          </cell>
          <cell r="D18" t="str">
            <v>EI32105101</v>
          </cell>
          <cell r="E18">
            <v>5101</v>
          </cell>
        </row>
        <row r="19">
          <cell r="A19" t="str">
            <v>Perfiladora Zikeli</v>
          </cell>
          <cell r="B19" t="str">
            <v>Perfiladora Zikeli</v>
          </cell>
          <cell r="C19" t="str">
            <v>María</v>
          </cell>
          <cell r="D19" t="str">
            <v>EI32105111</v>
          </cell>
          <cell r="E19">
            <v>5111</v>
          </cell>
        </row>
        <row r="20">
          <cell r="A20" t="str">
            <v>Prensa Gijón</v>
          </cell>
          <cell r="B20" t="str">
            <v>Prensa Gijón</v>
          </cell>
          <cell r="D20" t="str">
            <v>EI32105321</v>
          </cell>
          <cell r="E20">
            <v>5321</v>
          </cell>
        </row>
        <row r="21">
          <cell r="A21" t="str">
            <v>Prensa Jundiaí</v>
          </cell>
          <cell r="B21" t="str">
            <v>Prensa Jundiaí</v>
          </cell>
          <cell r="D21" t="str">
            <v>EI32105301</v>
          </cell>
          <cell r="E21">
            <v>5301</v>
          </cell>
        </row>
        <row r="22">
          <cell r="A22" t="str">
            <v>Retífica Plana</v>
          </cell>
          <cell r="B22" t="str">
            <v>Ferramentaria (Máquinas diversas)</v>
          </cell>
          <cell r="D22" t="str">
            <v>EI34000000</v>
          </cell>
          <cell r="E22" t="str">
            <v>EI34000000</v>
          </cell>
        </row>
        <row r="23">
          <cell r="A23" t="str">
            <v>Robô de Solda Automática</v>
          </cell>
          <cell r="B23" t="str">
            <v>Células de Solda Robotizadas / Longarinas</v>
          </cell>
          <cell r="C23" t="str">
            <v>Brasil</v>
          </cell>
          <cell r="D23" t="str">
            <v>EI32305724</v>
          </cell>
          <cell r="E23">
            <v>5724</v>
          </cell>
        </row>
        <row r="24">
          <cell r="A24" t="str">
            <v>Robô de Solda Automática</v>
          </cell>
          <cell r="B24" t="str">
            <v>Células de Solda Robotizadas / Longarinas</v>
          </cell>
          <cell r="C24" t="str">
            <v>España</v>
          </cell>
          <cell r="D24" t="str">
            <v>EI32305724</v>
          </cell>
          <cell r="E24">
            <v>5724</v>
          </cell>
        </row>
        <row r="25">
          <cell r="A25" t="str">
            <v>Robô de Solda Manual</v>
          </cell>
          <cell r="B25" t="str">
            <v>Célula de Solda Robotizada / Bases</v>
          </cell>
          <cell r="C25" t="str">
            <v>Pelé</v>
          </cell>
          <cell r="D25" t="str">
            <v>EI32305723</v>
          </cell>
          <cell r="E25">
            <v>5723</v>
          </cell>
        </row>
        <row r="26">
          <cell r="A26" t="str">
            <v>Robô de Solda Manual</v>
          </cell>
          <cell r="B26" t="str">
            <v>Célula de Solda Robotizada / Longarinas</v>
          </cell>
          <cell r="C26" t="str">
            <v>Pim-Pam-Pum</v>
          </cell>
          <cell r="D26" t="str">
            <v>EI32305721</v>
          </cell>
          <cell r="E26">
            <v>5721</v>
          </cell>
        </row>
        <row r="27">
          <cell r="A27" t="str">
            <v>Robô de Solda Manual</v>
          </cell>
          <cell r="B27" t="str">
            <v>Célula de Solda Robotizada / Longarinas</v>
          </cell>
          <cell r="C27" t="str">
            <v>Samba</v>
          </cell>
          <cell r="D27" t="str">
            <v>EI32305722</v>
          </cell>
          <cell r="E27">
            <v>5722</v>
          </cell>
        </row>
        <row r="28">
          <cell r="A28" t="str">
            <v>Sala dos Compressores</v>
          </cell>
          <cell r="B28" t="str">
            <v>Prédio Fábrica</v>
          </cell>
          <cell r="D28" t="str">
            <v>EI30500000</v>
          </cell>
        </row>
        <row r="29">
          <cell r="A29" t="str">
            <v>Serra de Fita</v>
          </cell>
          <cell r="B29" t="str">
            <v>Serra de Fita</v>
          </cell>
          <cell r="D29" t="str">
            <v>EI32105501</v>
          </cell>
          <cell r="E29">
            <v>5501</v>
          </cell>
        </row>
        <row r="30">
          <cell r="A30" t="str">
            <v>Serra Elétrica Circular</v>
          </cell>
          <cell r="B30" t="str">
            <v>Serras Brasil</v>
          </cell>
          <cell r="D30" t="str">
            <v>EI32105500</v>
          </cell>
          <cell r="E30">
            <v>5500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ATENCION "/>
      <sheetName val="ANALISIS"/>
      <sheetName val="LISTADO MAESTRO"/>
      <sheetName val="RESPONSABLE "/>
      <sheetName val="OTROS"/>
      <sheetName val="INDICADOR"/>
      <sheetName val="Datos para Ind"/>
      <sheetName val="gRAFICA TIPIF"/>
      <sheetName val="Hoja1"/>
    </sheetNames>
    <sheetDataSet>
      <sheetData sheetId="0"/>
      <sheetData sheetId="1">
        <row r="6">
          <cell r="E6">
            <v>45524</v>
          </cell>
          <cell r="G6" t="str">
            <v>CUNDINAMARCA</v>
          </cell>
          <cell r="L6">
            <v>162</v>
          </cell>
        </row>
        <row r="17">
          <cell r="E17" t="str">
            <v>FUNDACION ABOOD SHAIO EN REESTRUCTURACION</v>
          </cell>
        </row>
      </sheetData>
      <sheetData sheetId="2"/>
      <sheetData sheetId="3"/>
      <sheetData sheetId="4">
        <row r="2">
          <cell r="A2" t="str">
            <v>ANDREA HERRERA</v>
          </cell>
          <cell r="B2" t="str">
            <v>DIRECTORA  NACIONAL ADMINISTRATIVA</v>
          </cell>
        </row>
        <row r="3">
          <cell r="A3" t="str">
            <v>TATIANA RICO</v>
          </cell>
          <cell r="B3" t="str">
            <v>DIRECTOR DE CALIDAD REGIONA LLANOS</v>
          </cell>
        </row>
        <row r="4">
          <cell r="A4" t="str">
            <v>IVAN PEREIRA</v>
          </cell>
          <cell r="B4" t="str">
            <v>DIRECTOR TECNICO REGIONAL SANTANDER</v>
          </cell>
        </row>
        <row r="5">
          <cell r="A5" t="str">
            <v>CARMONA RIOS FRANCISCO JULIAN</v>
          </cell>
          <cell r="B5" t="str">
            <v>DIRECTOR DE CALIDAD REGIONAL  ANTIOQUIA</v>
          </cell>
        </row>
        <row r="6">
          <cell r="A6" t="str">
            <v>ESTEFANIA MARTINEZ MARTINEZ</v>
          </cell>
          <cell r="B6" t="str">
            <v>DIRECTOR  DE CALIDAD REGIONAL  COSTA</v>
          </cell>
        </row>
        <row r="7">
          <cell r="A7" t="str">
            <v>DORIA NARVÁEZ  REYES ENRIQUE</v>
          </cell>
          <cell r="B7" t="str">
            <v>COORDINADOR PRODUCCION PLANTA SOLIDOS NO ESTERILES BOGOTA</v>
          </cell>
        </row>
        <row r="8">
          <cell r="A8" t="str">
            <v>DIANA M MUÑOZ M</v>
          </cell>
          <cell r="B8" t="str">
            <v>DIRECTOR DE ASEGURAMIENTO DE CALIDAD NACIONAL</v>
          </cell>
        </row>
        <row r="9">
          <cell r="A9" t="str">
            <v>FLOR DE LIZ PINEDA</v>
          </cell>
          <cell r="B9" t="str">
            <v>ANALISTA DE GESTION DE CALIDAD NACIONAL</v>
          </cell>
        </row>
        <row r="10">
          <cell r="A10" t="str">
            <v>FRANCISCO  ALVAREZ</v>
          </cell>
          <cell r="B10" t="str">
            <v>DIRECTOR TECNICO REGIONAL CUNDINAMARCA</v>
          </cell>
        </row>
        <row r="11">
          <cell r="A11" t="str">
            <v>CHIRINOS MAESTRE MARY YOHELIN</v>
          </cell>
          <cell r="B11" t="str">
            <v>DIRECTOR  DE CALIDAD REGIONAL CUNDINAMARCA</v>
          </cell>
        </row>
        <row r="12">
          <cell r="A12" t="str">
            <v>GRANADA ESTRADA HERMES JAMES</v>
          </cell>
          <cell r="B12" t="str">
            <v>DIRECTOR TECNICO  REGIONAL ANTIOQUIA</v>
          </cell>
        </row>
        <row r="13">
          <cell r="A13" t="str">
            <v>HENRY GUEVARA  BOHORQUEZ</v>
          </cell>
          <cell r="B13" t="str">
            <v xml:space="preserve">JEFE NACIONAL DE INVENTARIOS </v>
          </cell>
        </row>
        <row r="14">
          <cell r="A14" t="str">
            <v>SAMANTHA RICHES</v>
          </cell>
          <cell r="B14" t="str">
            <v>DIRECTOR DE CALIDAD REGIONAL OCCIDENTE</v>
          </cell>
        </row>
        <row r="15">
          <cell r="A15" t="str">
            <v xml:space="preserve">LEIDY MAYURY TORRES TRUJILLO </v>
          </cell>
          <cell r="B15" t="str">
            <v>COORDINADORA DE LOGISTICA</v>
          </cell>
        </row>
        <row r="16">
          <cell r="A16" t="str">
            <v>RUBER VALECILLOS</v>
          </cell>
          <cell r="B16" t="str">
            <v>DIRECTOR TECNICO REGIONAL CUND. MARLY</v>
          </cell>
        </row>
        <row r="17">
          <cell r="A17" t="str">
            <v>MARTINEZ GRANADOS MARIA VICTORIA</v>
          </cell>
          <cell r="B17" t="str">
            <v>DIRECTOR TECNICO REGIONAL COSTA</v>
          </cell>
        </row>
        <row r="18">
          <cell r="A18" t="str">
            <v>ANGELA MARCELA PARRA ESPITIA</v>
          </cell>
          <cell r="B18" t="str">
            <v>DIRECTOR TECNICO  REGIONAL OCCIDENTE</v>
          </cell>
        </row>
        <row r="19">
          <cell r="A19" t="str">
            <v>NATHALY TRIANA CABALLERO</v>
          </cell>
          <cell r="B19" t="str">
            <v>COORDINADORA COMERCIAL Y CARTERA NACIONAL</v>
          </cell>
        </row>
        <row r="20">
          <cell r="A20" t="str">
            <v>ORTIZ CUADRO MARIA LUISA</v>
          </cell>
          <cell r="B20" t="str">
            <v>DIRECTOR DE CALIDAD REGIONALA EJE CAFETERO</v>
          </cell>
        </row>
        <row r="21">
          <cell r="A21" t="str">
            <v>OSCAR JAVIER  ALVAREZ</v>
          </cell>
          <cell r="B21" t="str">
            <v xml:space="preserve">DIRECTOR NACIONAL DE OPERACIONES </v>
          </cell>
        </row>
        <row r="22">
          <cell r="A22" t="str">
            <v>RICO GIL LEIDY BIBIANA</v>
          </cell>
          <cell r="B22" t="str">
            <v>DIRECTOR TECNICO  REGIONAL EJE CAFETERO</v>
          </cell>
        </row>
        <row r="23">
          <cell r="A23" t="str">
            <v>MANUELA TRUJILLO GONZALEZ</v>
          </cell>
          <cell r="B23" t="str">
            <v>DIRECTOR CALIDAD REGIONAL CUND. MARLY</v>
          </cell>
        </row>
        <row r="24">
          <cell r="A24" t="str">
            <v xml:space="preserve">LUIS CAMILO QUIROGA </v>
          </cell>
          <cell r="B24" t="str">
            <v>DIRECTOR CALIDAD REGIONAL SANTANDER</v>
          </cell>
        </row>
        <row r="25">
          <cell r="A25" t="str">
            <v>SASKIA MABEL RUDAS VILLARREAL</v>
          </cell>
          <cell r="B25" t="str">
            <v>DIRECTOR TECNICO  REGIONAL LLANOS</v>
          </cell>
        </row>
        <row r="26">
          <cell r="A26" t="str">
            <v>Uni Katy Karina Ortega Acevedo</v>
          </cell>
          <cell r="B26" t="str">
            <v>DIRECTOR TECNICO HOMIL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A980-9F3E-4EB7-A828-F57969332BC9}">
  <sheetPr>
    <pageSetUpPr fitToPage="1"/>
  </sheetPr>
  <dimension ref="A1:Z1000"/>
  <sheetViews>
    <sheetView showGridLines="0" topLeftCell="A33" workbookViewId="0">
      <selection activeCell="E36" sqref="E36:H36"/>
    </sheetView>
  </sheetViews>
  <sheetFormatPr baseColWidth="10" defaultColWidth="14.42578125" defaultRowHeight="15" customHeight="1" x14ac:dyDescent="0.25"/>
  <cols>
    <col min="1" max="1" width="3.85546875" customWidth="1"/>
    <col min="2" max="2" width="15.7109375" customWidth="1"/>
    <col min="3" max="3" width="2.42578125" customWidth="1"/>
    <col min="4" max="4" width="20.7109375" customWidth="1"/>
    <col min="5" max="5" width="21" customWidth="1"/>
    <col min="6" max="6" width="16.7109375" customWidth="1"/>
    <col min="7" max="7" width="14.28515625" customWidth="1"/>
    <col min="8" max="8" width="23.5703125" customWidth="1"/>
    <col min="9" max="9" width="6.28515625" customWidth="1"/>
    <col min="10" max="10" width="5.42578125" customWidth="1"/>
    <col min="11" max="11" width="16.28515625" customWidth="1"/>
    <col min="12" max="12" width="19.7109375" customWidth="1"/>
    <col min="13" max="13" width="2.140625" customWidth="1"/>
    <col min="14" max="14" width="11.42578125" hidden="1" customWidth="1"/>
    <col min="15" max="16" width="11.42578125" customWidth="1"/>
    <col min="17" max="26" width="10.7109375" customWidth="1"/>
  </cols>
  <sheetData>
    <row r="1" spans="1:26" ht="38.25" customHeight="1" x14ac:dyDescent="0.25">
      <c r="A1" s="1"/>
      <c r="B1" s="156"/>
      <c r="C1" s="157"/>
      <c r="D1" s="157"/>
      <c r="E1" s="157"/>
      <c r="F1" s="157"/>
      <c r="G1" s="157"/>
      <c r="H1" s="157"/>
      <c r="I1" s="157"/>
      <c r="J1" s="157"/>
      <c r="K1" s="158"/>
      <c r="L1" s="159" t="s">
        <v>0</v>
      </c>
      <c r="M1" s="16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6" customHeight="1" x14ac:dyDescent="0.25">
      <c r="A2" s="1"/>
      <c r="B2" s="161" t="s">
        <v>1</v>
      </c>
      <c r="C2" s="116"/>
      <c r="D2" s="116"/>
      <c r="E2" s="116"/>
      <c r="F2" s="116"/>
      <c r="G2" s="116"/>
      <c r="H2" s="116"/>
      <c r="I2" s="116"/>
      <c r="J2" s="116"/>
      <c r="K2" s="117"/>
      <c r="L2" s="162" t="s">
        <v>2</v>
      </c>
      <c r="M2" s="11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25" customHeight="1" x14ac:dyDescent="0.25">
      <c r="A4" s="1"/>
      <c r="B4" s="120" t="s">
        <v>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.5" customHeight="1" x14ac:dyDescent="0.25">
      <c r="A5" s="1"/>
      <c r="B5" s="5"/>
      <c r="C5" s="6"/>
      <c r="D5" s="6"/>
      <c r="E5" s="6"/>
      <c r="F5" s="6"/>
      <c r="G5" s="7"/>
      <c r="H5" s="6"/>
      <c r="I5" s="6"/>
      <c r="J5" s="6"/>
      <c r="K5" s="6"/>
      <c r="L5" s="6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.25" customHeight="1" x14ac:dyDescent="0.25">
      <c r="A6" s="1"/>
      <c r="B6" s="163" t="s">
        <v>4</v>
      </c>
      <c r="C6" s="137"/>
      <c r="D6" s="153"/>
      <c r="E6" s="10">
        <v>45524</v>
      </c>
      <c r="F6" s="11" t="s">
        <v>5</v>
      </c>
      <c r="G6" s="140" t="s">
        <v>6</v>
      </c>
      <c r="H6" s="116"/>
      <c r="I6" s="117"/>
      <c r="J6" s="164" t="s">
        <v>7</v>
      </c>
      <c r="K6" s="153"/>
      <c r="L6" s="13">
        <v>162</v>
      </c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" customHeight="1" x14ac:dyDescent="0.25">
      <c r="A7" s="1"/>
      <c r="B7" s="5"/>
      <c r="C7" s="6"/>
      <c r="D7" s="6"/>
      <c r="E7" s="14"/>
      <c r="F7" s="14"/>
      <c r="G7" s="6"/>
      <c r="H7" s="14"/>
      <c r="I7" s="14"/>
      <c r="J7" s="14"/>
      <c r="K7" s="14"/>
      <c r="L7" s="139"/>
      <c r="M7" s="12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.5" customHeight="1" x14ac:dyDescent="0.25">
      <c r="A8" s="1"/>
      <c r="B8" s="5"/>
      <c r="C8" s="6"/>
      <c r="D8" s="6"/>
      <c r="E8" s="14"/>
      <c r="F8" s="14"/>
      <c r="G8" s="6"/>
      <c r="H8" s="14"/>
      <c r="I8" s="14"/>
      <c r="J8" s="14"/>
      <c r="K8" s="14"/>
      <c r="L8" s="6"/>
      <c r="M8" s="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25">
      <c r="A9" s="1"/>
      <c r="B9" s="152" t="s">
        <v>8</v>
      </c>
      <c r="C9" s="137"/>
      <c r="D9" s="153"/>
      <c r="E9" s="15">
        <v>0.38541666666666669</v>
      </c>
      <c r="F9" s="154" t="s">
        <v>9</v>
      </c>
      <c r="G9" s="153"/>
      <c r="H9" s="140" t="s">
        <v>10</v>
      </c>
      <c r="I9" s="116"/>
      <c r="J9" s="116"/>
      <c r="K9" s="117"/>
      <c r="L9" s="155"/>
      <c r="M9" s="12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/>
      <c r="B10" s="17"/>
      <c r="C10" s="18"/>
      <c r="D10" s="18"/>
      <c r="E10" s="14"/>
      <c r="F10" s="14"/>
      <c r="G10" s="139" t="s">
        <v>11</v>
      </c>
      <c r="H10" s="137"/>
      <c r="I10" s="137"/>
      <c r="J10" s="137"/>
      <c r="K10" s="137"/>
      <c r="L10" s="137"/>
      <c r="M10" s="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25">
      <c r="A11" s="1"/>
      <c r="B11" s="149" t="s">
        <v>12</v>
      </c>
      <c r="C11" s="137"/>
      <c r="D11" s="137"/>
      <c r="E11" s="137"/>
      <c r="F11" s="150" t="s">
        <v>13</v>
      </c>
      <c r="G11" s="116"/>
      <c r="H11" s="117"/>
      <c r="I11" s="16"/>
      <c r="J11" s="14"/>
      <c r="K11" s="14"/>
      <c r="L11" s="139"/>
      <c r="M11" s="12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.5" customHeight="1" thickBot="1" x14ac:dyDescent="0.3">
      <c r="A12" s="1"/>
      <c r="B12" s="20"/>
      <c r="C12" s="21"/>
      <c r="D12" s="21"/>
      <c r="E12" s="21"/>
      <c r="F12" s="21"/>
      <c r="G12" s="21"/>
      <c r="H12" s="22"/>
      <c r="I12" s="22"/>
      <c r="J12" s="23"/>
      <c r="K12" s="23"/>
      <c r="L12" s="23"/>
      <c r="M12" s="2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"/>
      <c r="B13" s="2"/>
      <c r="C13" s="3"/>
      <c r="D13" s="3"/>
      <c r="E13" s="3"/>
      <c r="F13" s="25"/>
      <c r="G13" s="3"/>
      <c r="H13" s="3"/>
      <c r="I13" s="3"/>
      <c r="J13" s="3"/>
      <c r="K13" s="3"/>
      <c r="L13" s="25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.25" customHeight="1" x14ac:dyDescent="0.25">
      <c r="A14" s="1"/>
      <c r="B14" s="120" t="s">
        <v>14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25" customHeight="1" x14ac:dyDescent="0.25">
      <c r="A15" s="1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25">
      <c r="A16" s="29"/>
      <c r="B16" s="30"/>
      <c r="C16" s="31"/>
      <c r="D16" s="31"/>
      <c r="E16" s="151" t="s">
        <v>15</v>
      </c>
      <c r="F16" s="137"/>
      <c r="G16" s="137"/>
      <c r="H16" s="137"/>
      <c r="I16" s="137"/>
      <c r="J16" s="137"/>
      <c r="K16" s="32"/>
      <c r="L16" s="33"/>
      <c r="M16" s="3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4" customHeight="1" x14ac:dyDescent="0.25">
      <c r="A17" s="1"/>
      <c r="B17" s="30"/>
      <c r="C17" s="31"/>
      <c r="D17" s="31"/>
      <c r="E17" s="142" t="s">
        <v>16</v>
      </c>
      <c r="F17" s="143"/>
      <c r="G17" s="143"/>
      <c r="H17" s="143"/>
      <c r="I17" s="143"/>
      <c r="J17" s="143"/>
      <c r="K17" s="144"/>
      <c r="L17" s="33"/>
      <c r="M17" s="3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customHeight="1" x14ac:dyDescent="0.25">
      <c r="A18" s="1"/>
      <c r="B18" s="2"/>
      <c r="C18" s="3"/>
      <c r="D18" s="3"/>
      <c r="E18" s="33" t="s">
        <v>17</v>
      </c>
      <c r="F18" s="31"/>
      <c r="G18" s="33"/>
      <c r="H18" s="33"/>
      <c r="I18" s="33"/>
      <c r="J18" s="33"/>
      <c r="K18" s="33"/>
      <c r="L18" s="33"/>
      <c r="M18" s="3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customHeight="1" x14ac:dyDescent="0.25">
      <c r="A19" s="1"/>
      <c r="B19" s="2"/>
      <c r="C19" s="3"/>
      <c r="D19" s="3"/>
      <c r="E19" s="142" t="s">
        <v>18</v>
      </c>
      <c r="F19" s="143"/>
      <c r="G19" s="143"/>
      <c r="H19" s="143"/>
      <c r="I19" s="143"/>
      <c r="J19" s="143"/>
      <c r="K19" s="144"/>
      <c r="L19" s="33"/>
      <c r="M19" s="3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25" customHeight="1" x14ac:dyDescent="0.25">
      <c r="A20" s="1"/>
      <c r="B20" s="2"/>
      <c r="C20" s="3"/>
      <c r="D20" s="3"/>
      <c r="E20" s="33" t="s">
        <v>19</v>
      </c>
      <c r="F20" s="33"/>
      <c r="G20" s="33"/>
      <c r="H20" s="33"/>
      <c r="I20" s="33"/>
      <c r="J20" s="33"/>
      <c r="K20" s="33"/>
      <c r="L20" s="33"/>
      <c r="M20" s="3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25" customHeight="1" x14ac:dyDescent="0.25">
      <c r="A21" s="1"/>
      <c r="B21" s="2"/>
      <c r="C21" s="3"/>
      <c r="D21" s="3"/>
      <c r="E21" s="118" t="s">
        <v>20</v>
      </c>
      <c r="F21" s="116"/>
      <c r="G21" s="116"/>
      <c r="H21" s="116"/>
      <c r="I21" s="116"/>
      <c r="J21" s="116"/>
      <c r="K21" s="117"/>
      <c r="L21" s="33"/>
      <c r="M21" s="3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25" customHeight="1" x14ac:dyDescent="0.25">
      <c r="A22" s="1"/>
      <c r="B22" s="2"/>
      <c r="C22" s="3"/>
      <c r="D22" s="3"/>
      <c r="E22" s="33" t="s">
        <v>21</v>
      </c>
      <c r="F22" s="33"/>
      <c r="G22" s="33"/>
      <c r="H22" s="33"/>
      <c r="I22" s="33"/>
      <c r="J22" s="33"/>
      <c r="K22" s="33"/>
      <c r="L22" s="33"/>
      <c r="M22" s="3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.75" customHeight="1" x14ac:dyDescent="0.25">
      <c r="A23" s="1"/>
      <c r="B23" s="2"/>
      <c r="C23" s="3"/>
      <c r="D23" s="3"/>
      <c r="E23" s="142"/>
      <c r="F23" s="143"/>
      <c r="G23" s="143"/>
      <c r="H23" s="143"/>
      <c r="I23" s="143"/>
      <c r="J23" s="143"/>
      <c r="K23" s="144"/>
      <c r="L23" s="36"/>
      <c r="M23" s="3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25" customHeight="1" x14ac:dyDescent="0.25">
      <c r="A24" s="1"/>
      <c r="B24" s="2"/>
      <c r="C24" s="3"/>
      <c r="D24" s="3"/>
      <c r="E24" s="33" t="s">
        <v>10</v>
      </c>
      <c r="F24" s="33"/>
      <c r="G24" s="37" t="s">
        <v>22</v>
      </c>
      <c r="H24" s="33"/>
      <c r="I24" s="33"/>
      <c r="J24" s="33"/>
      <c r="K24" s="33"/>
      <c r="L24" s="33"/>
      <c r="M24" s="3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9.25" customHeight="1" x14ac:dyDescent="0.25">
      <c r="A25" s="1"/>
      <c r="B25" s="2"/>
      <c r="C25" s="3"/>
      <c r="D25" s="3"/>
      <c r="E25" s="142"/>
      <c r="F25" s="143"/>
      <c r="G25" s="143"/>
      <c r="H25" s="143"/>
      <c r="I25" s="143"/>
      <c r="J25" s="143"/>
      <c r="K25" s="144"/>
      <c r="L25" s="33"/>
      <c r="M25" s="3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 x14ac:dyDescent="0.25">
      <c r="A26" s="1"/>
      <c r="B26" s="2"/>
      <c r="C26" s="3"/>
      <c r="D26" s="3"/>
      <c r="E26" s="33" t="s">
        <v>23</v>
      </c>
      <c r="F26" s="33"/>
      <c r="G26" s="33"/>
      <c r="H26" s="33"/>
      <c r="I26" s="33"/>
      <c r="J26" s="33"/>
      <c r="K26" s="33"/>
      <c r="L26" s="33"/>
      <c r="M26" s="3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9.25" customHeight="1" x14ac:dyDescent="0.25">
      <c r="A27" s="1"/>
      <c r="B27" s="2"/>
      <c r="C27" s="3"/>
      <c r="D27" s="3"/>
      <c r="E27" s="145"/>
      <c r="F27" s="146"/>
      <c r="G27" s="146"/>
      <c r="H27" s="146"/>
      <c r="I27" s="146"/>
      <c r="J27" s="146"/>
      <c r="K27" s="147"/>
      <c r="L27" s="33"/>
      <c r="M27" s="3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"/>
      <c r="C28" s="3"/>
      <c r="D28" s="3"/>
      <c r="E28" s="148"/>
      <c r="F28" s="128"/>
      <c r="G28" s="128"/>
      <c r="H28" s="128"/>
      <c r="I28" s="128"/>
      <c r="J28" s="128"/>
      <c r="K28" s="38"/>
      <c r="L28" s="33"/>
      <c r="M28" s="3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.25" customHeight="1" x14ac:dyDescent="0.25">
      <c r="A29" s="1"/>
      <c r="B29" s="120" t="s">
        <v>24</v>
      </c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5"/>
      <c r="C30" s="6"/>
      <c r="D30" s="6"/>
      <c r="E30" s="14"/>
      <c r="F30" s="16"/>
      <c r="G30" s="14"/>
      <c r="H30" s="16"/>
      <c r="I30" s="16"/>
      <c r="J30" s="16"/>
      <c r="K30" s="16"/>
      <c r="L30" s="139"/>
      <c r="M30" s="12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9.25" customHeight="1" x14ac:dyDescent="0.25">
      <c r="A31" s="1"/>
      <c r="B31" s="39"/>
      <c r="C31" s="40"/>
      <c r="D31" s="40"/>
      <c r="E31" s="140" t="s">
        <v>25</v>
      </c>
      <c r="F31" s="116"/>
      <c r="G31" s="116"/>
      <c r="H31" s="116"/>
      <c r="I31" s="116"/>
      <c r="J31" s="116"/>
      <c r="K31" s="117"/>
      <c r="L31" s="139"/>
      <c r="M31" s="129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39"/>
      <c r="C32" s="40"/>
      <c r="D32" s="40"/>
      <c r="E32" s="141" t="s">
        <v>26</v>
      </c>
      <c r="F32" s="122"/>
      <c r="G32" s="122"/>
      <c r="H32" s="122"/>
      <c r="I32" s="122"/>
      <c r="J32" s="122"/>
      <c r="K32" s="122"/>
      <c r="L32" s="139"/>
      <c r="M32" s="129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7.5" customHeight="1" x14ac:dyDescent="0.25">
      <c r="A33" s="1"/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6"/>
      <c r="M33" s="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3.25" customHeight="1" x14ac:dyDescent="0.25">
      <c r="A34" s="1"/>
      <c r="B34" s="120" t="s">
        <v>27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9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1"/>
      <c r="B35" s="19"/>
      <c r="C35" s="7"/>
      <c r="D35" s="7"/>
      <c r="E35" s="7"/>
      <c r="F35" s="16" t="s">
        <v>28</v>
      </c>
      <c r="G35" s="7"/>
      <c r="H35" s="7"/>
      <c r="I35" s="7"/>
      <c r="J35" s="7"/>
      <c r="K35" s="7"/>
      <c r="L35" s="40"/>
      <c r="M35" s="4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9.25" customHeight="1" x14ac:dyDescent="0.25">
      <c r="A36" s="1"/>
      <c r="B36" s="9" t="s">
        <v>29</v>
      </c>
      <c r="C36" s="42"/>
      <c r="D36" s="43"/>
      <c r="E36" s="134" t="s">
        <v>30</v>
      </c>
      <c r="F36" s="116"/>
      <c r="G36" s="116"/>
      <c r="H36" s="117"/>
      <c r="I36" s="6"/>
      <c r="J36" s="135" t="s">
        <v>31</v>
      </c>
      <c r="K36" s="116"/>
      <c r="L36" s="117"/>
      <c r="M36" s="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" customHeight="1" x14ac:dyDescent="0.25">
      <c r="A37" s="1"/>
      <c r="B37" s="44"/>
      <c r="C37" s="6"/>
      <c r="D37" s="6"/>
      <c r="E37" s="40"/>
      <c r="F37" s="14"/>
      <c r="G37" s="6"/>
      <c r="H37" s="6"/>
      <c r="I37" s="6"/>
      <c r="J37" s="6"/>
      <c r="K37" s="6"/>
      <c r="L37" s="6"/>
      <c r="M37" s="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9.25" customHeight="1" x14ac:dyDescent="0.25">
      <c r="A38" s="1"/>
      <c r="B38" s="9" t="s">
        <v>32</v>
      </c>
      <c r="C38" s="42" t="s">
        <v>33</v>
      </c>
      <c r="D38" s="6"/>
      <c r="E38" s="40"/>
      <c r="F38" s="136" t="s">
        <v>34</v>
      </c>
      <c r="G38" s="137"/>
      <c r="H38" s="45"/>
      <c r="I38" s="45"/>
      <c r="J38" s="136" t="s">
        <v>35</v>
      </c>
      <c r="K38" s="137"/>
      <c r="L38" s="137"/>
      <c r="M38" s="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5">
      <c r="A39" s="1"/>
      <c r="B39" s="5"/>
      <c r="C39" s="6"/>
      <c r="D39" s="6"/>
      <c r="E39" s="6"/>
      <c r="F39" s="6"/>
      <c r="G39" s="6"/>
      <c r="H39" s="138" t="s">
        <v>36</v>
      </c>
      <c r="I39" s="137"/>
      <c r="J39" s="137"/>
      <c r="K39" s="137"/>
      <c r="L39" s="137"/>
      <c r="M39" s="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25" customHeight="1" x14ac:dyDescent="0.25">
      <c r="A40" s="1"/>
      <c r="B40" s="120" t="s">
        <v>37</v>
      </c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6.5" customHeight="1" thickBot="1" x14ac:dyDescent="0.3">
      <c r="A41" s="1"/>
      <c r="B41" s="121" t="s">
        <v>38</v>
      </c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3"/>
      <c r="N41" s="4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6.75" customHeight="1" x14ac:dyDescent="0.25">
      <c r="A42" s="1"/>
      <c r="B42" s="124" t="s">
        <v>39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6.75" customHeight="1" x14ac:dyDescent="0.25">
      <c r="A43" s="1"/>
      <c r="B43" s="127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9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6.75" customHeight="1" x14ac:dyDescent="0.25">
      <c r="A44" s="1"/>
      <c r="B44" s="127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6.75" customHeight="1" thickBot="1" x14ac:dyDescent="0.3">
      <c r="A45" s="1"/>
      <c r="B45" s="130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2"/>
      <c r="N45" s="1"/>
      <c r="O45" s="1"/>
      <c r="P45" s="47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48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5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 x14ac:dyDescent="0.25">
      <c r="A47" s="1"/>
      <c r="B47" s="115"/>
      <c r="C47" s="116"/>
      <c r="D47" s="116"/>
      <c r="E47" s="116"/>
      <c r="F47" s="117"/>
      <c r="G47" s="51" t="s">
        <v>40</v>
      </c>
      <c r="H47" s="133" t="s">
        <v>41</v>
      </c>
      <c r="I47" s="117"/>
      <c r="J47" s="133" t="s">
        <v>42</v>
      </c>
      <c r="K47" s="116"/>
      <c r="L47" s="116"/>
      <c r="M47" s="119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25">
      <c r="A48" s="1"/>
      <c r="B48" s="115" t="s">
        <v>43</v>
      </c>
      <c r="C48" s="116"/>
      <c r="D48" s="116"/>
      <c r="E48" s="116"/>
      <c r="F48" s="117"/>
      <c r="G48" s="10">
        <f>E6</f>
        <v>45524</v>
      </c>
      <c r="H48" s="118"/>
      <c r="I48" s="117"/>
      <c r="J48" s="118"/>
      <c r="K48" s="116"/>
      <c r="L48" s="116"/>
      <c r="M48" s="119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25">
      <c r="A49" s="1"/>
      <c r="B49" s="115" t="s">
        <v>44</v>
      </c>
      <c r="C49" s="116"/>
      <c r="D49" s="116"/>
      <c r="E49" s="116"/>
      <c r="F49" s="117"/>
      <c r="G49" s="52"/>
      <c r="H49" s="12"/>
      <c r="I49" s="53"/>
      <c r="J49" s="35"/>
      <c r="K49" s="54"/>
      <c r="L49" s="54"/>
      <c r="M49" s="5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25">
      <c r="A50" s="1"/>
      <c r="B50" s="115" t="s">
        <v>45</v>
      </c>
      <c r="C50" s="116"/>
      <c r="D50" s="116"/>
      <c r="E50" s="116"/>
      <c r="F50" s="117"/>
      <c r="G50" s="52"/>
      <c r="H50" s="12"/>
      <c r="I50" s="53"/>
      <c r="J50" s="35"/>
      <c r="K50" s="54"/>
      <c r="L50" s="54"/>
      <c r="M50" s="5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25">
      <c r="A51" s="1"/>
      <c r="B51" s="115" t="s">
        <v>46</v>
      </c>
      <c r="C51" s="116"/>
      <c r="D51" s="116"/>
      <c r="E51" s="116"/>
      <c r="F51" s="117"/>
      <c r="G51" s="52"/>
      <c r="H51" s="12"/>
      <c r="I51" s="53"/>
      <c r="J51" s="35"/>
      <c r="K51" s="54"/>
      <c r="L51" s="54"/>
      <c r="M51" s="5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5">
      <c r="A52" s="1"/>
      <c r="B52" s="115" t="s">
        <v>47</v>
      </c>
      <c r="C52" s="116"/>
      <c r="D52" s="116"/>
      <c r="E52" s="116"/>
      <c r="F52" s="117"/>
      <c r="G52" s="52"/>
      <c r="H52" s="12"/>
      <c r="I52" s="53"/>
      <c r="J52" s="35"/>
      <c r="K52" s="54"/>
      <c r="L52" s="54"/>
      <c r="M52" s="5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25">
      <c r="A53" s="1"/>
      <c r="B53" s="115" t="s">
        <v>48</v>
      </c>
      <c r="C53" s="116"/>
      <c r="D53" s="116"/>
      <c r="E53" s="116"/>
      <c r="F53" s="117"/>
      <c r="G53" s="42"/>
      <c r="H53" s="12"/>
      <c r="I53" s="53"/>
      <c r="J53" s="35"/>
      <c r="K53" s="54"/>
      <c r="L53" s="54"/>
      <c r="M53" s="5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thickBot="1" x14ac:dyDescent="0.3">
      <c r="A54" s="1"/>
      <c r="B54" s="115" t="s">
        <v>49</v>
      </c>
      <c r="C54" s="116"/>
      <c r="D54" s="116"/>
      <c r="E54" s="116"/>
      <c r="F54" s="117"/>
      <c r="G54" s="56"/>
      <c r="H54" s="57"/>
      <c r="I54" s="58"/>
      <c r="J54" s="59"/>
      <c r="K54" s="60"/>
      <c r="L54" s="60"/>
      <c r="M54" s="6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8.5" customHeight="1" x14ac:dyDescent="0.25">
      <c r="A55" s="1"/>
      <c r="B55" s="62"/>
      <c r="C55" s="62"/>
      <c r="D55" s="62"/>
      <c r="E55" s="63"/>
      <c r="F55" s="63"/>
      <c r="G55" s="63"/>
      <c r="H55" s="63"/>
      <c r="I55" s="63"/>
      <c r="J55" s="64"/>
      <c r="K55" s="64"/>
      <c r="L55" s="6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63"/>
      <c r="F56" s="63"/>
      <c r="G56" s="63"/>
      <c r="H56" s="63"/>
      <c r="I56" s="63"/>
      <c r="J56" s="63"/>
      <c r="K56" s="63"/>
      <c r="L56" s="6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62"/>
      <c r="C57" s="62"/>
      <c r="D57" s="62"/>
      <c r="E57" s="63"/>
      <c r="F57" s="63"/>
      <c r="G57" s="63"/>
      <c r="H57" s="63"/>
      <c r="I57" s="63"/>
      <c r="J57" s="63"/>
      <c r="K57" s="63"/>
      <c r="L57" s="6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62"/>
      <c r="C58" s="62"/>
      <c r="D58" s="62"/>
      <c r="E58" s="63"/>
      <c r="F58" s="63"/>
      <c r="G58" s="63"/>
      <c r="H58" s="63"/>
      <c r="I58" s="63"/>
      <c r="J58" s="63"/>
      <c r="K58" s="63"/>
      <c r="L58" s="6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65"/>
      <c r="C59" s="65"/>
      <c r="D59" s="65"/>
      <c r="E59" s="63"/>
      <c r="F59" s="63"/>
      <c r="G59" s="63"/>
      <c r="H59" s="63"/>
      <c r="I59" s="63"/>
      <c r="J59" s="63"/>
      <c r="K59" s="63"/>
      <c r="L59" s="6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66"/>
      <c r="C60" s="66"/>
      <c r="D60" s="66"/>
      <c r="E60" s="63"/>
      <c r="F60" s="63"/>
      <c r="G60" s="63"/>
      <c r="H60" s="63"/>
      <c r="I60" s="63"/>
      <c r="J60" s="63"/>
      <c r="K60" s="63"/>
      <c r="L60" s="6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66"/>
      <c r="C61" s="66"/>
      <c r="D61" s="66"/>
      <c r="E61" s="63"/>
      <c r="F61" s="63"/>
      <c r="G61" s="63"/>
      <c r="H61" s="63"/>
      <c r="I61" s="63"/>
      <c r="J61" s="63"/>
      <c r="K61" s="63"/>
      <c r="L61" s="6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66"/>
      <c r="C62" s="66"/>
      <c r="D62" s="66"/>
      <c r="E62" s="63"/>
      <c r="F62" s="63"/>
      <c r="G62" s="63"/>
      <c r="H62" s="63"/>
      <c r="I62" s="63"/>
      <c r="J62" s="63"/>
      <c r="K62" s="63"/>
      <c r="L62" s="6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62"/>
      <c r="C63" s="62"/>
      <c r="D63" s="62"/>
      <c r="E63" s="63"/>
      <c r="F63" s="63"/>
      <c r="G63" s="63"/>
      <c r="H63" s="63"/>
      <c r="I63" s="63"/>
      <c r="J63" s="63"/>
      <c r="K63" s="63"/>
      <c r="L63" s="6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62"/>
      <c r="C64" s="62"/>
      <c r="D64" s="62"/>
      <c r="E64" s="63"/>
      <c r="F64" s="63"/>
      <c r="G64" s="63"/>
      <c r="H64" s="63"/>
      <c r="I64" s="63"/>
      <c r="J64" s="63"/>
      <c r="K64" s="63"/>
      <c r="L64" s="6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67"/>
      <c r="C65" s="67"/>
      <c r="D65" s="67"/>
      <c r="E65" s="63"/>
      <c r="F65" s="63"/>
      <c r="G65" s="63"/>
      <c r="H65" s="63"/>
      <c r="I65" s="63"/>
      <c r="J65" s="63"/>
      <c r="K65" s="63"/>
      <c r="L65" s="6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63"/>
      <c r="F66" s="63"/>
      <c r="G66" s="63"/>
      <c r="H66" s="63"/>
      <c r="I66" s="63"/>
      <c r="J66" s="63"/>
      <c r="K66" s="63"/>
      <c r="L66" s="6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67"/>
      <c r="C67" s="67"/>
      <c r="D67" s="67"/>
      <c r="E67" s="63"/>
      <c r="F67" s="63"/>
      <c r="G67" s="63"/>
      <c r="H67" s="63"/>
      <c r="I67" s="63"/>
      <c r="J67" s="63"/>
      <c r="K67" s="63"/>
      <c r="L67" s="6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63"/>
      <c r="F68" s="63"/>
      <c r="G68" s="63"/>
      <c r="H68" s="63"/>
      <c r="I68" s="63"/>
      <c r="J68" s="63"/>
      <c r="K68" s="63"/>
      <c r="L68" s="6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67"/>
      <c r="C69" s="67"/>
      <c r="D69" s="67"/>
      <c r="E69" s="63"/>
      <c r="F69" s="63"/>
      <c r="G69" s="63"/>
      <c r="H69" s="63"/>
      <c r="I69" s="63"/>
      <c r="J69" s="63"/>
      <c r="K69" s="63"/>
      <c r="L69" s="6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3">
    <mergeCell ref="G10:L10"/>
    <mergeCell ref="B1:K1"/>
    <mergeCell ref="L1:M1"/>
    <mergeCell ref="B2:K2"/>
    <mergeCell ref="L2:M2"/>
    <mergeCell ref="B4:M4"/>
    <mergeCell ref="B6:D6"/>
    <mergeCell ref="G6:I6"/>
    <mergeCell ref="J6:K6"/>
    <mergeCell ref="L7:M7"/>
    <mergeCell ref="B9:D9"/>
    <mergeCell ref="F9:G9"/>
    <mergeCell ref="H9:K9"/>
    <mergeCell ref="L9:M9"/>
    <mergeCell ref="E28:J28"/>
    <mergeCell ref="B11:E11"/>
    <mergeCell ref="F11:H11"/>
    <mergeCell ref="L11:M11"/>
    <mergeCell ref="B14:M14"/>
    <mergeCell ref="E16:J16"/>
    <mergeCell ref="E17:K17"/>
    <mergeCell ref="E19:K19"/>
    <mergeCell ref="E21:K21"/>
    <mergeCell ref="E23:K23"/>
    <mergeCell ref="E25:K25"/>
    <mergeCell ref="E27:K27"/>
    <mergeCell ref="H39:L39"/>
    <mergeCell ref="B29:M29"/>
    <mergeCell ref="L30:M30"/>
    <mergeCell ref="E31:K31"/>
    <mergeCell ref="L31:M31"/>
    <mergeCell ref="E32:K32"/>
    <mergeCell ref="L32:M32"/>
    <mergeCell ref="B34:M34"/>
    <mergeCell ref="E36:H36"/>
    <mergeCell ref="J36:L36"/>
    <mergeCell ref="F38:G38"/>
    <mergeCell ref="J38:L38"/>
    <mergeCell ref="J48:M48"/>
    <mergeCell ref="B49:F49"/>
    <mergeCell ref="B50:F50"/>
    <mergeCell ref="B51:F51"/>
    <mergeCell ref="B40:M40"/>
    <mergeCell ref="B41:M41"/>
    <mergeCell ref="B42:M45"/>
    <mergeCell ref="B47:F47"/>
    <mergeCell ref="H47:I47"/>
    <mergeCell ref="J47:M47"/>
    <mergeCell ref="B52:F52"/>
    <mergeCell ref="B53:F53"/>
    <mergeCell ref="B54:F54"/>
    <mergeCell ref="B48:F48"/>
    <mergeCell ref="H48:I48"/>
  </mergeCells>
  <pageMargins left="0.7" right="0.7" top="0.75" bottom="0.75" header="0" footer="0"/>
  <pageSetup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4D89-DED8-4AAC-BFA2-6E9F7D6A2138}">
  <dimension ref="A1:Z1000"/>
  <sheetViews>
    <sheetView tabSelected="1" workbookViewId="0">
      <selection activeCell="A11" sqref="A11:K15"/>
    </sheetView>
  </sheetViews>
  <sheetFormatPr baseColWidth="10" defaultColWidth="14.42578125" defaultRowHeight="15" customHeight="1" x14ac:dyDescent="0.25"/>
  <cols>
    <col min="1" max="1" width="17.140625" style="70" customWidth="1"/>
    <col min="2" max="2" width="22.140625" style="70" customWidth="1"/>
    <col min="3" max="3" width="5.28515625" style="70" customWidth="1"/>
    <col min="4" max="4" width="2.140625" style="70" customWidth="1"/>
    <col min="5" max="6" width="21.5703125" style="70" customWidth="1"/>
    <col min="7" max="7" width="34.42578125" style="70" customWidth="1"/>
    <col min="8" max="8" width="21.5703125" style="70" customWidth="1"/>
    <col min="9" max="9" width="14.42578125" style="70"/>
    <col min="10" max="10" width="15.28515625" style="70" customWidth="1"/>
    <col min="11" max="11" width="9.85546875" style="70" customWidth="1"/>
    <col min="12" max="26" width="11.85546875" style="70" customWidth="1"/>
    <col min="27" max="16384" width="14.42578125" style="70"/>
  </cols>
  <sheetData>
    <row r="1" spans="1:26" ht="39" customHeight="1" x14ac:dyDescent="0.25">
      <c r="A1" s="215"/>
      <c r="B1" s="213"/>
      <c r="C1" s="213"/>
      <c r="D1" s="213"/>
      <c r="E1" s="213"/>
      <c r="F1" s="213"/>
      <c r="G1" s="213"/>
      <c r="H1" s="213"/>
      <c r="I1" s="216"/>
      <c r="J1" s="217" t="s">
        <v>0</v>
      </c>
      <c r="K1" s="214"/>
      <c r="L1" s="68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35.25" customHeight="1" x14ac:dyDescent="0.25">
      <c r="A2" s="218" t="s">
        <v>50</v>
      </c>
      <c r="B2" s="173"/>
      <c r="C2" s="173"/>
      <c r="D2" s="173"/>
      <c r="E2" s="173"/>
      <c r="F2" s="173"/>
      <c r="G2" s="173"/>
      <c r="H2" s="173"/>
      <c r="I2" s="174"/>
      <c r="J2" s="219" t="s">
        <v>51</v>
      </c>
      <c r="K2" s="181"/>
      <c r="L2" s="68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5.75" x14ac:dyDescent="0.25">
      <c r="A3" s="71"/>
      <c r="B3" s="72"/>
      <c r="C3" s="72"/>
      <c r="D3" s="72"/>
      <c r="E3" s="72"/>
      <c r="F3" s="72"/>
      <c r="G3" s="72"/>
      <c r="H3" s="72"/>
      <c r="I3" s="72"/>
      <c r="J3" s="72"/>
      <c r="K3" s="73"/>
      <c r="L3" s="68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5.75" x14ac:dyDescent="0.25">
      <c r="A4" s="195" t="s">
        <v>3</v>
      </c>
      <c r="B4" s="173"/>
      <c r="C4" s="173"/>
      <c r="D4" s="173"/>
      <c r="E4" s="173"/>
      <c r="F4" s="173"/>
      <c r="G4" s="173"/>
      <c r="H4" s="173"/>
      <c r="I4" s="173"/>
      <c r="J4" s="173"/>
      <c r="K4" s="181"/>
      <c r="L4" s="68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5.75" x14ac:dyDescent="0.25">
      <c r="A5" s="74"/>
      <c r="B5" s="75"/>
      <c r="C5" s="75"/>
      <c r="D5" s="75"/>
      <c r="E5" s="75"/>
      <c r="F5" s="75"/>
      <c r="G5" s="76"/>
      <c r="H5" s="75"/>
      <c r="I5" s="75"/>
      <c r="J5" s="75"/>
      <c r="K5" s="77"/>
      <c r="L5" s="68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24" customHeight="1" x14ac:dyDescent="0.25">
      <c r="A6" s="74"/>
      <c r="B6" s="76" t="s">
        <v>4</v>
      </c>
      <c r="C6" s="76"/>
      <c r="D6" s="220">
        <f>'[3]ATENCION '!E6</f>
        <v>45524</v>
      </c>
      <c r="E6" s="174"/>
      <c r="F6" s="76" t="s">
        <v>5</v>
      </c>
      <c r="G6" s="194" t="str">
        <f>'[3]ATENCION '!G6:I6</f>
        <v>CUNDINAMARCA</v>
      </c>
      <c r="H6" s="174"/>
      <c r="I6" s="76" t="s">
        <v>7</v>
      </c>
      <c r="J6" s="78">
        <f>'[3]ATENCION '!L6</f>
        <v>162</v>
      </c>
      <c r="K6" s="79"/>
      <c r="L6" s="68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5.75" customHeight="1" x14ac:dyDescent="0.25">
      <c r="A7" s="74"/>
      <c r="B7" s="75"/>
      <c r="C7" s="75"/>
      <c r="D7" s="202" t="s">
        <v>52</v>
      </c>
      <c r="E7" s="169"/>
      <c r="F7" s="80"/>
      <c r="G7" s="75"/>
      <c r="H7" s="80"/>
      <c r="I7" s="80"/>
      <c r="J7" s="80"/>
      <c r="K7" s="79"/>
      <c r="L7" s="68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5.75" x14ac:dyDescent="0.25">
      <c r="A8" s="74"/>
      <c r="B8" s="75"/>
      <c r="C8" s="75"/>
      <c r="D8" s="75"/>
      <c r="E8" s="80"/>
      <c r="F8" s="80"/>
      <c r="G8" s="75"/>
      <c r="H8" s="80"/>
      <c r="I8" s="80"/>
      <c r="J8" s="80"/>
      <c r="K8" s="79"/>
      <c r="L8" s="68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5.75" x14ac:dyDescent="0.25">
      <c r="A9" s="195" t="s">
        <v>37</v>
      </c>
      <c r="B9" s="173"/>
      <c r="C9" s="173"/>
      <c r="D9" s="173"/>
      <c r="E9" s="173"/>
      <c r="F9" s="173"/>
      <c r="G9" s="173"/>
      <c r="H9" s="173"/>
      <c r="I9" s="173"/>
      <c r="J9" s="173"/>
      <c r="K9" s="181"/>
      <c r="L9" s="68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27" customHeight="1" thickBot="1" x14ac:dyDescent="0.3">
      <c r="A10" s="203" t="s">
        <v>38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6"/>
      <c r="L10" s="68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30.75" customHeight="1" x14ac:dyDescent="0.25">
      <c r="A11" s="204" t="s">
        <v>39</v>
      </c>
      <c r="B11" s="205"/>
      <c r="C11" s="205"/>
      <c r="D11" s="205"/>
      <c r="E11" s="205"/>
      <c r="F11" s="205"/>
      <c r="G11" s="205"/>
      <c r="H11" s="205"/>
      <c r="I11" s="205"/>
      <c r="J11" s="205"/>
      <c r="K11" s="206"/>
      <c r="L11" s="68"/>
      <c r="M11" s="81"/>
      <c r="N11" s="81"/>
      <c r="O11" s="81"/>
      <c r="P11" s="81"/>
      <c r="Q11" s="81"/>
      <c r="R11" s="81"/>
      <c r="S11" s="69"/>
      <c r="T11" s="69"/>
      <c r="U11" s="69"/>
      <c r="V11" s="69"/>
      <c r="W11" s="69"/>
      <c r="X11" s="69"/>
      <c r="Y11" s="69"/>
      <c r="Z11" s="69"/>
    </row>
    <row r="12" spans="1:26" ht="30.75" customHeight="1" x14ac:dyDescent="0.25">
      <c r="A12" s="207"/>
      <c r="B12" s="208"/>
      <c r="C12" s="208"/>
      <c r="D12" s="208"/>
      <c r="E12" s="208"/>
      <c r="F12" s="208"/>
      <c r="G12" s="208"/>
      <c r="H12" s="208"/>
      <c r="I12" s="208"/>
      <c r="J12" s="208"/>
      <c r="K12" s="197"/>
      <c r="L12" s="82"/>
      <c r="M12" s="83"/>
      <c r="N12" s="83"/>
      <c r="O12" s="83"/>
      <c r="P12" s="83"/>
      <c r="Q12" s="83"/>
      <c r="R12" s="83"/>
      <c r="S12" s="84"/>
      <c r="T12" s="84"/>
      <c r="U12" s="84"/>
      <c r="V12" s="84"/>
      <c r="W12" s="84"/>
      <c r="X12" s="84"/>
      <c r="Y12" s="84"/>
      <c r="Z12" s="84"/>
    </row>
    <row r="13" spans="1:26" ht="30.75" customHeight="1" x14ac:dyDescent="0.25">
      <c r="A13" s="207"/>
      <c r="B13" s="208"/>
      <c r="C13" s="208"/>
      <c r="D13" s="208"/>
      <c r="E13" s="208"/>
      <c r="F13" s="208"/>
      <c r="G13" s="208"/>
      <c r="H13" s="208"/>
      <c r="I13" s="208"/>
      <c r="J13" s="208"/>
      <c r="K13" s="197"/>
      <c r="L13" s="82"/>
      <c r="M13" s="83"/>
      <c r="N13" s="83"/>
      <c r="O13" s="83"/>
      <c r="P13" s="83"/>
      <c r="Q13" s="83"/>
      <c r="R13" s="83"/>
      <c r="S13" s="84"/>
      <c r="T13" s="84"/>
      <c r="U13" s="84"/>
      <c r="V13" s="84"/>
      <c r="W13" s="84"/>
      <c r="X13" s="84"/>
      <c r="Y13" s="84"/>
      <c r="Z13" s="84"/>
    </row>
    <row r="14" spans="1:26" ht="30.75" customHeight="1" x14ac:dyDescent="0.25">
      <c r="A14" s="207"/>
      <c r="B14" s="208"/>
      <c r="C14" s="208"/>
      <c r="D14" s="208"/>
      <c r="E14" s="208"/>
      <c r="F14" s="208"/>
      <c r="G14" s="208"/>
      <c r="H14" s="208"/>
      <c r="I14" s="208"/>
      <c r="J14" s="208"/>
      <c r="K14" s="197"/>
      <c r="L14" s="82"/>
      <c r="M14" s="83"/>
      <c r="N14" s="83"/>
      <c r="O14" s="83"/>
      <c r="P14" s="83"/>
      <c r="Q14" s="83"/>
      <c r="R14" s="83"/>
      <c r="S14" s="84"/>
      <c r="T14" s="84"/>
      <c r="U14" s="84"/>
      <c r="V14" s="84"/>
      <c r="W14" s="84"/>
      <c r="X14" s="84"/>
      <c r="Y14" s="84"/>
      <c r="Z14" s="84"/>
    </row>
    <row r="15" spans="1:26" ht="30.75" customHeight="1" thickBot="1" x14ac:dyDescent="0.3">
      <c r="A15" s="209"/>
      <c r="B15" s="210"/>
      <c r="C15" s="210"/>
      <c r="D15" s="210"/>
      <c r="E15" s="210"/>
      <c r="F15" s="210"/>
      <c r="G15" s="210"/>
      <c r="H15" s="210"/>
      <c r="I15" s="210"/>
      <c r="J15" s="210"/>
      <c r="K15" s="211"/>
      <c r="L15" s="68"/>
      <c r="M15" s="81"/>
      <c r="N15" s="81"/>
      <c r="O15" s="81"/>
      <c r="P15" s="81"/>
      <c r="Q15" s="81"/>
      <c r="R15" s="81"/>
      <c r="S15" s="69"/>
      <c r="T15" s="69"/>
      <c r="U15" s="69"/>
      <c r="V15" s="69"/>
      <c r="W15" s="69"/>
      <c r="X15" s="69"/>
      <c r="Y15" s="69"/>
      <c r="Z15" s="69"/>
    </row>
    <row r="16" spans="1:26" ht="39" customHeight="1" x14ac:dyDescent="0.25">
      <c r="A16" s="212"/>
      <c r="B16" s="213"/>
      <c r="C16" s="213"/>
      <c r="D16" s="213"/>
      <c r="E16" s="213"/>
      <c r="F16" s="213"/>
      <c r="G16" s="213"/>
      <c r="H16" s="213"/>
      <c r="I16" s="213"/>
      <c r="J16" s="213"/>
      <c r="K16" s="214"/>
      <c r="L16" s="68" t="s">
        <v>53</v>
      </c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0.25" customHeight="1" x14ac:dyDescent="0.25">
      <c r="A17" s="195" t="s">
        <v>54</v>
      </c>
      <c r="B17" s="173"/>
      <c r="C17" s="173"/>
      <c r="D17" s="173"/>
      <c r="E17" s="173"/>
      <c r="F17" s="173"/>
      <c r="G17" s="173"/>
      <c r="H17" s="173"/>
      <c r="I17" s="173"/>
      <c r="J17" s="173"/>
      <c r="K17" s="181"/>
      <c r="L17" s="68"/>
      <c r="M17" s="68"/>
      <c r="N17" s="68"/>
      <c r="O17" s="68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.75" x14ac:dyDescent="0.25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7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15.75" x14ac:dyDescent="0.25">
      <c r="A19" s="85"/>
      <c r="B19" s="88" t="s">
        <v>55</v>
      </c>
      <c r="C19" s="86"/>
      <c r="D19" s="86"/>
      <c r="E19" s="86"/>
      <c r="F19" s="86"/>
      <c r="G19" s="86"/>
      <c r="H19" s="86"/>
      <c r="I19" s="86"/>
      <c r="J19" s="86"/>
      <c r="K19" s="87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22.5" customHeight="1" x14ac:dyDescent="0.25">
      <c r="A20" s="89"/>
      <c r="B20" s="200" t="str">
        <f>'[3]ATENCION '!E17</f>
        <v>FUNDACION ABOOD SHAIO EN REESTRUCTURACION</v>
      </c>
      <c r="C20" s="173"/>
      <c r="D20" s="173"/>
      <c r="E20" s="173"/>
      <c r="F20" s="173"/>
      <c r="G20" s="173"/>
      <c r="H20" s="173"/>
      <c r="I20" s="173"/>
      <c r="J20" s="174"/>
      <c r="K20" s="90"/>
      <c r="L20" s="68"/>
      <c r="M20" s="68"/>
      <c r="N20" s="68"/>
      <c r="O20" s="68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5.75" customHeight="1" x14ac:dyDescent="0.25">
      <c r="A21" s="91"/>
      <c r="B21" s="201" t="s">
        <v>56</v>
      </c>
      <c r="C21" s="173"/>
      <c r="D21" s="173"/>
      <c r="E21" s="173"/>
      <c r="F21" s="173"/>
      <c r="G21" s="173"/>
      <c r="H21" s="173"/>
      <c r="I21" s="92"/>
      <c r="J21" s="92"/>
      <c r="K21" s="93"/>
      <c r="L21" s="68"/>
      <c r="M21" s="68"/>
      <c r="N21" s="68"/>
      <c r="O21" s="68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22.5" customHeight="1" x14ac:dyDescent="0.25">
      <c r="A22" s="91"/>
      <c r="B22" s="194" t="s">
        <v>57</v>
      </c>
      <c r="C22" s="173"/>
      <c r="D22" s="173"/>
      <c r="E22" s="173"/>
      <c r="F22" s="173"/>
      <c r="G22" s="173"/>
      <c r="H22" s="173"/>
      <c r="I22" s="173"/>
      <c r="J22" s="174"/>
      <c r="K22" s="93"/>
      <c r="L22" s="68"/>
      <c r="M22" s="68"/>
      <c r="N22" s="68"/>
      <c r="O22" s="68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.75" customHeight="1" x14ac:dyDescent="0.25">
      <c r="A23" s="91"/>
      <c r="B23" s="201" t="s">
        <v>58</v>
      </c>
      <c r="C23" s="173"/>
      <c r="D23" s="173"/>
      <c r="E23" s="173"/>
      <c r="F23" s="173"/>
      <c r="G23" s="173"/>
      <c r="H23" s="173"/>
      <c r="I23" s="173"/>
      <c r="J23" s="94"/>
      <c r="K23" s="93"/>
      <c r="L23" s="68"/>
      <c r="M23" s="68"/>
      <c r="N23" s="68"/>
      <c r="O23" s="95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24" customHeight="1" x14ac:dyDescent="0.25">
      <c r="A24" s="91"/>
      <c r="B24" s="194" t="s">
        <v>59</v>
      </c>
      <c r="C24" s="173"/>
      <c r="D24" s="173"/>
      <c r="E24" s="173"/>
      <c r="F24" s="173"/>
      <c r="G24" s="173"/>
      <c r="H24" s="173"/>
      <c r="I24" s="173"/>
      <c r="J24" s="174"/>
      <c r="K24" s="93"/>
      <c r="L24" s="68"/>
      <c r="M24" s="68"/>
      <c r="N24" s="68"/>
      <c r="O24" s="9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5.75" customHeight="1" x14ac:dyDescent="0.25">
      <c r="A25" s="91"/>
      <c r="B25" s="201" t="s">
        <v>60</v>
      </c>
      <c r="C25" s="173"/>
      <c r="D25" s="173"/>
      <c r="E25" s="173"/>
      <c r="F25" s="173"/>
      <c r="G25" s="173"/>
      <c r="H25" s="173"/>
      <c r="I25" s="92"/>
      <c r="J25" s="92"/>
      <c r="K25" s="93"/>
      <c r="L25" s="68"/>
      <c r="M25" s="68"/>
      <c r="N25" s="68"/>
      <c r="O25" s="68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24" customHeight="1" x14ac:dyDescent="0.25">
      <c r="A26" s="91"/>
      <c r="B26" s="194" t="str">
        <f>VLOOKUP(B24,'[3]RESPONSABLE '!A2:B28,2,0)</f>
        <v>DIRECTOR TECNICO REGIONAL CUNDINAMARCA</v>
      </c>
      <c r="C26" s="173"/>
      <c r="D26" s="173"/>
      <c r="E26" s="173"/>
      <c r="F26" s="173"/>
      <c r="G26" s="173"/>
      <c r="H26" s="173"/>
      <c r="I26" s="173"/>
      <c r="J26" s="174"/>
      <c r="K26" s="93"/>
      <c r="L26" s="68"/>
      <c r="M26" s="68"/>
      <c r="N26" s="68"/>
      <c r="O26" s="68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5.75" customHeight="1" x14ac:dyDescent="0.25">
      <c r="A27" s="91"/>
      <c r="B27" s="97"/>
      <c r="C27" s="97"/>
      <c r="D27" s="97"/>
      <c r="E27" s="97"/>
      <c r="F27" s="97"/>
      <c r="G27" s="97"/>
      <c r="H27" s="97"/>
      <c r="I27" s="97"/>
      <c r="J27" s="97"/>
      <c r="K27" s="93"/>
      <c r="L27" s="68"/>
      <c r="M27" s="68"/>
      <c r="N27" s="68"/>
      <c r="O27" s="68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5.75" customHeight="1" x14ac:dyDescent="0.25">
      <c r="A28" s="195" t="s">
        <v>61</v>
      </c>
      <c r="B28" s="173"/>
      <c r="C28" s="173"/>
      <c r="D28" s="173"/>
      <c r="E28" s="173"/>
      <c r="F28" s="173"/>
      <c r="G28" s="173"/>
      <c r="H28" s="173"/>
      <c r="I28" s="173"/>
      <c r="J28" s="173"/>
      <c r="K28" s="181"/>
      <c r="L28" s="68"/>
      <c r="M28" s="68"/>
      <c r="N28" s="68"/>
      <c r="O28" s="68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5.75" customHeight="1" x14ac:dyDescent="0.25">
      <c r="A29" s="196"/>
      <c r="B29" s="169"/>
      <c r="C29" s="169"/>
      <c r="D29" s="169"/>
      <c r="E29" s="169"/>
      <c r="F29" s="169"/>
      <c r="G29" s="169"/>
      <c r="H29" s="169"/>
      <c r="I29" s="169"/>
      <c r="J29" s="169"/>
      <c r="K29" s="197"/>
      <c r="L29" s="68"/>
      <c r="M29" s="68"/>
      <c r="N29" s="68"/>
      <c r="O29" s="68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24" customHeight="1" x14ac:dyDescent="0.25">
      <c r="A30" s="98"/>
      <c r="B30" s="198" t="s">
        <v>62</v>
      </c>
      <c r="C30" s="173"/>
      <c r="D30" s="173"/>
      <c r="E30" s="173"/>
      <c r="F30" s="173"/>
      <c r="G30" s="173"/>
      <c r="H30" s="173"/>
      <c r="I30" s="173"/>
      <c r="J30" s="174"/>
      <c r="K30" s="79"/>
      <c r="L30" s="68"/>
      <c r="M30" s="68"/>
      <c r="N30" s="68"/>
      <c r="O30" s="68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1.25" customHeight="1" thickBot="1" x14ac:dyDescent="0.3">
      <c r="A31" s="98"/>
      <c r="B31" s="76"/>
      <c r="C31" s="76"/>
      <c r="D31" s="76"/>
      <c r="E31" s="76"/>
      <c r="F31" s="76"/>
      <c r="G31" s="76"/>
      <c r="H31" s="76"/>
      <c r="I31" s="76"/>
      <c r="J31" s="76"/>
      <c r="K31" s="79"/>
      <c r="L31" s="68"/>
      <c r="M31" s="68"/>
      <c r="N31" s="68"/>
      <c r="O31" s="68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5.75" customHeight="1" thickBot="1" x14ac:dyDescent="0.3">
      <c r="A32" s="98"/>
      <c r="B32" s="76"/>
      <c r="C32" s="99"/>
      <c r="D32" s="100"/>
      <c r="E32" s="101" t="s">
        <v>63</v>
      </c>
      <c r="F32" s="199" t="s">
        <v>64</v>
      </c>
      <c r="G32" s="169"/>
      <c r="H32" s="169"/>
      <c r="I32" s="169"/>
      <c r="J32" s="169"/>
      <c r="K32" s="79"/>
      <c r="L32" s="68"/>
      <c r="M32" s="68"/>
      <c r="N32" s="68"/>
      <c r="O32" s="68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.75" customHeight="1" thickBot="1" x14ac:dyDescent="0.3">
      <c r="A33" s="98"/>
      <c r="B33" s="76"/>
      <c r="C33" s="102" t="s">
        <v>65</v>
      </c>
      <c r="D33" s="100"/>
      <c r="E33" s="101" t="s">
        <v>66</v>
      </c>
      <c r="F33" s="199" t="s">
        <v>67</v>
      </c>
      <c r="G33" s="169"/>
      <c r="H33" s="169"/>
      <c r="I33" s="169"/>
      <c r="J33" s="169"/>
      <c r="K33" s="103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.75" customHeight="1" x14ac:dyDescent="0.25">
      <c r="A34" s="104"/>
      <c r="B34" s="100"/>
      <c r="C34" s="100"/>
      <c r="D34" s="100"/>
      <c r="E34" s="100"/>
      <c r="F34" s="100"/>
      <c r="G34" s="100"/>
      <c r="H34" s="100"/>
      <c r="I34" s="100"/>
      <c r="J34" s="100"/>
      <c r="K34" s="105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38.25" customHeight="1" x14ac:dyDescent="0.25">
      <c r="A35" s="182" t="s">
        <v>68</v>
      </c>
      <c r="B35" s="183"/>
      <c r="C35" s="183"/>
      <c r="D35" s="183"/>
      <c r="E35" s="184"/>
      <c r="F35" s="185" t="s">
        <v>69</v>
      </c>
      <c r="G35" s="184"/>
      <c r="H35" s="185" t="s">
        <v>70</v>
      </c>
      <c r="I35" s="184"/>
      <c r="J35" s="185" t="s">
        <v>71</v>
      </c>
      <c r="K35" s="18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39" customHeight="1" x14ac:dyDescent="0.25">
      <c r="A36" s="187"/>
      <c r="B36" s="183"/>
      <c r="C36" s="183"/>
      <c r="D36" s="183"/>
      <c r="E36" s="184"/>
      <c r="F36" s="189"/>
      <c r="G36" s="184"/>
      <c r="H36" s="190"/>
      <c r="I36" s="184"/>
      <c r="J36" s="191"/>
      <c r="K36" s="184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spans="1:26" ht="23.25" customHeight="1" x14ac:dyDescent="0.25">
      <c r="A37" s="188"/>
      <c r="B37" s="178"/>
      <c r="C37" s="178"/>
      <c r="D37" s="178"/>
      <c r="E37" s="179"/>
      <c r="F37" s="188"/>
      <c r="G37" s="179"/>
      <c r="H37" s="188"/>
      <c r="I37" s="179"/>
      <c r="J37" s="192"/>
      <c r="K37" s="193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spans="1:26" ht="67.5" customHeight="1" x14ac:dyDescent="0.25">
      <c r="A38" s="172"/>
      <c r="B38" s="173"/>
      <c r="C38" s="173"/>
      <c r="D38" s="173"/>
      <c r="E38" s="174"/>
      <c r="F38" s="172"/>
      <c r="G38" s="174"/>
      <c r="H38" s="175"/>
      <c r="I38" s="174"/>
      <c r="J38" s="188"/>
      <c r="K38" s="179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 spans="1:26" ht="37.5" customHeight="1" x14ac:dyDescent="0.25">
      <c r="A39" s="172"/>
      <c r="B39" s="173"/>
      <c r="C39" s="173"/>
      <c r="D39" s="173"/>
      <c r="E39" s="174"/>
      <c r="F39" s="172"/>
      <c r="G39" s="174"/>
      <c r="H39" s="175"/>
      <c r="I39" s="174"/>
      <c r="J39" s="176"/>
      <c r="K39" s="174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spans="1:26" ht="25.5" customHeight="1" x14ac:dyDescent="0.25">
      <c r="A40" s="172"/>
      <c r="B40" s="173"/>
      <c r="C40" s="173"/>
      <c r="D40" s="173"/>
      <c r="E40" s="174"/>
      <c r="F40" s="172"/>
      <c r="G40" s="174"/>
      <c r="H40" s="175"/>
      <c r="I40" s="174"/>
      <c r="J40" s="176"/>
      <c r="K40" s="174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spans="1:26" ht="25.5" customHeight="1" x14ac:dyDescent="0.25">
      <c r="A41" s="172"/>
      <c r="B41" s="173"/>
      <c r="C41" s="173"/>
      <c r="D41" s="173"/>
      <c r="E41" s="174"/>
      <c r="F41" s="172"/>
      <c r="G41" s="174"/>
      <c r="H41" s="175"/>
      <c r="I41" s="174"/>
      <c r="J41" s="176"/>
      <c r="K41" s="174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spans="1:26" ht="36" customHeight="1" x14ac:dyDescent="0.25">
      <c r="A42" s="177"/>
      <c r="B42" s="178"/>
      <c r="C42" s="178"/>
      <c r="D42" s="178"/>
      <c r="E42" s="178"/>
      <c r="F42" s="178"/>
      <c r="G42" s="178"/>
      <c r="H42" s="178"/>
      <c r="I42" s="178"/>
      <c r="J42" s="178"/>
      <c r="K42" s="179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spans="1:26" ht="15.75" customHeight="1" x14ac:dyDescent="0.25">
      <c r="A43" s="180" t="s">
        <v>42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81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24.5" customHeight="1" thickBot="1" x14ac:dyDescent="0.3">
      <c r="A44" s="165"/>
      <c r="B44" s="166"/>
      <c r="C44" s="166"/>
      <c r="D44" s="166"/>
      <c r="E44" s="166"/>
      <c r="F44" s="166"/>
      <c r="G44" s="166"/>
      <c r="H44" s="166"/>
      <c r="I44" s="166"/>
      <c r="J44" s="166"/>
      <c r="K44" s="167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 customHeight="1" thickBot="1" x14ac:dyDescent="0.3">
      <c r="A45" s="108"/>
      <c r="B45" s="82"/>
      <c r="C45" s="82"/>
      <c r="D45" s="82"/>
      <c r="E45" s="82"/>
      <c r="F45" s="82"/>
      <c r="G45" s="82"/>
      <c r="H45" s="82"/>
      <c r="I45" s="82"/>
      <c r="J45" s="82"/>
      <c r="K45" s="10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33" customHeight="1" thickBot="1" x14ac:dyDescent="0.3">
      <c r="A46" s="108"/>
      <c r="B46" s="168" t="s">
        <v>72</v>
      </c>
      <c r="C46" s="169"/>
      <c r="D46" s="169"/>
      <c r="E46" s="110"/>
      <c r="F46" s="111"/>
      <c r="G46" s="80" t="s">
        <v>73</v>
      </c>
      <c r="H46" s="170"/>
      <c r="I46" s="171"/>
      <c r="J46" s="80"/>
      <c r="K46" s="7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 customHeight="1" thickBot="1" x14ac:dyDescent="0.3">
      <c r="A47" s="112"/>
      <c r="B47" s="113"/>
      <c r="C47" s="113"/>
      <c r="D47" s="113"/>
      <c r="E47" s="113"/>
      <c r="F47" s="113"/>
      <c r="G47" s="113"/>
      <c r="H47" s="113"/>
      <c r="I47" s="113"/>
      <c r="J47" s="113"/>
      <c r="K47" s="114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.75" customHeight="1" x14ac:dyDescent="0.2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 customHeight="1" x14ac:dyDescent="0.2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3.75" customHeight="1" x14ac:dyDescent="0.25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.75" hidden="1" customHeight="1" x14ac:dyDescent="0.25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 customHeight="1" x14ac:dyDescent="0.2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.75" customHeight="1" x14ac:dyDescent="0.25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 customHeight="1" x14ac:dyDescent="0.25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 customHeight="1" x14ac:dyDescent="0.2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 customHeight="1" x14ac:dyDescent="0.25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 customHeight="1" x14ac:dyDescent="0.25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 customHeight="1" x14ac:dyDescent="0.25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 customHeight="1" x14ac:dyDescent="0.25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 customHeight="1" x14ac:dyDescent="0.25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.75" customHeight="1" x14ac:dyDescent="0.25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.75" customHeight="1" x14ac:dyDescent="0.25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 customHeight="1" x14ac:dyDescent="0.25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5.75" customHeight="1" x14ac:dyDescent="0.25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5.75" customHeight="1" x14ac:dyDescent="0.2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5.75" customHeight="1" x14ac:dyDescent="0.25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5.75" customHeight="1" x14ac:dyDescent="0.25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5.75" customHeight="1" x14ac:dyDescent="0.2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5.75" customHeight="1" x14ac:dyDescent="0.25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5.75" customHeight="1" x14ac:dyDescent="0.25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5.75" customHeight="1" x14ac:dyDescent="0.25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5.75" customHeight="1" x14ac:dyDescent="0.25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5.75" customHeight="1" x14ac:dyDescent="0.25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5.75" customHeight="1" x14ac:dyDescent="0.2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.75" customHeight="1" x14ac:dyDescent="0.2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customHeight="1" x14ac:dyDescent="0.25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.75" customHeight="1" x14ac:dyDescent="0.25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.75" customHeight="1" x14ac:dyDescent="0.25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.75" customHeight="1" x14ac:dyDescent="0.25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.75" customHeight="1" x14ac:dyDescent="0.25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.75" customHeight="1" x14ac:dyDescent="0.2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.75" customHeight="1" x14ac:dyDescent="0.25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5.75" customHeight="1" x14ac:dyDescent="0.25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5.75" customHeight="1" x14ac:dyDescent="0.25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.75" customHeight="1" x14ac:dyDescent="0.2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5.75" customHeight="1" x14ac:dyDescent="0.25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customHeight="1" x14ac:dyDescent="0.25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.75" customHeight="1" x14ac:dyDescent="0.25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customHeight="1" x14ac:dyDescent="0.25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customHeight="1" x14ac:dyDescent="0.25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5.75" customHeight="1" x14ac:dyDescent="0.25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5.75" customHeight="1" x14ac:dyDescent="0.25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5.75" customHeight="1" x14ac:dyDescent="0.25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5.75" customHeight="1" x14ac:dyDescent="0.25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5.75" customHeight="1" x14ac:dyDescent="0.2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5.75" customHeight="1" x14ac:dyDescent="0.25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5.75" customHeight="1" x14ac:dyDescent="0.25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5.75" customHeight="1" x14ac:dyDescent="0.25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5.75" customHeight="1" x14ac:dyDescent="0.25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5.75" customHeight="1" x14ac:dyDescent="0.2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5.75" customHeight="1" x14ac:dyDescent="0.2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5.75" customHeight="1" x14ac:dyDescent="0.2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5.75" customHeight="1" x14ac:dyDescent="0.2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5.75" customHeight="1" x14ac:dyDescent="0.2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5.75" customHeight="1" x14ac:dyDescent="0.2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5.75" customHeight="1" x14ac:dyDescent="0.2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5.75" customHeight="1" x14ac:dyDescent="0.2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5.75" customHeight="1" x14ac:dyDescent="0.2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5.75" customHeight="1" x14ac:dyDescent="0.2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5.75" customHeight="1" x14ac:dyDescent="0.2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5.75" customHeight="1" x14ac:dyDescent="0.2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2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2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2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2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2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5.75" customHeight="1" x14ac:dyDescent="0.2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5.75" customHeight="1" x14ac:dyDescent="0.2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5.75" customHeight="1" x14ac:dyDescent="0.2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5.75" customHeight="1" x14ac:dyDescent="0.2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5.75" customHeight="1" x14ac:dyDescent="0.2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5.75" customHeight="1" x14ac:dyDescent="0.2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5.75" customHeight="1" x14ac:dyDescent="0.2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5.75" customHeight="1" x14ac:dyDescent="0.2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5.75" customHeight="1" x14ac:dyDescent="0.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5.75" customHeight="1" x14ac:dyDescent="0.2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5.75" customHeight="1" x14ac:dyDescent="0.2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5.75" customHeight="1" x14ac:dyDescent="0.2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5.75" customHeight="1" x14ac:dyDescent="0.2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5.75" customHeight="1" x14ac:dyDescent="0.2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5.75" customHeight="1" x14ac:dyDescent="0.2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5.75" customHeight="1" x14ac:dyDescent="0.2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5.75" customHeight="1" x14ac:dyDescent="0.2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5.75" customHeight="1" x14ac:dyDescent="0.2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5.75" customHeight="1" x14ac:dyDescent="0.2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5.75" customHeight="1" x14ac:dyDescent="0.2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5.75" customHeight="1" x14ac:dyDescent="0.2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5.75" customHeight="1" x14ac:dyDescent="0.2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5.75" customHeight="1" x14ac:dyDescent="0.2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5.75" customHeight="1" x14ac:dyDescent="0.2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5.75" customHeight="1" x14ac:dyDescent="0.2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5.75" customHeight="1" x14ac:dyDescent="0.2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5.75" customHeight="1" x14ac:dyDescent="0.2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5.75" customHeight="1" x14ac:dyDescent="0.2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5.75" customHeight="1" x14ac:dyDescent="0.2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5.75" customHeight="1" x14ac:dyDescent="0.2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5.75" customHeight="1" x14ac:dyDescent="0.2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5.75" customHeight="1" x14ac:dyDescent="0.2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5.75" customHeight="1" x14ac:dyDescent="0.2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5.75" customHeight="1" x14ac:dyDescent="0.2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5.75" customHeight="1" x14ac:dyDescent="0.2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5.75" customHeight="1" x14ac:dyDescent="0.2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5.75" customHeight="1" x14ac:dyDescent="0.2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5.75" customHeight="1" x14ac:dyDescent="0.2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customHeight="1" x14ac:dyDescent="0.2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5.75" customHeight="1" x14ac:dyDescent="0.2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5.75" customHeight="1" x14ac:dyDescent="0.2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5.75" customHeight="1" x14ac:dyDescent="0.2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5.75" customHeight="1" x14ac:dyDescent="0.2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5.75" customHeight="1" x14ac:dyDescent="0.2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5.75" customHeight="1" x14ac:dyDescent="0.2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5.75" customHeight="1" x14ac:dyDescent="0.2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5.75" customHeight="1" x14ac:dyDescent="0.2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5.75" customHeight="1" x14ac:dyDescent="0.2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5.75" customHeight="1" x14ac:dyDescent="0.2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5.75" customHeight="1" x14ac:dyDescent="0.2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5.75" customHeight="1" x14ac:dyDescent="0.2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5.75" customHeight="1" x14ac:dyDescent="0.2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5.75" customHeight="1" x14ac:dyDescent="0.2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5.75" customHeight="1" x14ac:dyDescent="0.2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5.75" customHeight="1" x14ac:dyDescent="0.2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5.75" customHeight="1" x14ac:dyDescent="0.2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5.75" customHeight="1" x14ac:dyDescent="0.2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5.75" customHeight="1" x14ac:dyDescent="0.2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 x14ac:dyDescent="0.2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5.75" customHeight="1" x14ac:dyDescent="0.2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5.75" customHeight="1" x14ac:dyDescent="0.2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5.75" customHeight="1" x14ac:dyDescent="0.2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5.75" customHeight="1" x14ac:dyDescent="0.2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5.75" customHeight="1" x14ac:dyDescent="0.2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5.75" customHeight="1" x14ac:dyDescent="0.2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5.75" customHeight="1" x14ac:dyDescent="0.2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5.75" customHeight="1" x14ac:dyDescent="0.2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5.75" customHeight="1" x14ac:dyDescent="0.2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5.75" customHeight="1" x14ac:dyDescent="0.2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5.75" customHeight="1" x14ac:dyDescent="0.2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5.75" customHeight="1" x14ac:dyDescent="0.2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5.75" customHeight="1" x14ac:dyDescent="0.2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5.75" customHeight="1" x14ac:dyDescent="0.2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5.75" customHeight="1" x14ac:dyDescent="0.2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5.75" customHeight="1" x14ac:dyDescent="0.2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5.75" customHeight="1" x14ac:dyDescent="0.2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5.75" customHeight="1" x14ac:dyDescent="0.2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5.75" customHeight="1" x14ac:dyDescent="0.2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5.75" customHeight="1" x14ac:dyDescent="0.2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5.75" customHeight="1" x14ac:dyDescent="0.2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5.75" customHeight="1" x14ac:dyDescent="0.2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5.75" customHeight="1" x14ac:dyDescent="0.2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5.75" customHeight="1" x14ac:dyDescent="0.2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5.75" customHeight="1" x14ac:dyDescent="0.2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5.75" customHeight="1" x14ac:dyDescent="0.2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5.75" customHeight="1" x14ac:dyDescent="0.2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5.75" customHeight="1" x14ac:dyDescent="0.2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5.75" customHeight="1" x14ac:dyDescent="0.2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5.75" customHeight="1" x14ac:dyDescent="0.2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5.75" customHeight="1" x14ac:dyDescent="0.2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5.75" customHeight="1" x14ac:dyDescent="0.2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5.75" customHeight="1" x14ac:dyDescent="0.2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5.75" customHeight="1" x14ac:dyDescent="0.2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5.75" customHeight="1" x14ac:dyDescent="0.2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5.75" customHeight="1" x14ac:dyDescent="0.2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5.75" customHeight="1" x14ac:dyDescent="0.2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5.75" customHeight="1" x14ac:dyDescent="0.2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5.75" customHeight="1" x14ac:dyDescent="0.2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5.75" customHeight="1" x14ac:dyDescent="0.2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5.75" customHeight="1" x14ac:dyDescent="0.2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5.75" customHeight="1" x14ac:dyDescent="0.2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5.75" customHeight="1" x14ac:dyDescent="0.2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5.75" customHeight="1" x14ac:dyDescent="0.2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5.75" customHeight="1" x14ac:dyDescent="0.2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5.75" customHeight="1" x14ac:dyDescent="0.2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5.75" customHeight="1" x14ac:dyDescent="0.2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5.75" customHeight="1" x14ac:dyDescent="0.2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5.75" customHeight="1" x14ac:dyDescent="0.2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5.75" customHeight="1" x14ac:dyDescent="0.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 x14ac:dyDescent="0.2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5.75" customHeight="1" x14ac:dyDescent="0.2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5.75" customHeight="1" x14ac:dyDescent="0.2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5.75" customHeight="1" x14ac:dyDescent="0.2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5.75" customHeight="1" x14ac:dyDescent="0.2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5.75" customHeight="1" x14ac:dyDescent="0.2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5.75" customHeight="1" x14ac:dyDescent="0.2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5.75" customHeight="1" x14ac:dyDescent="0.2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5.75" customHeight="1" x14ac:dyDescent="0.2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5.75" customHeight="1" x14ac:dyDescent="0.2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5.75" customHeight="1" x14ac:dyDescent="0.2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5.75" customHeight="1" x14ac:dyDescent="0.2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5.75" customHeight="1" x14ac:dyDescent="0.2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2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5.75" customHeight="1" x14ac:dyDescent="0.2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5.75" customHeight="1" x14ac:dyDescent="0.2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5.75" customHeight="1" x14ac:dyDescent="0.2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5.75" customHeight="1" x14ac:dyDescent="0.2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5.75" customHeight="1" x14ac:dyDescent="0.2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5.75" customHeight="1" x14ac:dyDescent="0.2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5.75" customHeight="1" x14ac:dyDescent="0.2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3">
    <mergeCell ref="A17:K17"/>
    <mergeCell ref="A1:I1"/>
    <mergeCell ref="J1:K1"/>
    <mergeCell ref="A2:I2"/>
    <mergeCell ref="J2:K2"/>
    <mergeCell ref="A4:K4"/>
    <mergeCell ref="D6:E6"/>
    <mergeCell ref="G6:H6"/>
    <mergeCell ref="D7:E7"/>
    <mergeCell ref="A9:K9"/>
    <mergeCell ref="A10:K10"/>
    <mergeCell ref="A11:K15"/>
    <mergeCell ref="A16:K16"/>
    <mergeCell ref="F33:J33"/>
    <mergeCell ref="B20:J20"/>
    <mergeCell ref="B21:H21"/>
    <mergeCell ref="B22:J22"/>
    <mergeCell ref="B23:I23"/>
    <mergeCell ref="B24:J24"/>
    <mergeCell ref="B25:H25"/>
    <mergeCell ref="B26:J26"/>
    <mergeCell ref="A28:K28"/>
    <mergeCell ref="A29:K29"/>
    <mergeCell ref="B30:J30"/>
    <mergeCell ref="F32:J32"/>
    <mergeCell ref="A40:E40"/>
    <mergeCell ref="F40:G40"/>
    <mergeCell ref="H40:I40"/>
    <mergeCell ref="J40:K40"/>
    <mergeCell ref="A35:E35"/>
    <mergeCell ref="F35:G35"/>
    <mergeCell ref="H35:I35"/>
    <mergeCell ref="J35:K35"/>
    <mergeCell ref="A36:E37"/>
    <mergeCell ref="F36:G37"/>
    <mergeCell ref="H36:I37"/>
    <mergeCell ref="J36:K38"/>
    <mergeCell ref="A38:E38"/>
    <mergeCell ref="F38:G38"/>
    <mergeCell ref="H38:I38"/>
    <mergeCell ref="A39:E39"/>
    <mergeCell ref="F39:G39"/>
    <mergeCell ref="H39:I39"/>
    <mergeCell ref="J39:K39"/>
    <mergeCell ref="A44:K44"/>
    <mergeCell ref="B46:D46"/>
    <mergeCell ref="H46:I46"/>
    <mergeCell ref="A41:E41"/>
    <mergeCell ref="F41:G41"/>
    <mergeCell ref="H41:I41"/>
    <mergeCell ref="J41:K41"/>
    <mergeCell ref="A42:K42"/>
    <mergeCell ref="A43:K43"/>
  </mergeCells>
  <pageMargins left="0.7" right="0.7" top="0.75" bottom="0.75" header="0" footer="0"/>
  <pageSetup orientation="portrait" r:id="rId1"/>
  <colBreaks count="1" manualBreakCount="1">
    <brk id="1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ATENCION </vt:lpstr>
      <vt:lpstr>ANALISIS</vt:lpstr>
      <vt:lpstr>'ATENCION '!Z_6B998466_73A3_49B0_90A4_8357F5811908_.wvu.Cols</vt:lpstr>
      <vt:lpstr>'ATENCION '!Z_6B998466_73A3_49B0_90A4_8357F5811908_.wvu.PrintArea</vt:lpstr>
      <vt:lpstr>'ATENCION '!Z_6B998466_73A3_49B0_90A4_8357F5811908_.wvu.Rows</vt:lpstr>
      <vt:lpstr>'ATENCION '!Z_CCFA1E90_53A4_4356_91C1_949E68A601D1_.wvu.Cols</vt:lpstr>
      <vt:lpstr>'ATENCION '!Z_CCFA1E90_53A4_4356_91C1_949E68A601D1_.wvu.PrintArea</vt:lpstr>
      <vt:lpstr>'ATENCION '!Z_CCFA1E90_53A4_4356_91C1_949E68A601D1_.wvu.Rows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Pineda</dc:creator>
  <cp:lastModifiedBy>Francisco Alvarez</cp:lastModifiedBy>
  <dcterms:created xsi:type="dcterms:W3CDTF">2024-08-22T13:32:29Z</dcterms:created>
  <dcterms:modified xsi:type="dcterms:W3CDTF">2024-09-09T12:53:17Z</dcterms:modified>
</cp:coreProperties>
</file>